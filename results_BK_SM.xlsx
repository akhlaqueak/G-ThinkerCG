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62F9E2A3-C371-6E46-86A5-91E71A4226A6}" xr6:coauthVersionLast="47" xr6:coauthVersionMax="47" xr10:uidLastSave="{00000000-0000-0000-0000-000000000000}"/>
  <bookViews>
    <workbookView xWindow="0" yWindow="760" windowWidth="30240" windowHeight="18880" activeTab="3" xr2:uid="{93E1CCD5-64A0-5F4C-A5F1-EE4B217F183B}"/>
  </bookViews>
  <sheets>
    <sheet name="QC" sheetId="31" r:id="rId1"/>
    <sheet name="MC - para" sheetId="29" r:id="rId2"/>
    <sheet name="MC" sheetId="28" r:id="rId3"/>
    <sheet name="SM" sheetId="30" r:id="rId4"/>
    <sheet name="AIMD-ampere" sheetId="11" r:id="rId5"/>
    <sheet name="mce-gpu" sheetId="9" r:id="rId6"/>
    <sheet name="MQC" sheetId="27" r:id="rId7"/>
    <sheet name="Sheet4" sheetId="4" r:id="rId8"/>
  </sheets>
  <externalReferences>
    <externalReference r:id="rId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5" i="30" l="1"/>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<sst xmlns="http://schemas.openxmlformats.org/spreadsheetml/2006/main" count="6599" uniqueCount="3995">
  <si>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</si>
  <si>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</si>
  <si>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</si>
  <si>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</si>
  <si>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</si>
  <si>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</si>
  <si>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</si>
  <si>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</si>
  <si>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</si>
  <si>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</si>
  <si>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</si>
  <si>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</si>
  <si>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</si>
  <si>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</si>
  <si>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</si>
  <si>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</si>
  <si>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</si>
  <si>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</si>
  <si>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</si>
  <si>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</si>
  <si>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</si>
  <si>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</si>
  <si>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</si>
  <si>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</si>
  <si>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</si>
  <si>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</si>
  <si>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</si>
  <si>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</si>
  <si>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</si>
  <si>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</si>
  <si>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</si>
  <si>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</si>
  <si>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</si>
  <si>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</si>
  <si>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</si>
  <si>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</si>
  <si>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</si>
  <si>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</si>
  <si>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</si>
  <si>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</si>
  <si>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</si>
  <si>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</si>
  <si>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</si>
  <si>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</si>
  <si>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</si>
  <si>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</si>
  <si>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</si>
  <si>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</si>
  <si>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</si>
  <si>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</si>
  <si>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</si>
  <si>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</si>
  <si>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</si>
  <si>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</si>
  <si>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</si>
  <si>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</si>
  <si>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</si>
  <si>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</si>
  <si>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</si>
  <si>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</si>
  <si>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</si>
  <si>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</si>
  <si>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</si>
  <si>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</si>
  <si>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</si>
  <si>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</si>
  <si>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</si>
  <si>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</si>
  <si>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</si>
  <si>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</si>
  <si>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</si>
  <si>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</si>
  <si>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</si>
  <si>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</si>
  <si>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</si>
  <si>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</si>
  <si>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</si>
  <si>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</si>
  <si>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</si>
  <si>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</si>
  <si>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</si>
  <si>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</si>
  <si>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</si>
  <si>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</si>
  <si>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</si>
  <si>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</si>
  <si>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</si>
  <si>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</si>
  <si>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</si>
  <si>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</si>
  <si>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</si>
  <si>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</si>
  <si>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</si>
  <si>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</si>
  <si>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</si>
  <si>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</si>
  <si>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</si>
  <si>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</si>
  <si>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</si>
  <si>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</si>
  <si>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</si>
  <si>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</si>
  <si>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</si>
  <si>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</si>
  <si>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</si>
  <si>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</si>
  <si>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</si>
  <si>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</si>
  <si>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</si>
  <si>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</si>
  <si>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</si>
  <si>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</si>
  <si>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</si>
  <si>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</si>
  <si>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</si>
  <si>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</si>
  <si>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</si>
  <si>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</si>
  <si>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</si>
  <si>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</si>
  <si>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</si>
  <si>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</si>
  <si>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</si>
  <si>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</si>
  <si>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</si>
  <si>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</si>
  <si>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</si>
  <si>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</si>
  <si>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</si>
  <si>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</si>
  <si>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</si>
  <si>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</si>
  <si>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</si>
  <si>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</si>
  <si>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</si>
  <si>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</si>
  <si>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</si>
  <si>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</si>
  <si>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</si>
  <si>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</si>
  <si>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</si>
  <si>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</si>
  <si>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</si>
  <si>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</si>
  <si>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</si>
  <si>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</si>
  <si>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</si>
  <si>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</si>
  <si>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</si>
  <si>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</si>
  <si>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</si>
  <si>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</si>
  <si>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</si>
  <si>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</si>
  <si>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</si>
  <si>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</si>
  <si>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</si>
  <si>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</si>
  <si>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</si>
  <si>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</si>
  <si>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</si>
  <si>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</si>
  <si>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</si>
  <si>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</si>
  <si>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</si>
  <si>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</si>
  <si>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</si>
  <si>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</si>
  <si>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</si>
  <si>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</si>
  <si>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</si>
  <si>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</si>
  <si>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</si>
  <si>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</si>
  <si>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</si>
  <si>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</si>
  <si>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</si>
  <si>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</si>
  <si>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</si>
  <si>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</si>
  <si>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</si>
  <si>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</si>
  <si>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</si>
  <si>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</si>
  <si>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</si>
  <si>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</si>
  <si>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</si>
  <si>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</si>
  <si>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</si>
  <si>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</si>
  <si>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</si>
  <si>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</si>
  <si>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</si>
  <si>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</si>
  <si>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</si>
  <si>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</si>
  <si>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</si>
  <si>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</si>
  <si>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</si>
  <si>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</si>
  <si>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</si>
  <si>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</si>
  <si>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</si>
  <si>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</si>
  <si>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</si>
  <si>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</si>
  <si>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</si>
  <si>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</si>
  <si>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</si>
  <si>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</si>
  <si>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</si>
  <si>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</si>
  <si>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</si>
  <si>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</si>
  <si>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</si>
  <si>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</si>
  <si>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</si>
  <si>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</si>
  <si>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</si>
  <si>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</si>
  <si>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</si>
  <si>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</si>
  <si>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</si>
  <si>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</si>
  <si>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</si>
  <si>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</si>
  <si>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</si>
  <si>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</si>
  <si>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</si>
  <si>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</si>
  <si>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</si>
  <si>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</si>
  <si>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</si>
  <si>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</si>
  <si>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</si>
  <si>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</si>
  <si>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</si>
  <si>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</si>
  <si>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</si>
  <si>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</si>
  <si>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</si>
  <si>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</si>
  <si>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</si>
  <si>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</si>
  <si>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</si>
  <si>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</si>
  <si>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</si>
  <si>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</si>
  <si>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</si>
  <si>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</si>
  <si>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</si>
  <si>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</si>
  <si>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</si>
  <si>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</si>
  <si>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</si>
  <si>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</si>
  <si>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</si>
  <si>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</si>
  <si>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</si>
  <si>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</si>
  <si>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</si>
  <si>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</si>
  <si>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</si>
  <si>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</si>
  <si>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</si>
  <si>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</si>
  <si>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</si>
  <si>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</si>
  <si>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</si>
  <si>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</si>
  <si>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</si>
  <si>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</si>
  <si>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</si>
  <si>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</si>
  <si>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</si>
  <si>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</si>
  <si>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</si>
  <si>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</si>
  <si>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</si>
  <si>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</si>
  <si>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</si>
  <si>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</si>
  <si>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</si>
  <si>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</si>
  <si>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</si>
  <si>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</si>
  <si>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</si>
  <si>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</si>
  <si>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</si>
  <si>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</si>
  <si>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</si>
  <si>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</si>
  <si>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</si>
  <si>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</si>
  <si>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</si>
  <si>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</si>
  <si>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</si>
  <si>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</si>
  <si>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</si>
  <si>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</si>
  <si>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</si>
  <si>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</si>
  <si>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</si>
  <si>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</si>
  <si>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</si>
  <si>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</si>
  <si>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</si>
  <si>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</si>
  <si>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</si>
  <si>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</si>
  <si>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</si>
  <si>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</si>
  <si>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</si>
  <si>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</si>
  <si>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</si>
  <si>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</si>
  <si>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</si>
  <si>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</si>
  <si>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</si>
  <si>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</si>
  <si>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</si>
  <si>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</si>
  <si>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</si>
  <si>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</si>
  <si>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</si>
  <si>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</si>
  <si>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</si>
  <si>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</si>
  <si>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</si>
  <si>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</si>
  <si>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</si>
  <si>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</si>
  <si>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</si>
  <si>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</si>
  <si>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</si>
  <si>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</si>
  <si>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</si>
  <si>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</si>
  <si>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</si>
  <si>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</si>
  <si>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</si>
  <si>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</si>
  <si>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</si>
  <si>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</si>
  <si>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</si>
  <si>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</si>
  <si>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</si>
  <si>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</si>
  <si>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</si>
  <si>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</si>
  <si>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</si>
  <si>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</si>
  <si>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</si>
  <si>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</si>
  <si>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</si>
  <si>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</si>
  <si>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</si>
  <si>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</si>
  <si>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</si>
  <si>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</si>
  <si>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</si>
  <si>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</si>
  <si>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</si>
  <si>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</si>
  <si>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</si>
  <si>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</si>
  <si>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</si>
  <si>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</si>
  <si>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</si>
  <si>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</si>
  <si>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</si>
  <si>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</si>
  <si>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</si>
  <si>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</si>
  <si>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</si>
  <si>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</si>
  <si>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</si>
  <si>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</si>
  <si>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</si>
  <si>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</si>
  <si>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</si>
  <si>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</si>
  <si>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</si>
  <si>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</si>
  <si>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</si>
  <si>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</si>
  <si>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</si>
  <si>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</si>
  <si>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</si>
  <si>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</si>
  <si>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</si>
  <si>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</si>
  <si>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</si>
  <si>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</si>
  <si>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</si>
  <si>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</si>
  <si>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</si>
  <si>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</si>
  <si>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</si>
  <si>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</si>
  <si>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</si>
  <si>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</si>
  <si>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</si>
  <si>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</si>
  <si>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</si>
  <si>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</si>
  <si>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</si>
  <si>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</si>
  <si>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</si>
  <si>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</si>
  <si>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</si>
  <si>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</si>
  <si>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</si>
  <si>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</si>
  <si>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</si>
  <si>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</si>
  <si>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</si>
  <si>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</si>
  <si>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</si>
  <si>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</si>
  <si>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</si>
  <si>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</si>
  <si>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</si>
  <si>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</si>
  <si>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</si>
  <si>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</si>
  <si>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</si>
  <si>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</si>
  <si>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</si>
  <si>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</si>
  <si>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</si>
  <si>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</si>
  <si>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</si>
  <si>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</si>
  <si>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</si>
  <si>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</si>
  <si>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</si>
  <si>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</si>
  <si>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</si>
  <si>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</si>
  <si>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</si>
  <si>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</si>
  <si>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</si>
  <si>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</si>
  <si>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</si>
  <si>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</si>
  <si>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</si>
  <si>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</si>
  <si>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</si>
  <si>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</si>
  <si>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</si>
  <si>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</si>
  <si>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</si>
  <si>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</si>
  <si>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</si>
  <si>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</si>
  <si>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</si>
  <si>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</si>
  <si>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</si>
  <si>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</si>
  <si>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</si>
  <si>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</si>
  <si>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</si>
  <si>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</si>
  <si>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</si>
  <si>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</si>
  <si>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</si>
  <si>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</si>
  <si>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</si>
  <si>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</si>
  <si>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</si>
  <si>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</si>
  <si>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</si>
  <si>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</si>
  <si>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</si>
  <si>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</si>
  <si>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</si>
  <si>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</si>
  <si>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</si>
  <si>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</si>
  <si>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</si>
  <si>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</si>
  <si>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</si>
  <si>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</si>
  <si>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</si>
  <si>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</si>
  <si>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</si>
  <si>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</si>
  <si>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</si>
  <si>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</si>
  <si>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</si>
  <si>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</si>
  <si>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</si>
  <si>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</si>
  <si>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</si>
  <si>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</si>
  <si>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</si>
  <si>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</si>
  <si>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</si>
  <si>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</si>
  <si>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</si>
  <si>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</si>
  <si>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</si>
  <si>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</si>
  <si>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</si>
  <si>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</si>
  <si>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</si>
  <si>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</si>
  <si>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</si>
  <si>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</si>
  <si>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</si>
  <si>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</si>
  <si>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</si>
  <si>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</si>
  <si>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</si>
  <si>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</si>
  <si>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</si>
  <si>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</si>
  <si>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</si>
  <si>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</si>
  <si>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</si>
  <si>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</si>
  <si>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</si>
  <si>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</si>
  <si>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</si>
  <si>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</si>
  <si>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</si>
  <si>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</si>
  <si>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</si>
  <si>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</si>
  <si>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</si>
  <si>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</si>
  <si>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</si>
  <si>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</si>
  <si>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</si>
  <si>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</si>
  <si>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</si>
  <si>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</si>
  <si>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</si>
  <si>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</si>
  <si>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</si>
  <si>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</si>
  <si>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</si>
  <si>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</si>
  <si>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</si>
  <si>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</si>
  <si>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</si>
  <si>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</si>
  <si>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</si>
  <si>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</si>
  <si>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</si>
  <si>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</si>
  <si>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</si>
  <si>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</si>
  <si>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</si>
  <si>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</si>
  <si>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</si>
  <si>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</si>
  <si>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</si>
  <si>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</si>
  <si>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</si>
  <si>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</si>
  <si>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</si>
  <si>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</si>
  <si>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</si>
  <si>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</si>
  <si>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</si>
  <si>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</si>
  <si>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</si>
  <si>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</si>
  <si>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</si>
  <si>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</si>
  <si>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</si>
  <si>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</si>
  <si>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</si>
  <si>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</si>
  <si>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</si>
  <si>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</si>
  <si>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</si>
  <si>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</si>
  <si>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</si>
  <si>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</si>
  <si>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</si>
  <si>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</si>
  <si>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</si>
  <si>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</si>
  <si>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</si>
  <si>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</si>
  <si>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</si>
  <si>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</si>
  <si>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</si>
  <si>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</si>
  <si>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</si>
  <si>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</si>
  <si>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</si>
  <si>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</si>
  <si>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</si>
  <si>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</si>
  <si>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</si>
  <si>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</si>
  <si>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</si>
  <si>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</si>
  <si>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</si>
  <si>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</si>
  <si>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</si>
  <si>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</si>
  <si>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</si>
  <si>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</si>
  <si>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</si>
  <si>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</si>
  <si>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</si>
  <si>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</si>
  <si>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</si>
  <si>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</si>
  <si>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</si>
  <si>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</si>
  <si>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</si>
  <si>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</si>
  <si>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</si>
  <si>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</si>
  <si>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</si>
  <si>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</si>
  <si>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</si>
  <si>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</si>
  <si>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</si>
  <si>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</si>
  <si>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</si>
  <si>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</si>
  <si>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</si>
  <si>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</si>
  <si>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</si>
  <si>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</si>
  <si>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</si>
  <si>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</si>
  <si>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</si>
  <si>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</si>
  <si>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</si>
  <si>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</si>
  <si>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</si>
  <si>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</si>
  <si>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</si>
  <si>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</si>
  <si>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</si>
  <si>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</si>
  <si>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</si>
  <si>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</si>
  <si>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</si>
  <si>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</si>
  <si>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</si>
  <si>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</si>
  <si>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</si>
  <si>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</si>
  <si>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</si>
  <si>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</si>
  <si>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</si>
  <si>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</si>
  <si>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</si>
  <si>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</si>
  <si>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</si>
  <si>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</si>
  <si>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</si>
  <si>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</si>
  <si>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</si>
  <si>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</si>
  <si>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</si>
  <si>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</si>
  <si>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</si>
  <si>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</si>
  <si>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</si>
  <si>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</si>
  <si>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</si>
  <si>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</si>
  <si>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</si>
  <si>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</si>
  <si>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</si>
  <si>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</si>
  <si>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</si>
  <si>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</si>
  <si>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</si>
  <si>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</si>
  <si>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</si>
  <si>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</si>
  <si>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</si>
  <si>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</si>
  <si>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</si>
  <si>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</si>
  <si>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</si>
  <si>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</si>
  <si>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</si>
  <si>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</si>
  <si>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</si>
  <si>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</si>
  <si>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</si>
  <si>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</si>
  <si>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</si>
  <si>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</si>
  <si>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</si>
  <si>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</si>
  <si>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</si>
  <si>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</si>
  <si>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</si>
  <si>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</si>
  <si>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</si>
  <si>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</si>
  <si>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</si>
  <si>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</si>
  <si>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</si>
  <si>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</si>
  <si>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</si>
  <si>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</si>
  <si>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</si>
  <si>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</si>
  <si>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</si>
  <si>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</si>
  <si>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</si>
  <si>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</si>
  <si>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</si>
  <si>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</si>
  <si>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</si>
  <si>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</si>
  <si>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</si>
  <si>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</si>
  <si>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</si>
  <si>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</si>
  <si>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</si>
  <si>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</si>
  <si>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</si>
  <si>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</si>
  <si>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</si>
  <si>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</si>
  <si>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</si>
  <si>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</si>
  <si>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</si>
  <si>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</si>
  <si>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</si>
  <si>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</si>
  <si>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</si>
  <si>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</si>
  <si>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</si>
  <si>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</si>
  <si>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</si>
  <si>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</si>
  <si>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</si>
  <si>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</si>
  <si>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</si>
  <si>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</si>
  <si>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</si>
  <si>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</si>
  <si>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</si>
  <si>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</si>
  <si>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</si>
  <si>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</si>
  <si>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</si>
  <si>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</si>
  <si>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</si>
  <si>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</si>
  <si>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</si>
  <si>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</si>
  <si>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</si>
  <si>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</si>
  <si>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</si>
  <si>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</si>
  <si>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</si>
  <si>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</si>
  <si>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</si>
  <si>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</si>
  <si>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</si>
  <si>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</si>
  <si>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</si>
  <si>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</si>
  <si>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</si>
  <si>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</si>
  <si>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</si>
  <si>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</si>
  <si>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</si>
  <si>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</si>
  <si>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</si>
  <si>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</si>
  <si>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</si>
  <si>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</si>
  <si>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</si>
  <si>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</si>
  <si>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</si>
  <si>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</si>
  <si>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</si>
  <si>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</si>
  <si>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</si>
  <si>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</si>
  <si>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</si>
  <si>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</si>
  <si>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</si>
  <si>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</si>
  <si>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</si>
  <si>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</si>
  <si>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</si>
  <si>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</si>
  <si>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</si>
  <si>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</si>
  <si>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</si>
  <si>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</si>
  <si>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</si>
  <si>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</si>
  <si>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</si>
  <si>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</si>
  <si>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</si>
  <si>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</si>
  <si>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</si>
  <si>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</si>
  <si>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</si>
  <si>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</si>
  <si>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</si>
  <si>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</si>
  <si>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</si>
  <si>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</si>
  <si>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</si>
  <si>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</si>
  <si>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</si>
  <si>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</si>
  <si>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</si>
  <si>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</si>
  <si>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</si>
  <si>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</si>
  <si>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</si>
  <si>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</si>
  <si>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</si>
  <si>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</si>
  <si>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</si>
  <si>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</si>
  <si>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</si>
  <si>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</si>
  <si>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</si>
  <si>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</si>
  <si>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</si>
  <si>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</si>
  <si>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</si>
  <si>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</si>
  <si>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</si>
  <si>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</si>
  <si>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</si>
  <si>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</si>
  <si>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</si>
  <si>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</si>
  <si>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</si>
  <si>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</si>
  <si>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</si>
  <si>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</si>
  <si>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</si>
  <si>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</si>
  <si>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</si>
  <si>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</si>
  <si>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</si>
  <si>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</si>
  <si>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</si>
  <si>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</si>
  <si>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</si>
  <si>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</si>
  <si>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</si>
  <si>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</si>
  <si>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</si>
  <si>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</si>
  <si>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</si>
  <si>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</si>
  <si>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</si>
  <si>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</si>
  <si>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</si>
  <si>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</si>
  <si>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</si>
  <si>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</si>
  <si>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</si>
  <si>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</si>
  <si>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</si>
  <si>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</si>
  <si>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</si>
  <si>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</si>
  <si>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</si>
  <si>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</si>
  <si>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</si>
  <si>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</si>
  <si>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</si>
  <si>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</si>
  <si>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</si>
  <si>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</si>
  <si>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</si>
  <si>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</si>
  <si>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</si>
  <si>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</si>
  <si>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</si>
  <si>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</si>
  <si>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</si>
  <si>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</si>
  <si>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</si>
  <si>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</si>
  <si>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</si>
  <si>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</si>
  <si>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</si>
  <si>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</si>
  <si>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</si>
  <si>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</si>
  <si>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</si>
  <si>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</si>
  <si>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</si>
  <si>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</si>
  <si>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</si>
  <si>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</si>
  <si>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</si>
  <si>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</si>
  <si>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</si>
  <si>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</si>
  <si>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</si>
  <si>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</si>
  <si>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</si>
  <si>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</si>
  <si>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</si>
  <si>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</si>
  <si>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</si>
  <si>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</si>
  <si>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</si>
  <si>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</si>
  <si>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</si>
  <si>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</si>
  <si>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</si>
  <si>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</si>
  <si>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</si>
  <si>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</si>
  <si>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</si>
  <si>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</si>
  <si>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</si>
  <si>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</si>
  <si>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</si>
  <si>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</si>
  <si>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</si>
  <si>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</si>
  <si>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</si>
  <si>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</si>
  <si>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</si>
  <si>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</si>
  <si>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</si>
  <si>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</si>
  <si>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</si>
  <si>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</si>
  <si>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</si>
  <si>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</si>
  <si>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</si>
  <si>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</si>
  <si>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</si>
  <si>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</si>
  <si>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</si>
  <si>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</si>
  <si>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</si>
  <si>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</si>
  <si>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</si>
  <si>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</si>
  <si>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</si>
  <si>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</si>
  <si>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</si>
  <si>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</si>
  <si>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</si>
  <si>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</si>
  <si>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</si>
  <si>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</si>
  <si>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</si>
  <si>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</si>
  <si>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</si>
  <si>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</si>
  <si>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</si>
  <si>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</si>
  <si>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</si>
  <si>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</si>
  <si>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</si>
  <si>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</si>
  <si>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</si>
  <si>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</si>
  <si>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</si>
  <si>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</si>
  <si>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</si>
  <si>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</si>
  <si>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</si>
  <si>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</si>
  <si>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</si>
  <si>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</si>
  <si>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</si>
  <si>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</si>
  <si>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</si>
  <si>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</si>
  <si>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</si>
  <si>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</si>
  <si>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</si>
  <si>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</si>
  <si>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</si>
  <si>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</si>
  <si>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</si>
  <si>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</si>
  <si>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</si>
  <si>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</si>
  <si>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</si>
  <si>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</si>
  <si>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</si>
  <si>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</si>
  <si>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</si>
  <si>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</si>
  <si>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</si>
  <si>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</si>
  <si>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</si>
  <si>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</si>
  <si>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</si>
  <si>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</si>
  <si>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</si>
  <si>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</si>
  <si>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</si>
  <si>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</si>
  <si>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</si>
  <si>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</si>
  <si>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</si>
  <si>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</si>
  <si>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</si>
  <si>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</si>
  <si>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</si>
  <si>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</si>
  <si>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</si>
  <si>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</si>
  <si>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</si>
  <si>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</si>
  <si>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</si>
  <si>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</si>
  <si>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</si>
  <si>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</si>
  <si>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</si>
  <si>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</si>
  <si>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</si>
  <si>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</si>
  <si>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</si>
  <si>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</si>
  <si>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</si>
  <si>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</si>
  <si>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</si>
  <si>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</si>
  <si>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</si>
  <si>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</si>
  <si>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</si>
  <si>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</si>
  <si>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</si>
  <si>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</si>
  <si>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</si>
  <si>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</si>
  <si>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</si>
  <si>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</si>
  <si>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</si>
  <si>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</si>
  <si>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</si>
  <si>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</si>
  <si>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</si>
  <si>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</si>
  <si>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</si>
  <si>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</si>
  <si>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</si>
  <si>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</si>
  <si>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</si>
  <si>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</si>
  <si>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</si>
  <si>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</si>
  <si>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</si>
  <si>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</si>
  <si>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</si>
  <si>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</si>
  <si>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</si>
  <si>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</si>
  <si>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</si>
  <si>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</si>
  <si>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</si>
  <si>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</si>
  <si>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</si>
  <si>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</si>
  <si>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</si>
  <si>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</si>
  <si>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</si>
  <si>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</si>
  <si>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</si>
  <si>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</si>
  <si>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</si>
  <si>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</si>
  <si>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</si>
  <si>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</si>
  <si>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</si>
  <si>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</si>
  <si>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</si>
  <si>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</si>
  <si>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</si>
  <si>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</si>
  <si>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</si>
  <si>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</si>
  <si>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</si>
  <si>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</si>
  <si>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</si>
  <si>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</si>
  <si>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</si>
  <si>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</si>
  <si>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</si>
  <si>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</si>
  <si>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</si>
  <si>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</si>
  <si>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</si>
  <si>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</si>
  <si>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</si>
  <si>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</si>
  <si>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</si>
  <si>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</si>
  <si>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</si>
  <si>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</si>
  <si>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</si>
  <si>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</si>
  <si>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</si>
  <si>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</si>
  <si>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</si>
  <si>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</si>
  <si>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</si>
  <si>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</si>
  <si>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</si>
  <si>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</si>
  <si>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</si>
  <si>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</si>
  <si>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</si>
  <si>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</si>
  <si>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</si>
  <si>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</si>
  <si>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</si>
  <si>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</si>
  <si>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</si>
  <si>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</si>
  <si>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</si>
  <si>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</si>
  <si>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</si>
  <si>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</si>
  <si>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</si>
  <si>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</si>
  <si>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</si>
  <si>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</si>
  <si>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</si>
  <si>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</si>
  <si>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</si>
  <si>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</si>
  <si>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</si>
  <si>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</si>
  <si>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</si>
  <si>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</si>
  <si>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</si>
  <si>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</si>
  <si>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</si>
  <si>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</si>
  <si>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</si>
  <si>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</si>
  <si>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</si>
  <si>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</si>
  <si>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</si>
  <si>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</si>
  <si>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</si>
  <si>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</si>
  <si>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</si>
  <si>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</si>
  <si>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</si>
  <si>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</si>
  <si>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</si>
  <si>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</si>
  <si>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</si>
  <si>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</si>
  <si>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</si>
  <si>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</si>
  <si>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</si>
  <si>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</si>
  <si>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</si>
  <si>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</si>
  <si>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</si>
  <si>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</si>
  <si>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</si>
  <si>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</si>
  <si>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</si>
  <si>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</si>
  <si>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</si>
  <si>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</si>
  <si>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</si>
  <si>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</si>
  <si>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</si>
  <si>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</si>
  <si>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</si>
  <si>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</si>
  <si>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</si>
  <si>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</si>
  <si>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</si>
  <si>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</si>
  <si>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</si>
  <si>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</si>
  <si>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</si>
  <si>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</si>
  <si>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</si>
  <si>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</si>
  <si>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</si>
  <si>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</si>
  <si>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</si>
  <si>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</si>
  <si>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</si>
  <si>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</si>
  <si>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</si>
  <si>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</si>
  <si>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</si>
  <si>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</si>
  <si>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</si>
  <si>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</si>
  <si>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</si>
  <si>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</si>
  <si>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</si>
  <si>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</si>
  <si>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</si>
  <si>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</si>
  <si>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</si>
  <si>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</si>
  <si>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</si>
  <si>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</si>
  <si>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</si>
  <si>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</si>
  <si>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</si>
  <si>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</si>
  <si>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</si>
  <si>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</si>
  <si>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</si>
  <si>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</si>
  <si>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</si>
  <si>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</si>
  <si>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</si>
  <si>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</si>
  <si>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</si>
  <si>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</si>
  <si>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</si>
  <si>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</si>
  <si>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</si>
  <si>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</si>
  <si>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</si>
  <si>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</si>
  <si>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</si>
  <si>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</si>
  <si>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</si>
  <si>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</si>
  <si>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</si>
  <si>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</si>
  <si>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</si>
  <si>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</si>
  <si>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</si>
  <si>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</si>
  <si>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</si>
  <si>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</si>
  <si>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</si>
  <si>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</si>
  <si>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</si>
  <si>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</si>
  <si>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</si>
  <si>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</si>
  <si>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</si>
  <si>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</si>
  <si>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</si>
  <si>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</si>
  <si>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</si>
  <si>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</si>
  <si>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</si>
  <si>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</si>
  <si>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</si>
  <si>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</si>
  <si>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</si>
  <si>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</si>
  <si>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</si>
  <si>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</si>
  <si>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</si>
  <si>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</si>
  <si>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</si>
  <si>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</si>
  <si>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</si>
  <si>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</si>
  <si>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</si>
  <si>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</si>
  <si>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</si>
  <si>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</si>
  <si>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</si>
  <si>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</si>
  <si>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</si>
  <si>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</si>
  <si>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</si>
  <si>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</si>
  <si>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</si>
  <si>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</si>
  <si>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</si>
  <si>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</si>
  <si>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</si>
  <si>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</si>
  <si>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</si>
  <si>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</si>
  <si>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</si>
  <si>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</si>
  <si>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</si>
  <si>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</si>
  <si>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</si>
  <si>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</si>
  <si>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</si>
  <si>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</si>
  <si>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</si>
  <si>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</si>
  <si>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</si>
  <si>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</si>
  <si>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</si>
  <si>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</si>
  <si>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</si>
  <si>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</si>
  <si>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</si>
  <si>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</si>
  <si>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</si>
  <si>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</si>
  <si>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</si>
  <si>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</si>
  <si>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</si>
  <si>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</si>
  <si>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</si>
  <si>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</si>
  <si>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</si>
  <si>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</si>
  <si>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</si>
  <si>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</si>
  <si>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</si>
  <si>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</si>
  <si>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</si>
  <si>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</si>
  <si>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</si>
  <si>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</si>
  <si>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</si>
  <si>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</si>
  <si>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</si>
  <si>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</si>
  <si>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</si>
  <si>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</si>
  <si>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</si>
  <si>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</si>
  <si>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</si>
  <si>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</si>
  <si>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</si>
  <si>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</si>
  <si>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</si>
  <si>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</si>
  <si>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</si>
  <si>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</si>
  <si>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</si>
  <si>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</si>
  <si>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</si>
  <si>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</si>
  <si>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</si>
  <si>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</si>
  <si>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</si>
  <si>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</si>
  <si>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</si>
  <si>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</si>
  <si>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</si>
  <si>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</si>
  <si>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</si>
  <si>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</si>
  <si>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</si>
  <si>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</si>
  <si>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</si>
  <si>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</si>
  <si>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</si>
  <si>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</si>
  <si>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</si>
  <si>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</si>
  <si>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</si>
  <si>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</si>
  <si>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</si>
  <si>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</si>
  <si>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</si>
  <si>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</si>
  <si>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</si>
  <si>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</si>
  <si>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</si>
  <si>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</si>
  <si>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</si>
  <si>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</si>
  <si>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</si>
  <si>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</si>
  <si>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</si>
  <si>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</si>
  <si>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</si>
  <si>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</si>
  <si>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</si>
  <si>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</si>
  <si>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</si>
  <si>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</si>
  <si>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</si>
  <si>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</si>
  <si>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</si>
  <si>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</si>
  <si>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</si>
  <si>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</si>
  <si>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</si>
  <si>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</si>
  <si>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</si>
  <si>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</si>
  <si>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</si>
  <si>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</si>
  <si>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</si>
  <si>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</si>
  <si>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</si>
  <si>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</si>
  <si>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</si>
  <si>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</si>
  <si>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</si>
  <si>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</si>
  <si>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</si>
  <si>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</si>
  <si>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</si>
  <si>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</si>
  <si>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</si>
  <si>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</si>
  <si>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</si>
  <si>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</si>
  <si>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</si>
  <si>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</si>
  <si>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</si>
  <si>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</si>
  <si>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</si>
  <si>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</si>
  <si>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</si>
  <si>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</si>
  <si>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</si>
  <si>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</si>
  <si>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</si>
  <si>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</si>
  <si>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</si>
  <si>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</si>
  <si>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</si>
  <si>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</si>
  <si>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</si>
  <si>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</si>
  <si>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</si>
  <si>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</si>
  <si>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</si>
  <si>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</si>
  <si>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</si>
  <si>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</si>
  <si>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</si>
  <si>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</si>
  <si>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</si>
  <si>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</si>
  <si>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</si>
  <si>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</si>
  <si>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</si>
  <si>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</si>
  <si>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</si>
  <si>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</si>
  <si>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</si>
  <si>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</si>
  <si>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</si>
  <si>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</si>
  <si>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</si>
  <si>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</si>
  <si>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</si>
  <si>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</si>
  <si>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</si>
  <si>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</si>
  <si>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</si>
  <si>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</si>
  <si>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</si>
  <si>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</si>
  <si>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</si>
  <si>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</si>
  <si>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</si>
  <si>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</si>
  <si>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</si>
  <si>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</si>
  <si>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</si>
  <si>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</si>
  <si>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</si>
  <si>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</si>
  <si>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</si>
  <si>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</si>
  <si>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</si>
  <si>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</si>
  <si>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</si>
  <si>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</si>
  <si>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</si>
  <si>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</si>
  <si>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</si>
  <si>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</si>
  <si>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</si>
  <si>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</si>
  <si>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</si>
  <si>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</si>
  <si>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</si>
  <si>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</si>
  <si>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</si>
  <si>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</si>
  <si>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</si>
  <si>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</si>
  <si>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</si>
  <si>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</si>
  <si>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</si>
  <si>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</si>
  <si>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</si>
  <si>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</si>
  <si>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</si>
  <si>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</si>
  <si>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</si>
  <si>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</si>
  <si>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</si>
  <si>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</si>
  <si>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</si>
  <si>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</si>
  <si>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</si>
  <si>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</si>
  <si>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</si>
  <si>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</si>
  <si>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</si>
  <si>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</si>
  <si>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</si>
  <si>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</si>
  <si>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</si>
  <si>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</si>
  <si>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</si>
  <si>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</si>
  <si>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</si>
  <si>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</si>
  <si>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</si>
  <si>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</si>
  <si>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</si>
  <si>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</si>
  <si>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</si>
  <si>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</si>
  <si>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</si>
  <si>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</si>
  <si>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</si>
  <si>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</si>
  <si>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</si>
  <si>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</si>
  <si>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</si>
  <si>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</si>
  <si>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</si>
  <si>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</si>
  <si>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</si>
  <si>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</si>
  <si>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</si>
  <si>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</si>
  <si>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</si>
  <si>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</si>
  <si>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</si>
  <si>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</si>
  <si>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</si>
  <si>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</si>
  <si>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</si>
  <si>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</si>
  <si>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</si>
  <si>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</si>
  <si>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</si>
  <si>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</si>
  <si>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</si>
  <si>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</si>
  <si>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</si>
  <si>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</si>
  <si>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</si>
  <si>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</si>
  <si>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</si>
  <si>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</si>
  <si>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</si>
  <si>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</si>
  <si>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</si>
  <si>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</si>
  <si>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</si>
  <si>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</si>
  <si>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</si>
  <si>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</si>
  <si>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</si>
  <si>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</si>
  <si>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</si>
  <si>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</si>
  <si>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</si>
  <si>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</si>
  <si>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</si>
  <si>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</si>
  <si>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</si>
  <si>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</si>
  <si>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</si>
  <si>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</si>
  <si>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</si>
  <si>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</si>
  <si>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</si>
  <si>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</si>
  <si>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</si>
  <si>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</si>
  <si>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</si>
  <si>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</si>
  <si>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</si>
  <si>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</si>
  <si>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</si>
  <si>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</si>
  <si>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</si>
  <si>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</si>
  <si>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</si>
  <si>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</si>
  <si>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</si>
  <si>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</si>
  <si>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</si>
  <si>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</si>
  <si>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</si>
  <si>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</si>
  <si>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</si>
  <si>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</si>
  <si>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</si>
  <si>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</si>
  <si>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</si>
  <si>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</si>
  <si>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</si>
  <si>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</si>
  <si>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</si>
  <si>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</si>
  <si>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</si>
  <si>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</si>
  <si>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</si>
  <si>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</si>
  <si>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</si>
  <si>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</si>
  <si>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</si>
  <si>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</si>
  <si>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</si>
  <si>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</si>
  <si>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</si>
  <si>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</si>
  <si>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</si>
  <si>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</si>
  <si>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</si>
  <si>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</si>
  <si>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</si>
  <si>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</si>
  <si>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</si>
  <si>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</si>
  <si>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</si>
  <si>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</si>
  <si>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</si>
  <si>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</si>
  <si>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</si>
  <si>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</si>
  <si>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</si>
  <si>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</si>
  <si>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</si>
  <si>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</si>
  <si>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</si>
  <si>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</si>
  <si>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</si>
  <si>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</si>
  <si>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</si>
  <si>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</si>
  <si>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</si>
  <si>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</si>
  <si>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</si>
  <si>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</si>
  <si>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</si>
  <si>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</si>
  <si>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</si>
  <si>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</si>
  <si>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</si>
  <si>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</si>
  <si>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</si>
  <si>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</si>
  <si>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</si>
  <si>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</si>
  <si>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</si>
  <si>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</si>
  <si>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</si>
  <si>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</si>
  <si>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</si>
  <si>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</si>
  <si>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</si>
  <si>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</si>
  <si>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</si>
  <si>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</si>
  <si>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</si>
  <si>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</si>
  <si>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</si>
  <si>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</si>
  <si>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</si>
  <si>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</si>
  <si>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</si>
  <si>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</si>
  <si>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</si>
  <si>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</si>
  <si>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</si>
  <si>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</si>
  <si>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</si>
  <si>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</si>
  <si>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</si>
  <si>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</si>
  <si>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</si>
  <si>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</si>
  <si>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</si>
  <si>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</si>
  <si>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</si>
  <si>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</si>
  <si>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</si>
  <si>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</si>
  <si>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</si>
  <si>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</si>
  <si>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</si>
  <si>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</si>
  <si>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</si>
  <si>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</si>
  <si>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</si>
  <si>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</si>
  <si>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</si>
  <si>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</si>
  <si>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</si>
  <si>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</si>
  <si>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</si>
  <si>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</si>
  <si>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</si>
  <si>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</si>
  <si>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</si>
  <si>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</si>
  <si>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</si>
  <si>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</si>
  <si>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</si>
  <si>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</si>
  <si>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</si>
  <si>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</si>
  <si>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</si>
  <si>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</si>
  <si>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</si>
  <si>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</si>
  <si>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</si>
  <si>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</si>
  <si>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</si>
  <si>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</si>
  <si>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</si>
  <si>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</si>
  <si>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</si>
  <si>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</si>
  <si>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</si>
  <si>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</si>
  <si>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</si>
  <si>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</si>
  <si>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</si>
  <si>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</si>
  <si>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</si>
  <si>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</si>
  <si>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</si>
  <si>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</si>
  <si>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</si>
  <si>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</si>
  <si>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</si>
  <si>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</si>
  <si>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</si>
  <si>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</si>
  <si>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</si>
  <si>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</si>
  <si>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</si>
  <si>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</si>
  <si>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</si>
  <si>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</si>
  <si>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</si>
  <si>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</si>
  <si>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</si>
  <si>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</si>
  <si>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</si>
  <si>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</si>
  <si>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</si>
  <si>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</si>
  <si>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</si>
  <si>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</si>
  <si>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</si>
  <si>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</si>
  <si>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</si>
  <si>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</si>
  <si>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</si>
  <si>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</si>
  <si>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</si>
  <si>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</si>
  <si>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</si>
  <si>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</si>
  <si>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</si>
  <si>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</si>
  <si>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</si>
  <si>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</si>
  <si>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</si>
  <si>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</si>
  <si>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</si>
  <si>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</si>
  <si>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</si>
  <si>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</si>
  <si>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</si>
  <si>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</si>
  <si>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</si>
  <si>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</si>
  <si>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</si>
  <si>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</si>
  <si>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</si>
  <si>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</si>
  <si>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</si>
  <si>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</si>
  <si>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</si>
  <si>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</si>
  <si>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</si>
  <si>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</si>
  <si>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</si>
  <si>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</si>
  <si>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</si>
  <si>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</si>
  <si>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</si>
  <si>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</si>
  <si>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</si>
  <si>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</si>
  <si>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</si>
  <si>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</si>
  <si>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</si>
  <si>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</si>
  <si>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</si>
  <si>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</si>
  <si>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</si>
  <si>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</si>
  <si>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</si>
  <si>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</si>
  <si>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</si>
  <si>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</si>
  <si>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</si>
  <si>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</si>
  <si>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</si>
  <si>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</si>
  <si>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</si>
  <si>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</si>
  <si>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</si>
  <si>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</si>
  <si>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</si>
  <si>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</si>
  <si>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</si>
  <si>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</si>
  <si>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</si>
  <si>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</si>
  <si>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</si>
  <si>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</si>
  <si>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</si>
  <si>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</si>
  <si>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</si>
  <si>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</si>
  <si>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</si>
  <si>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</si>
  <si>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</si>
  <si>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</si>
  <si>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</si>
  <si>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</si>
  <si>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</si>
  <si>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</si>
  <si>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</si>
  <si>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</si>
  <si>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</si>
  <si>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</si>
  <si>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</si>
  <si>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</si>
  <si>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</si>
  <si>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</si>
  <si>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</si>
  <si>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</si>
  <si>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</si>
  <si>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</si>
  <si>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</si>
  <si>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</si>
  <si>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</si>
  <si>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</si>
  <si>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</si>
  <si>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</si>
  <si>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</si>
  <si>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</si>
  <si>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</si>
  <si>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</si>
  <si>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</si>
  <si>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</si>
  <si>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</si>
  <si>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</si>
  <si>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</si>
  <si>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</si>
  <si>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</si>
  <si>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</si>
  <si>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</si>
  <si>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</si>
  <si>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</si>
  <si>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</si>
  <si>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</si>
  <si>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</si>
  <si>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</si>
  <si>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</si>
  <si>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</si>
  <si>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</si>
  <si>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</si>
  <si>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</si>
  <si>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</si>
  <si>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</si>
  <si>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</si>
  <si>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</si>
  <si>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</si>
  <si>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</si>
  <si>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</si>
  <si>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</si>
  <si>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</si>
  <si>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</si>
  <si>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</si>
  <si>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</si>
  <si>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</si>
  <si>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</si>
  <si>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</si>
  <si>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</si>
  <si>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</si>
  <si>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</si>
  <si>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</si>
  <si>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</si>
  <si>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</si>
  <si>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</si>
  <si>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</si>
  <si>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</si>
  <si>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</si>
  <si>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</si>
  <si>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</si>
  <si>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</si>
  <si>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</si>
  <si>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</si>
  <si>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</si>
  <si>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</si>
  <si>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</si>
  <si>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</si>
  <si>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</si>
  <si>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</si>
  <si>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</si>
  <si>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</si>
  <si>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</si>
  <si>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</si>
  <si>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</si>
  <si>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</si>
  <si>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</si>
  <si>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</si>
  <si>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</si>
  <si>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</si>
  <si>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</si>
  <si>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</si>
  <si>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</si>
  <si>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</si>
  <si>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</si>
  <si>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</si>
  <si>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</si>
  <si>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</si>
  <si>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</si>
  <si>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</si>
  <si>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</si>
  <si>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</si>
  <si>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</si>
  <si>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</si>
  <si>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</si>
  <si>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</si>
  <si>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</si>
  <si>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</si>
  <si>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</si>
  <si>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</si>
  <si>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</si>
  <si>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</si>
  <si>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</si>
  <si>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</si>
  <si>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</si>
  <si>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</si>
  <si>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</si>
  <si>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</si>
  <si>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</si>
  <si>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</si>
  <si>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</si>
  <si>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</si>
  <si>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</si>
  <si>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</si>
  <si>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</si>
  <si>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</si>
  <si>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</si>
  <si>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</si>
  <si>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</si>
  <si>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</si>
  <si>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</si>
  <si>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</si>
  <si>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</si>
  <si>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</si>
  <si>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</si>
  <si>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</si>
  <si>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</si>
  <si>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</si>
  <si>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</si>
  <si>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</si>
  <si>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</si>
  <si>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</si>
  <si>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</si>
  <si>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</si>
  <si>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</si>
  <si>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</si>
  <si>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</si>
  <si>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</si>
  <si>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</si>
  <si>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</si>
  <si>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</si>
  <si>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</si>
  <si>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</si>
  <si>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</si>
  <si>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</si>
  <si>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</si>
  <si>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</si>
  <si>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</si>
  <si>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</si>
  <si>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</si>
  <si>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</si>
  <si>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</si>
  <si>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</si>
  <si>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</si>
  <si>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</si>
  <si>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</si>
  <si>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</si>
  <si>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</si>
  <si>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</si>
  <si>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</si>
  <si>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</si>
  <si>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</si>
  <si>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</si>
  <si>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</si>
  <si>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</si>
  <si>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</si>
  <si>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</si>
  <si>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</si>
  <si>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</si>
  <si>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</si>
  <si>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</si>
  <si>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</si>
  <si>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</si>
  <si>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</si>
  <si>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</si>
  <si>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</si>
  <si>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</si>
  <si>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</si>
  <si>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</si>
  <si>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</si>
  <si>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</si>
  <si>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</si>
  <si>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</si>
  <si>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</si>
  <si>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</si>
  <si>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</si>
  <si>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</si>
  <si>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</si>
  <si>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</si>
  <si>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</si>
  <si>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</si>
  <si>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</si>
  <si>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</si>
  <si>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</si>
  <si>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</si>
  <si>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</si>
  <si>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</si>
  <si>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</si>
  <si>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</si>
  <si>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</si>
  <si>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</si>
  <si>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</si>
  <si>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</si>
  <si>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</si>
  <si>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</si>
  <si>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</si>
  <si>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</si>
  <si>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</si>
  <si>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</si>
  <si>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</si>
  <si>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</si>
  <si>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</si>
  <si>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</si>
  <si>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</si>
  <si>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</si>
  <si>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</si>
  <si>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</si>
  <si>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</si>
  <si>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</si>
  <si>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</si>
  <si>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</si>
  <si>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</si>
  <si>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</si>
  <si>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</si>
  <si>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</si>
  <si>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</si>
  <si>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</si>
  <si>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</si>
  <si>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</si>
  <si>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</si>
  <si>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</si>
  <si>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</si>
  <si>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</si>
  <si>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</si>
  <si>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</si>
  <si>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</si>
  <si>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</si>
  <si>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</si>
  <si>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</si>
  <si>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</si>
  <si>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</si>
  <si>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</si>
  <si>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</si>
  <si>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</si>
  <si>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</si>
  <si>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</si>
  <si>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</si>
  <si>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</si>
  <si>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</si>
  <si>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</si>
  <si>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</si>
  <si>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</si>
  <si>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</si>
  <si>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</si>
  <si>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</si>
  <si>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</si>
  <si>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</si>
  <si>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</si>
  <si>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</si>
  <si>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</si>
  <si>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</si>
  <si>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</si>
  <si>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</si>
  <si>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</si>
  <si>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</si>
  <si>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</si>
  <si>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</si>
  <si>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</si>
  <si>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</si>
  <si>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</si>
  <si>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</si>
  <si>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</si>
  <si>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</si>
  <si>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</si>
  <si>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</si>
  <si>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</si>
  <si>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</si>
  <si>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</si>
  <si>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</si>
  <si>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</si>
  <si>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</si>
  <si>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</si>
  <si>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</si>
  <si>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</si>
  <si>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</si>
  <si>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</si>
  <si>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</si>
  <si>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</si>
  <si>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</si>
  <si>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</si>
  <si>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</si>
  <si>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</si>
  <si>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</si>
  <si>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</si>
  <si>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</si>
  <si>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</si>
  <si>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</si>
  <si>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</si>
  <si>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</si>
  <si>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</si>
  <si>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</si>
  <si>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</si>
  <si>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</si>
  <si>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</si>
  <si>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</si>
  <si>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</si>
  <si>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</si>
  <si>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</si>
  <si>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</si>
  <si>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</si>
  <si>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</si>
  <si>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</si>
  <si>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</si>
  <si>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</si>
  <si>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</si>
  <si>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</si>
  <si>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</si>
  <si>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</si>
  <si>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</si>
  <si>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</si>
  <si>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</si>
  <si>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</si>
  <si>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</si>
  <si>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</si>
  <si>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</si>
  <si>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</si>
  <si>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</si>
  <si>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</si>
  <si>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</si>
  <si>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</si>
  <si>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</si>
  <si>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</si>
  <si>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</si>
  <si>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</si>
  <si>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</si>
  <si>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</si>
  <si>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</si>
  <si>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</si>
  <si>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</si>
  <si>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</si>
  <si>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</si>
  <si>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</si>
  <si>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</si>
  <si>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</si>
  <si>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</si>
  <si>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</si>
  <si>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</si>
  <si>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</si>
  <si>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</si>
  <si>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</si>
  <si>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</si>
  <si>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</si>
  <si>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</si>
  <si>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</si>
  <si>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</si>
  <si>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</si>
  <si>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</si>
  <si>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</si>
  <si>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</si>
  <si>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</si>
  <si>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</si>
  <si>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</si>
  <si>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</si>
  <si>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</si>
  <si>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</si>
  <si>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</si>
  <si>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</si>
  <si>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</si>
  <si>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</si>
  <si>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</si>
  <si>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</si>
  <si>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</si>
  <si>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</si>
  <si>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</si>
  <si>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</si>
  <si>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</si>
  <si>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</si>
  <si>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</si>
  <si>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</si>
  <si>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</si>
  <si>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</si>
  <si>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</si>
  <si>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</si>
  <si>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</si>
  <si>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</si>
  <si>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</si>
  <si>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</si>
  <si>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</si>
  <si>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</si>
  <si>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</si>
  <si>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</si>
  <si>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</si>
  <si>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</si>
  <si>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</si>
  <si>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</si>
  <si>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</si>
  <si>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</si>
  <si>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</si>
  <si>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</si>
  <si>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</si>
  <si>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</si>
  <si>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</si>
  <si>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</si>
  <si>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</si>
  <si>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</si>
  <si>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</si>
  <si>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</si>
  <si>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</si>
  <si>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</si>
  <si>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</si>
  <si>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</si>
  <si>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</si>
  <si>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</si>
  <si>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</si>
  <si>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</si>
  <si>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</si>
  <si>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</si>
  <si>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</si>
  <si>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</si>
  <si>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</si>
  <si>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</si>
  <si>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</si>
  <si>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</si>
  <si>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</si>
  <si>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</si>
  <si>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</si>
  <si>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</si>
  <si>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</si>
  <si>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</si>
  <si>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</si>
  <si>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</si>
  <si>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</si>
  <si>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</si>
  <si>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</si>
  <si>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</si>
  <si>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</si>
  <si>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</si>
  <si>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</si>
  <si>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</si>
  <si>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</si>
  <si>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</si>
  <si>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</si>
  <si>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</si>
  <si>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</si>
  <si>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</si>
  <si>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</si>
  <si>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</si>
  <si>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</si>
  <si>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</si>
  <si>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</si>
  <si>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</si>
  <si>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</si>
  <si>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</si>
  <si>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</si>
  <si>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</si>
  <si>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</si>
  <si>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</si>
  <si>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</si>
  <si>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</si>
  <si>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</si>
  <si>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</si>
  <si>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</si>
  <si>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</si>
  <si>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</si>
  <si>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</si>
  <si>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</si>
  <si>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</si>
  <si>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</si>
  <si>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</si>
  <si>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</si>
  <si>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</si>
  <si>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</si>
  <si>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</si>
  <si>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</si>
  <si>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</si>
  <si>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</si>
  <si>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</si>
  <si>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</si>
  <si>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</si>
  <si>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</si>
  <si>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</si>
  <si>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</si>
  <si>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</si>
  <si>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</si>
  <si>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</si>
  <si>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</si>
  <si>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</si>
  <si>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</si>
  <si>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</si>
  <si>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</si>
  <si>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</si>
  <si>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</si>
  <si>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</si>
  <si>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</si>
  <si>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</si>
  <si>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</si>
  <si>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</si>
  <si>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</si>
  <si>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</si>
  <si>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</si>
  <si>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</si>
  <si>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</si>
  <si>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</si>
  <si>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</si>
  <si>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</si>
  <si>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</si>
  <si>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</si>
  <si>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</si>
  <si>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</si>
  <si>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</si>
  <si>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</si>
  <si>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</si>
  <si>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</si>
  <si>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</si>
  <si>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</si>
  <si>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</si>
  <si>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</si>
  <si>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</si>
  <si>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</si>
  <si>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</si>
  <si>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</si>
  <si>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</si>
  <si>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</si>
  <si>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</si>
  <si>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</si>
  <si>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</si>
  <si>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</si>
  <si>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</si>
  <si>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</si>
  <si>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</si>
  <si>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</si>
  <si>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</si>
  <si>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</si>
  <si>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</si>
  <si>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</si>
  <si>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</si>
  <si>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</si>
  <si>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</si>
  <si>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</si>
  <si>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</si>
  <si>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</si>
  <si>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</si>
  <si>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</si>
  <si>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</si>
  <si>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</si>
  <si>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</si>
  <si>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</si>
  <si>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</si>
  <si>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</si>
  <si>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</si>
  <si>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</si>
  <si>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</si>
  <si>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</si>
  <si>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</si>
  <si>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</si>
  <si>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</si>
  <si>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</si>
  <si>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</si>
  <si>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</si>
  <si>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</si>
  <si>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</si>
  <si>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</si>
  <si>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</si>
  <si>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</si>
  <si>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</si>
  <si>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</si>
  <si>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</si>
  <si>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</si>
  <si>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</si>
  <si>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</si>
  <si>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</si>
  <si>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</si>
  <si>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</si>
  <si>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</si>
  <si>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</si>
  <si>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</si>
  <si>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</si>
  <si>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</si>
  <si>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</si>
  <si>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</si>
  <si>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</si>
  <si>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</si>
  <si>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</si>
  <si>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</si>
  <si>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</si>
  <si>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</si>
  <si>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</si>
  <si>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</si>
  <si>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</si>
  <si>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</si>
  <si>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</si>
  <si>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</si>
  <si>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</si>
  <si>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</si>
  <si>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</si>
  <si>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</si>
  <si>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</si>
  <si>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</si>
  <si>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</si>
  <si>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</si>
  <si>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</si>
  <si>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</si>
  <si>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</si>
  <si>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</si>
  <si>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</si>
  <si>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</si>
  <si>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</si>
  <si>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</si>
  <si>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</si>
  <si>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</si>
  <si>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</si>
  <si>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</si>
  <si>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</si>
  <si>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</si>
  <si>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</si>
  <si>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</si>
  <si>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</si>
  <si>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</si>
  <si>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</si>
  <si>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</si>
  <si>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</si>
  <si>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</si>
  <si>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</si>
  <si>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</si>
  <si>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</si>
  <si>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</si>
  <si>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</si>
  <si>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</si>
  <si>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</si>
  <si>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</si>
  <si>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</si>
  <si>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</si>
  <si>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</si>
  <si>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</si>
  <si>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</si>
  <si>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</si>
  <si>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</si>
  <si>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</si>
  <si>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</si>
  <si>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</si>
  <si>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</si>
  <si>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</si>
  <si>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</si>
  <si>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</si>
  <si>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</si>
  <si>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</si>
  <si>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</si>
  <si>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</si>
  <si>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</si>
  <si>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</si>
  <si>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</si>
  <si>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</si>
  <si>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</si>
  <si>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</si>
  <si>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</si>
  <si>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</si>
  <si>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</si>
  <si>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</si>
  <si>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</si>
  <si>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</si>
  <si>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</si>
  <si>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</si>
  <si>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</si>
  <si>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</si>
  <si>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</si>
  <si>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</si>
  <si>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</si>
  <si>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</si>
  <si>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</si>
  <si>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</si>
  <si>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</si>
  <si>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</si>
  <si>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</si>
  <si>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</si>
  <si>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</si>
  <si>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</si>
  <si>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</si>
  <si>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</si>
  <si>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</si>
  <si>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</si>
  <si>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</si>
  <si>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</si>
  <si>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</si>
  <si>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</si>
  <si>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</si>
  <si>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</si>
  <si>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</si>
  <si>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</si>
  <si>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</si>
  <si>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</si>
  <si>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</si>
  <si>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</si>
  <si>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</si>
  <si>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</si>
  <si>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</si>
  <si>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</si>
  <si>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</si>
  <si>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</si>
  <si>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</si>
  <si>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</si>
  <si>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</si>
  <si>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</si>
  <si>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</si>
  <si>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</si>
  <si>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</si>
  <si>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</si>
  <si>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</si>
  <si>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</si>
  <si>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</si>
  <si>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</si>
  <si>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</si>
  <si>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</si>
  <si>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</si>
  <si>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</si>
  <si>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</si>
  <si>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</si>
  <si>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</si>
  <si>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</si>
  <si>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</si>
  <si>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</si>
  <si>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</si>
  <si>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</si>
  <si>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</si>
  <si>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</si>
  <si>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</si>
  <si>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</si>
  <si>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</si>
  <si>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</si>
  <si>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</si>
  <si>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</si>
  <si>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</si>
  <si>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</si>
  <si>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</si>
  <si>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</si>
  <si>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</si>
  <si>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</si>
  <si>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</si>
  <si>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</si>
  <si>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</si>
  <si>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</si>
  <si>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</si>
  <si>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</si>
  <si>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</si>
  <si>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</si>
  <si>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</si>
  <si>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</si>
  <si>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</si>
  <si>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</si>
  <si>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</si>
  <si>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</si>
  <si>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</si>
  <si>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</si>
  <si>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</si>
  <si>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</si>
  <si>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</si>
  <si>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</si>
  <si>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</si>
  <si>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</si>
  <si>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</si>
  <si>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</si>
  <si>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</si>
  <si>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</si>
  <si>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</si>
  <si>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</si>
  <si>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</si>
  <si>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</si>
  <si>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</si>
  <si>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</si>
  <si>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</si>
  <si>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</si>
  <si>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</si>
  <si>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</si>
  <si>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</si>
  <si>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</si>
  <si>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</si>
  <si>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</si>
  <si>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</si>
  <si>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</si>
  <si>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</si>
  <si>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</si>
  <si>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</si>
  <si>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</si>
  <si>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</si>
  <si>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</si>
  <si>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</si>
  <si>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</si>
  <si>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</si>
  <si>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</si>
  <si>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</si>
  <si>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</si>
  <si>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</si>
  <si>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</si>
  <si>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</si>
  <si>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</si>
  <si>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</si>
  <si>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</si>
  <si>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</si>
  <si>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</si>
  <si>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</si>
  <si>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</si>
  <si>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</si>
  <si>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</si>
  <si>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</si>
  <si>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</si>
  <si>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</si>
  <si>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</si>
  <si>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</si>
  <si>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</si>
  <si>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</si>
  <si>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</si>
  <si>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</si>
  <si>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</si>
  <si>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</si>
  <si>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</si>
  <si>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</si>
  <si>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</si>
  <si>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</si>
  <si>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</si>
  <si>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</si>
  <si>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</si>
  <si>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</si>
  <si>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</si>
  <si>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</si>
  <si>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</si>
  <si>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</si>
  <si>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</si>
  <si>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</si>
  <si>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</si>
  <si>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</si>
  <si>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</si>
  <si>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</si>
  <si>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</si>
  <si>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</si>
  <si>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</si>
  <si>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</si>
  <si>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</si>
  <si>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</si>
  <si>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</si>
  <si>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</si>
  <si>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</si>
  <si>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</si>
  <si>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</si>
  <si>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</si>
  <si>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</si>
  <si>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</si>
  <si>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</si>
  <si>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</si>
  <si>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</si>
  <si>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</si>
  <si>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</si>
  <si>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</si>
  <si>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</si>
  <si>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</si>
  <si>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</si>
  <si>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</si>
  <si>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</si>
  <si>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</si>
  <si>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</si>
  <si>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</si>
  <si>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</si>
  <si>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</si>
  <si>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</si>
  <si>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</si>
  <si>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</si>
  <si>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</si>
  <si>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</si>
  <si>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</si>
  <si>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</si>
  <si>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</si>
  <si>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</si>
  <si>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</si>
  <si>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</si>
  <si>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</si>
  <si>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</si>
  <si>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</si>
  <si>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</si>
  <si>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</si>
  <si>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</si>
  <si>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</si>
  <si>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</si>
  <si>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</si>
  <si>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</si>
  <si>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</si>
  <si>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</si>
  <si>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</si>
  <si>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</si>
  <si>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</si>
  <si>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</si>
  <si>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</si>
  <si>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</si>
  <si>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</si>
  <si>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</si>
  <si>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</si>
  <si>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</si>
  <si>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</si>
  <si>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</si>
  <si>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</si>
  <si>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</si>
  <si>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</si>
  <si>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</si>
  <si>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</si>
  <si>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</si>
  <si>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</si>
  <si>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</si>
  <si>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</si>
  <si>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</si>
  <si>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</si>
  <si>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</si>
  <si>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</si>
  <si>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</si>
  <si>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</si>
  <si>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</si>
  <si>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</si>
  <si>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</si>
  <si>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</si>
  <si>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</si>
  <si>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</si>
  <si>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</si>
  <si>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</si>
  <si>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</si>
  <si>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</si>
  <si>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</si>
  <si>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</si>
  <si>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</si>
  <si>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</si>
  <si>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</si>
  <si>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</si>
  <si>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</si>
  <si>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</si>
  <si>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</si>
  <si>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</si>
  <si>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</si>
  <si>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</si>
  <si>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</si>
  <si>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</si>
  <si>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</si>
  <si>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</si>
  <si>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</si>
  <si>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</si>
  <si>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</si>
  <si>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</si>
  <si>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</si>
  <si>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</si>
  <si>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</si>
  <si>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</si>
  <si>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</si>
  <si>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</si>
  <si>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</si>
  <si>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</si>
  <si>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</si>
  <si>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</si>
  <si>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</si>
  <si>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</si>
  <si>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</si>
  <si>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</si>
  <si>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</si>
  <si>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</si>
  <si>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</si>
  <si>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</si>
  <si>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</si>
  <si>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</si>
  <si>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</si>
  <si>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</si>
  <si>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</si>
  <si>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</si>
  <si>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</si>
  <si>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</si>
  <si>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</si>
  <si>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</si>
  <si>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</si>
  <si>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</si>
  <si>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</si>
  <si>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</si>
  <si>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</si>
  <si>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</si>
  <si>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</si>
  <si>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</si>
  <si>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</si>
  <si>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</si>
  <si>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</si>
  <si>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</si>
  <si>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</si>
  <si>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</si>
  <si>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</si>
  <si>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</si>
  <si>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</si>
  <si>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</si>
  <si>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</si>
  <si>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</si>
  <si>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</si>
  <si>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</si>
  <si>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</si>
  <si>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</si>
  <si>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</si>
  <si>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</si>
  <si>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</si>
  <si>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</si>
  <si>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</si>
  <si>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</si>
  <si>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</si>
  <si>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</si>
  <si>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</si>
  <si>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</si>
  <si>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</si>
  <si>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</si>
  <si>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</si>
  <si>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</si>
  <si>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</si>
  <si>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</si>
  <si>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</si>
  <si>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</si>
  <si>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</si>
  <si>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</si>
  <si>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</si>
  <si>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</si>
  <si>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</si>
  <si>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</si>
  <si>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</si>
  <si>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</si>
  <si>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</si>
  <si>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</si>
  <si>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</si>
  <si>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</si>
  <si>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</si>
  <si>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</si>
  <si>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</si>
  <si>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</si>
  <si>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</si>
  <si>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</si>
  <si>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</si>
  <si>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</si>
  <si>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</si>
  <si>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</si>
  <si>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</si>
  <si>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</si>
  <si>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</si>
  <si>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</si>
  <si>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</si>
  <si>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</si>
  <si>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</si>
  <si>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</si>
  <si>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</si>
  <si>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</si>
  <si>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</si>
  <si>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</si>
  <si>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</si>
  <si>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</si>
  <si>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</si>
  <si>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</si>
  <si>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</si>
  <si>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</si>
  <si>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</si>
  <si>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</si>
  <si>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</si>
  <si>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</si>
  <si>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</si>
  <si>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</si>
  <si>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</si>
  <si>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</si>
  <si>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</si>
  <si>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</si>
  <si>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</si>
  <si>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</si>
  <si>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</si>
  <si>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</si>
  <si>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</si>
  <si>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</si>
  <si>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</si>
  <si>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</si>
  <si>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</si>
  <si>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</si>
  <si>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</si>
  <si>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</si>
  <si>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</si>
  <si>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</si>
  <si>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</si>
  <si>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</si>
  <si>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</si>
  <si>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</si>
  <si>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</si>
  <si>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</si>
  <si>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</si>
  <si>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</si>
  <si>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</si>
  <si>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</si>
  <si>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</si>
  <si>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</si>
  <si>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</si>
  <si>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</si>
  <si>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</si>
  <si>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</si>
  <si>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</si>
  <si>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</si>
  <si>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</si>
  <si>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</si>
  <si>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</si>
  <si>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</si>
  <si>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</si>
  <si>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</si>
  <si>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</si>
  <si>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</si>
  <si>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</si>
  <si>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</si>
  <si>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</si>
  <si>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</si>
  <si>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</si>
  <si>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</si>
  <si>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</si>
  <si>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</si>
  <si>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</si>
  <si>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</si>
  <si>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</si>
  <si>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</si>
  <si>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</si>
  <si>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</si>
  <si>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</si>
  <si>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</si>
  <si>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</si>
  <si>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</si>
  <si>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</si>
  <si>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</si>
  <si>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</si>
  <si>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</si>
  <si>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</si>
  <si>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</si>
  <si>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</si>
  <si>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</si>
  <si>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</si>
  <si>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</si>
  <si>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</si>
  <si>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</si>
  <si>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</si>
  <si>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</si>
  <si>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</si>
  <si>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</si>
  <si>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</si>
  <si>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</si>
  <si>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</si>
  <si>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</si>
  <si>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</si>
  <si>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</si>
  <si>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</si>
  <si>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</si>
  <si>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</si>
  <si>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</si>
  <si>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</si>
  <si>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</si>
  <si>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</si>
  <si>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</si>
  <si>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</si>
  <si>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</si>
  <si>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</si>
  <si>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</si>
  <si>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</si>
  <si>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</si>
  <si>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</si>
  <si>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</si>
  <si>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</si>
  <si>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</si>
  <si>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</si>
  <si>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</si>
  <si>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</si>
  <si>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</si>
  <si>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</si>
  <si>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</si>
  <si>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</si>
  <si>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</si>
  <si>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</si>
  <si>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</si>
  <si>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</si>
  <si>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</si>
  <si>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</si>
  <si>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</si>
  <si>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</si>
  <si>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</si>
  <si>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</si>
  <si>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</si>
  <si>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</si>
  <si>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</si>
  <si>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</si>
  <si>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</si>
  <si>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</si>
  <si>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</si>
  <si>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</si>
  <si>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</si>
  <si>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</si>
  <si>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</si>
  <si>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</si>
  <si>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</si>
  <si>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</si>
  <si>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</si>
  <si>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</si>
  <si>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</si>
  <si>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</si>
  <si>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</si>
  <si>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</si>
  <si>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</si>
  <si>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</si>
  <si>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</si>
  <si>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</si>
  <si>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</si>
  <si>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</si>
  <si>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</si>
  <si>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</si>
  <si>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</si>
  <si>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</si>
  <si>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</si>
  <si>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</si>
  <si>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</si>
  <si>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</si>
  <si>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</si>
  <si>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</si>
  <si>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</si>
  <si>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</si>
  <si>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</si>
  <si>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</si>
  <si>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</si>
  <si>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</si>
  <si>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</si>
  <si>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</si>
  <si>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</si>
  <si>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</si>
  <si>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</si>
  <si>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</si>
  <si>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</si>
  <si>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</si>
  <si>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</si>
  <si>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</si>
  <si>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</si>
  <si>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</si>
  <si>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</si>
  <si>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</si>
  <si>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</si>
  <si>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</si>
  <si>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</si>
  <si>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</si>
  <si>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</si>
  <si>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</si>
  <si>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</si>
  <si>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</si>
  <si>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</si>
  <si>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</si>
  <si>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</si>
  <si>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</si>
  <si>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</si>
  <si>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</si>
  <si>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</si>
  <si>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</si>
  <si>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</si>
  <si>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</si>
  <si>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</si>
  <si>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</si>
  <si>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</si>
  <si>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</si>
  <si>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</si>
  <si>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</si>
  <si>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</si>
  <si>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</si>
  <si>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</si>
  <si>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</si>
  <si>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</si>
  <si>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</si>
  <si>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</si>
  <si>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</si>
  <si>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</si>
  <si>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</si>
  <si>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</si>
  <si>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</si>
  <si>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</si>
  <si>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</si>
  <si>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</si>
  <si>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</si>
  <si>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</si>
  <si>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</si>
  <si>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</si>
  <si>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</si>
  <si>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</si>
  <si>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</si>
  <si>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</si>
  <si>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</si>
  <si>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</si>
  <si>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</si>
  <si>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</si>
  <si>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</si>
  <si>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</si>
  <si>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</si>
  <si>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</si>
  <si>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</si>
  <si>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</si>
  <si>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</si>
  <si>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</si>
  <si>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</si>
  <si>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</si>
  <si>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</si>
  <si>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</si>
  <si>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</si>
  <si>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</si>
  <si>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</si>
  <si>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</si>
  <si>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</si>
  <si>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</si>
  <si>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</si>
  <si>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</si>
  <si>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</si>
  <si>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</si>
  <si>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</si>
  <si>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</si>
  <si>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</si>
  <si>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</si>
  <si>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</si>
  <si>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</si>
  <si>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</si>
  <si>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</si>
  <si>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</si>
  <si>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</si>
  <si>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</si>
  <si>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</si>
  <si>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</si>
  <si>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</si>
  <si>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</si>
  <si>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</si>
  <si>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</si>
  <si>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</si>
  <si>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</si>
  <si>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</si>
  <si>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</si>
  <si>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</si>
  <si>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</si>
  <si>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</si>
  <si>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</si>
  <si>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</si>
  <si>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</si>
  <si>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</si>
  <si>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</si>
  <si>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</si>
  <si>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</si>
  <si>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</si>
  <si>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</si>
  <si>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</si>
  <si>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</si>
  <si>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</si>
  <si>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</si>
  <si>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</si>
  <si>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</si>
  <si>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</si>
  <si>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</si>
  <si>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</si>
  <si>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</si>
  <si>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</si>
  <si>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</si>
  <si>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</si>
  <si>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</si>
  <si>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</si>
  <si>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</si>
  <si>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</si>
  <si>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</si>
  <si>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</si>
  <si>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</si>
  <si>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</si>
  <si>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</si>
  <si>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</si>
  <si>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</si>
  <si>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</si>
  <si>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</si>
  <si>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</si>
  <si>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</si>
  <si>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</si>
  <si>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</si>
  <si>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</si>
  <si>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</si>
  <si>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</si>
  <si>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</si>
  <si>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</si>
  <si>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</si>
  <si>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</si>
  <si>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</si>
  <si>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</si>
  <si>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</si>
  <si>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</si>
  <si>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</si>
  <si>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</si>
  <si>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</si>
  <si>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</si>
  <si>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</si>
  <si>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</si>
  <si>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</si>
  <si>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</si>
  <si>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</si>
  <si>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</si>
  <si>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</si>
  <si>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</si>
  <si>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</si>
  <si>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</si>
  <si>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</si>
  <si>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</si>
  <si>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</si>
  <si>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</si>
  <si>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</si>
  <si>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</si>
  <si>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</si>
  <si>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</si>
  <si>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</si>
  <si>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</si>
  <si>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</si>
  <si>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</si>
  <si>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</si>
  <si>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</si>
  <si>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</si>
  <si>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</si>
  <si>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</si>
  <si>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</si>
  <si>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</si>
  <si>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</si>
  <si>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</si>
  <si>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</si>
  <si>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</si>
  <si>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</si>
  <si>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</si>
  <si>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</si>
  <si>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</si>
  <si>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</si>
  <si>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</si>
  <si>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</si>
  <si>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</si>
  <si>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</si>
  <si>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</si>
  <si>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</si>
  <si>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</si>
  <si>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</si>
  <si>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</si>
  <si>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</si>
  <si>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</si>
  <si>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</si>
  <si>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</si>
  <si>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</si>
  <si>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</si>
  <si>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</si>
  <si>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</si>
  <si>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</si>
  <si>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</si>
  <si>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</si>
  <si>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</si>
  <si>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</si>
  <si>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</si>
  <si>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</si>
  <si>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</si>
  <si>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</si>
  <si>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</si>
  <si>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</si>
  <si>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</si>
  <si>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</si>
  <si>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</si>
  <si>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</si>
  <si>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</si>
  <si>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</si>
  <si>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</si>
  <si>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</si>
  <si>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</si>
  <si>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</si>
  <si>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</si>
  <si>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</si>
  <si>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</si>
  <si>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</si>
  <si>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</si>
  <si>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</si>
  <si>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</si>
  <si>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</si>
  <si>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</si>
  <si>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</si>
  <si>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</si>
  <si>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</si>
  <si>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</si>
  <si>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</si>
  <si>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</si>
  <si>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</si>
  <si>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</si>
  <si>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</si>
  <si>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</si>
  <si>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</si>
  <si>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</si>
  <si>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</si>
  <si>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</si>
  <si>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</si>
  <si>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</si>
  <si>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</si>
  <si>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</si>
  <si>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</si>
  <si>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</si>
  <si>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</si>
  <si>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</si>
  <si>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</si>
  <si>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</si>
  <si>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</si>
  <si>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</si>
  <si>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</si>
  <si>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</si>
  <si>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</si>
  <si>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</si>
  <si>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</si>
  <si>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</si>
  <si>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</si>
  <si>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</si>
  <si>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</si>
  <si>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</si>
  <si>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</si>
  <si>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</si>
  <si>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</si>
  <si>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</si>
  <si>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</si>
  <si>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</si>
  <si>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</si>
  <si>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</si>
  <si>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</si>
  <si>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</si>
  <si>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</si>
  <si>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</si>
  <si>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</si>
  <si>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</si>
  <si>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</si>
  <si>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</si>
  <si>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</si>
  <si>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</si>
  <si>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</si>
  <si>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</si>
  <si>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</si>
  <si>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</si>
  <si>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</si>
  <si>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</si>
  <si>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</si>
  <si>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</si>
  <si>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</si>
  <si>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</si>
  <si>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</si>
  <si>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</si>
  <si>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</si>
  <si>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</si>
  <si>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</si>
  <si>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</si>
  <si>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</si>
  <si>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</si>
  <si>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</si>
  <si>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</si>
  <si>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</si>
  <si>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</si>
  <si>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</si>
  <si>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</si>
  <si>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</si>
  <si>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</si>
  <si>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</si>
  <si>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</si>
  <si>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</si>
  <si>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</si>
  <si>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</si>
  <si>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</si>
  <si>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</si>
  <si>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</si>
  <si>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</si>
  <si>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</si>
  <si>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</si>
  <si>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</si>
  <si>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</si>
  <si>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</si>
  <si>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</si>
  <si>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</si>
  <si>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</si>
  <si>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</si>
  <si>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</si>
  <si>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</si>
  <si>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</si>
  <si>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</si>
  <si>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</si>
  <si>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</si>
  <si>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</si>
  <si>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</si>
  <si>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</si>
  <si>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</si>
  <si>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</si>
  <si>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</si>
  <si>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</si>
  <si>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</si>
  <si>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</si>
  <si>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</si>
  <si>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</si>
  <si>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</si>
  <si>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</si>
  <si>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</si>
  <si>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</si>
  <si>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</si>
  <si>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</si>
  <si>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</si>
  <si>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</si>
  <si>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</si>
  <si>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</si>
  <si>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</si>
  <si>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</si>
  <si>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</si>
  <si>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</si>
  <si>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</si>
  <si>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</si>
  <si>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</si>
  <si>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</si>
  <si>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</si>
  <si>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</si>
  <si>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</si>
  <si>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</si>
  <si>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</si>
  <si>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</si>
  <si>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</si>
  <si>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</si>
  <si>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</si>
  <si>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</si>
  <si>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</si>
  <si>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</si>
  <si>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</si>
  <si>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</si>
  <si>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</si>
  <si>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</si>
  <si>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</si>
  <si>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</si>
  <si>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</si>
  <si>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</si>
  <si>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</si>
  <si>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</si>
  <si>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</si>
  <si>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</si>
  <si>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</si>
  <si>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</si>
  <si>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</si>
  <si>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</si>
  <si>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</si>
  <si>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</si>
  <si>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</si>
  <si>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</si>
  <si>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</si>
  <si>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</si>
  <si>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</si>
  <si>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</si>
  <si>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</si>
  <si>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</si>
  <si>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</si>
  <si>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</si>
  <si>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</si>
  <si>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</si>
  <si>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</si>
  <si>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</si>
  <si>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</si>
  <si>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</si>
  <si>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</si>
  <si>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</si>
  <si>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</si>
  <si>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</si>
  <si>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</si>
  <si>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</si>
  <si>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</si>
  <si>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</si>
  <si>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</si>
  <si>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</si>
  <si>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</si>
  <si>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</si>
  <si>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</si>
  <si>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</si>
  <si>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</si>
  <si>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</si>
  <si>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</si>
  <si>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</si>
  <si>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</si>
  <si>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</si>
  <si>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</si>
  <si>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</si>
  <si>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</si>
  <si>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</si>
  <si>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</si>
  <si>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</si>
  <si>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</si>
  <si>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</si>
  <si>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</si>
  <si>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</si>
  <si>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</si>
  <si>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</si>
  <si>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</si>
  <si>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</si>
  <si>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</si>
  <si>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</si>
  <si>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</si>
  <si>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</si>
  <si>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</si>
  <si>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</si>
  <si>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</si>
  <si>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</si>
  <si>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</si>
  <si>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</si>
  <si>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</si>
  <si>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</si>
  <si>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</si>
  <si>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</si>
  <si>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</si>
  <si>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</si>
  <si>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</si>
  <si>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</si>
  <si>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</si>
  <si>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</si>
  <si>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</si>
  <si>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</si>
  <si>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</si>
  <si>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</si>
  <si>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</si>
  <si>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</si>
  <si>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</si>
  <si>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</si>
  <si>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</si>
  <si>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</si>
  <si>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</si>
  <si>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</si>
  <si>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</si>
  <si>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</si>
  <si>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</si>
  <si>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</si>
  <si>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</si>
  <si>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</si>
  <si>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</si>
  <si>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</si>
  <si>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</si>
  <si>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</si>
  <si>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</si>
  <si>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</si>
  <si>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</si>
  <si>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</si>
  <si>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</si>
  <si>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</si>
  <si>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</si>
  <si>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</si>
  <si>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</si>
  <si>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</si>
  <si>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</si>
  <si>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</si>
  <si>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</si>
  <si>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</si>
  <si>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</si>
  <si>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</si>
  <si>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</si>
  <si>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</si>
  <si>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</si>
  <si>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</si>
  <si>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</si>
  <si>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</si>
  <si>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</si>
  <si>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</si>
  <si>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</si>
  <si>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</si>
  <si>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</si>
  <si>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</si>
  <si>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</si>
  <si>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</si>
  <si>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</si>
  <si>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</si>
  <si>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</si>
  <si>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</si>
  <si>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</si>
  <si>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</si>
  <si>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</si>
  <si>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</si>
  <si>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</si>
  <si>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</si>
  <si>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</si>
  <si>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</si>
  <si>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</si>
  <si>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</si>
  <si>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</si>
  <si>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</si>
  <si>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</si>
  <si>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</si>
  <si>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</si>
  <si>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</si>
  <si>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</si>
  <si>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</si>
  <si>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</si>
  <si>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</si>
  <si>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</si>
  <si>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</si>
  <si>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</si>
  <si>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</si>
  <si>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</si>
  <si>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</si>
  <si>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</si>
  <si>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</si>
  <si>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</si>
  <si>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</si>
  <si>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</si>
  <si>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</si>
  <si>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</si>
  <si>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</si>
  <si>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</si>
  <si>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</si>
  <si>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</si>
  <si>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</si>
  <si>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</si>
  <si>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</si>
  <si>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</si>
  <si>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</si>
  <si>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</si>
  <si>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</si>
  <si>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</si>
  <si>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</si>
  <si>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</si>
  <si>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</si>
  <si>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</si>
  <si>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</si>
  <si>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</si>
  <si>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</si>
  <si>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</si>
  <si>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</si>
  <si>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</si>
  <si>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</si>
  <si>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</si>
  <si>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</si>
  <si>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</si>
  <si>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</si>
  <si>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</si>
  <si>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</si>
  <si>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</si>
  <si>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</si>
  <si>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</si>
  <si>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</si>
  <si>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</si>
  <si>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</si>
  <si>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</si>
  <si>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</si>
  <si>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</si>
  <si>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</si>
  <si>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</si>
  <si>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</si>
  <si>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</si>
  <si>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</si>
  <si>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</si>
  <si>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</si>
  <si>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</si>
  <si>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</si>
  <si>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</si>
  <si>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</si>
  <si>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</si>
  <si>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</si>
  <si>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</si>
  <si>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</si>
  <si>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</si>
  <si>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</si>
  <si>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</si>
  <si>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</si>
  <si>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</si>
  <si>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</si>
  <si>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</si>
  <si>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</si>
  <si>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</si>
  <si>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</si>
  <si>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</si>
  <si>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</si>
  <si>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</si>
  <si>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</si>
  <si>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</si>
  <si>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</si>
  <si>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</si>
  <si>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</si>
  <si>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</si>
  <si>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</si>
  <si>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</si>
  <si>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</si>
  <si>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</si>
  <si>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</si>
  <si>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</si>
  <si>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</si>
  <si>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</si>
  <si>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</si>
  <si>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</si>
  <si>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</si>
  <si>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</si>
  <si>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</si>
  <si>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</si>
  <si>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</si>
  <si>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</si>
  <si>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</si>
  <si>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</si>
  <si>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</si>
  <si>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</si>
  <si>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</si>
  <si>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</si>
  <si>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</si>
  <si>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</si>
  <si>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</si>
  <si>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</si>
  <si>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</si>
  <si>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</si>
  <si>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</si>
  <si>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</si>
  <si>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</si>
  <si>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</si>
  <si>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</si>
  <si>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</si>
  <si>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</si>
  <si>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</si>
  <si>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</si>
  <si>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</si>
  <si>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</si>
  <si>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</si>
  <si>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</si>
  <si>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</si>
  <si>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</si>
  <si>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</si>
  <si>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</si>
  <si>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</si>
  <si>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</si>
  <si>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</si>
  <si>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</si>
  <si>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</si>
  <si>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</si>
  <si>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</si>
  <si>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</si>
  <si>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</si>
  <si>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</si>
  <si>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</si>
  <si>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</si>
  <si>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</si>
  <si>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</si>
  <si>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</si>
  <si>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</si>
  <si>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</si>
  <si>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</si>
  <si>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</si>
  <si>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</si>
  <si>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</si>
  <si>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</si>
  <si>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</si>
  <si>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</si>
  <si>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</si>
  <si>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</si>
  <si>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</si>
  <si>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</si>
  <si>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</si>
  <si>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</si>
  <si>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</si>
  <si>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</si>
  <si>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</si>
  <si>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</si>
  <si>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</si>
  <si>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</si>
  <si>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</si>
  <si>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</si>
  <si>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</si>
  <si>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</si>
  <si>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</si>
  <si>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</si>
  <si>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</si>
  <si>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</si>
  <si>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</si>
  <si>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</si>
  <si>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</si>
  <si>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</si>
  <si>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</si>
  <si>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</si>
  <si>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</si>
  <si>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</si>
  <si>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</si>
  <si>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</si>
  <si>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</si>
  <si>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</si>
  <si>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</si>
  <si>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</si>
  <si>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</si>
  <si>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</si>
  <si>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</si>
  <si>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</si>
  <si>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</si>
  <si>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</si>
  <si>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</si>
  <si>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</si>
  <si>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</si>
  <si>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</si>
  <si>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</si>
  <si>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</si>
  <si>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</si>
  <si>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</si>
  <si>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</si>
  <si>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</si>
  <si>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</si>
  <si>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</si>
  <si>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</si>
  <si>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</si>
  <si>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</si>
  <si>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</si>
  <si>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</si>
  <si>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</si>
  <si>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</si>
  <si>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</si>
  <si>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</si>
  <si>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</si>
  <si>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</si>
  <si>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</si>
  <si>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</si>
  <si>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</si>
  <si>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</si>
  <si>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</si>
  <si>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</si>
  <si>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</si>
  <si>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</si>
  <si>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</si>
  <si>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</si>
  <si>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</si>
  <si>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</si>
  <si>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</si>
  <si>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</si>
  <si>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</si>
  <si>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</si>
  <si>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</si>
  <si>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</si>
  <si>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</si>
  <si>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</si>
  <si>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</si>
  <si>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</si>
  <si>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</si>
  <si>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</si>
  <si>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</si>
  <si>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</si>
  <si>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</si>
  <si>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</si>
  <si>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</si>
  <si>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</si>
  <si>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</si>
  <si>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</si>
  <si>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</si>
  <si>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</si>
  <si>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</si>
  <si>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</si>
  <si>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</si>
  <si>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</si>
  <si>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</si>
  <si>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</si>
  <si>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</si>
  <si>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</si>
  <si>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</si>
  <si>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</si>
  <si>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</si>
  <si>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</si>
  <si>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</si>
  <si>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</si>
  <si>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</si>
  <si>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</si>
  <si>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</si>
  <si>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</si>
  <si>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</si>
  <si>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</si>
  <si>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</si>
  <si>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</si>
  <si>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</si>
  <si>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</si>
  <si>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</si>
  <si>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</si>
  <si>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</si>
  <si>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</si>
  <si>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</si>
  <si>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</si>
  <si>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</si>
  <si>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</si>
  <si>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</si>
  <si>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</si>
  <si>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</si>
  <si>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</si>
  <si>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</si>
  <si>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</si>
  <si>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</si>
  <si>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</si>
  <si>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</si>
  <si>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</si>
  <si>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</si>
  <si>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</si>
  <si>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</si>
  <si>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</si>
  <si>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</si>
  <si>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</si>
  <si>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</si>
  <si>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</si>
  <si>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Gthinker</t>
  </si>
  <si>
    <t>cu-QC</t>
  </si>
  <si>
    <t>Quick+</t>
  </si>
  <si>
    <t>DCFastQC</t>
  </si>
  <si>
    <t>ca-GrQc</t>
  </si>
  <si>
    <t>condmat-dimacs</t>
  </si>
  <si>
    <t>condmat</t>
  </si>
  <si>
    <t>facebook</t>
  </si>
  <si>
    <t>γ</t>
  </si>
  <si>
    <t>θ</t>
  </si>
  <si>
    <t>#MQC</t>
  </si>
  <si>
    <t xml:space="preserve">#{cu-QC} </t>
  </si>
  <si>
    <t>0, paper reported(4396)</t>
  </si>
  <si>
    <t>0, paper reported(200)</t>
  </si>
  <si>
    <t>0, paper reported (2)</t>
  </si>
  <si>
    <t>CPU+GPU</t>
  </si>
  <si>
    <t>No pingpong</t>
  </si>
  <si>
    <t>with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</si>
  <si>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</si>
  <si>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</si>
  <si>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</si>
  <si>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</si>
  <si>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</si>
  <si>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</si>
  <si>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</si>
  <si>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</si>
  <si>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</si>
  <si>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</si>
  <si>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</si>
  <si>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</si>
  <si>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</si>
  <si>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</si>
  <si>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</si>
  <si>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</si>
  <si>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</si>
  <si>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</si>
  <si>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</si>
  <si>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</si>
  <si>
    <t>hybrid</t>
  </si>
  <si>
    <t>expand mode GPU Only</t>
  </si>
  <si>
    <t>g2aimd</t>
  </si>
  <si>
    <t>Ca-GrQC</t>
  </si>
  <si>
    <t>CondMat</t>
  </si>
  <si>
    <t>Twitter</t>
  </si>
  <si>
    <t>Trec</t>
  </si>
  <si>
    <t>FullUSA</t>
  </si>
  <si>
    <t>UK2002</t>
  </si>
  <si>
    <t>Column7</t>
  </si>
  <si>
    <t>Column8</t>
  </si>
  <si>
    <t>k</t>
  </si>
  <si>
    <t>g</t>
  </si>
  <si>
    <t>Ca-GrQC-10-0.9</t>
  </si>
  <si>
    <t>Douban-12-0.9</t>
  </si>
  <si>
    <t>Flixster-35-0.96</t>
  </si>
  <si>
    <t>Hyves-23-0.9</t>
  </si>
  <si>
    <t>Twitter-6-0.9</t>
  </si>
  <si>
    <t>WordNet-14-0.9</t>
  </si>
  <si>
    <t>GPU</t>
  </si>
  <si>
    <t>Top level Tasks</t>
  </si>
  <si>
    <t>FastQC</t>
  </si>
  <si>
    <t>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</si>
</sst>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6" formatCode="#,##0.0"/>
  </numFmts>
  <fonts count="35"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b/>
      <sz val="16"/>
      <color theme="0"/>
      <name val="Aptos Narrow"/>
      <family val="2"/>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color rgb="FFC00000"/>
      <name val="Aptos Narrow"/>
      <family val="2"/>
      <scheme val="minor"/>
    </font>
    <font>
      <sz val="18"/>
      <name val="Aptos Narrow"/>
      <family val="2"/>
      <scheme val="minor"/>
    </font>
    <font>
      <sz val="14"/>
      <name val="Aptos Narrow"/>
      <family val="2"/>
      <scheme val="minor"/>
    </font>
    <font>
      <sz val="14"/>
      <color theme="0" tint="-0.249977111117893"/>
      <name val="Aptos Narrow"/>
      <scheme val="minor"/>
    </font>
    <font>
      <sz val="14"/>
      <color theme="0" tint="-0.249977111117893"/>
      <name val="Aptos Narrow"/>
      <family val="2"/>
      <scheme val="minor"/>
    </font>
    <font>
      <sz val="12"/>
      <color rgb="FFC00000"/>
      <name val="Aptos Narrow"/>
      <family val="2"/>
      <scheme val="minor"/>
    </font>
    <font>
      <sz val="16"/>
      <color theme="1"/>
      <name val="Monaco"/>
      <family val="2"/>
    </font>
    <font>
      <b/>
      <sz val="20"/>
      <color theme="1"/>
      <name val="Aptos Narrow"/>
      <family val="2"/>
      <scheme val="minor"/>
    </font>
    <font>
      <b/>
      <sz val="12"/>
      <color theme="1"/>
      <name val="Aptos Narrow"/>
      <family val="2"/>
      <scheme val="minor"/>
    </font>
    <font>
      <sz val="17"/>
      <name val="Monaco"/>
      <family val="2"/>
    </font>
    <font>
      <b/>
      <sz val="17"/>
      <name val="Monaco"/>
      <family val="2"/>
    </font>
  </fonts>
  <fills count="8">
    <fill>
      <patternFill patternType="none"/>
    </fill>
    <fill>
      <patternFill patternType="gray125"/>
    </fill>
    <fill>
      <patternFill patternType="solid">
        <fgColor theme="4"/>
        <bgColor theme="4"/>
      </patternFill>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s>
  <borders count="9">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thin">
        <color theme="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00">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20" fillId="0" borderId="0" xfId="0" applyFont="1"/>
    <xf numFmtId="164" fontId="4" fillId="0" borderId="0" xfId="0" applyNumberFormat="1" applyFont="1"/>
    <xf numFmtId="0" fontId="18" fillId="0" borderId="0" xfId="0" applyFont="1"/>
    <xf numFmtId="3" fontId="27" fillId="0" borderId="0" xfId="0" applyNumberFormat="1" applyFont="1"/>
    <xf numFmtId="0" fontId="27" fillId="0" borderId="0" xfId="0" applyFont="1"/>
    <xf numFmtId="164" fontId="22" fillId="0" borderId="0" xfId="0" applyNumberFormat="1" applyFont="1" applyAlignment="1">
      <alignment horizontal="center"/>
    </xf>
    <xf numFmtId="164" fontId="23" fillId="0" borderId="0" xfId="0" applyNumberFormat="1" applyFont="1" applyAlignment="1">
      <alignment horizontal="center"/>
    </xf>
    <xf numFmtId="164" fontId="21" fillId="0" borderId="0" xfId="0" applyNumberFormat="1" applyFont="1" applyAlignment="1">
      <alignment horizontal="center"/>
    </xf>
    <xf numFmtId="0" fontId="15" fillId="0" borderId="1" xfId="0" applyFont="1" applyBorder="1"/>
    <xf numFmtId="0" fontId="19" fillId="2" borderId="0" xfId="0" applyFont="1" applyFill="1"/>
    <xf numFmtId="3" fontId="15" fillId="0" borderId="4" xfId="0" applyNumberFormat="1" applyFont="1" applyBorder="1"/>
    <xf numFmtId="3" fontId="28" fillId="0" borderId="0" xfId="0" applyNumberFormat="1" applyFont="1"/>
    <xf numFmtId="0" fontId="28" fillId="0" borderId="0" xfId="0" applyFont="1"/>
    <xf numFmtId="164" fontId="25" fillId="0" borderId="0" xfId="0" applyNumberFormat="1" applyFont="1" applyAlignment="1">
      <alignment horizontal="center"/>
    </xf>
    <xf numFmtId="3" fontId="26" fillId="0" borderId="1" xfId="0" applyNumberFormat="1" applyFont="1" applyBorder="1"/>
    <xf numFmtId="165" fontId="9" fillId="0" borderId="0" xfId="1" applyNumberFormat="1" applyFont="1"/>
    <xf numFmtId="166" fontId="26" fillId="0" borderId="1" xfId="0" applyNumberFormat="1" applyFont="1" applyBorder="1"/>
    <xf numFmtId="166" fontId="25" fillId="0" borderId="1" xfId="0" applyNumberFormat="1" applyFont="1" applyBorder="1" applyAlignment="1">
      <alignment horizontal="center"/>
    </xf>
    <xf numFmtId="166" fontId="21" fillId="0" borderId="1" xfId="0" applyNumberFormat="1" applyFont="1" applyBorder="1" applyAlignment="1">
      <alignment horizontal="center"/>
    </xf>
    <xf numFmtId="4" fontId="26" fillId="0" borderId="1" xfId="0" applyNumberFormat="1" applyFont="1" applyBorder="1"/>
    <xf numFmtId="0" fontId="29" fillId="0" borderId="0" xfId="0" applyFont="1"/>
    <xf numFmtId="166" fontId="24" fillId="0" borderId="1" xfId="0" applyNumberFormat="1" applyFont="1" applyBorder="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1" fillId="0" borderId="0" xfId="0" applyNumberFormat="1" applyFont="1"/>
    <xf numFmtId="164" fontId="4" fillId="3" borderId="0" xfId="0" applyNumberFormat="1" applyFont="1" applyFill="1"/>
    <xf numFmtId="164" fontId="21" fillId="3" borderId="0" xfId="0" applyNumberFormat="1" applyFont="1" applyFill="1"/>
    <xf numFmtId="2" fontId="22" fillId="0" borderId="0" xfId="0" applyNumberFormat="1" applyFont="1"/>
    <xf numFmtId="2" fontId="23" fillId="0" borderId="0" xfId="0" applyNumberFormat="1" applyFont="1"/>
    <xf numFmtId="2" fontId="23" fillId="0" borderId="0" xfId="0" applyNumberFormat="1" applyFont="1" applyAlignment="1">
      <alignment vertical="center"/>
    </xf>
    <xf numFmtId="164" fontId="30" fillId="0" borderId="1" xfId="0" applyNumberFormat="1" applyFont="1" applyBorder="1"/>
    <xf numFmtId="0" fontId="30" fillId="0" borderId="0" xfId="0" applyFont="1"/>
    <xf numFmtId="0" fontId="30" fillId="4" borderId="0" xfId="0" applyFont="1" applyFill="1"/>
    <xf numFmtId="1" fontId="30" fillId="4" borderId="0" xfId="0" applyNumberFormat="1" applyFont="1" applyFill="1"/>
    <xf numFmtId="164" fontId="30" fillId="4" borderId="0" xfId="0" applyNumberFormat="1" applyFont="1" applyFill="1"/>
    <xf numFmtId="2" fontId="30" fillId="5" borderId="0" xfId="0" applyNumberFormat="1" applyFont="1" applyFill="1" applyAlignment="1">
      <alignment horizontal="center"/>
    </xf>
    <xf numFmtId="164" fontId="30" fillId="5" borderId="0" xfId="0" applyNumberFormat="1" applyFont="1" applyFill="1" applyAlignment="1">
      <alignment horizontal="center"/>
    </xf>
    <xf numFmtId="164" fontId="30" fillId="6" borderId="0" xfId="0" applyNumberFormat="1" applyFont="1" applyFill="1"/>
    <xf numFmtId="164" fontId="30" fillId="7" borderId="0" xfId="0" applyNumberFormat="1" applyFont="1" applyFill="1"/>
    <xf numFmtId="165" fontId="18" fillId="0" borderId="0" xfId="1" applyNumberFormat="1" applyFont="1" applyFill="1"/>
    <xf numFmtId="165" fontId="18" fillId="0" borderId="5" xfId="1" applyNumberFormat="1" applyFont="1" applyFill="1" applyBorder="1"/>
    <xf numFmtId="0" fontId="0" fillId="0" borderId="6" xfId="0" applyBorder="1"/>
    <xf numFmtId="164" fontId="21" fillId="3" borderId="6" xfId="0" applyNumberFormat="1" applyFont="1" applyFill="1" applyBorder="1"/>
    <xf numFmtId="164" fontId="21" fillId="0" borderId="6" xfId="0" applyNumberFormat="1" applyFont="1" applyBorder="1"/>
    <xf numFmtId="164" fontId="21" fillId="0" borderId="7" xfId="0" applyNumberFormat="1" applyFont="1" applyBorder="1"/>
    <xf numFmtId="165" fontId="31" fillId="0" borderId="5" xfId="1" applyNumberFormat="1" applyFont="1" applyFill="1" applyBorder="1"/>
    <xf numFmtId="0" fontId="18" fillId="0" borderId="0" xfId="0" applyFont="1" applyAlignment="1">
      <alignment vertical="center"/>
    </xf>
    <xf numFmtId="164" fontId="23" fillId="0" borderId="0" xfId="0" applyNumberFormat="1" applyFont="1"/>
    <xf numFmtId="164" fontId="22" fillId="0" borderId="0" xfId="0" applyNumberFormat="1" applyFont="1"/>
    <xf numFmtId="164" fontId="23" fillId="0" borderId="0" xfId="0" applyNumberFormat="1" applyFont="1" applyAlignment="1">
      <alignment vertical="center"/>
    </xf>
    <xf numFmtId="164" fontId="23" fillId="3" borderId="0" xfId="0" applyNumberFormat="1" applyFont="1" applyFill="1"/>
    <xf numFmtId="164" fontId="23" fillId="3" borderId="0" xfId="0" applyNumberFormat="1" applyFont="1" applyFill="1" applyAlignment="1">
      <alignment horizontal="center"/>
    </xf>
    <xf numFmtId="164" fontId="22" fillId="3" borderId="0" xfId="0" applyNumberFormat="1" applyFont="1" applyFill="1" applyAlignment="1">
      <alignment horizontal="center"/>
    </xf>
    <xf numFmtId="0" fontId="18" fillId="0" borderId="8" xfId="0" applyFont="1" applyBorder="1" applyAlignment="1">
      <alignment horizont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0" fontId="33" fillId="0" borderId="0" xfId="0" applyFont="1"/>
    <xf numFmtId="164" fontId="33" fillId="0" borderId="0" xfId="0" applyNumberFormat="1" applyFont="1"/>
    <xf numFmtId="0" fontId="32" fillId="0" borderId="0" xfId="0" applyFont="1"/>
    <xf numFmtId="0" fontId="34" fillId="0" borderId="0" xfId="0" applyFont="1"/>
    <xf numFmtId="0" fontId="4" fillId="0" borderId="0" xfId="0" applyFont="1"/>
  </cellXfs>
  <cellStyles count="2">
    <cellStyle name="Comma" xfId="1" builtinId="3"/>
    <cellStyle name="Normal" xfId="0" builtinId="0"/>
  </cellStyles>
  <dxfs count="98">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2"/>
        <color rgb="FFC00000"/>
        <name val="Aptos Narrow"/>
        <family val="2"/>
        <scheme val="minor"/>
      </font>
    </dxf>
    <dxf>
      <font>
        <b val="0"/>
        <i val="0"/>
        <strike val="0"/>
        <condense val="0"/>
        <extend val="0"/>
        <outline val="0"/>
        <shadow val="0"/>
        <u val="none"/>
        <vertAlign val="baseline"/>
        <sz val="18"/>
        <color rgb="FFC00000"/>
        <name val="Aptos Narrow"/>
        <family val="2"/>
        <scheme val="minor"/>
      </font>
      <numFmt numFmtId="166" formatCode="#,##0.0"/>
      <alignment horizontal="center" vertical="bottom" textRotation="0" wrapText="0" indent="0" justifyLastLine="0" shrinkToFit="0" readingOrder="0"/>
      <border diagonalUp="0" diagonalDown="0" outline="0">
        <left/>
        <right/>
        <top style="thin">
          <color theme="4"/>
        </top>
        <bottom/>
      </border>
    </dxf>
    <dxf>
      <font>
        <b val="0"/>
        <i val="0"/>
        <strike val="0"/>
        <condense val="0"/>
        <extend val="0"/>
        <outline val="0"/>
        <shadow val="0"/>
        <u val="none"/>
        <vertAlign val="baseline"/>
        <sz val="18"/>
        <color theme="1"/>
        <name val="Aptos Narrow"/>
        <family val="2"/>
        <scheme val="minor"/>
      </font>
      <numFmt numFmtId="166" formatCode="#,##0.0"/>
      <alignment horizontal="center" vertical="bottom" textRotation="0" wrapText="0" indent="0" justifyLastLine="0" shrinkToFit="0" readingOrder="0"/>
      <border diagonalUp="0" diagonalDown="0" outline="0">
        <left/>
        <right/>
        <top style="thin">
          <color theme="4"/>
        </top>
        <bottom/>
      </border>
    </dxf>
    <dxf>
      <font>
        <b val="0"/>
        <i val="0"/>
        <strike val="0"/>
        <condense val="0"/>
        <extend val="0"/>
        <outline val="0"/>
        <shadow val="0"/>
        <u val="none"/>
        <vertAlign val="baseline"/>
        <sz val="18"/>
        <color theme="1"/>
        <name val="Aptos Narrow"/>
        <family val="2"/>
        <scheme val="minor"/>
      </font>
      <numFmt numFmtId="166" formatCode="#,##0.0"/>
      <alignment horizontal="center" vertical="bottom" textRotation="0" wrapText="0" indent="0" justifyLastLine="0" shrinkToFit="0" readingOrder="0"/>
      <border diagonalUp="0" diagonalDown="0" outline="0">
        <left/>
        <right/>
        <top style="thin">
          <color theme="4"/>
        </top>
        <bottom/>
      </border>
    </dxf>
    <dxf>
      <font>
        <b val="0"/>
        <i val="0"/>
        <strike val="0"/>
        <condense val="0"/>
        <extend val="0"/>
        <outline val="0"/>
        <shadow val="0"/>
        <u val="none"/>
        <vertAlign val="baseline"/>
        <sz val="18"/>
        <color auto="1"/>
        <name val="Aptos Narrow"/>
        <family val="2"/>
        <scheme val="minor"/>
      </font>
      <numFmt numFmtId="166" formatCode="#,##0.0"/>
      <alignment horizontal="center" vertical="bottom" textRotation="0" wrapText="0" indent="0" justifyLastLine="0" shrinkToFit="0" readingOrder="0"/>
      <border diagonalUp="0" diagonalDown="0" outline="0">
        <left/>
        <right/>
        <top style="thin">
          <color theme="4"/>
        </top>
        <bottom/>
      </border>
    </dxf>
    <dxf>
      <font>
        <b val="0"/>
        <i val="0"/>
        <strike val="0"/>
        <condense val="0"/>
        <extend val="0"/>
        <outline val="0"/>
        <shadow val="0"/>
        <u val="none"/>
        <vertAlign val="baseline"/>
        <sz val="14"/>
        <color auto="1"/>
        <name val="Aptos Narrow"/>
        <family val="2"/>
        <scheme val="minor"/>
      </font>
      <numFmt numFmtId="3" formatCode="#,##0"/>
      <border diagonalUp="0" diagonalDown="0" outline="0">
        <left/>
        <right/>
        <top style="thin">
          <color theme="4"/>
        </top>
        <bottom/>
      </border>
    </dxf>
    <dxf>
      <font>
        <b val="0"/>
        <i val="0"/>
        <strike val="0"/>
        <condense val="0"/>
        <extend val="0"/>
        <outline val="0"/>
        <shadow val="0"/>
        <u val="none"/>
        <vertAlign val="baseline"/>
        <sz val="14"/>
        <color auto="1"/>
        <name val="Aptos Narrow"/>
        <family val="2"/>
        <scheme val="minor"/>
      </font>
      <numFmt numFmtId="166" formatCode="#,##0.0"/>
      <border diagonalUp="0" diagonalDown="0" outline="0">
        <left/>
        <right/>
        <top style="thin">
          <color theme="4"/>
        </top>
        <bottom/>
      </border>
    </dxf>
    <dxf>
      <font>
        <b val="0"/>
        <i val="0"/>
        <strike val="0"/>
        <condense val="0"/>
        <extend val="0"/>
        <outline val="0"/>
        <shadow val="0"/>
        <u val="none"/>
        <vertAlign val="baseline"/>
        <sz val="14"/>
        <color auto="1"/>
        <name val="Aptos Narrow"/>
        <family val="2"/>
        <scheme val="minor"/>
      </font>
      <numFmt numFmtId="3" formatCode="#,##0"/>
      <border diagonalUp="0" diagonalDown="0" outline="0">
        <left/>
        <right/>
        <top style="thin">
          <color theme="4"/>
        </top>
        <bottom/>
      </border>
    </dxf>
    <dxf>
      <font>
        <b val="0"/>
        <i val="0"/>
        <strike val="0"/>
        <condense val="0"/>
        <extend val="0"/>
        <outline val="0"/>
        <shadow val="0"/>
        <u val="none"/>
        <vertAlign val="baseline"/>
        <sz val="14"/>
        <color auto="1"/>
        <name val="Aptos Narrow"/>
        <family val="2"/>
        <scheme val="minor"/>
      </font>
      <numFmt numFmtId="3" formatCode="#,##0"/>
      <border diagonalUp="0" diagonalDown="0" outline="0">
        <left/>
        <right/>
        <top style="thin">
          <color theme="4"/>
        </top>
        <bottom/>
      </border>
    </dxf>
    <dxf>
      <font>
        <b val="0"/>
        <i val="0"/>
        <strike val="0"/>
        <condense val="0"/>
        <extend val="0"/>
        <outline val="0"/>
        <shadow val="0"/>
        <u val="none"/>
        <vertAlign val="baseline"/>
        <sz val="14"/>
        <color auto="1"/>
        <name val="Aptos Narrow"/>
        <family val="2"/>
        <scheme val="minor"/>
      </font>
      <numFmt numFmtId="165" formatCode="_(* #,##0_);_(* \(#,##0\);_(* &quot;-&quot;??_);_(@_)"/>
      <border diagonalUp="0" diagonalDown="0" outline="0">
        <left/>
        <right/>
        <top style="thin">
          <color theme="4"/>
        </top>
        <bottom/>
      </border>
    </dxf>
    <dxf>
      <font>
        <b val="0"/>
        <i val="0"/>
        <strike val="0"/>
        <condense val="0"/>
        <extend val="0"/>
        <outline val="0"/>
        <shadow val="0"/>
        <u val="none"/>
        <vertAlign val="baseline"/>
        <sz val="16"/>
        <color auto="1"/>
        <name val="Aptos Narrow"/>
        <family val="2"/>
        <scheme val="minor"/>
      </font>
      <border diagonalUp="0" diagonalDown="0" outline="0">
        <left/>
        <right/>
        <top style="thin">
          <color theme="4"/>
        </top>
        <bottom/>
      </border>
    </dxf>
    <dxf>
      <border outline="0">
        <left style="thin">
          <color theme="4"/>
        </left>
        <top style="thin">
          <color theme="4"/>
        </top>
        <bottom style="thin">
          <color theme="4"/>
        </bottom>
      </border>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 val="results_BK_SM_ol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14" dataDxfId="13">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12"/>
    <tableColumn id="2" xr3:uid="{4CA00932-10CB-7242-9605-49C2DA3903A7}" name="V" dataDxfId="11"/>
    <tableColumn id="3" xr3:uid="{21570761-C185-8A43-A5B5-40064CE0EB46}" name="E" dataDxfId="10"/>
    <tableColumn id="4" xr3:uid="{DE0EE7AB-FF9F-9444-A3CE-ED0CE1C6F973}" name="d_max" dataDxfId="9"/>
    <tableColumn id="5" xr3:uid="{E5AC7CCD-B087-B94F-B6E3-D6BB8C84612A}" name="#MC" dataDxfId="8"/>
    <tableColumn id="13" xr3:uid="{D63975A4-7A47-B14E-B1F3-45D05D7759C5}" name="k" dataDxfId="7"/>
    <tableColumn id="8" xr3:uid="{A05DC304-EB27-FB42-A647-BE3A4AC04A40}" name="g" dataDxfId="6"/>
    <tableColumn id="11" xr3:uid="{B6F311BE-FEB9-1E41-80C7-77BC3AE1CC38}" name="Column4" dataDxfId="5"/>
    <tableColumn id="12" xr3:uid="{5F3B423D-E39D-A54A-8E40-5B0FF4A51DB7}" name="Column5" dataDxfId="4"/>
    <tableColumn id="22" xr3:uid="{B28C92C6-3B5F-3D4F-AE63-FA7C5A773801}" name="Column6" dataDxfId="3"/>
    <tableColumn id="6" xr3:uid="{0808855D-658E-A045-8C1C-56022CE500C1}" name="Column7" dataDxfId="2"/>
    <tableColumn id="7" xr3:uid="{23D665A5-EE7E-5B4E-9964-48FA5C9F438F}" name="Column8" dataDxfId="1"/>
    <tableColumn id="9" xr3:uid="{1B24FDF3-D187-D64C-A634-DA395DE6E3A6}" name="Column3" dataDxfId="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82" dataDxfId="81">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tableColumns count="12">
    <tableColumn id="1" xr3:uid="{45FBE749-E1E4-164F-A352-F1B4961F1774}" name="dataset" dataDxfId="80"/>
    <tableColumn id="2" xr3:uid="{02357CAC-0BD3-9E4B-A9E0-917B12066564}" name="V" dataDxfId="79"/>
    <tableColumn id="3" xr3:uid="{5219B515-C0A3-4547-ACA9-47BBABAF72D3}" name="E" dataDxfId="78"/>
    <tableColumn id="4" xr3:uid="{2AE1DABE-8B06-1046-BCBE-1F40336F2F8D}" name="d_max" dataDxfId="77"/>
    <tableColumn id="5" xr3:uid="{C86C8D6B-3195-3F4F-96F4-F708FE6B00BC}" name="#MC" dataDxfId="76"/>
    <tableColumn id="13" xr3:uid="{509970CF-BF55-9444-B9C2-72DD611171C6}" name="G2AIMD" dataDxfId="75"/>
    <tableColumn id="8" xr3:uid="{C77600D2-A754-234A-9C56-EA9994B7275F}" name="CPU Only" dataDxfId="74"/>
    <tableColumn id="11" xr3:uid="{AC9D9F95-859B-354D-B20B-C85B8310D54A}" name="No pingpong" dataDxfId="73"/>
    <tableColumn id="6" xr3:uid="{00BE533A-C453-454B-956C-207F1D177DD9}" name="Column1" dataDxfId="72"/>
    <tableColumn id="7" xr3:uid="{DD735CFC-5929-E243-AB53-B4DFD67E3788}" name="CPU+GPU" dataDxfId="71"/>
    <tableColumn id="9" xr3:uid="{CD0D6AF1-B07D-174C-8489-ADE055FDC18D}" name="Column3" dataDxfId="70"/>
    <tableColumn id="10" xr3:uid="{83EA63C7-27BC-B04E-BFA6-C8ED05A7434C}" name="Column5" dataDxfId="69"/>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O65" totalsRowShown="0" headerRowDxfId="97" dataDxfId="96">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tableColumns count="13">
    <tableColumn id="1" xr3:uid="{DCD9EDEC-8AF2-E44B-9035-1BD484B62FE1}" name="dataset" dataDxfId="95"/>
    <tableColumn id="2" xr3:uid="{571D0713-F0AE-744B-82A9-0647E85B70E4}" name="V" dataDxfId="94"/>
    <tableColumn id="3" xr3:uid="{ABD0A75D-6045-B043-A337-828FF3957B09}" name="E" dataDxfId="93"/>
    <tableColumn id="4" xr3:uid="{EDC46D59-3A43-FB4C-A363-665D3D09EB05}" name="d_max" dataDxfId="92"/>
    <tableColumn id="5" xr3:uid="{551C0AA0-56D8-3A41-B323-883BB3F745E7}" name="#MC" dataDxfId="91"/>
    <tableColumn id="13" xr3:uid="{17828130-93AE-BE4F-B56D-398C6624F065}" name="G2AIMD" dataDxfId="90"/>
    <tableColumn id="8" xr3:uid="{D21CD819-32CC-D84C-A64E-F3C22D69ECB4}" name="Column2" dataDxfId="89"/>
    <tableColumn id="11" xr3:uid="{C7BED3EB-3028-664A-84CC-DEF09092CD49}" name="No pingpong" dataDxfId="88"/>
    <tableColumn id="12" xr3:uid="{1DC67553-F60B-924D-B26A-702DAE3E2FF5}" name="with pingpong" dataDxfId="87"/>
    <tableColumn id="22" xr3:uid="{27638D44-5B8B-8F45-8E46-FBF02105E8B2}" name="CPU Only" dataDxfId="86"/>
    <tableColumn id="6" xr3:uid="{0EF7B805-A81A-8940-BA19-BE4CF8ED9743}" name="CPU+GPU" dataDxfId="85"/>
    <tableColumn id="7" xr3:uid="{58648F8D-A95F-DF4D-B296-4FEA4170FC52}" name="Column4" dataDxfId="84"/>
    <tableColumn id="9" xr3:uid="{46255FCB-1EC0-D248-B678-F09A3FC1F276}" name="Column3" dataDxfId="83"/>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68" dataDxfId="67">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66"/>
    <tableColumn id="2" xr3:uid="{99F57411-E357-6146-AD2F-944EA3B99F22}" name="V" dataDxfId="65"/>
    <tableColumn id="3" xr3:uid="{5DA3F50F-6683-4740-8275-FC8B2AEBA335}" name="E" dataDxfId="64"/>
    <tableColumn id="4" xr3:uid="{927D83F2-F8F5-B542-B08E-3F1134B07F82}" name="d_max" dataDxfId="63"/>
    <tableColumn id="5" xr3:uid="{8E95BA4C-9028-0E4D-9185-262920783C20}" name="Column3" dataDxfId="62"/>
    <tableColumn id="13" xr3:uid="{318AFBDF-EF22-1E4A-85CD-495CB3CF3C71}" name="AIMD" dataDxfId="61"/>
    <tableColumn id="8" xr3:uid="{5C230B4E-7E1D-A645-B48D-91815A51AEE6}" name="Column4" dataDxfId="60"/>
    <tableColumn id="18" xr3:uid="{9C400945-3C78-F840-9780-8447CB0FA306}" name="Ours-One-warp" dataDxfId="59"/>
    <tableColumn id="21" xr3:uid="{D30286C1-C814-674F-AAC3-2D0BB6091E4C}" name="Ours" dataDxfId="58"/>
    <tableColumn id="9" xr3:uid="{165FB5C8-A66B-6B4F-855C-F795F8373EC6}" name="Column5" dataDxfId="57"/>
    <tableColumn id="10" xr3:uid="{BDEF5DE0-0613-924A-A15D-0D8027906427}" name="Imp. One Warp" dataDxfId="56">
      <calculatedColumnFormula>IFERROR(Table21232425[[#This Row],[AIMD]]/Table21232425[[#This Row],[Ours-One-warp]], "NONE")</calculatedColumnFormula>
    </tableColumn>
    <tableColumn id="11" xr3:uid="{F9DF35F2-8695-BF48-8954-6D40FC01ED76}" name="Impr. Ours" dataDxfId="55">
      <calculatedColumnFormula>IFERROR(Table21232425[[#This Row],[AIMD]]/Table21232425[[#This Row],[Ours]], "NONE")</calculatedColumnFormula>
    </tableColumn>
    <tableColumn id="12" xr3:uid="{757CB4BA-7334-0E43-BB3B-4096363E8DCD}" name="Column54" dataDxfId="54"/>
    <tableColumn id="22" xr3:uid="{BDD89152-D598-A741-AB88-00948177B5F5}" name="Column14" dataDxfId="53"/>
    <tableColumn id="6" xr3:uid="{552442CE-C2A8-A144-A063-3B1AE4C1A620}" name="P100" dataDxfId="52"/>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51" dataDxfId="50">
  <autoFilter ref="C5:N68" xr:uid="{C2D1855A-F6DE-F647-932C-7E457E008762}"/>
  <sortState xmlns:xlrd2="http://schemas.microsoft.com/office/spreadsheetml/2017/richdata2" ref="C6:N68">
    <sortCondition ref="E5:E68"/>
  </sortState>
  <tableColumns count="12">
    <tableColumn id="7" xr3:uid="{BF239966-238E-AA44-B939-6E5FDC5F71B0}" name="Column2" dataDxfId="49"/>
    <tableColumn id="1" xr3:uid="{07A3267A-F3CC-4549-8CF2-689C95F4D970}" name="Column1" dataDxfId="48"/>
    <tableColumn id="2" xr3:uid="{5888CD12-EF96-DC47-B986-D3BEE536C817}" name="V" dataDxfId="47"/>
    <tableColumn id="3" xr3:uid="{E88B6B80-2EC0-B643-8B7D-095946923F1D}" name="E" dataDxfId="46"/>
    <tableColumn id="4" xr3:uid="{87770781-C48A-7241-901E-9BB9E192477A}" name="d_max" dataDxfId="45"/>
    <tableColumn id="5" xr3:uid="{0F006EB6-C45E-2342-94F3-1EEE253AEDDF}" name="Column3" dataDxfId="44"/>
    <tableColumn id="6" xr3:uid="{45ACA3DD-1024-154B-99F8-E8731884AA56}" name="degen" dataDxfId="43"/>
    <tableColumn id="9" xr3:uid="{C8F5D7A0-26AC-5B4B-A5BF-ECBA904E8B5F}" name="L1+IP" dataDxfId="42"/>
    <tableColumn id="10" xr3:uid="{148621AF-82D1-754C-8A17-F205D10E7546}" name="L1+IPX" dataDxfId="41"/>
    <tableColumn id="11" xr3:uid="{CF2EDA69-7981-DA4B-BC59-275E2B7DD8FF}" name="L2+IP" dataDxfId="40"/>
    <tableColumn id="12" xr3:uid="{A44BD5E2-6546-F946-9DAB-F0E75D944E17}" name="L2+IPX" dataDxfId="39"/>
    <tableColumn id="13" xr3:uid="{41C9E2A0-948C-0449-9519-4FD1DD7303F3}" name="Column6" dataDxfId="38"/>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18BD8D-5E4D-9B4E-9BFF-CBC16BED084F}" name="Table4" displayName="Table4" ref="B4:L9" totalsRowShown="0" headerRowDxfId="37" tableBorderDxfId="36">
  <autoFilter ref="B4:L9" xr:uid="{3318BD8D-5E4D-9B4E-9BFF-CBC16BED084F}"/>
  <tableColumns count="11">
    <tableColumn id="1" xr3:uid="{007AD6FA-215F-6543-8746-48DA0C9535E7}" name="dataset" dataDxfId="35"/>
    <tableColumn id="2" xr3:uid="{18FBF7C2-B213-C94F-9742-532F49BBD3EE}" name="V" dataDxfId="34" dataCellStyle="Comma"/>
    <tableColumn id="3" xr3:uid="{A87185E6-2213-7043-B664-38182FBB79A6}" name="E" dataDxfId="33"/>
    <tableColumn id="4" xr3:uid="{B45AC6E1-DC9B-6444-9998-7A8C6ACBDC76}" name="θ" dataDxfId="32"/>
    <tableColumn id="10" xr3:uid="{6589C87B-4A6A-884E-ACEF-459E8ED53871}" name="γ" dataDxfId="31"/>
    <tableColumn id="5" xr3:uid="{8928CBBB-5EDA-5844-B255-38BA83A1F088}" name="#MQC" dataDxfId="30"/>
    <tableColumn id="6" xr3:uid="{C12EF85F-E847-9F42-94BF-B24CE1B4C6A7}" name="Gthinker" dataDxfId="29"/>
    <tableColumn id="9" xr3:uid="{66309C78-FF58-3E48-9189-49A546ED6BE6}" name="DCFastQC" dataDxfId="28"/>
    <tableColumn id="8" xr3:uid="{045293EF-DA35-0944-8224-7908B7823F7C}" name="Quick+" dataDxfId="27"/>
    <tableColumn id="7" xr3:uid="{FD5CDD2F-2D3B-4445-9DB9-62B967E91541}" name="cu-QC" dataDxfId="26"/>
    <tableColumn id="11" xr3:uid="{FE89EFF2-1135-3D4D-9E1C-A85E43F6C063}" name="#{cu-QC} " dataDxfId="25"/>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24" dataDxfId="23">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22"/>
    <tableColumn id="2" xr3:uid="{B6BA1FB8-7E1D-C042-AA80-EB33EEF07489}" name="Column2" dataDxfId="21"/>
    <tableColumn id="3" xr3:uid="{3D672021-12CF-7E44-B929-F19CA72D60EC}" name="Column3" dataDxfId="20"/>
    <tableColumn id="4" xr3:uid="{E67ACF71-76CE-354C-BC0B-A74B8388BAB6}" name="Column4" dataDxfId="19"/>
    <tableColumn id="5" xr3:uid="{7230C838-1B3B-0B48-95A0-052BC39D44C0}" name="Column5" dataDxfId="18"/>
    <tableColumn id="6" xr3:uid="{AE57CC59-63EA-7B49-A644-2CB81B9D0778}" name="Avg" dataDxfId="17">
      <calculatedColumnFormula>G2/F2</calculatedColumnFormula>
    </tableColumn>
    <tableColumn id="7" xr3:uid="{6EEE6663-215D-4A4B-BD28-E520BA613AB9}" name="DS" dataDxfId="16"/>
    <tableColumn id="8" xr3:uid="{B4275871-ABC6-FF4E-BBC0-2DFB27420938}" name="Column6" dataDxfId="15">
      <calculatedColumnFormula>"http://konect.cc/files/download.tsv."&amp;I2&amp;".tar.bz2"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A4"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57"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91"/>
      <c r="I4" s="91"/>
      <c r="J4" s="91"/>
      <c r="K4" s="91"/>
      <c r="L4" s="37"/>
      <c r="M4" s="84"/>
      <c r="N4" s="84"/>
    </row>
    <row r="5" spans="3:23" x14ac:dyDescent="0.3">
      <c r="C5" s="13" t="s">
        <v>25</v>
      </c>
      <c r="D5" s="12" t="s">
        <v>13</v>
      </c>
      <c r="E5" s="12" t="s">
        <v>14</v>
      </c>
      <c r="F5" s="12" t="s">
        <v>15</v>
      </c>
      <c r="G5" s="13" t="s">
        <v>3932</v>
      </c>
      <c r="H5" s="13" t="s">
        <v>3983</v>
      </c>
      <c r="I5" s="13" t="s">
        <v>3984</v>
      </c>
      <c r="J5" s="13" t="s">
        <v>22</v>
      </c>
      <c r="K5" s="13" t="s">
        <v>23</v>
      </c>
      <c r="L5" s="13" t="s">
        <v>24</v>
      </c>
      <c r="M5" s="58" t="s">
        <v>3981</v>
      </c>
      <c r="N5" s="13" t="s">
        <v>3982</v>
      </c>
      <c r="O5" s="12" t="s">
        <v>21</v>
      </c>
    </row>
    <row r="6" spans="3:23" hidden="1" x14ac:dyDescent="0.3">
      <c r="C6" s="9" t="s">
        <v>16</v>
      </c>
      <c r="D6" s="11">
        <v>13593032</v>
      </c>
      <c r="E6" s="11">
        <v>669183050</v>
      </c>
      <c r="F6" s="11">
        <v>1052326</v>
      </c>
      <c r="G6" s="10"/>
      <c r="H6" s="28"/>
      <c r="I6" s="28"/>
      <c r="J6" s="10"/>
      <c r="K6" s="10"/>
      <c r="L6" s="9"/>
      <c r="M6" s="59"/>
      <c r="N6" s="25"/>
      <c r="O6" s="25"/>
    </row>
    <row r="7" spans="3:23" hidden="1" x14ac:dyDescent="0.3">
      <c r="C7" s="9" t="s">
        <v>3901</v>
      </c>
      <c r="D7" s="11">
        <v>18483186</v>
      </c>
      <c r="E7" s="11">
        <v>523574516</v>
      </c>
      <c r="F7" s="11">
        <v>194955</v>
      </c>
      <c r="G7" s="10"/>
      <c r="H7" s="28"/>
      <c r="I7" s="28"/>
      <c r="J7" s="10"/>
      <c r="K7" s="10"/>
      <c r="L7" s="9"/>
      <c r="M7" s="59"/>
      <c r="N7" s="25"/>
      <c r="O7" s="25"/>
    </row>
    <row r="8" spans="3:23" hidden="1" x14ac:dyDescent="0.3">
      <c r="C8" s="11" t="s">
        <v>1460</v>
      </c>
      <c r="D8" s="11">
        <v>4512099</v>
      </c>
      <c r="E8" s="11">
        <v>163921732</v>
      </c>
      <c r="F8" s="11">
        <v>288044</v>
      </c>
      <c r="G8" s="10"/>
      <c r="H8" s="28"/>
      <c r="I8" s="28"/>
      <c r="J8" s="10"/>
      <c r="K8" s="10"/>
      <c r="L8" s="9"/>
      <c r="M8" s="59"/>
      <c r="N8" s="25"/>
      <c r="O8" s="25"/>
    </row>
    <row r="9" spans="3:23" hidden="1" x14ac:dyDescent="0.3">
      <c r="C9" s="9" t="s">
        <v>3900</v>
      </c>
      <c r="D9" s="11">
        <v>1069126</v>
      </c>
      <c r="E9" s="11">
        <v>112613306</v>
      </c>
      <c r="F9" s="11">
        <v>11467</v>
      </c>
      <c r="G9" s="10"/>
      <c r="H9" s="28"/>
      <c r="I9" s="28"/>
      <c r="J9" s="10"/>
      <c r="K9" s="10"/>
      <c r="L9" s="9"/>
      <c r="M9" s="59"/>
      <c r="N9" s="25"/>
      <c r="O9" s="25"/>
    </row>
    <row r="10" spans="3:23" hidden="1" x14ac:dyDescent="0.3">
      <c r="C10" s="9" t="s">
        <v>1427</v>
      </c>
      <c r="D10" s="11">
        <v>2105723</v>
      </c>
      <c r="E10" s="11">
        <v>100093818</v>
      </c>
      <c r="F10" s="11">
        <v>218818</v>
      </c>
      <c r="G10" s="10"/>
      <c r="H10" s="28"/>
      <c r="I10" s="28"/>
      <c r="J10" s="10"/>
      <c r="K10" s="10"/>
      <c r="L10" s="9"/>
      <c r="M10" s="59"/>
      <c r="N10" s="25"/>
      <c r="O10" s="25"/>
    </row>
    <row r="11" spans="3:23" hidden="1" x14ac:dyDescent="0.3">
      <c r="C11" s="11" t="s">
        <v>1424</v>
      </c>
      <c r="D11" s="11">
        <v>2302925</v>
      </c>
      <c r="E11" s="11">
        <v>45676552</v>
      </c>
      <c r="F11" s="11">
        <v>27937</v>
      </c>
      <c r="G11" s="10"/>
      <c r="H11" s="28"/>
      <c r="I11" s="28"/>
      <c r="J11" s="10"/>
      <c r="K11" s="10"/>
      <c r="L11" s="9"/>
      <c r="M11" s="59"/>
      <c r="N11" s="25"/>
      <c r="O11" s="25"/>
    </row>
    <row r="12" spans="3:23" hidden="1" x14ac:dyDescent="0.3">
      <c r="C12" s="11" t="s">
        <v>1465</v>
      </c>
      <c r="D12" s="11">
        <v>68349466</v>
      </c>
      <c r="E12" s="11">
        <v>3623698684</v>
      </c>
      <c r="F12" s="11">
        <v>5214</v>
      </c>
      <c r="G12" s="10"/>
      <c r="H12" s="28"/>
      <c r="I12" s="28"/>
      <c r="J12" s="10"/>
      <c r="K12" s="10"/>
      <c r="L12" s="9"/>
      <c r="M12" s="59"/>
      <c r="N12" s="25"/>
      <c r="O12" s="25"/>
    </row>
    <row r="13" spans="3:23" hidden="1" x14ac:dyDescent="0.3">
      <c r="C13" s="9" t="s">
        <v>3914</v>
      </c>
      <c r="D13" s="11">
        <v>147925593</v>
      </c>
      <c r="E13" s="11">
        <v>893533906</v>
      </c>
      <c r="F13" s="11">
        <v>308477</v>
      </c>
      <c r="G13" s="10"/>
      <c r="H13" s="28"/>
      <c r="I13" s="28"/>
      <c r="J13" s="10"/>
      <c r="K13" s="10"/>
      <c r="L13" s="9"/>
      <c r="M13" s="59"/>
      <c r="N13" s="25"/>
      <c r="O13" s="25"/>
    </row>
    <row r="14" spans="3:23" hidden="1" x14ac:dyDescent="0.3">
      <c r="C14" s="11" t="s">
        <v>1417</v>
      </c>
      <c r="D14" s="11">
        <v>5203763</v>
      </c>
      <c r="E14" s="11">
        <v>97419242</v>
      </c>
      <c r="F14" s="11">
        <v>15016</v>
      </c>
      <c r="G14" s="10"/>
      <c r="H14" s="28"/>
      <c r="I14" s="28"/>
      <c r="J14" s="10"/>
      <c r="K14" s="10"/>
      <c r="L14" s="9"/>
      <c r="M14" s="59"/>
      <c r="N14" s="25"/>
      <c r="O14" s="25"/>
    </row>
    <row r="15" spans="3:23" hidden="1" x14ac:dyDescent="0.3">
      <c r="C15" s="11" t="s">
        <v>1435</v>
      </c>
      <c r="D15" s="11">
        <v>4846609</v>
      </c>
      <c r="E15" s="11">
        <v>85702474</v>
      </c>
      <c r="F15" s="11">
        <v>20333</v>
      </c>
      <c r="G15" s="10"/>
      <c r="H15" s="28"/>
      <c r="I15" s="28"/>
      <c r="J15" s="10"/>
      <c r="K15" s="10"/>
      <c r="L15" s="9"/>
      <c r="M15" s="59"/>
      <c r="N15" s="25"/>
      <c r="O15" s="25"/>
    </row>
    <row r="16" spans="3:23" ht="24" x14ac:dyDescent="0.3">
      <c r="C16" s="22" t="s">
        <v>3912</v>
      </c>
      <c r="D16" s="38">
        <v>4033138</v>
      </c>
      <c r="E16" s="38">
        <v>55866126</v>
      </c>
      <c r="F16" s="38">
        <v>2651</v>
      </c>
      <c r="G16" s="39">
        <v>287</v>
      </c>
      <c r="H16" s="41">
        <v>215</v>
      </c>
      <c r="I16" s="40">
        <v>0.95</v>
      </c>
      <c r="J16" s="41"/>
      <c r="K16" s="90"/>
      <c r="L16" s="85"/>
      <c r="M16" s="85"/>
      <c r="N16" s="34"/>
      <c r="O16" s="34"/>
      <c r="S16" s="35"/>
      <c r="U16" s="2"/>
      <c r="W16" s="2"/>
    </row>
    <row r="17" spans="3:23" ht="24" x14ac:dyDescent="0.3">
      <c r="C17" s="22" t="s">
        <v>3919</v>
      </c>
      <c r="D17" s="38">
        <v>2937612</v>
      </c>
      <c r="E17" s="38">
        <v>41919708</v>
      </c>
      <c r="F17" s="38">
        <v>4356</v>
      </c>
      <c r="G17" s="39">
        <v>27593398</v>
      </c>
      <c r="H17" s="41"/>
      <c r="I17" s="40"/>
      <c r="J17" s="41"/>
      <c r="K17" s="90"/>
      <c r="L17" s="85"/>
      <c r="M17" s="85"/>
      <c r="N17" s="34"/>
      <c r="O17" s="34"/>
      <c r="S17" s="35"/>
      <c r="U17" s="2"/>
      <c r="W17" s="2"/>
    </row>
    <row r="18" spans="3:23" ht="24" x14ac:dyDescent="0.3">
      <c r="C18" s="22" t="s">
        <v>3920</v>
      </c>
      <c r="D18" s="38">
        <v>1632803</v>
      </c>
      <c r="E18" s="38">
        <v>44603928</v>
      </c>
      <c r="F18" s="38">
        <v>14854</v>
      </c>
      <c r="G18" s="39">
        <v>19376873</v>
      </c>
      <c r="H18" s="41"/>
      <c r="I18" s="40"/>
      <c r="J18" s="41"/>
      <c r="K18" s="90"/>
      <c r="L18" s="85"/>
      <c r="M18" s="85"/>
      <c r="N18" s="34"/>
      <c r="O18" s="34"/>
      <c r="S18" s="35"/>
      <c r="U18" s="2"/>
      <c r="W18" s="2"/>
    </row>
    <row r="19" spans="3:23" ht="24" x14ac:dyDescent="0.3">
      <c r="C19" s="11" t="s">
        <v>1462</v>
      </c>
      <c r="D19" s="38">
        <v>33778221</v>
      </c>
      <c r="E19" s="38">
        <v>203595714</v>
      </c>
      <c r="F19" s="38">
        <v>29319</v>
      </c>
      <c r="G19" s="39">
        <v>103359042</v>
      </c>
      <c r="H19" s="41"/>
      <c r="I19" s="40"/>
      <c r="J19" s="41"/>
      <c r="K19" s="90"/>
      <c r="L19" s="85"/>
      <c r="M19" s="85"/>
      <c r="N19" s="34"/>
      <c r="O19" s="34"/>
      <c r="S19" s="35"/>
      <c r="U19" s="2"/>
      <c r="W19" s="2"/>
    </row>
    <row r="20" spans="3:23" ht="24" x14ac:dyDescent="0.3">
      <c r="C20" s="11" t="s">
        <v>6</v>
      </c>
      <c r="D20" s="38">
        <v>3072441</v>
      </c>
      <c r="E20" s="38">
        <v>234369798</v>
      </c>
      <c r="F20" s="38">
        <v>33313</v>
      </c>
      <c r="G20" s="39">
        <v>2270456447</v>
      </c>
      <c r="H20" s="41"/>
      <c r="I20" s="40"/>
      <c r="J20" s="41"/>
      <c r="K20" s="41"/>
      <c r="L20" s="85"/>
      <c r="M20" s="88"/>
      <c r="N20" s="34"/>
      <c r="O20" s="34"/>
      <c r="S20" s="35"/>
      <c r="U20" s="2"/>
      <c r="W20" s="2"/>
    </row>
    <row r="21" spans="3:23" ht="24" x14ac:dyDescent="0.3">
      <c r="C21" s="11" t="s">
        <v>1346</v>
      </c>
      <c r="D21" s="38">
        <v>1696415</v>
      </c>
      <c r="E21" s="38">
        <v>22190596</v>
      </c>
      <c r="F21" s="38">
        <v>35455</v>
      </c>
      <c r="G21" s="39">
        <v>37322355</v>
      </c>
      <c r="H21" s="41"/>
      <c r="I21" s="40"/>
      <c r="J21" s="41"/>
      <c r="K21" s="90"/>
      <c r="L21" s="85"/>
      <c r="M21" s="85"/>
      <c r="N21" s="34"/>
      <c r="O21" s="34"/>
      <c r="S21" s="35"/>
      <c r="U21" s="2"/>
      <c r="W21" s="2"/>
    </row>
    <row r="22" spans="3:23" ht="24" x14ac:dyDescent="0.3">
      <c r="C22" s="11" t="s">
        <v>7</v>
      </c>
      <c r="D22" s="38">
        <v>2584164</v>
      </c>
      <c r="E22" s="38">
        <v>56367036</v>
      </c>
      <c r="F22" s="38">
        <v>44065</v>
      </c>
      <c r="G22" s="39">
        <v>918563917</v>
      </c>
      <c r="H22" s="41"/>
      <c r="I22" s="40"/>
      <c r="J22" s="41"/>
      <c r="K22" s="41"/>
      <c r="L22" s="85"/>
      <c r="M22" s="88"/>
      <c r="N22" s="34"/>
      <c r="O22" s="34"/>
      <c r="S22" s="35"/>
      <c r="U22" s="2"/>
      <c r="W22" s="2"/>
    </row>
    <row r="23" spans="3:23" ht="24" x14ac:dyDescent="0.3">
      <c r="C23" s="11" t="s">
        <v>4</v>
      </c>
      <c r="D23" s="38">
        <v>1203995</v>
      </c>
      <c r="E23" s="38">
        <v>40033816</v>
      </c>
      <c r="F23" s="38">
        <v>81090</v>
      </c>
      <c r="G23" s="39">
        <v>148294115</v>
      </c>
      <c r="H23" s="41"/>
      <c r="I23" s="40"/>
      <c r="J23" s="41"/>
      <c r="K23" s="89"/>
      <c r="L23" s="85"/>
      <c r="M23" s="85"/>
      <c r="N23" s="34"/>
      <c r="O23" s="34"/>
      <c r="S23" s="35"/>
      <c r="U23" s="2"/>
      <c r="W23" s="2"/>
    </row>
    <row r="24" spans="3:23" ht="24" x14ac:dyDescent="0.3">
      <c r="C24" s="9" t="s">
        <v>1371</v>
      </c>
      <c r="D24" s="38">
        <v>2140198</v>
      </c>
      <c r="E24" s="38">
        <v>34029892</v>
      </c>
      <c r="F24" s="38">
        <v>97848</v>
      </c>
      <c r="G24" s="39">
        <v>19365288</v>
      </c>
      <c r="H24" s="41"/>
      <c r="I24" s="40"/>
      <c r="J24" s="41"/>
      <c r="K24" s="90"/>
      <c r="L24" s="85"/>
      <c r="M24" s="85"/>
      <c r="N24" s="34"/>
      <c r="O24" s="34"/>
      <c r="S24" s="35"/>
      <c r="U24" s="2"/>
      <c r="W24" s="2"/>
    </row>
    <row r="25" spans="3:23" ht="24" x14ac:dyDescent="0.3">
      <c r="C25" s="9" t="s">
        <v>11</v>
      </c>
      <c r="D25" s="38">
        <v>2394385</v>
      </c>
      <c r="E25" s="38">
        <v>9319130</v>
      </c>
      <c r="F25" s="38">
        <v>100029</v>
      </c>
      <c r="G25" s="39">
        <v>86333306</v>
      </c>
      <c r="H25" s="41"/>
      <c r="I25" s="40"/>
      <c r="J25" s="41"/>
      <c r="K25" s="90"/>
      <c r="L25" s="85"/>
      <c r="M25" s="85"/>
      <c r="N25" s="34"/>
      <c r="O25" s="34"/>
      <c r="S25" s="35"/>
      <c r="U25" s="2"/>
      <c r="W25" s="2"/>
    </row>
    <row r="26" spans="3:23" ht="24" x14ac:dyDescent="0.3">
      <c r="C26" s="11" t="s">
        <v>3</v>
      </c>
      <c r="D26" s="38">
        <v>2212663</v>
      </c>
      <c r="E26" s="38">
        <v>58330960</v>
      </c>
      <c r="F26" s="38">
        <v>137021</v>
      </c>
      <c r="G26" s="39">
        <v>1569924556</v>
      </c>
      <c r="H26" s="41"/>
      <c r="I26" s="40"/>
      <c r="J26" s="41"/>
      <c r="K26" s="41"/>
      <c r="L26" s="85"/>
      <c r="M26" s="88"/>
      <c r="N26" s="34"/>
      <c r="O26" s="34"/>
      <c r="S26" s="35"/>
      <c r="U26" s="2"/>
      <c r="W26" s="2"/>
    </row>
    <row r="27" spans="3:23" ht="24" x14ac:dyDescent="0.3">
      <c r="C27" s="9" t="s">
        <v>1434</v>
      </c>
      <c r="D27" s="38">
        <v>7825669</v>
      </c>
      <c r="E27" s="38">
        <v>124492028</v>
      </c>
      <c r="F27" s="38">
        <v>204282</v>
      </c>
      <c r="G27" s="39">
        <v>74995873</v>
      </c>
      <c r="H27" s="89"/>
      <c r="I27" s="40"/>
      <c r="J27" s="41"/>
      <c r="K27" s="40"/>
      <c r="L27" s="85"/>
      <c r="M27" s="85"/>
      <c r="N27" s="34"/>
      <c r="O27" s="34"/>
      <c r="S27" s="35"/>
      <c r="U27" s="2"/>
      <c r="W27" s="2"/>
    </row>
    <row r="28" spans="3:23" ht="24" x14ac:dyDescent="0.3">
      <c r="C28" s="9" t="s">
        <v>3917</v>
      </c>
      <c r="D28" s="38">
        <v>1791489</v>
      </c>
      <c r="E28" s="38">
        <v>50888414</v>
      </c>
      <c r="F28" s="38">
        <v>238342</v>
      </c>
      <c r="G28" s="39">
        <v>27229873</v>
      </c>
      <c r="H28" s="41"/>
      <c r="I28" s="40"/>
      <c r="J28" s="41"/>
      <c r="K28" s="90"/>
      <c r="L28" s="85"/>
      <c r="M28" s="85"/>
      <c r="N28" s="34"/>
      <c r="O28" s="34"/>
      <c r="S28" s="35"/>
      <c r="U28" s="2"/>
      <c r="W28" s="2"/>
    </row>
    <row r="29" spans="3:23" ht="24" x14ac:dyDescent="0.3">
      <c r="C29" s="9" t="s">
        <v>1443</v>
      </c>
      <c r="D29" s="38">
        <v>3924218</v>
      </c>
      <c r="E29" s="38">
        <v>152878772</v>
      </c>
      <c r="F29" s="38">
        <v>254555</v>
      </c>
      <c r="G29" s="39">
        <v>36008128</v>
      </c>
      <c r="H29" s="41"/>
      <c r="I29" s="40"/>
      <c r="J29" s="41"/>
      <c r="K29" s="41"/>
      <c r="L29" s="86"/>
      <c r="M29" s="88"/>
      <c r="N29" s="34"/>
      <c r="O29" s="34"/>
      <c r="S29" s="35"/>
      <c r="U29" s="2"/>
      <c r="W29" s="2"/>
    </row>
    <row r="30" spans="3:23" ht="24" x14ac:dyDescent="0.3">
      <c r="C30" s="9" t="s">
        <v>1414</v>
      </c>
      <c r="D30" s="38">
        <v>3033373</v>
      </c>
      <c r="E30" s="38">
        <v>87691916</v>
      </c>
      <c r="F30" s="38">
        <v>275166</v>
      </c>
      <c r="G30" s="39">
        <v>118034566</v>
      </c>
      <c r="H30" s="41"/>
      <c r="I30" s="40"/>
      <c r="J30" s="41"/>
      <c r="K30" s="89"/>
      <c r="L30" s="85"/>
      <c r="M30" s="85"/>
      <c r="N30" s="34"/>
      <c r="O30" s="34"/>
      <c r="S30" s="35"/>
      <c r="U30" s="2"/>
      <c r="W30" s="2"/>
    </row>
    <row r="31" spans="3:23" ht="24" x14ac:dyDescent="0.3">
      <c r="C31" s="9" t="s">
        <v>3913</v>
      </c>
      <c r="D31" s="38">
        <v>58655849</v>
      </c>
      <c r="E31" s="38">
        <v>522642066</v>
      </c>
      <c r="F31" s="38">
        <v>278489</v>
      </c>
      <c r="G31" s="39">
        <v>1117416174</v>
      </c>
      <c r="H31" s="41"/>
      <c r="I31" s="40"/>
      <c r="J31" s="41"/>
      <c r="K31" s="41"/>
      <c r="L31" s="85"/>
      <c r="M31" s="88"/>
      <c r="N31" s="34"/>
      <c r="O31" s="34"/>
      <c r="S31" s="35"/>
      <c r="U31" s="2"/>
      <c r="W31" s="2"/>
    </row>
    <row r="32" spans="3:23" ht="24" x14ac:dyDescent="0.3">
      <c r="C32" s="9" t="s">
        <v>1442</v>
      </c>
      <c r="D32" s="38">
        <v>3370462</v>
      </c>
      <c r="E32" s="38">
        <v>143901836</v>
      </c>
      <c r="F32" s="38">
        <v>282591</v>
      </c>
      <c r="G32" s="39">
        <v>563203047</v>
      </c>
      <c r="H32" s="41"/>
      <c r="I32" s="40"/>
      <c r="J32" s="41"/>
      <c r="K32" s="41"/>
      <c r="L32" s="87"/>
      <c r="M32" s="88"/>
      <c r="N32" s="34"/>
      <c r="O32" s="34"/>
      <c r="S32" s="35"/>
      <c r="U32" s="2"/>
      <c r="W32" s="2"/>
    </row>
    <row r="33" spans="3:29" ht="24" x14ac:dyDescent="0.3">
      <c r="C33" s="9" t="s">
        <v>1445</v>
      </c>
      <c r="D33" s="38">
        <v>2148791</v>
      </c>
      <c r="E33" s="38">
        <v>155750262</v>
      </c>
      <c r="F33" s="38">
        <v>286585</v>
      </c>
      <c r="G33" s="39">
        <v>147929073</v>
      </c>
      <c r="H33" s="41"/>
      <c r="I33" s="40"/>
      <c r="J33" s="41"/>
      <c r="K33" s="41"/>
      <c r="L33" s="85"/>
      <c r="M33" s="88"/>
      <c r="N33" s="34"/>
      <c r="O33" s="34"/>
      <c r="S33" s="35"/>
      <c r="U33" s="2"/>
      <c r="W33" s="2"/>
    </row>
    <row r="34" spans="3:29" ht="24" x14ac:dyDescent="0.3">
      <c r="C34" s="9" t="s">
        <v>1402</v>
      </c>
      <c r="D34" s="38">
        <v>2132864</v>
      </c>
      <c r="E34" s="38">
        <v>17441248</v>
      </c>
      <c r="F34" s="38">
        <v>306136</v>
      </c>
      <c r="G34" s="39">
        <v>11329220</v>
      </c>
      <c r="H34" s="41"/>
      <c r="I34" s="40"/>
      <c r="J34" s="41"/>
      <c r="K34" s="90"/>
      <c r="L34" s="85"/>
      <c r="M34" s="85"/>
      <c r="N34" s="34"/>
      <c r="O34" s="34"/>
      <c r="S34" s="35"/>
      <c r="U34" s="2"/>
      <c r="W34" s="2"/>
    </row>
    <row r="35" spans="3:29" ht="24" x14ac:dyDescent="0.3">
      <c r="C35" s="11" t="s">
        <v>5</v>
      </c>
      <c r="D35" s="38">
        <v>8730857</v>
      </c>
      <c r="E35" s="38">
        <v>654072972</v>
      </c>
      <c r="F35" s="38">
        <v>318268</v>
      </c>
      <c r="G35" s="39">
        <v>417032363</v>
      </c>
      <c r="H35" s="41"/>
      <c r="I35" s="40"/>
      <c r="J35" s="41"/>
      <c r="K35" s="89"/>
      <c r="L35" s="85"/>
      <c r="M35" s="85"/>
      <c r="N35" s="34"/>
      <c r="O35" s="34"/>
      <c r="S35" s="35"/>
      <c r="U35" s="2"/>
      <c r="W35" s="2"/>
    </row>
    <row r="36" spans="3:29" ht="24" x14ac:dyDescent="0.3">
      <c r="C36" s="9" t="s">
        <v>1452</v>
      </c>
      <c r="D36" s="38">
        <v>3175009</v>
      </c>
      <c r="E36" s="38">
        <v>206621674</v>
      </c>
      <c r="F36" s="38">
        <v>369566</v>
      </c>
      <c r="G36" s="39">
        <v>67547002</v>
      </c>
      <c r="H36" s="40"/>
      <c r="I36" s="40"/>
      <c r="J36" s="41"/>
      <c r="K36" s="41"/>
      <c r="L36" s="86"/>
      <c r="M36" s="88"/>
      <c r="N36" s="34"/>
      <c r="O36" s="34"/>
      <c r="S36" s="35"/>
      <c r="U36" s="2"/>
      <c r="W36" s="2"/>
    </row>
    <row r="37" spans="3:29" ht="24" x14ac:dyDescent="0.3">
      <c r="C37" s="11" t="s">
        <v>1437</v>
      </c>
      <c r="D37" s="38">
        <v>2981204</v>
      </c>
      <c r="E37" s="38">
        <v>42832752</v>
      </c>
      <c r="F37" s="38">
        <v>385104</v>
      </c>
      <c r="G37" s="39">
        <v>35290880</v>
      </c>
      <c r="H37" s="41"/>
      <c r="I37" s="40"/>
      <c r="J37" s="41"/>
      <c r="K37" s="90"/>
      <c r="L37" s="85"/>
      <c r="M37" s="85"/>
      <c r="N37" s="34"/>
      <c r="O37" s="34"/>
      <c r="S37" s="35"/>
      <c r="U37" s="2"/>
      <c r="W37" s="2"/>
    </row>
    <row r="38" spans="3:29" ht="24" x14ac:dyDescent="0.3">
      <c r="C38" s="9" t="s">
        <v>1451</v>
      </c>
      <c r="D38" s="38">
        <v>3333397</v>
      </c>
      <c r="E38" s="38">
        <v>200923810</v>
      </c>
      <c r="F38" s="38">
        <v>399358</v>
      </c>
      <c r="G38" s="39">
        <v>1902943357</v>
      </c>
      <c r="H38" s="41"/>
      <c r="I38" s="40"/>
      <c r="J38" s="41"/>
      <c r="K38" s="41"/>
      <c r="L38" s="85"/>
      <c r="M38" s="88"/>
      <c r="N38" s="34"/>
      <c r="O38" s="34"/>
      <c r="S38" s="35"/>
      <c r="U38" s="2"/>
      <c r="W38" s="2"/>
    </row>
    <row r="39" spans="3:29" ht="24" x14ac:dyDescent="0.3">
      <c r="C39" s="9" t="s">
        <v>10</v>
      </c>
      <c r="D39" s="38">
        <v>3603726</v>
      </c>
      <c r="E39" s="38">
        <v>155093964</v>
      </c>
      <c r="F39" s="38">
        <v>434234</v>
      </c>
      <c r="G39" s="39">
        <v>1237624958</v>
      </c>
      <c r="H39" s="41"/>
      <c r="I39" s="40"/>
      <c r="J39" s="41"/>
      <c r="K39" s="41"/>
      <c r="L39" s="86"/>
      <c r="M39" s="88"/>
      <c r="N39" s="34"/>
      <c r="O39" s="34"/>
      <c r="S39" s="35"/>
      <c r="U39" s="2"/>
      <c r="W39" s="2"/>
      <c r="AA39" s="2"/>
      <c r="AC39" s="2"/>
    </row>
    <row r="40" spans="3:29" ht="24" x14ac:dyDescent="0.3">
      <c r="C40" s="11" t="s">
        <v>1448</v>
      </c>
      <c r="D40" s="38">
        <v>5267977</v>
      </c>
      <c r="E40" s="38">
        <v>55363430</v>
      </c>
      <c r="F40" s="38">
        <v>590528</v>
      </c>
      <c r="G40" s="39">
        <v>99655585</v>
      </c>
      <c r="H40" s="41"/>
      <c r="I40" s="40"/>
      <c r="J40" s="41"/>
      <c r="K40" s="90"/>
      <c r="L40" s="85"/>
      <c r="M40" s="85"/>
      <c r="N40" s="34"/>
      <c r="O40" s="34"/>
      <c r="S40" s="35"/>
      <c r="U40" s="2"/>
      <c r="W40" s="2"/>
      <c r="AA40" s="2"/>
      <c r="AC40" s="2"/>
    </row>
    <row r="41" spans="3:29" ht="24" x14ac:dyDescent="0.3">
      <c r="C41" s="11" t="s">
        <v>1</v>
      </c>
      <c r="D41" s="38">
        <v>18268991</v>
      </c>
      <c r="E41" s="38">
        <v>253780418</v>
      </c>
      <c r="F41" s="38">
        <v>612308</v>
      </c>
      <c r="G41" s="39">
        <v>240680701</v>
      </c>
      <c r="H41" s="41"/>
      <c r="I41" s="40"/>
      <c r="J41" s="41"/>
      <c r="K41" s="89"/>
      <c r="L41" s="85"/>
      <c r="M41" s="85"/>
      <c r="N41" s="34"/>
      <c r="O41" s="34"/>
      <c r="S41" s="35"/>
      <c r="U41" s="2"/>
      <c r="W41" s="2"/>
      <c r="AA41" s="2"/>
      <c r="AC41" s="2"/>
    </row>
    <row r="42" spans="3:29" ht="24" x14ac:dyDescent="0.3">
      <c r="C42" s="11" t="s">
        <v>2</v>
      </c>
      <c r="D42" s="38">
        <v>4382070</v>
      </c>
      <c r="E42" s="38">
        <v>38996662</v>
      </c>
      <c r="F42" s="38">
        <v>699764</v>
      </c>
      <c r="G42" s="39">
        <v>287608260</v>
      </c>
      <c r="H42" s="41"/>
      <c r="I42" s="40"/>
      <c r="J42" s="41"/>
      <c r="K42" s="89"/>
      <c r="L42" s="85"/>
      <c r="M42" s="85"/>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85"/>
      <c r="M43" s="88"/>
      <c r="N43" s="34"/>
      <c r="O43" s="34"/>
      <c r="S43" s="35"/>
      <c r="U43" s="2"/>
      <c r="W43" s="2"/>
      <c r="AA43" s="2"/>
      <c r="AC43" s="2"/>
    </row>
    <row r="44" spans="3:29" ht="24" x14ac:dyDescent="0.3">
      <c r="C44" s="11" t="s">
        <v>1433</v>
      </c>
      <c r="D44" s="38">
        <v>2646291</v>
      </c>
      <c r="E44" s="38">
        <v>42433496</v>
      </c>
      <c r="F44" s="38">
        <v>850681</v>
      </c>
      <c r="G44" s="39">
        <v>110149144</v>
      </c>
      <c r="H44" s="41"/>
      <c r="I44" s="40"/>
      <c r="J44" s="41"/>
      <c r="K44" s="90"/>
      <c r="L44" s="85"/>
      <c r="M44" s="85"/>
      <c r="N44" s="34"/>
      <c r="O44" s="34"/>
      <c r="S44" s="35"/>
      <c r="U44" s="2"/>
      <c r="W44" s="2"/>
      <c r="AA44" s="2"/>
      <c r="AC44" s="2"/>
    </row>
    <row r="45" spans="3:29" ht="24" x14ac:dyDescent="0.3">
      <c r="C45" s="11" t="s">
        <v>1436</v>
      </c>
      <c r="D45" s="38">
        <v>3790750</v>
      </c>
      <c r="E45" s="38">
        <v>44273578</v>
      </c>
      <c r="F45" s="38">
        <v>866662</v>
      </c>
      <c r="G45" s="39">
        <v>489911259</v>
      </c>
      <c r="H45" s="41"/>
      <c r="I45" s="40"/>
      <c r="J45" s="41"/>
      <c r="K45" s="89"/>
      <c r="L45" s="85"/>
      <c r="M45" s="85"/>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85"/>
      <c r="M46" s="88"/>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85"/>
      <c r="M47" s="88"/>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85"/>
      <c r="M48" s="88"/>
      <c r="N48" s="34"/>
      <c r="O48" s="34"/>
      <c r="S48" s="35"/>
      <c r="U48" s="2"/>
      <c r="W48" s="2"/>
      <c r="AA48" s="2"/>
      <c r="AC48" s="2"/>
    </row>
    <row r="49" spans="3:29" ht="24" x14ac:dyDescent="0.3">
      <c r="C49" s="11" t="s">
        <v>1447</v>
      </c>
      <c r="D49" s="38">
        <v>7489073</v>
      </c>
      <c r="E49" s="38">
        <v>224610814</v>
      </c>
      <c r="F49" s="38">
        <v>1053720</v>
      </c>
      <c r="G49" s="39">
        <v>148627058</v>
      </c>
      <c r="H49" s="41"/>
      <c r="I49" s="40"/>
      <c r="J49" s="41"/>
      <c r="K49" s="89"/>
      <c r="L49" s="85"/>
      <c r="M49" s="85"/>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90"/>
      <c r="L50" s="85"/>
      <c r="M50" s="85"/>
      <c r="N50" s="34"/>
      <c r="O50" s="34"/>
      <c r="S50" s="35"/>
      <c r="U50" s="2"/>
      <c r="W50" s="2"/>
      <c r="AA50" s="2"/>
      <c r="AC50" s="2"/>
    </row>
    <row r="51" spans="3:29" ht="24" x14ac:dyDescent="0.3">
      <c r="C51" s="11" t="s">
        <v>1449</v>
      </c>
      <c r="D51" s="38">
        <v>4799646</v>
      </c>
      <c r="E51" s="38">
        <v>63844012</v>
      </c>
      <c r="F51" s="38">
        <v>1076572</v>
      </c>
      <c r="G51" s="39">
        <v>157475935</v>
      </c>
      <c r="H51" s="41"/>
      <c r="I51" s="40"/>
      <c r="J51" s="41"/>
      <c r="K51" s="89"/>
      <c r="L51" s="85"/>
      <c r="M51" s="85"/>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85"/>
      <c r="M52" s="88"/>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85"/>
      <c r="M53" s="88"/>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86"/>
      <c r="M54" s="88"/>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88"/>
      <c r="M55" s="85"/>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85"/>
      <c r="M56" s="88"/>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88"/>
      <c r="M57" s="85"/>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85"/>
      <c r="M58" s="88"/>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85"/>
      <c r="M59" s="88"/>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85"/>
      <c r="M60" s="88"/>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85"/>
      <c r="M61" s="88"/>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85"/>
      <c r="M62" s="88"/>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85"/>
      <c r="M63" s="88"/>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85"/>
      <c r="M64" s="88"/>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88"/>
      <c r="M65" s="85"/>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4:DN136"/>
  <sheetViews>
    <sheetView topLeftCell="AC1" zoomScale="89" workbookViewId="0">
      <selection activeCell="AC4" sqref="AC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57"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4" spans="3:110" ht="28" thickBot="1" x14ac:dyDescent="0.4">
      <c r="H4" s="37"/>
      <c r="I4" s="92"/>
      <c r="J4" s="92"/>
      <c r="K4" s="93"/>
      <c r="L4" s="93"/>
      <c r="Q4" s="37" t="s">
        <v>3953</v>
      </c>
      <c r="R4" s="37"/>
      <c r="S4" s="37"/>
      <c r="T4" s="37" t="s">
        <v>3954</v>
      </c>
      <c r="U4" s="37"/>
      <c r="V4" s="37"/>
      <c r="W4" s="37"/>
      <c r="X4" s="37"/>
      <c r="Y4" s="37"/>
      <c r="Z4" s="37"/>
      <c r="AA4" s="37"/>
      <c r="AB4" s="37" t="s">
        <v>3955</v>
      </c>
      <c r="AC4" s="37"/>
      <c r="AD4" s="37"/>
      <c r="AE4" s="37"/>
      <c r="AF4" s="37"/>
      <c r="AG4" s="37"/>
      <c r="AH4" s="37"/>
      <c r="AI4" s="37"/>
      <c r="AJ4" s="37" t="s">
        <v>3956</v>
      </c>
      <c r="AK4" s="37"/>
      <c r="AM4" s="37"/>
      <c r="BZ4">
        <v>1</v>
      </c>
      <c r="CF4">
        <v>10</v>
      </c>
      <c r="CL4">
        <v>100</v>
      </c>
      <c r="CR4">
        <v>200</v>
      </c>
      <c r="CX4">
        <v>500</v>
      </c>
      <c r="DD4">
        <v>1000</v>
      </c>
    </row>
    <row r="5" spans="3:110" ht="27" x14ac:dyDescent="0.35">
      <c r="C5" s="13" t="s">
        <v>25</v>
      </c>
      <c r="D5" s="12" t="s">
        <v>13</v>
      </c>
      <c r="E5" s="12" t="s">
        <v>14</v>
      </c>
      <c r="F5" s="12" t="s">
        <v>15</v>
      </c>
      <c r="G5" s="13" t="s">
        <v>3932</v>
      </c>
      <c r="H5" s="13" t="s">
        <v>3930</v>
      </c>
      <c r="I5" s="13" t="s">
        <v>3929</v>
      </c>
      <c r="J5" s="13" t="s">
        <v>3950</v>
      </c>
      <c r="K5" s="58" t="s">
        <v>19</v>
      </c>
      <c r="L5" s="83" t="s">
        <v>3949</v>
      </c>
      <c r="M5" s="13" t="s">
        <v>21</v>
      </c>
      <c r="N5" s="13" t="s">
        <v>23</v>
      </c>
      <c r="P5" s="37"/>
      <c r="Q5" s="37" t="s">
        <v>3953</v>
      </c>
      <c r="R5" s="37">
        <v>1</v>
      </c>
      <c r="S5" s="37">
        <v>10</v>
      </c>
      <c r="T5" s="37">
        <v>100</v>
      </c>
      <c r="U5" s="37">
        <v>200</v>
      </c>
      <c r="V5" s="37">
        <v>500</v>
      </c>
      <c r="W5" s="37">
        <v>1000</v>
      </c>
      <c r="X5" s="37"/>
      <c r="Y5" s="37" t="s">
        <v>3971</v>
      </c>
      <c r="Z5" s="37">
        <v>1</v>
      </c>
      <c r="AA5" s="37">
        <v>10</v>
      </c>
      <c r="AB5" s="37">
        <v>100</v>
      </c>
      <c r="AC5" s="37">
        <v>500</v>
      </c>
      <c r="AD5" s="37">
        <v>1000</v>
      </c>
      <c r="AE5" s="37">
        <v>10000</v>
      </c>
      <c r="AF5" s="37"/>
      <c r="AG5" s="37" t="s">
        <v>3957</v>
      </c>
      <c r="AH5" s="77">
        <v>1000</v>
      </c>
      <c r="AI5" s="77">
        <v>5000</v>
      </c>
      <c r="AJ5" s="77">
        <v>10000</v>
      </c>
      <c r="AK5" s="78">
        <v>100000</v>
      </c>
      <c r="AL5" s="77">
        <v>500000</v>
      </c>
      <c r="AM5" s="77">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59"/>
      <c r="L6" s="79"/>
      <c r="M6" s="25"/>
      <c r="N6" s="25"/>
      <c r="AK6" s="79"/>
    </row>
    <row r="7" spans="3:110" ht="22" hidden="1" customHeight="1" x14ac:dyDescent="0.3">
      <c r="C7" s="9" t="s">
        <v>3901</v>
      </c>
      <c r="D7" s="11">
        <v>18483186</v>
      </c>
      <c r="E7" s="11">
        <v>523574516</v>
      </c>
      <c r="F7" s="11">
        <v>194955</v>
      </c>
      <c r="G7" s="10"/>
      <c r="H7" s="28" t="s">
        <v>3902</v>
      </c>
      <c r="I7" s="28"/>
      <c r="J7" s="10"/>
      <c r="K7" s="59"/>
      <c r="L7" s="79"/>
      <c r="M7" s="25"/>
      <c r="N7" s="25"/>
      <c r="AK7" s="79"/>
    </row>
    <row r="8" spans="3:110" ht="22" hidden="1" customHeight="1" x14ac:dyDescent="0.3">
      <c r="C8" s="11" t="s">
        <v>1460</v>
      </c>
      <c r="D8" s="11">
        <v>4512099</v>
      </c>
      <c r="E8" s="11">
        <v>163921732</v>
      </c>
      <c r="F8" s="11">
        <v>288044</v>
      </c>
      <c r="G8" s="10"/>
      <c r="H8" s="28" t="s">
        <v>3902</v>
      </c>
      <c r="I8" s="28"/>
      <c r="J8" s="10"/>
      <c r="K8" s="59"/>
      <c r="L8" s="79"/>
      <c r="M8" s="25"/>
      <c r="N8" s="25"/>
      <c r="AK8" s="79"/>
    </row>
    <row r="9" spans="3:110" ht="22" hidden="1" customHeight="1" x14ac:dyDescent="0.3">
      <c r="C9" s="9" t="s">
        <v>3900</v>
      </c>
      <c r="D9" s="11">
        <v>1069126</v>
      </c>
      <c r="E9" s="11">
        <v>112613306</v>
      </c>
      <c r="F9" s="11">
        <v>11467</v>
      </c>
      <c r="G9" s="10"/>
      <c r="H9" s="28" t="s">
        <v>3902</v>
      </c>
      <c r="I9" s="28"/>
      <c r="J9" s="10"/>
      <c r="K9" s="59"/>
      <c r="L9" s="79"/>
      <c r="M9" s="25"/>
      <c r="N9" s="25"/>
      <c r="AK9" s="79"/>
    </row>
    <row r="10" spans="3:110" ht="22" hidden="1" customHeight="1" x14ac:dyDescent="0.3">
      <c r="C10" s="9" t="s">
        <v>1427</v>
      </c>
      <c r="D10" s="11">
        <v>2105723</v>
      </c>
      <c r="E10" s="11">
        <v>100093818</v>
      </c>
      <c r="F10" s="11">
        <v>218818</v>
      </c>
      <c r="G10" s="10"/>
      <c r="H10" s="28" t="s">
        <v>3902</v>
      </c>
      <c r="I10" s="28"/>
      <c r="J10" s="10"/>
      <c r="K10" s="59"/>
      <c r="L10" s="79"/>
      <c r="M10" s="25"/>
      <c r="N10" s="25"/>
      <c r="AK10" s="79"/>
    </row>
    <row r="11" spans="3:110" ht="22" hidden="1" customHeight="1" x14ac:dyDescent="0.3">
      <c r="C11" s="11" t="s">
        <v>1424</v>
      </c>
      <c r="D11" s="11">
        <v>2302925</v>
      </c>
      <c r="E11" s="11">
        <v>45676552</v>
      </c>
      <c r="F11" s="11">
        <v>27937</v>
      </c>
      <c r="G11" s="10"/>
      <c r="H11" s="28" t="s">
        <v>3902</v>
      </c>
      <c r="I11" s="28"/>
      <c r="J11" s="10"/>
      <c r="K11" s="59"/>
      <c r="L11" s="79"/>
      <c r="M11" s="25"/>
      <c r="N11" s="25"/>
      <c r="AK11" s="79"/>
    </row>
    <row r="12" spans="3:110" ht="22" hidden="1" customHeight="1" x14ac:dyDescent="0.3">
      <c r="C12" s="11" t="s">
        <v>1465</v>
      </c>
      <c r="D12" s="11">
        <v>68349466</v>
      </c>
      <c r="E12" s="11">
        <v>3623698684</v>
      </c>
      <c r="F12" s="11">
        <v>5214</v>
      </c>
      <c r="G12" s="10"/>
      <c r="H12" s="28" t="s">
        <v>3904</v>
      </c>
      <c r="I12" s="28"/>
      <c r="J12" s="10"/>
      <c r="K12" s="59"/>
      <c r="L12" s="79"/>
      <c r="M12" s="25"/>
      <c r="N12" s="25"/>
      <c r="AK12" s="79"/>
    </row>
    <row r="13" spans="3:110" ht="22" hidden="1" customHeight="1" x14ac:dyDescent="0.3">
      <c r="C13" s="9" t="s">
        <v>3914</v>
      </c>
      <c r="D13" s="11">
        <v>147925593</v>
      </c>
      <c r="E13" s="11">
        <v>893533906</v>
      </c>
      <c r="F13" s="11">
        <v>308477</v>
      </c>
      <c r="G13" s="10"/>
      <c r="H13" s="28" t="s">
        <v>3904</v>
      </c>
      <c r="I13" s="28"/>
      <c r="J13" s="10"/>
      <c r="K13" s="59"/>
      <c r="L13" s="79"/>
      <c r="M13" s="25"/>
      <c r="N13" s="25"/>
      <c r="AK13" s="79"/>
    </row>
    <row r="14" spans="3:110" ht="22" hidden="1" customHeight="1" x14ac:dyDescent="0.3">
      <c r="C14" s="11" t="s">
        <v>1417</v>
      </c>
      <c r="D14" s="11">
        <v>5203763</v>
      </c>
      <c r="E14" s="11">
        <v>97419242</v>
      </c>
      <c r="F14" s="11">
        <v>15016</v>
      </c>
      <c r="G14" s="10"/>
      <c r="H14" s="28" t="s">
        <v>3921</v>
      </c>
      <c r="I14" s="28"/>
      <c r="J14" s="10"/>
      <c r="K14" s="59"/>
      <c r="L14" s="79"/>
      <c r="M14" s="25"/>
      <c r="N14" s="25"/>
      <c r="AK14" s="79"/>
    </row>
    <row r="15" spans="3:110" ht="22" hidden="1" customHeight="1" x14ac:dyDescent="0.3">
      <c r="C15" s="11" t="s">
        <v>1435</v>
      </c>
      <c r="D15" s="11">
        <v>4846609</v>
      </c>
      <c r="E15" s="11">
        <v>85702474</v>
      </c>
      <c r="F15" s="11">
        <v>20333</v>
      </c>
      <c r="G15" s="10"/>
      <c r="H15" s="28" t="s">
        <v>3921</v>
      </c>
      <c r="I15" s="28"/>
      <c r="J15" s="10"/>
      <c r="K15" s="59"/>
      <c r="L15" s="79"/>
      <c r="M15" s="25"/>
      <c r="N15" s="25"/>
      <c r="AK15" s="79"/>
    </row>
    <row r="16" spans="3:110" ht="24" x14ac:dyDescent="0.3">
      <c r="C16" s="9" t="s">
        <v>1452</v>
      </c>
      <c r="D16" s="38">
        <v>3175009</v>
      </c>
      <c r="E16" s="38">
        <v>206621674</v>
      </c>
      <c r="F16" s="38">
        <v>369566</v>
      </c>
      <c r="G16" s="39">
        <v>67547002</v>
      </c>
      <c r="H16" s="40">
        <v>433.71</v>
      </c>
      <c r="I16" s="65">
        <v>346.19295299999999</v>
      </c>
      <c r="J16" s="41">
        <v>408.18284899999998</v>
      </c>
      <c r="K16" s="42"/>
      <c r="L16" s="62">
        <v>102.65375299999999</v>
      </c>
      <c r="M16" s="34"/>
      <c r="N16" s="34"/>
      <c r="Q16" s="36"/>
      <c r="R16" s="36">
        <v>409.96209800000003</v>
      </c>
      <c r="S16" s="36">
        <v>409.669872</v>
      </c>
      <c r="T16" s="36">
        <v>333.49492099999998</v>
      </c>
      <c r="U16" s="36">
        <v>158.751666</v>
      </c>
      <c r="V16" s="63">
        <v>127.477468</v>
      </c>
      <c r="W16" s="36">
        <v>131.19798299999999</v>
      </c>
      <c r="X16" s="36"/>
      <c r="Y16" s="36"/>
      <c r="Z16" s="62">
        <v>158.815515</v>
      </c>
      <c r="AA16" s="62">
        <v>158.78734499999999</v>
      </c>
      <c r="AB16" s="64">
        <v>158.41139999999999</v>
      </c>
      <c r="AC16" s="62">
        <v>158.677886</v>
      </c>
      <c r="AD16" s="62">
        <v>158.751666</v>
      </c>
      <c r="AE16" s="62">
        <v>407.88468799999998</v>
      </c>
      <c r="AF16" s="62"/>
      <c r="AG16" s="2"/>
      <c r="AH16" s="62">
        <v>227.95205000000001</v>
      </c>
      <c r="AI16" s="62">
        <v>146.46047200000001</v>
      </c>
      <c r="AJ16" s="62">
        <v>110.535961</v>
      </c>
      <c r="AK16" s="80">
        <v>102.65375299999999</v>
      </c>
      <c r="AL16" s="62">
        <v>158.772211</v>
      </c>
      <c r="AM16" s="62">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1443</v>
      </c>
      <c r="D17" s="38">
        <v>3924218</v>
      </c>
      <c r="E17" s="38">
        <v>152878772</v>
      </c>
      <c r="F17" s="38">
        <v>254555</v>
      </c>
      <c r="G17" s="39">
        <v>36008128</v>
      </c>
      <c r="H17" s="41">
        <v>486.47726599999999</v>
      </c>
      <c r="I17" s="65">
        <v>450.831255</v>
      </c>
      <c r="J17" s="41">
        <v>481.75678499999998</v>
      </c>
      <c r="K17" s="42"/>
      <c r="L17" s="62">
        <v>220.903085</v>
      </c>
      <c r="M17" s="34"/>
      <c r="N17" s="34"/>
      <c r="Q17" s="36"/>
      <c r="R17" s="36">
        <v>483.24074300000001</v>
      </c>
      <c r="S17" s="36">
        <v>483.10757000000001</v>
      </c>
      <c r="T17" s="36">
        <v>155.49039400000001</v>
      </c>
      <c r="U17" s="63">
        <v>116.125418</v>
      </c>
      <c r="V17" s="36">
        <v>202.04214400000001</v>
      </c>
      <c r="W17" s="36">
        <v>232.393632</v>
      </c>
      <c r="X17" s="36"/>
      <c r="Y17" s="36"/>
      <c r="Z17" s="62">
        <v>115.540869</v>
      </c>
      <c r="AA17" s="62">
        <v>113.74836000000001</v>
      </c>
      <c r="AB17" s="62">
        <v>115.051813</v>
      </c>
      <c r="AC17" s="64">
        <v>113.114282</v>
      </c>
      <c r="AD17" s="62">
        <v>116.125418</v>
      </c>
      <c r="AE17" s="62">
        <v>481.58137299999999</v>
      </c>
      <c r="AF17" s="62"/>
      <c r="AG17" s="2"/>
      <c r="AH17" s="62">
        <v>290.20250499999997</v>
      </c>
      <c r="AI17" s="62">
        <v>212.31437099999999</v>
      </c>
      <c r="AJ17" s="62">
        <v>219.225978</v>
      </c>
      <c r="AK17" s="81">
        <v>220.903085</v>
      </c>
      <c r="AL17" s="62">
        <v>117.703698</v>
      </c>
      <c r="AM17" s="64">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61">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60"/>
      <c r="DH17" s="60"/>
      <c r="DI17" s="60"/>
      <c r="DJ17" s="60"/>
      <c r="DK17" s="60"/>
      <c r="DL17" s="60"/>
      <c r="DM17" s="60"/>
      <c r="DN17" s="60"/>
    </row>
    <row r="18" spans="3:118" ht="24" x14ac:dyDescent="0.3">
      <c r="C18" s="9" t="s">
        <v>1451</v>
      </c>
      <c r="D18" s="38">
        <v>3333397</v>
      </c>
      <c r="E18" s="38">
        <v>200923810</v>
      </c>
      <c r="F18" s="38">
        <v>399358</v>
      </c>
      <c r="G18" s="39">
        <v>1902943357</v>
      </c>
      <c r="H18" s="41">
        <v>224.11627300000001</v>
      </c>
      <c r="I18" s="66">
        <v>834.23</v>
      </c>
      <c r="J18" s="42">
        <v>234.91</v>
      </c>
      <c r="K18" s="42"/>
      <c r="L18" s="62">
        <v>179.01</v>
      </c>
      <c r="M18" s="34"/>
      <c r="N18" s="34"/>
      <c r="Q18" s="36"/>
      <c r="R18" s="36">
        <v>222.03</v>
      </c>
      <c r="S18" s="36">
        <v>208.46</v>
      </c>
      <c r="T18" s="63">
        <v>179.12</v>
      </c>
      <c r="U18" s="36">
        <v>213.12</v>
      </c>
      <c r="V18" s="36">
        <v>209.66</v>
      </c>
      <c r="W18" s="36">
        <v>296.62</v>
      </c>
      <c r="X18" s="36"/>
      <c r="Y18" s="36"/>
      <c r="Z18" s="64">
        <v>186.83</v>
      </c>
      <c r="AA18" s="62">
        <v>208.92</v>
      </c>
      <c r="AB18" s="62">
        <v>208.04</v>
      </c>
      <c r="AC18" s="62">
        <v>195.76</v>
      </c>
      <c r="AD18" s="62">
        <v>213.12</v>
      </c>
      <c r="AE18" s="62">
        <v>222.45</v>
      </c>
      <c r="AF18" s="62"/>
      <c r="AG18" s="2"/>
      <c r="AH18" s="62">
        <v>366.31294000000003</v>
      </c>
      <c r="AI18" s="62">
        <v>147.88588100000001</v>
      </c>
      <c r="AJ18" s="64">
        <v>138.43</v>
      </c>
      <c r="AK18" s="81">
        <v>179.01</v>
      </c>
      <c r="AL18" s="62">
        <v>176.86</v>
      </c>
      <c r="AM18" s="62">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61">
        <v>261.54000000000002</v>
      </c>
      <c r="CX18" s="28">
        <v>236.05</v>
      </c>
      <c r="CY18" s="28">
        <v>214.93</v>
      </c>
      <c r="CZ18" s="28">
        <v>209.66</v>
      </c>
      <c r="DA18" s="28"/>
      <c r="DB18" s="28">
        <v>172.02</v>
      </c>
      <c r="DC18" s="28">
        <v>173.18</v>
      </c>
      <c r="DD18" s="28">
        <v>179.89</v>
      </c>
      <c r="DE18" s="28">
        <v>306.70999999999998</v>
      </c>
      <c r="DF18" s="28">
        <v>296.62</v>
      </c>
      <c r="DG18" s="60"/>
      <c r="DH18" s="60"/>
      <c r="DI18" s="60"/>
      <c r="DJ18" s="60"/>
      <c r="DK18" s="60"/>
      <c r="DL18" s="60"/>
      <c r="DM18" s="60"/>
      <c r="DN18" s="60"/>
    </row>
    <row r="19" spans="3:118" ht="24" x14ac:dyDescent="0.3">
      <c r="C19" s="9" t="s">
        <v>3915</v>
      </c>
      <c r="D19" s="38">
        <v>25921548</v>
      </c>
      <c r="E19" s="38">
        <v>1086367222</v>
      </c>
      <c r="F19" s="38">
        <v>4271341</v>
      </c>
      <c r="G19" s="39">
        <v>568730123</v>
      </c>
      <c r="H19" s="41">
        <v>150.722433</v>
      </c>
      <c r="I19" s="66">
        <v>227.71192199999999</v>
      </c>
      <c r="J19" s="41">
        <v>147.34859499999999</v>
      </c>
      <c r="K19" s="42"/>
      <c r="L19" s="62">
        <v>99.896929</v>
      </c>
      <c r="M19" s="34"/>
      <c r="N19" s="34"/>
      <c r="Q19" s="36"/>
      <c r="R19" s="36">
        <v>148.01795899999999</v>
      </c>
      <c r="S19" s="36">
        <v>117.444413</v>
      </c>
      <c r="T19" s="36">
        <v>117.253396</v>
      </c>
      <c r="U19" s="36">
        <v>117.89317200000001</v>
      </c>
      <c r="V19" s="63">
        <v>111.39627</v>
      </c>
      <c r="W19" s="36">
        <v>114.213594</v>
      </c>
      <c r="X19" s="36"/>
      <c r="Y19" s="36"/>
      <c r="Z19" s="64">
        <v>113.522623</v>
      </c>
      <c r="AA19" s="62">
        <v>117.372834</v>
      </c>
      <c r="AB19" s="62">
        <v>118.328991</v>
      </c>
      <c r="AC19" s="62">
        <v>118.691909</v>
      </c>
      <c r="AD19" s="62">
        <v>117.89317200000001</v>
      </c>
      <c r="AE19" s="62">
        <v>147.238877</v>
      </c>
      <c r="AF19" s="62"/>
      <c r="AG19" s="2"/>
      <c r="AH19" s="62">
        <v>235.20723799999999</v>
      </c>
      <c r="AI19" s="62">
        <v>165.55021500000001</v>
      </c>
      <c r="AJ19" s="62">
        <v>105.904168</v>
      </c>
      <c r="AK19" s="80">
        <v>99.896929</v>
      </c>
      <c r="AL19" s="62">
        <v>114.997193</v>
      </c>
      <c r="AM19" s="62">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61">
        <v>113.775762</v>
      </c>
      <c r="CX19" s="28">
        <v>118.191247</v>
      </c>
      <c r="CY19" s="28">
        <v>114.149649</v>
      </c>
      <c r="CZ19" s="28">
        <v>111.39627</v>
      </c>
      <c r="DA19" s="28"/>
      <c r="DB19" s="28">
        <v>113.58816</v>
      </c>
      <c r="DC19" s="28">
        <v>115.123594</v>
      </c>
      <c r="DD19" s="28">
        <v>113.495447</v>
      </c>
      <c r="DE19" s="28">
        <v>113.549875</v>
      </c>
      <c r="DF19" s="28">
        <v>114.213594</v>
      </c>
      <c r="DG19" s="60"/>
      <c r="DH19" s="60"/>
      <c r="DI19" s="60"/>
      <c r="DJ19" s="60"/>
      <c r="DK19" s="60"/>
      <c r="DL19" s="60"/>
      <c r="DM19" s="60"/>
      <c r="DN19" s="60"/>
    </row>
    <row r="20" spans="3:118" ht="24" x14ac:dyDescent="0.3">
      <c r="C20" s="9" t="s">
        <v>10</v>
      </c>
      <c r="D20" s="38">
        <v>3603726</v>
      </c>
      <c r="E20" s="38">
        <v>155093964</v>
      </c>
      <c r="F20" s="38">
        <v>434234</v>
      </c>
      <c r="G20" s="39">
        <v>1237624958</v>
      </c>
      <c r="H20" s="41">
        <v>107.39003200000001</v>
      </c>
      <c r="I20" s="65">
        <v>196.60153800000001</v>
      </c>
      <c r="J20" s="41">
        <v>98.4</v>
      </c>
      <c r="K20" s="42"/>
      <c r="L20" s="62">
        <v>68.88</v>
      </c>
      <c r="M20" s="34"/>
      <c r="N20" s="34"/>
      <c r="Q20" s="36"/>
      <c r="R20" s="36">
        <v>110.69</v>
      </c>
      <c r="S20" s="36">
        <v>88.23</v>
      </c>
      <c r="T20" s="36">
        <v>85.9</v>
      </c>
      <c r="U20" s="63">
        <v>66.37</v>
      </c>
      <c r="V20" s="36">
        <v>86.03</v>
      </c>
      <c r="W20" s="36">
        <v>87.64</v>
      </c>
      <c r="X20" s="36"/>
      <c r="Y20" s="36"/>
      <c r="Z20" s="62">
        <v>114.41</v>
      </c>
      <c r="AA20" s="62">
        <v>95.39</v>
      </c>
      <c r="AB20" s="62">
        <v>122.73</v>
      </c>
      <c r="AC20" s="62">
        <v>104.21</v>
      </c>
      <c r="AD20" s="64">
        <v>66.37</v>
      </c>
      <c r="AE20" s="62">
        <v>108.58</v>
      </c>
      <c r="AF20" s="62"/>
      <c r="AG20" s="2"/>
      <c r="AH20" s="62">
        <v>185.74227500000001</v>
      </c>
      <c r="AI20" s="62">
        <v>75.894947999999999</v>
      </c>
      <c r="AJ20" s="62">
        <v>72.180000000000007</v>
      </c>
      <c r="AK20" s="80">
        <v>68.88</v>
      </c>
      <c r="AL20" s="62">
        <v>70.69</v>
      </c>
      <c r="AM20" s="62">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61">
        <v>83.45</v>
      </c>
      <c r="CX20" s="28">
        <v>79.150000000000006</v>
      </c>
      <c r="CY20" s="28">
        <v>81.19</v>
      </c>
      <c r="CZ20" s="28">
        <v>86.03</v>
      </c>
      <c r="DA20" s="28"/>
      <c r="DB20" s="28">
        <v>102.07</v>
      </c>
      <c r="DC20" s="28">
        <v>73.55</v>
      </c>
      <c r="DD20" s="28">
        <v>78.52</v>
      </c>
      <c r="DE20" s="28">
        <v>70.680000000000007</v>
      </c>
      <c r="DF20" s="28">
        <v>87.64</v>
      </c>
      <c r="DG20" s="60"/>
      <c r="DH20" s="60"/>
      <c r="DI20" s="60"/>
      <c r="DJ20" s="60"/>
      <c r="DK20" s="60"/>
      <c r="DL20" s="60"/>
      <c r="DM20" s="60"/>
      <c r="DN20" s="60"/>
    </row>
    <row r="21" spans="3:118" ht="24" x14ac:dyDescent="0.3">
      <c r="C21" s="11" t="s">
        <v>1455</v>
      </c>
      <c r="D21" s="38">
        <v>8833229</v>
      </c>
      <c r="E21" s="38">
        <v>105882456</v>
      </c>
      <c r="F21" s="38">
        <v>2126384</v>
      </c>
      <c r="G21" s="39">
        <v>2115046340</v>
      </c>
      <c r="H21" s="41">
        <v>105.59741699999999</v>
      </c>
      <c r="I21" s="65">
        <v>306.40025200000002</v>
      </c>
      <c r="J21" s="41">
        <v>87.62</v>
      </c>
      <c r="K21" s="42"/>
      <c r="L21" s="62">
        <v>46.755004999999997</v>
      </c>
      <c r="M21" s="34"/>
      <c r="N21" s="34"/>
      <c r="Q21" s="36"/>
      <c r="R21" s="36">
        <v>87.221371000000005</v>
      </c>
      <c r="S21" s="36">
        <v>87.869332999999997</v>
      </c>
      <c r="T21" s="36">
        <v>224.937985</v>
      </c>
      <c r="U21" s="36">
        <v>65.735106999999999</v>
      </c>
      <c r="V21" s="36">
        <v>49.471721000000002</v>
      </c>
      <c r="W21" s="63">
        <v>47.949492999999997</v>
      </c>
      <c r="X21" s="36"/>
      <c r="Y21" s="36"/>
      <c r="Z21" s="64">
        <v>53.094441000000003</v>
      </c>
      <c r="AA21" s="62">
        <v>55.725318999999999</v>
      </c>
      <c r="AB21" s="62">
        <v>63.029052</v>
      </c>
      <c r="AC21" s="62">
        <v>59.906571</v>
      </c>
      <c r="AD21" s="62">
        <v>65.735106999999999</v>
      </c>
      <c r="AE21" s="62">
        <v>74.93468</v>
      </c>
      <c r="AF21" s="62"/>
      <c r="AG21" s="2"/>
      <c r="AH21" s="62">
        <v>252.189437</v>
      </c>
      <c r="AI21" s="62">
        <v>128.34603200000001</v>
      </c>
      <c r="AJ21" s="62">
        <v>55.894243000000003</v>
      </c>
      <c r="AK21" s="80">
        <v>46.755004999999997</v>
      </c>
      <c r="AL21" s="62">
        <v>49.481327</v>
      </c>
      <c r="AM21" s="62">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61">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60"/>
      <c r="DH21" s="60"/>
      <c r="DI21" s="60"/>
      <c r="DJ21" s="60"/>
      <c r="DK21" s="60"/>
      <c r="DL21" s="60"/>
      <c r="DM21" s="60"/>
      <c r="DN21" s="60"/>
    </row>
    <row r="22" spans="3:118" ht="24" x14ac:dyDescent="0.3">
      <c r="C22" s="11" t="s">
        <v>6</v>
      </c>
      <c r="D22" s="38">
        <v>3072441</v>
      </c>
      <c r="E22" s="38">
        <v>234369798</v>
      </c>
      <c r="F22" s="38">
        <v>33313</v>
      </c>
      <c r="G22" s="39">
        <v>2270456447</v>
      </c>
      <c r="H22" s="41">
        <v>85.151685000000001</v>
      </c>
      <c r="I22" s="66">
        <v>281.76346699999999</v>
      </c>
      <c r="J22" s="41">
        <v>73.239999999999995</v>
      </c>
      <c r="K22" s="42"/>
      <c r="L22" s="62">
        <v>51.644970999999998</v>
      </c>
      <c r="M22" s="34"/>
      <c r="N22" s="34"/>
      <c r="Q22" s="36"/>
      <c r="R22" s="36">
        <v>73.161520999999993</v>
      </c>
      <c r="S22" s="36">
        <v>51.549084000000001</v>
      </c>
      <c r="T22" s="36">
        <v>54.580070999999997</v>
      </c>
      <c r="U22" s="63">
        <v>47.267125</v>
      </c>
      <c r="V22" s="36">
        <v>56.343842000000002</v>
      </c>
      <c r="W22" s="36">
        <v>55.058587000000003</v>
      </c>
      <c r="X22" s="36"/>
      <c r="Y22" s="36"/>
      <c r="Z22" s="62">
        <v>49.711768999999997</v>
      </c>
      <c r="AA22" s="62">
        <v>48.272415000000002</v>
      </c>
      <c r="AB22" s="62">
        <v>58.755426999999997</v>
      </c>
      <c r="AC22" s="62">
        <v>48.832856</v>
      </c>
      <c r="AD22" s="64">
        <v>47.267125</v>
      </c>
      <c r="AE22" s="62">
        <v>66.013968000000006</v>
      </c>
      <c r="AF22" s="62"/>
      <c r="AG22" s="2"/>
      <c r="AH22" s="62">
        <v>220.51928899999999</v>
      </c>
      <c r="AI22" s="62">
        <v>73.065562</v>
      </c>
      <c r="AJ22" s="62">
        <v>53.567227000000003</v>
      </c>
      <c r="AK22" s="81">
        <v>51.644970999999998</v>
      </c>
      <c r="AL22" s="62">
        <v>52.136221999999997</v>
      </c>
      <c r="AM22" s="64">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61">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60"/>
      <c r="DH22" s="60"/>
      <c r="DI22" s="60"/>
      <c r="DJ22" s="60"/>
      <c r="DK22" s="60"/>
      <c r="DL22" s="60"/>
      <c r="DM22" s="60"/>
      <c r="DN22" s="60"/>
    </row>
    <row r="23" spans="3:118" ht="24" x14ac:dyDescent="0.3">
      <c r="C23" s="9" t="s">
        <v>1442</v>
      </c>
      <c r="D23" s="38">
        <v>3370462</v>
      </c>
      <c r="E23" s="38">
        <v>143901836</v>
      </c>
      <c r="F23" s="38">
        <v>282591</v>
      </c>
      <c r="G23" s="39">
        <v>563203047</v>
      </c>
      <c r="H23" s="41">
        <v>127.82051300000001</v>
      </c>
      <c r="I23" s="67">
        <v>200.62130099999999</v>
      </c>
      <c r="J23" s="41">
        <v>68.150000000000006</v>
      </c>
      <c r="K23" s="42"/>
      <c r="L23" s="62">
        <v>47.39</v>
      </c>
      <c r="M23" s="34"/>
      <c r="N23" s="34"/>
      <c r="Q23" s="36"/>
      <c r="R23" s="36">
        <v>61.25</v>
      </c>
      <c r="S23" s="36">
        <v>55.4</v>
      </c>
      <c r="T23" s="36">
        <v>51.67</v>
      </c>
      <c r="U23" s="63">
        <v>45.39</v>
      </c>
      <c r="V23" s="36">
        <v>67.884190000000004</v>
      </c>
      <c r="W23" s="36">
        <v>68.568365</v>
      </c>
      <c r="X23" s="36"/>
      <c r="Y23" s="36"/>
      <c r="Z23" s="62">
        <v>45.93</v>
      </c>
      <c r="AA23" s="62">
        <v>45.5</v>
      </c>
      <c r="AB23" s="64">
        <v>45.38</v>
      </c>
      <c r="AC23" s="62">
        <v>45.98</v>
      </c>
      <c r="AD23" s="62">
        <v>45.39</v>
      </c>
      <c r="AE23" s="62">
        <v>64.45</v>
      </c>
      <c r="AF23" s="62"/>
      <c r="AG23" s="2"/>
      <c r="AH23" s="62">
        <v>177.93314100000001</v>
      </c>
      <c r="AI23" s="62">
        <v>60.797257999999999</v>
      </c>
      <c r="AJ23" s="62">
        <v>47.976934999999997</v>
      </c>
      <c r="AK23" s="81">
        <v>47.39</v>
      </c>
      <c r="AL23" s="62">
        <v>46.54</v>
      </c>
      <c r="AM23" s="64">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61">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60"/>
      <c r="DH23" s="60"/>
      <c r="DI23" s="60"/>
      <c r="DJ23" s="60"/>
      <c r="DK23" s="60"/>
      <c r="DL23" s="60"/>
      <c r="DM23" s="60"/>
      <c r="DN23" s="60"/>
    </row>
    <row r="24" spans="3:118" ht="24" x14ac:dyDescent="0.3">
      <c r="C24" s="11" t="s">
        <v>3</v>
      </c>
      <c r="D24" s="38">
        <v>2212663</v>
      </c>
      <c r="E24" s="38">
        <v>58330960</v>
      </c>
      <c r="F24" s="38">
        <v>137021</v>
      </c>
      <c r="G24" s="39">
        <v>1569924556</v>
      </c>
      <c r="H24" s="41">
        <v>68.285578000000001</v>
      </c>
      <c r="I24" s="66">
        <v>223.255968</v>
      </c>
      <c r="J24" s="41">
        <v>65.23</v>
      </c>
      <c r="K24" s="42"/>
      <c r="L24" s="62">
        <v>33.600096000000001</v>
      </c>
      <c r="M24" s="34"/>
      <c r="N24" s="34"/>
      <c r="Q24" s="36"/>
      <c r="R24" s="36">
        <v>66.055835000000002</v>
      </c>
      <c r="S24" s="36">
        <v>65.141924000000003</v>
      </c>
      <c r="T24" s="36">
        <v>52.820692999999999</v>
      </c>
      <c r="U24" s="36">
        <v>51.350144</v>
      </c>
      <c r="V24" s="36">
        <v>49.033437999999997</v>
      </c>
      <c r="W24" s="63">
        <v>44.031193000000002</v>
      </c>
      <c r="X24" s="36"/>
      <c r="Y24" s="36"/>
      <c r="Z24" s="62">
        <v>39.974317999999997</v>
      </c>
      <c r="AA24" s="62">
        <v>38.977046000000001</v>
      </c>
      <c r="AB24" s="64">
        <v>37.483178000000002</v>
      </c>
      <c r="AC24" s="62">
        <v>54.379469999999998</v>
      </c>
      <c r="AD24" s="62">
        <v>51.350144</v>
      </c>
      <c r="AE24" s="62">
        <v>56.950386000000002</v>
      </c>
      <c r="AF24" s="62"/>
      <c r="AG24" s="2"/>
      <c r="AH24" s="62">
        <v>185.77413799999999</v>
      </c>
      <c r="AI24" s="62">
        <v>98.172737999999995</v>
      </c>
      <c r="AJ24" s="62">
        <v>39.690215000000002</v>
      </c>
      <c r="AK24" s="80">
        <v>33.600096000000001</v>
      </c>
      <c r="AL24" s="62">
        <v>37.755488999999997</v>
      </c>
      <c r="AM24" s="62">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61">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60"/>
      <c r="DH24" s="60"/>
      <c r="DI24" s="60"/>
      <c r="DJ24" s="60"/>
      <c r="DK24" s="60"/>
      <c r="DL24" s="60"/>
      <c r="DM24" s="60"/>
      <c r="DN24" s="60"/>
    </row>
    <row r="25" spans="3:118" ht="24" x14ac:dyDescent="0.3">
      <c r="C25" s="11" t="s">
        <v>1456</v>
      </c>
      <c r="D25" s="38">
        <v>5829441</v>
      </c>
      <c r="E25" s="38">
        <v>110439216</v>
      </c>
      <c r="F25" s="38">
        <v>818185</v>
      </c>
      <c r="G25" s="39">
        <v>1508704249</v>
      </c>
      <c r="H25" s="41">
        <v>84.078997999999999</v>
      </c>
      <c r="I25" s="66">
        <v>245.51799</v>
      </c>
      <c r="J25" s="41">
        <v>52.7</v>
      </c>
      <c r="K25" s="42"/>
      <c r="L25" s="62">
        <v>37.410254999999999</v>
      </c>
      <c r="M25" s="34"/>
      <c r="N25" s="34"/>
      <c r="Q25" s="36"/>
      <c r="R25" s="36">
        <v>52.699129999999997</v>
      </c>
      <c r="S25" s="36">
        <v>52.940660999999999</v>
      </c>
      <c r="T25" s="36">
        <v>43.071998999999998</v>
      </c>
      <c r="U25" s="36">
        <v>38.314624999999999</v>
      </c>
      <c r="V25" s="63">
        <v>35.878883000000002</v>
      </c>
      <c r="W25" s="36">
        <v>38.544125000000001</v>
      </c>
      <c r="X25" s="36"/>
      <c r="Y25" s="36"/>
      <c r="Z25" s="62">
        <v>32.463016000000003</v>
      </c>
      <c r="AA25" s="62">
        <v>34.800632999999998</v>
      </c>
      <c r="AB25" s="64">
        <v>30.809774000000001</v>
      </c>
      <c r="AC25" s="62">
        <v>31.053585999999999</v>
      </c>
      <c r="AD25" s="62">
        <v>38.314624999999999</v>
      </c>
      <c r="AE25" s="62">
        <v>59.529823</v>
      </c>
      <c r="AF25" s="62"/>
      <c r="AG25" s="2"/>
      <c r="AH25" s="62">
        <v>178.691069</v>
      </c>
      <c r="AI25" s="62">
        <v>107.413388</v>
      </c>
      <c r="AJ25" s="62">
        <v>44.246642999999999</v>
      </c>
      <c r="AK25" s="80">
        <v>37.410254999999999</v>
      </c>
      <c r="AL25" s="62">
        <v>37.545321999999999</v>
      </c>
      <c r="AM25" s="62">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61">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60"/>
      <c r="DH25" s="60"/>
      <c r="DI25" s="60"/>
      <c r="DJ25" s="60"/>
      <c r="DK25" s="60"/>
      <c r="DL25" s="60"/>
      <c r="DM25" s="60"/>
      <c r="DN25" s="60"/>
    </row>
    <row r="26" spans="3:118" ht="24" x14ac:dyDescent="0.3">
      <c r="C26" s="9" t="s">
        <v>1446</v>
      </c>
      <c r="D26" s="38">
        <v>6100692</v>
      </c>
      <c r="E26" s="38">
        <v>199729748</v>
      </c>
      <c r="F26" s="38">
        <v>2732817</v>
      </c>
      <c r="G26" s="39">
        <v>97362094</v>
      </c>
      <c r="H26" s="41">
        <v>59.816648000000001</v>
      </c>
      <c r="I26" s="66">
        <v>32.213045000000001</v>
      </c>
      <c r="J26" s="41">
        <v>58.558579999999999</v>
      </c>
      <c r="K26" s="42"/>
      <c r="L26" s="62">
        <v>53.737893</v>
      </c>
      <c r="M26" s="34"/>
      <c r="N26" s="34"/>
      <c r="Q26" s="36"/>
      <c r="R26" s="36">
        <v>53.374034000000002</v>
      </c>
      <c r="S26" s="36">
        <v>53.369149</v>
      </c>
      <c r="T26" s="36">
        <v>53.509408999999998</v>
      </c>
      <c r="U26" s="36">
        <v>53.271735</v>
      </c>
      <c r="V26" s="36">
        <v>46.999664000000003</v>
      </c>
      <c r="W26" s="63">
        <v>46.870593999999997</v>
      </c>
      <c r="X26" s="36"/>
      <c r="Y26" s="36"/>
      <c r="Z26" s="62">
        <v>53.511260999999998</v>
      </c>
      <c r="AA26" s="62">
        <v>53.257292</v>
      </c>
      <c r="AB26" s="62">
        <v>53.228861999999999</v>
      </c>
      <c r="AC26" s="64">
        <v>53.172787999999997</v>
      </c>
      <c r="AD26" s="62">
        <v>53.271735</v>
      </c>
      <c r="AE26" s="62">
        <v>58.429667000000002</v>
      </c>
      <c r="AF26" s="62"/>
      <c r="AG26" s="2"/>
      <c r="AH26" s="62">
        <v>33.062224999999998</v>
      </c>
      <c r="AI26" s="62">
        <v>25.254218000000002</v>
      </c>
      <c r="AJ26" s="64">
        <v>21.486362</v>
      </c>
      <c r="AK26" s="81">
        <v>53.737893</v>
      </c>
      <c r="AL26" s="62">
        <v>54.077883999999997</v>
      </c>
      <c r="AM26" s="62">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61">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60"/>
      <c r="DH26" s="60"/>
      <c r="DI26" s="60"/>
      <c r="DJ26" s="60"/>
      <c r="DK26" s="60"/>
      <c r="DL26" s="60"/>
      <c r="DM26" s="60"/>
      <c r="DN26" s="60"/>
    </row>
    <row r="27" spans="3:118" ht="24" x14ac:dyDescent="0.3">
      <c r="C27" s="11" t="s">
        <v>7</v>
      </c>
      <c r="D27" s="38">
        <v>2584164</v>
      </c>
      <c r="E27" s="38">
        <v>56367036</v>
      </c>
      <c r="F27" s="38">
        <v>44065</v>
      </c>
      <c r="G27" s="39">
        <v>918563917</v>
      </c>
      <c r="H27" s="41">
        <v>71.662347999999994</v>
      </c>
      <c r="I27" s="66">
        <v>129.14542800000001</v>
      </c>
      <c r="J27" s="41">
        <v>28.33</v>
      </c>
      <c r="K27" s="42"/>
      <c r="L27" s="62">
        <v>21.417175</v>
      </c>
      <c r="M27" s="34"/>
      <c r="N27" s="34"/>
      <c r="Q27" s="36"/>
      <c r="R27" s="36">
        <v>28.492497</v>
      </c>
      <c r="S27" s="36">
        <v>28.302902</v>
      </c>
      <c r="T27" s="36">
        <v>100.36159600000001</v>
      </c>
      <c r="U27" s="36">
        <v>21.091324</v>
      </c>
      <c r="V27" s="63">
        <v>19.264690999999999</v>
      </c>
      <c r="W27" s="36">
        <v>30.52131</v>
      </c>
      <c r="X27" s="36"/>
      <c r="Y27" s="36"/>
      <c r="Z27" s="62">
        <v>22.774096</v>
      </c>
      <c r="AA27" s="62">
        <v>24.963380000000001</v>
      </c>
      <c r="AB27" s="62">
        <v>32.79813</v>
      </c>
      <c r="AC27" s="62">
        <v>22.111353999999999</v>
      </c>
      <c r="AD27" s="64">
        <v>21.091324</v>
      </c>
      <c r="AE27" s="62">
        <v>30.377469000000001</v>
      </c>
      <c r="AF27" s="62"/>
      <c r="AG27" s="2"/>
      <c r="AH27" s="62">
        <v>110.278611</v>
      </c>
      <c r="AI27" s="62">
        <v>56.650022</v>
      </c>
      <c r="AJ27" s="62">
        <v>24.905916000000001</v>
      </c>
      <c r="AK27" s="81">
        <v>21.417175</v>
      </c>
      <c r="AL27" s="62">
        <v>29.948923000000001</v>
      </c>
      <c r="AM27" s="64">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61">
        <v>27.76455</v>
      </c>
      <c r="CX27" s="28">
        <v>28.895855000000001</v>
      </c>
      <c r="CY27" s="28">
        <v>20.385604000000001</v>
      </c>
      <c r="CZ27" s="28">
        <v>19.264690999999999</v>
      </c>
      <c r="DA27" s="28"/>
      <c r="DB27" s="28">
        <v>25.956968</v>
      </c>
      <c r="DC27" s="28">
        <v>25.222332000000002</v>
      </c>
      <c r="DD27" s="28">
        <v>21.37753</v>
      </c>
      <c r="DE27" s="28">
        <v>21.742553000000001</v>
      </c>
      <c r="DF27" s="28">
        <v>30.52131</v>
      </c>
      <c r="DG27" s="60"/>
      <c r="DH27" s="60"/>
      <c r="DI27" s="60"/>
      <c r="DJ27" s="60"/>
      <c r="DK27" s="60"/>
      <c r="DL27" s="60"/>
      <c r="DM27" s="60"/>
      <c r="DN27" s="60"/>
    </row>
    <row r="28" spans="3:118" ht="24" x14ac:dyDescent="0.3">
      <c r="C28" s="9" t="s">
        <v>3913</v>
      </c>
      <c r="D28" s="38">
        <v>58655849</v>
      </c>
      <c r="E28" s="38">
        <v>522642066</v>
      </c>
      <c r="F28" s="38">
        <v>278489</v>
      </c>
      <c r="G28" s="39">
        <v>1117416174</v>
      </c>
      <c r="H28" s="41">
        <v>60.576824999999999</v>
      </c>
      <c r="I28" s="66">
        <v>144.30504400000001</v>
      </c>
      <c r="J28" s="41">
        <v>31.56</v>
      </c>
      <c r="K28" s="42"/>
      <c r="L28" s="62">
        <v>30.88738</v>
      </c>
      <c r="M28" s="34"/>
      <c r="N28" s="34"/>
      <c r="Q28" s="36"/>
      <c r="R28" s="36">
        <v>28.624310000000001</v>
      </c>
      <c r="S28" s="36">
        <v>28.715426000000001</v>
      </c>
      <c r="T28" s="36">
        <v>46.814101999999998</v>
      </c>
      <c r="U28" s="36">
        <v>34.702727000000003</v>
      </c>
      <c r="V28" s="63">
        <v>23.716016</v>
      </c>
      <c r="W28" s="36">
        <v>24.456119000000001</v>
      </c>
      <c r="X28" s="36"/>
      <c r="Y28" s="36"/>
      <c r="Z28" s="64">
        <v>19.721368999999999</v>
      </c>
      <c r="AA28" s="62">
        <v>24.673772</v>
      </c>
      <c r="AB28" s="62">
        <v>30.588656</v>
      </c>
      <c r="AC28" s="62">
        <v>28.678834999999999</v>
      </c>
      <c r="AD28" s="62">
        <v>34.702727000000003</v>
      </c>
      <c r="AE28" s="62">
        <v>33.599240000000002</v>
      </c>
      <c r="AF28" s="62"/>
      <c r="AG28" s="2"/>
      <c r="AH28" s="62">
        <v>149.63844499999999</v>
      </c>
      <c r="AI28" s="62">
        <v>138.24824100000001</v>
      </c>
      <c r="AJ28" s="62">
        <v>47.745247999999997</v>
      </c>
      <c r="AK28" s="81">
        <v>30.88738</v>
      </c>
      <c r="AL28" s="64">
        <v>23.250439</v>
      </c>
      <c r="AM28" s="62">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61">
        <v>23.493911000000001</v>
      </c>
      <c r="CX28" s="28">
        <v>21.290315</v>
      </c>
      <c r="CY28" s="28">
        <v>24.41198</v>
      </c>
      <c r="CZ28" s="28">
        <v>23.716016</v>
      </c>
      <c r="DA28" s="28"/>
      <c r="DB28" s="28">
        <v>26.591891</v>
      </c>
      <c r="DC28" s="28">
        <v>24.195595000000001</v>
      </c>
      <c r="DD28" s="28">
        <v>24.981047</v>
      </c>
      <c r="DE28" s="28">
        <v>24.593354999999999</v>
      </c>
      <c r="DF28" s="28">
        <v>24.456119000000001</v>
      </c>
      <c r="DG28" s="60"/>
      <c r="DH28" s="60"/>
      <c r="DI28" s="60"/>
      <c r="DJ28" s="60"/>
      <c r="DK28" s="60"/>
      <c r="DL28" s="60"/>
      <c r="DM28" s="60"/>
      <c r="DN28" s="60"/>
    </row>
    <row r="29" spans="3:118" ht="24" x14ac:dyDescent="0.3">
      <c r="C29" s="11" t="s">
        <v>1450</v>
      </c>
      <c r="D29" s="38">
        <v>5867547</v>
      </c>
      <c r="E29" s="38">
        <v>61171040</v>
      </c>
      <c r="F29" s="38">
        <v>959344</v>
      </c>
      <c r="G29" s="39">
        <v>994503898</v>
      </c>
      <c r="H29" s="41">
        <v>57.130594000000002</v>
      </c>
      <c r="I29" s="66">
        <v>123.493318</v>
      </c>
      <c r="J29" s="41">
        <v>35</v>
      </c>
      <c r="K29" s="42"/>
      <c r="L29" s="62">
        <v>20.122519</v>
      </c>
      <c r="M29" s="34"/>
      <c r="N29" s="34"/>
      <c r="Q29" s="36"/>
      <c r="R29" s="36">
        <v>34.838656</v>
      </c>
      <c r="S29" s="36">
        <v>35.110639999999997</v>
      </c>
      <c r="T29" s="36">
        <v>27.998328000000001</v>
      </c>
      <c r="U29" s="36">
        <v>36.483663</v>
      </c>
      <c r="V29" s="36">
        <v>25.648409000000001</v>
      </c>
      <c r="W29" s="63">
        <v>23.774899000000001</v>
      </c>
      <c r="X29" s="36"/>
      <c r="Y29" s="36"/>
      <c r="Z29" s="62">
        <v>17.297236999999999</v>
      </c>
      <c r="AA29" s="62">
        <v>20.420867999999999</v>
      </c>
      <c r="AB29" s="62">
        <v>17.161816000000002</v>
      </c>
      <c r="AC29" s="64">
        <v>16.899121999999998</v>
      </c>
      <c r="AD29" s="62">
        <v>36.483663</v>
      </c>
      <c r="AE29" s="62">
        <v>31.287212</v>
      </c>
      <c r="AF29" s="62"/>
      <c r="AG29" s="2"/>
      <c r="AH29" s="62">
        <v>107.045095</v>
      </c>
      <c r="AI29" s="62">
        <v>66.705194000000006</v>
      </c>
      <c r="AJ29" s="62">
        <v>25.648371999999998</v>
      </c>
      <c r="AK29" s="80">
        <v>20.122519</v>
      </c>
      <c r="AL29" s="62">
        <v>26.955110000000001</v>
      </c>
      <c r="AM29" s="62">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61">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60"/>
      <c r="DH29" s="60"/>
      <c r="DI29" s="60"/>
      <c r="DJ29" s="60"/>
      <c r="DK29" s="60"/>
      <c r="DL29" s="60"/>
      <c r="DM29" s="60"/>
      <c r="DN29" s="60"/>
    </row>
    <row r="30" spans="3:118" ht="24" x14ac:dyDescent="0.3">
      <c r="C30" s="9" t="s">
        <v>1445</v>
      </c>
      <c r="D30" s="38">
        <v>2148791</v>
      </c>
      <c r="E30" s="38">
        <v>155750262</v>
      </c>
      <c r="F30" s="38">
        <v>286585</v>
      </c>
      <c r="G30" s="39">
        <v>147929073</v>
      </c>
      <c r="H30" s="41">
        <v>33.766888999999999</v>
      </c>
      <c r="I30" s="66">
        <v>110.60061399999999</v>
      </c>
      <c r="J30" s="41">
        <v>31.719238000000001</v>
      </c>
      <c r="K30" s="42"/>
      <c r="L30" s="62">
        <v>23.840702</v>
      </c>
      <c r="M30" s="34"/>
      <c r="N30" s="34"/>
      <c r="Q30" s="36"/>
      <c r="R30" s="36">
        <v>24.758717999999998</v>
      </c>
      <c r="S30" s="36">
        <v>24.749466000000002</v>
      </c>
      <c r="T30" s="63">
        <v>19.958494000000002</v>
      </c>
      <c r="U30" s="36">
        <v>21.268896999999999</v>
      </c>
      <c r="V30" s="36">
        <v>21.826519999999999</v>
      </c>
      <c r="W30" s="36">
        <v>27.610979</v>
      </c>
      <c r="X30" s="36"/>
      <c r="Y30" s="36"/>
      <c r="Z30" s="62">
        <v>21.860433</v>
      </c>
      <c r="AA30" s="62">
        <v>23.659047999999999</v>
      </c>
      <c r="AB30" s="62">
        <v>22.548342999999999</v>
      </c>
      <c r="AC30" s="64">
        <v>19.939367000000001</v>
      </c>
      <c r="AD30" s="62">
        <v>21.268896999999999</v>
      </c>
      <c r="AE30" s="62">
        <v>31.746943999999999</v>
      </c>
      <c r="AF30" s="62"/>
      <c r="AG30" s="2"/>
      <c r="AH30" s="62">
        <v>106.600942</v>
      </c>
      <c r="AI30" s="62">
        <v>42.497396000000002</v>
      </c>
      <c r="AJ30" s="62">
        <v>25.398516000000001</v>
      </c>
      <c r="AK30" s="81">
        <v>23.840702</v>
      </c>
      <c r="AL30" s="64">
        <v>19.814515</v>
      </c>
      <c r="AM30" s="62">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61">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60"/>
      <c r="DH30" s="60"/>
      <c r="DI30" s="60"/>
      <c r="DJ30" s="60"/>
      <c r="DK30" s="60"/>
      <c r="DL30" s="60"/>
      <c r="DM30" s="60"/>
      <c r="DN30" s="60"/>
    </row>
    <row r="31" spans="3:118" ht="24" x14ac:dyDescent="0.3">
      <c r="C31" s="9" t="s">
        <v>1422</v>
      </c>
      <c r="D31" s="38">
        <v>2622756</v>
      </c>
      <c r="E31" s="38">
        <v>94934908</v>
      </c>
      <c r="F31" s="38">
        <v>900354</v>
      </c>
      <c r="G31" s="39">
        <v>104704438</v>
      </c>
      <c r="H31" s="41">
        <v>23.738012000000001</v>
      </c>
      <c r="I31" s="66">
        <v>31.811346</v>
      </c>
      <c r="J31" s="41">
        <v>23.200935000000001</v>
      </c>
      <c r="K31" s="42"/>
      <c r="L31" s="62">
        <v>17.874461</v>
      </c>
      <c r="M31" s="34"/>
      <c r="N31" s="34"/>
      <c r="Q31" s="36"/>
      <c r="R31" s="36">
        <v>14.664244</v>
      </c>
      <c r="S31" s="36">
        <v>14.41568</v>
      </c>
      <c r="T31" s="36">
        <v>14.32654</v>
      </c>
      <c r="U31" s="36">
        <v>14.503100999999999</v>
      </c>
      <c r="V31" s="63">
        <v>13.710167999999999</v>
      </c>
      <c r="W31" s="36">
        <v>14.910937000000001</v>
      </c>
      <c r="X31" s="36"/>
      <c r="Y31" s="36"/>
      <c r="Z31" s="64">
        <v>14.196106</v>
      </c>
      <c r="AA31" s="62">
        <v>14.445271</v>
      </c>
      <c r="AB31" s="62">
        <v>14.341246999999999</v>
      </c>
      <c r="AC31" s="62">
        <v>14.270937999999999</v>
      </c>
      <c r="AD31" s="62">
        <v>14.503100999999999</v>
      </c>
      <c r="AE31" s="62">
        <v>23.304746999999999</v>
      </c>
      <c r="AF31" s="62"/>
      <c r="AG31" s="2"/>
      <c r="AH31" s="62">
        <v>32.898296000000002</v>
      </c>
      <c r="AI31" s="62">
        <v>33.650548000000001</v>
      </c>
      <c r="AJ31" s="62">
        <v>26.859351</v>
      </c>
      <c r="AK31" s="81">
        <v>17.874461</v>
      </c>
      <c r="AL31" s="62">
        <v>14.979927</v>
      </c>
      <c r="AM31" s="64">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61">
        <v>13.498953</v>
      </c>
      <c r="CX31" s="28">
        <v>13.561076</v>
      </c>
      <c r="CY31" s="28">
        <v>13.475057</v>
      </c>
      <c r="CZ31" s="28">
        <v>13.710167999999999</v>
      </c>
      <c r="DA31" s="28"/>
      <c r="DB31" s="28">
        <v>17.160734000000001</v>
      </c>
      <c r="DC31" s="28">
        <v>17.562265</v>
      </c>
      <c r="DD31" s="28">
        <v>16.372714999999999</v>
      </c>
      <c r="DE31" s="28">
        <v>15.215363</v>
      </c>
      <c r="DF31" s="28">
        <v>14.910937000000001</v>
      </c>
      <c r="DG31" s="60"/>
      <c r="DH31" s="60"/>
      <c r="DI31" s="60"/>
      <c r="DJ31" s="60"/>
      <c r="DK31" s="60"/>
      <c r="DL31" s="60"/>
      <c r="DM31" s="60"/>
      <c r="DN31" s="60"/>
    </row>
    <row r="32" spans="3:118" ht="24" x14ac:dyDescent="0.3">
      <c r="C32" s="9" t="s">
        <v>18</v>
      </c>
      <c r="D32" s="38">
        <v>27665730</v>
      </c>
      <c r="E32" s="38">
        <v>281227494</v>
      </c>
      <c r="F32" s="38">
        <v>11571953</v>
      </c>
      <c r="G32" s="39">
        <v>134221196</v>
      </c>
      <c r="H32" s="41">
        <v>64.861952000000002</v>
      </c>
      <c r="I32" s="66">
        <v>23.307552999999999</v>
      </c>
      <c r="J32" s="41">
        <v>62.276108000000001</v>
      </c>
      <c r="K32" s="42"/>
      <c r="L32" s="62">
        <v>23.874721000000001</v>
      </c>
      <c r="M32" s="34"/>
      <c r="N32" s="34"/>
      <c r="Q32" s="36"/>
      <c r="R32" s="36">
        <v>61.497563</v>
      </c>
      <c r="S32" s="63">
        <v>14.593543</v>
      </c>
      <c r="T32" s="36">
        <v>22.797445</v>
      </c>
      <c r="U32" s="36">
        <v>23.402552</v>
      </c>
      <c r="V32" s="36">
        <v>33.459470000000003</v>
      </c>
      <c r="W32" s="36">
        <v>34.018352999999998</v>
      </c>
      <c r="X32" s="36"/>
      <c r="Y32" s="36"/>
      <c r="Z32" s="62" t="s">
        <v>3952</v>
      </c>
      <c r="AA32" s="64">
        <v>19.038239999999998</v>
      </c>
      <c r="AB32" s="62">
        <v>22.190639000000001</v>
      </c>
      <c r="AC32" s="62">
        <v>24.381515</v>
      </c>
      <c r="AD32" s="62">
        <v>23.402552</v>
      </c>
      <c r="AE32" s="62">
        <v>62.349538000000003</v>
      </c>
      <c r="AF32" s="62"/>
      <c r="AG32" s="2"/>
      <c r="AH32" s="62">
        <v>23.870360999999999</v>
      </c>
      <c r="AI32" s="62">
        <v>23.699166000000002</v>
      </c>
      <c r="AJ32" s="62">
        <v>23.586476000000001</v>
      </c>
      <c r="AK32" s="81">
        <v>23.874721000000001</v>
      </c>
      <c r="AL32" s="64">
        <v>22.983779999999999</v>
      </c>
      <c r="AM32" s="62">
        <v>23.600435999999998</v>
      </c>
      <c r="BX32" s="36" t="s">
        <v>3952</v>
      </c>
      <c r="BY32" s="36">
        <v>61.462595</v>
      </c>
      <c r="BZ32" s="36">
        <v>61.518717000000002</v>
      </c>
      <c r="CA32" s="36">
        <v>61.351903</v>
      </c>
      <c r="CB32" s="36">
        <v>61.497563</v>
      </c>
      <c r="CC32" s="36"/>
      <c r="CD32" s="36" t="s">
        <v>3952</v>
      </c>
      <c r="CE32" s="36">
        <v>14.690937999999999</v>
      </c>
      <c r="CF32" s="36">
        <v>14.624796999999999</v>
      </c>
      <c r="CG32" s="36">
        <v>14.572663</v>
      </c>
      <c r="CH32" s="36">
        <v>14.593543</v>
      </c>
      <c r="CI32" s="36"/>
      <c r="CJ32" s="36" t="s">
        <v>3952</v>
      </c>
      <c r="CK32" s="36">
        <v>22.539604000000001</v>
      </c>
      <c r="CL32" s="36">
        <v>23.702186999999999</v>
      </c>
      <c r="CM32" s="36">
        <v>23.556536000000001</v>
      </c>
      <c r="CN32" s="36">
        <v>22.797445</v>
      </c>
      <c r="CO32" s="36"/>
      <c r="CP32" s="36" t="s">
        <v>3952</v>
      </c>
      <c r="CQ32" s="36">
        <v>19.038239999999998</v>
      </c>
      <c r="CR32" s="36">
        <v>22.190639000000001</v>
      </c>
      <c r="CS32" s="36">
        <v>24.381515</v>
      </c>
      <c r="CT32" s="36">
        <v>23.402552</v>
      </c>
      <c r="CU32" s="36"/>
      <c r="CV32" s="36" t="s">
        <v>3952</v>
      </c>
      <c r="CW32" s="61">
        <v>27.892707000000001</v>
      </c>
      <c r="CX32" s="28">
        <v>33.187275</v>
      </c>
      <c r="CY32" s="28">
        <v>33.459439000000003</v>
      </c>
      <c r="CZ32" s="28">
        <v>33.459470000000003</v>
      </c>
      <c r="DA32" s="28"/>
      <c r="DB32" s="28" t="s">
        <v>3952</v>
      </c>
      <c r="DC32" s="28">
        <v>30.633164000000001</v>
      </c>
      <c r="DD32" s="28">
        <v>27.907267000000001</v>
      </c>
      <c r="DE32" s="28">
        <v>34.631189999999997</v>
      </c>
      <c r="DF32" s="28">
        <v>34.018352999999998</v>
      </c>
      <c r="DG32" s="60"/>
      <c r="DH32" s="60"/>
      <c r="DI32" s="60"/>
      <c r="DJ32" s="60"/>
      <c r="DK32" s="60"/>
      <c r="DL32" s="60"/>
      <c r="DM32" s="60"/>
      <c r="DN32" s="60"/>
    </row>
    <row r="33" spans="3:110" ht="24" x14ac:dyDescent="0.3">
      <c r="C33" s="11" t="s">
        <v>1436</v>
      </c>
      <c r="D33" s="38">
        <v>3790750</v>
      </c>
      <c r="E33" s="38">
        <v>44273578</v>
      </c>
      <c r="F33" s="38">
        <v>866662</v>
      </c>
      <c r="G33" s="39">
        <v>489911259</v>
      </c>
      <c r="H33" s="41">
        <v>11.255535999999999</v>
      </c>
      <c r="I33" s="66">
        <v>72.252588000000003</v>
      </c>
      <c r="J33" s="41">
        <v>11.012378999999999</v>
      </c>
      <c r="K33" s="42"/>
      <c r="L33" s="62">
        <v>12.491521000000001</v>
      </c>
      <c r="M33" s="34"/>
      <c r="N33" s="34"/>
      <c r="Q33" s="36"/>
      <c r="R33" s="36">
        <v>10.951333999999999</v>
      </c>
      <c r="S33" s="36">
        <v>10.963236</v>
      </c>
      <c r="T33" s="36">
        <v>54.170309000000003</v>
      </c>
      <c r="U33" s="36">
        <v>12.251068999999999</v>
      </c>
      <c r="V33" s="63">
        <v>10.051703</v>
      </c>
      <c r="W33" s="36">
        <v>11.501818999999999</v>
      </c>
      <c r="X33" s="36"/>
      <c r="Y33" s="36"/>
      <c r="Z33" s="64">
        <v>10.985128</v>
      </c>
      <c r="AA33" s="62">
        <v>24.484138000000002</v>
      </c>
      <c r="AB33" s="62">
        <v>14.510285</v>
      </c>
      <c r="AC33" s="62">
        <v>25.184752</v>
      </c>
      <c r="AD33" s="62">
        <v>12.251068999999999</v>
      </c>
      <c r="AE33" s="62">
        <v>10.99357</v>
      </c>
      <c r="AF33" s="62"/>
      <c r="AG33" s="2"/>
      <c r="AH33" s="62">
        <v>70.779948000000005</v>
      </c>
      <c r="AI33" s="62">
        <v>36.154864000000003</v>
      </c>
      <c r="AJ33" s="62">
        <v>14.040191</v>
      </c>
      <c r="AK33" s="81">
        <v>12.491521000000001</v>
      </c>
      <c r="AL33" s="64">
        <v>10.952605999999999</v>
      </c>
      <c r="AM33" s="62">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66">
        <v>249.501497</v>
      </c>
      <c r="J34" s="41">
        <v>13.855840000000001</v>
      </c>
      <c r="K34" s="42"/>
      <c r="L34" s="62">
        <v>19.519027000000001</v>
      </c>
      <c r="M34" s="34"/>
      <c r="N34" s="34"/>
      <c r="Q34" s="36"/>
      <c r="R34" s="63">
        <v>13.655882</v>
      </c>
      <c r="S34" s="36">
        <v>13.767106</v>
      </c>
      <c r="T34" s="36">
        <v>13.866118999999999</v>
      </c>
      <c r="U34" s="36">
        <v>13.683441999999999</v>
      </c>
      <c r="V34" s="36">
        <v>15.476198999999999</v>
      </c>
      <c r="W34" s="36">
        <v>26.673134000000001</v>
      </c>
      <c r="X34" s="36"/>
      <c r="Y34" s="36"/>
      <c r="Z34" s="62">
        <v>13.768544</v>
      </c>
      <c r="AA34" s="62">
        <v>13.709832</v>
      </c>
      <c r="AB34" s="62">
        <v>13.754296</v>
      </c>
      <c r="AC34" s="62">
        <v>13.739477000000001</v>
      </c>
      <c r="AD34" s="64">
        <v>13.683441999999999</v>
      </c>
      <c r="AE34" s="62">
        <v>13.846237</v>
      </c>
      <c r="AF34" s="62"/>
      <c r="AG34" s="2"/>
      <c r="AH34" s="62">
        <v>135.95858100000001</v>
      </c>
      <c r="AI34" s="62">
        <v>44.465473000000003</v>
      </c>
      <c r="AJ34" s="62">
        <v>19.936709</v>
      </c>
      <c r="AK34" s="81">
        <v>19.519027000000001</v>
      </c>
      <c r="AL34" s="62">
        <v>13.943114</v>
      </c>
      <c r="AM34" s="64">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9" t="s">
        <v>1405</v>
      </c>
      <c r="D35" s="38">
        <v>2093449</v>
      </c>
      <c r="E35" s="38">
        <v>52098498</v>
      </c>
      <c r="F35" s="38">
        <v>1140084</v>
      </c>
      <c r="G35" s="39">
        <v>7254227</v>
      </c>
      <c r="H35" s="41">
        <v>17.421547</v>
      </c>
      <c r="I35" s="66">
        <v>23.765003</v>
      </c>
      <c r="J35" s="41">
        <v>17.204273000000001</v>
      </c>
      <c r="K35" s="42"/>
      <c r="L35" s="62">
        <v>14.029244</v>
      </c>
      <c r="M35" s="34"/>
      <c r="N35" s="34"/>
      <c r="Q35" s="36"/>
      <c r="R35" s="36">
        <v>14.884015</v>
      </c>
      <c r="S35" s="36">
        <v>14.875719</v>
      </c>
      <c r="T35" s="36">
        <v>10.285456</v>
      </c>
      <c r="U35" s="63">
        <v>9.7142420000000005</v>
      </c>
      <c r="V35" s="36">
        <v>16.955068000000001</v>
      </c>
      <c r="W35" s="36">
        <v>21.411345000000001</v>
      </c>
      <c r="X35" s="36"/>
      <c r="Y35" s="36"/>
      <c r="Z35" s="62">
        <v>10.035354</v>
      </c>
      <c r="AA35" s="62">
        <v>10.008715</v>
      </c>
      <c r="AB35" s="62">
        <v>9.9801330000000004</v>
      </c>
      <c r="AC35" s="62">
        <v>9.9596330000000002</v>
      </c>
      <c r="AD35" s="64">
        <v>9.7142420000000005</v>
      </c>
      <c r="AE35" s="62">
        <v>17.168254999999998</v>
      </c>
      <c r="AF35" s="62"/>
      <c r="AG35" s="2"/>
      <c r="AH35" s="62">
        <v>24.845267</v>
      </c>
      <c r="AI35" s="62">
        <v>18.504155000000001</v>
      </c>
      <c r="AJ35" s="62">
        <v>12.088297000000001</v>
      </c>
      <c r="AK35" s="81">
        <v>14.029244</v>
      </c>
      <c r="AL35" s="62">
        <v>10.332112</v>
      </c>
      <c r="AM35" s="64">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11" t="s">
        <v>2</v>
      </c>
      <c r="D36" s="38">
        <v>4382070</v>
      </c>
      <c r="E36" s="38">
        <v>38996662</v>
      </c>
      <c r="F36" s="38">
        <v>699764</v>
      </c>
      <c r="G36" s="39">
        <v>287608260</v>
      </c>
      <c r="H36" s="41">
        <v>7.5799459999999996</v>
      </c>
      <c r="I36" s="66">
        <v>38.782924999999999</v>
      </c>
      <c r="J36" s="41">
        <v>7.4260539999999997</v>
      </c>
      <c r="K36" s="42"/>
      <c r="L36" s="62">
        <v>8.0992370000000005</v>
      </c>
      <c r="M36" s="34"/>
      <c r="N36" s="34"/>
      <c r="Q36" s="36"/>
      <c r="R36" s="36">
        <v>7.4029600000000002</v>
      </c>
      <c r="S36" s="63">
        <v>7.3393490000000003</v>
      </c>
      <c r="T36" s="36">
        <v>30.352397</v>
      </c>
      <c r="U36" s="36">
        <v>16.638375</v>
      </c>
      <c r="V36" s="36">
        <v>15.564017</v>
      </c>
      <c r="W36" s="36">
        <v>8.9574529999999992</v>
      </c>
      <c r="X36" s="36"/>
      <c r="Y36" s="36"/>
      <c r="Z36" s="62">
        <v>7.4838909999999998</v>
      </c>
      <c r="AA36" s="64">
        <v>6.9780889999999998</v>
      </c>
      <c r="AB36" s="62">
        <v>8.8413760000000003</v>
      </c>
      <c r="AC36" s="62">
        <v>13.732281</v>
      </c>
      <c r="AD36" s="62">
        <v>16.638375</v>
      </c>
      <c r="AE36" s="62">
        <v>7.441986</v>
      </c>
      <c r="AF36" s="62"/>
      <c r="AG36" s="2"/>
      <c r="AH36" s="62">
        <v>39.398195000000001</v>
      </c>
      <c r="AI36" s="62">
        <v>24.970780000000001</v>
      </c>
      <c r="AJ36" s="62">
        <v>10.586722</v>
      </c>
      <c r="AK36" s="80">
        <v>8.0992370000000005</v>
      </c>
      <c r="AL36" s="62">
        <v>10.154279000000001</v>
      </c>
      <c r="AM36" s="62">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v>
      </c>
      <c r="D37" s="38">
        <v>18268991</v>
      </c>
      <c r="E37" s="38">
        <v>253780418</v>
      </c>
      <c r="F37" s="38">
        <v>612308</v>
      </c>
      <c r="G37" s="39">
        <v>240680701</v>
      </c>
      <c r="H37" s="41">
        <v>6.968604</v>
      </c>
      <c r="I37" s="66">
        <v>45.206122000000001</v>
      </c>
      <c r="J37" s="41">
        <v>6.9283619999999999</v>
      </c>
      <c r="K37" s="42"/>
      <c r="L37" s="62">
        <v>10.693218999999999</v>
      </c>
      <c r="M37" s="34"/>
      <c r="N37" s="34"/>
      <c r="Q37" s="36"/>
      <c r="R37" s="36">
        <v>6.7208730000000001</v>
      </c>
      <c r="S37" s="36">
        <v>6.6653180000000001</v>
      </c>
      <c r="T37" s="36">
        <v>6.5337870000000002</v>
      </c>
      <c r="U37" s="63">
        <v>5.5608430000000002</v>
      </c>
      <c r="V37" s="36">
        <v>7.5872120000000001</v>
      </c>
      <c r="W37" s="36">
        <v>8.6746879999999997</v>
      </c>
      <c r="X37" s="36"/>
      <c r="Y37" s="36"/>
      <c r="Z37" s="62">
        <v>6.3712010000000001</v>
      </c>
      <c r="AA37" s="62">
        <v>5.9646280000000003</v>
      </c>
      <c r="AB37" s="64">
        <v>5.501906</v>
      </c>
      <c r="AC37" s="62">
        <v>5.928833</v>
      </c>
      <c r="AD37" s="62">
        <v>5.5608430000000002</v>
      </c>
      <c r="AE37" s="62">
        <v>7.0371350000000001</v>
      </c>
      <c r="AF37" s="62"/>
      <c r="AG37" s="2"/>
      <c r="AH37" s="62">
        <v>46.080365</v>
      </c>
      <c r="AI37" s="62">
        <v>41.075226999999998</v>
      </c>
      <c r="AJ37" s="62">
        <v>16.640592999999999</v>
      </c>
      <c r="AK37" s="81">
        <v>10.693218999999999</v>
      </c>
      <c r="AL37" s="62">
        <v>7.1503240000000003</v>
      </c>
      <c r="AM37" s="64">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66">
        <v>24.346118000000001</v>
      </c>
      <c r="J38" s="41">
        <v>8.328792</v>
      </c>
      <c r="K38" s="42"/>
      <c r="L38" s="62">
        <v>9.3502709999999993</v>
      </c>
      <c r="M38" s="34"/>
      <c r="N38" s="34"/>
      <c r="Q38" s="36"/>
      <c r="R38" s="36">
        <v>8.2163120000000003</v>
      </c>
      <c r="S38" s="36">
        <v>8.2773319999999995</v>
      </c>
      <c r="T38" s="63">
        <v>7.3272490000000001</v>
      </c>
      <c r="U38" s="36">
        <v>9.3781920000000003</v>
      </c>
      <c r="V38" s="36">
        <v>9.2754119999999993</v>
      </c>
      <c r="W38" s="36">
        <v>13.324966</v>
      </c>
      <c r="X38" s="36"/>
      <c r="Y38" s="36"/>
      <c r="Z38" s="64">
        <v>8.0431629999999998</v>
      </c>
      <c r="AA38" s="62">
        <v>8.1044959999999993</v>
      </c>
      <c r="AB38" s="62">
        <v>9.663278</v>
      </c>
      <c r="AC38" s="62">
        <v>9.4633629999999993</v>
      </c>
      <c r="AD38" s="62">
        <v>9.3781920000000003</v>
      </c>
      <c r="AE38" s="62">
        <v>8.131786</v>
      </c>
      <c r="AF38" s="62"/>
      <c r="AG38" s="2"/>
      <c r="AH38" s="62">
        <v>25.285789000000001</v>
      </c>
      <c r="AI38" s="62">
        <v>18.451986999999999</v>
      </c>
      <c r="AJ38" s="62">
        <v>11.033265999999999</v>
      </c>
      <c r="AK38" s="81">
        <v>9.3502709999999993</v>
      </c>
      <c r="AL38" s="64">
        <v>8.8212119999999992</v>
      </c>
      <c r="AM38" s="62">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1423</v>
      </c>
      <c r="D39" s="38">
        <v>7570051</v>
      </c>
      <c r="E39" s="38">
        <v>43881980</v>
      </c>
      <c r="F39" s="38">
        <v>5669991</v>
      </c>
      <c r="G39" s="39">
        <v>41148109</v>
      </c>
      <c r="H39" s="41">
        <v>12.697224</v>
      </c>
      <c r="I39" s="66">
        <v>4.7210000000000001</v>
      </c>
      <c r="J39" s="41">
        <v>12.267455</v>
      </c>
      <c r="K39" s="42"/>
      <c r="L39" s="62">
        <v>2.3150789999999999</v>
      </c>
      <c r="M39" s="34"/>
      <c r="N39" s="34"/>
      <c r="Q39" s="36"/>
      <c r="R39" s="36">
        <v>12.309856999999999</v>
      </c>
      <c r="S39" s="36">
        <v>12.126726</v>
      </c>
      <c r="T39" s="63">
        <v>2.378546</v>
      </c>
      <c r="U39" s="36">
        <v>2.3975939999999998</v>
      </c>
      <c r="V39" s="36">
        <v>3.0376650000000001</v>
      </c>
      <c r="W39" s="36">
        <v>3.957427</v>
      </c>
      <c r="X39" s="36"/>
      <c r="Y39" s="36"/>
      <c r="Z39" s="62">
        <v>2.612104</v>
      </c>
      <c r="AA39" s="64">
        <v>2.2804229999999999</v>
      </c>
      <c r="AB39" s="62">
        <v>2.8778700000000002</v>
      </c>
      <c r="AC39" s="62">
        <v>2.7082639999999998</v>
      </c>
      <c r="AD39" s="62">
        <v>2.3975939999999998</v>
      </c>
      <c r="AE39" s="62">
        <v>12.236701999999999</v>
      </c>
      <c r="AF39" s="62"/>
      <c r="AG39" s="2"/>
      <c r="AH39" s="62">
        <v>5.0319640000000003</v>
      </c>
      <c r="AI39" s="62">
        <v>5.0902940000000001</v>
      </c>
      <c r="AJ39" s="62">
        <v>3.658709</v>
      </c>
      <c r="AK39" s="80">
        <v>2.3150789999999999</v>
      </c>
      <c r="AL39" s="62">
        <v>2.3561619999999999</v>
      </c>
      <c r="AM39" s="62">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9" t="s">
        <v>1438</v>
      </c>
      <c r="D40" s="38">
        <v>7891015</v>
      </c>
      <c r="E40" s="38">
        <v>127830770</v>
      </c>
      <c r="F40" s="38">
        <v>3636005</v>
      </c>
      <c r="G40" s="39">
        <v>52252646</v>
      </c>
      <c r="H40" s="41">
        <v>11.282028</v>
      </c>
      <c r="I40" s="66">
        <v>2.9514300000000002</v>
      </c>
      <c r="J40" s="41">
        <v>10.717722999999999</v>
      </c>
      <c r="K40" s="42"/>
      <c r="L40" s="62">
        <v>2.0402999999999998</v>
      </c>
      <c r="M40" s="34"/>
      <c r="N40" s="34"/>
      <c r="Q40" s="36"/>
      <c r="R40" s="63">
        <v>0.91381900000000005</v>
      </c>
      <c r="S40" s="36">
        <v>1.0256719999999999</v>
      </c>
      <c r="T40" s="36">
        <v>1.475352</v>
      </c>
      <c r="U40" s="36">
        <v>1.407124</v>
      </c>
      <c r="V40" s="36">
        <v>2.2381350000000002</v>
      </c>
      <c r="W40" s="36">
        <v>2.1916760000000002</v>
      </c>
      <c r="X40" s="36"/>
      <c r="Y40" s="36"/>
      <c r="Z40" s="64">
        <v>1.3718630000000001</v>
      </c>
      <c r="AA40" s="62">
        <v>1.745949</v>
      </c>
      <c r="AB40" s="62">
        <v>1.3739730000000001</v>
      </c>
      <c r="AC40" s="62">
        <v>1.416954</v>
      </c>
      <c r="AD40" s="62">
        <v>1.407124</v>
      </c>
      <c r="AE40" s="62">
        <v>10.805961999999999</v>
      </c>
      <c r="AF40" s="62"/>
      <c r="AG40" s="2"/>
      <c r="AH40" s="62">
        <v>3.0709420000000001</v>
      </c>
      <c r="AI40" s="62">
        <v>3.0666850000000001</v>
      </c>
      <c r="AJ40" s="62">
        <v>2.5837189999999999</v>
      </c>
      <c r="AK40" s="81">
        <v>2.0402999999999998</v>
      </c>
      <c r="AL40" s="64">
        <v>1.3988050000000001</v>
      </c>
      <c r="AM40" s="62">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1449</v>
      </c>
      <c r="D41" s="38">
        <v>4799646</v>
      </c>
      <c r="E41" s="38">
        <v>63844012</v>
      </c>
      <c r="F41" s="38">
        <v>1076572</v>
      </c>
      <c r="G41" s="39">
        <v>157475935</v>
      </c>
      <c r="H41" s="41">
        <v>6.8452809999999999</v>
      </c>
      <c r="I41" s="66">
        <v>23.708839000000001</v>
      </c>
      <c r="J41" s="41">
        <v>5.0708260000000003</v>
      </c>
      <c r="K41" s="42"/>
      <c r="L41" s="62">
        <v>7.6292460000000002</v>
      </c>
      <c r="M41" s="34"/>
      <c r="N41" s="34"/>
      <c r="Q41" s="36"/>
      <c r="R41" s="36">
        <v>4.3548289999999996</v>
      </c>
      <c r="S41" s="36">
        <v>4.405519</v>
      </c>
      <c r="T41" s="63">
        <v>4.1518629999999996</v>
      </c>
      <c r="U41" s="36">
        <v>4.5412239999999997</v>
      </c>
      <c r="V41" s="36">
        <v>7.6399949999999999</v>
      </c>
      <c r="W41" s="36">
        <v>11.084069</v>
      </c>
      <c r="X41" s="36"/>
      <c r="Y41" s="36"/>
      <c r="Z41" s="62">
        <v>7.7199739999999997</v>
      </c>
      <c r="AA41" s="62">
        <v>5.6786529999999997</v>
      </c>
      <c r="AB41" s="62">
        <v>6.9562350000000004</v>
      </c>
      <c r="AC41" s="64">
        <v>4.2630150000000002</v>
      </c>
      <c r="AD41" s="62">
        <v>4.5412239999999997</v>
      </c>
      <c r="AE41" s="62">
        <v>5.1026119999999997</v>
      </c>
      <c r="AF41" s="62"/>
      <c r="AG41" s="2"/>
      <c r="AH41" s="62">
        <v>24.657084999999999</v>
      </c>
      <c r="AI41" s="62">
        <v>14.962254</v>
      </c>
      <c r="AJ41" s="62">
        <v>7.9662680000000003</v>
      </c>
      <c r="AK41" s="81">
        <v>7.6292460000000002</v>
      </c>
      <c r="AL41" s="62">
        <v>6.1869690000000004</v>
      </c>
      <c r="AM41" s="64">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4</v>
      </c>
      <c r="D42" s="38">
        <v>1203995</v>
      </c>
      <c r="E42" s="38">
        <v>40033816</v>
      </c>
      <c r="F42" s="38">
        <v>81090</v>
      </c>
      <c r="G42" s="39">
        <v>148294115</v>
      </c>
      <c r="H42" s="41">
        <v>3.9173870000000002</v>
      </c>
      <c r="I42" s="66">
        <v>28.647296999999998</v>
      </c>
      <c r="J42" s="41">
        <v>3.7129669999999999</v>
      </c>
      <c r="K42" s="42"/>
      <c r="L42" s="62">
        <v>7.8326770000000003</v>
      </c>
      <c r="M42" s="34"/>
      <c r="N42" s="34"/>
      <c r="Q42" s="36"/>
      <c r="R42" s="36">
        <v>3.7352590000000001</v>
      </c>
      <c r="S42" s="63">
        <v>3.7348530000000002</v>
      </c>
      <c r="T42" s="36">
        <v>3.9193440000000002</v>
      </c>
      <c r="U42" s="36">
        <v>6.5688570000000004</v>
      </c>
      <c r="V42" s="36">
        <v>6.4660679999999999</v>
      </c>
      <c r="W42" s="36">
        <v>6.5621369999999999</v>
      </c>
      <c r="X42" s="36"/>
      <c r="Y42" s="36"/>
      <c r="Z42" s="62">
        <v>5.7345649999999999</v>
      </c>
      <c r="AA42" s="62">
        <v>4.968477</v>
      </c>
      <c r="AB42" s="62">
        <v>4.9603120000000001</v>
      </c>
      <c r="AC42" s="62">
        <v>5.9265220000000003</v>
      </c>
      <c r="AD42" s="62">
        <v>6.5688570000000004</v>
      </c>
      <c r="AE42" s="64">
        <v>3.7237450000000001</v>
      </c>
      <c r="AF42" s="62"/>
      <c r="AG42" s="2"/>
      <c r="AH42" s="62">
        <v>29.066706</v>
      </c>
      <c r="AI42" s="62">
        <v>18.238071000000001</v>
      </c>
      <c r="AJ42" s="62">
        <v>10.746964</v>
      </c>
      <c r="AK42" s="81">
        <v>7.8326770000000003</v>
      </c>
      <c r="AL42" s="64">
        <v>5.2079279999999999</v>
      </c>
      <c r="AM42" s="62">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1447</v>
      </c>
      <c r="D43" s="38">
        <v>7489073</v>
      </c>
      <c r="E43" s="38">
        <v>224610814</v>
      </c>
      <c r="F43" s="38">
        <v>1053720</v>
      </c>
      <c r="G43" s="39">
        <v>148627058</v>
      </c>
      <c r="H43" s="41">
        <v>4.1408459999999998</v>
      </c>
      <c r="I43" s="66">
        <v>37.416477</v>
      </c>
      <c r="J43" s="41">
        <v>3.9712429999999999</v>
      </c>
      <c r="K43" s="42"/>
      <c r="L43" s="62">
        <v>5.235112</v>
      </c>
      <c r="M43" s="34"/>
      <c r="N43" s="34"/>
      <c r="Q43" s="36"/>
      <c r="R43" s="63">
        <v>2.7308180000000002</v>
      </c>
      <c r="S43" s="36">
        <v>2.745047</v>
      </c>
      <c r="T43" s="36">
        <v>2.991222</v>
      </c>
      <c r="U43" s="36">
        <v>5.0464070000000003</v>
      </c>
      <c r="V43" s="36">
        <v>11.207875</v>
      </c>
      <c r="W43" s="36">
        <v>19.292753000000001</v>
      </c>
      <c r="X43" s="36"/>
      <c r="Y43" s="36"/>
      <c r="Z43" s="64">
        <v>4.9159449999999998</v>
      </c>
      <c r="AA43" s="62">
        <v>5.2631620000000003</v>
      </c>
      <c r="AB43" s="62">
        <v>5.0101829999999996</v>
      </c>
      <c r="AC43" s="62">
        <v>4.9662660000000001</v>
      </c>
      <c r="AD43" s="62">
        <v>5.0464070000000003</v>
      </c>
      <c r="AE43" s="62">
        <v>5.0425500000000003</v>
      </c>
      <c r="AF43" s="62"/>
      <c r="AG43" s="2"/>
      <c r="AH43" s="62">
        <v>37.827463000000002</v>
      </c>
      <c r="AI43" s="62">
        <v>17.762801</v>
      </c>
      <c r="AJ43" s="62">
        <v>5.4301640000000004</v>
      </c>
      <c r="AK43" s="81">
        <v>5.235112</v>
      </c>
      <c r="AL43" s="62">
        <v>5.2860459999999998</v>
      </c>
      <c r="AM43" s="64">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66">
        <v>9.5797369999999997</v>
      </c>
      <c r="J44" s="41">
        <v>4.8326019999999996</v>
      </c>
      <c r="K44" s="42"/>
      <c r="L44" s="62">
        <v>3.0204589999999998</v>
      </c>
      <c r="M44" s="34"/>
      <c r="N44" s="34"/>
      <c r="Q44" s="36"/>
      <c r="R44" s="63">
        <v>2.298238</v>
      </c>
      <c r="S44" s="36">
        <v>2.3113419999999998</v>
      </c>
      <c r="T44" s="36">
        <v>5.6258749999999997</v>
      </c>
      <c r="U44" s="36">
        <v>7.1085659999999997</v>
      </c>
      <c r="V44" s="36">
        <v>5.8038160000000003</v>
      </c>
      <c r="W44" s="36">
        <v>6.3134329999999999</v>
      </c>
      <c r="X44" s="36"/>
      <c r="Y44" s="36"/>
      <c r="Z44" s="62">
        <v>4.7288139999999999</v>
      </c>
      <c r="AA44" s="64">
        <v>3.5417339999999999</v>
      </c>
      <c r="AB44" s="62">
        <v>6.9782989999999998</v>
      </c>
      <c r="AC44" s="62">
        <v>6.7926650000000004</v>
      </c>
      <c r="AD44" s="62">
        <v>7.1085659999999997</v>
      </c>
      <c r="AE44" s="62">
        <v>4.8902979999999996</v>
      </c>
      <c r="AF44" s="62"/>
      <c r="AG44" s="2"/>
      <c r="AH44" s="62">
        <v>9.8667409999999993</v>
      </c>
      <c r="AI44" s="62">
        <v>9.5915490000000005</v>
      </c>
      <c r="AJ44" s="62">
        <v>4.5494120000000002</v>
      </c>
      <c r="AK44" s="80">
        <v>3.0204589999999998</v>
      </c>
      <c r="AL44" s="62">
        <v>3.0986509999999998</v>
      </c>
      <c r="AM44" s="62">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1461</v>
      </c>
      <c r="D45" s="38">
        <v>33777768</v>
      </c>
      <c r="E45" s="38">
        <v>274478882</v>
      </c>
      <c r="F45" s="38">
        <v>1057783</v>
      </c>
      <c r="G45" s="39">
        <v>152479402</v>
      </c>
      <c r="H45" s="41">
        <v>3.8363990000000001</v>
      </c>
      <c r="I45" s="66">
        <v>18.665141999999999</v>
      </c>
      <c r="J45" s="40">
        <v>4.2303030000000001</v>
      </c>
      <c r="K45" s="42"/>
      <c r="L45" s="62">
        <v>7.6161149999999997</v>
      </c>
      <c r="M45" s="34"/>
      <c r="N45" s="34"/>
      <c r="Q45" s="36"/>
      <c r="R45" s="63">
        <v>3.607138</v>
      </c>
      <c r="S45" s="36">
        <v>3.858053</v>
      </c>
      <c r="T45" s="36">
        <v>3.7906369999999998</v>
      </c>
      <c r="U45" s="36">
        <v>5.9706149999999996</v>
      </c>
      <c r="V45" s="36">
        <v>9.8056099999999997</v>
      </c>
      <c r="W45" s="36">
        <v>15.526032000000001</v>
      </c>
      <c r="X45" s="36"/>
      <c r="Y45" s="36"/>
      <c r="Z45" s="62">
        <v>5.9744669999999998</v>
      </c>
      <c r="AA45" s="62">
        <v>6.0800979999999996</v>
      </c>
      <c r="AB45" s="62">
        <v>6.0698290000000004</v>
      </c>
      <c r="AC45" s="62">
        <v>5.979158</v>
      </c>
      <c r="AD45" s="62">
        <v>5.9706149999999996</v>
      </c>
      <c r="AE45" s="64">
        <v>4.1194170000000003</v>
      </c>
      <c r="AF45" s="62"/>
      <c r="AG45" s="2"/>
      <c r="AH45" s="62">
        <v>19.474523999999999</v>
      </c>
      <c r="AI45" s="62">
        <v>19.652605999999999</v>
      </c>
      <c r="AJ45" s="62">
        <v>15.225944999999999</v>
      </c>
      <c r="AK45" s="81">
        <v>7.6161149999999997</v>
      </c>
      <c r="AL45" s="64">
        <v>5.9954960000000002</v>
      </c>
      <c r="AM45" s="62">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1433</v>
      </c>
      <c r="D46" s="38">
        <v>2646291</v>
      </c>
      <c r="E46" s="38">
        <v>42433496</v>
      </c>
      <c r="F46" s="38">
        <v>850681</v>
      </c>
      <c r="G46" s="39">
        <v>110149144</v>
      </c>
      <c r="H46" s="41">
        <v>3.8337750000000002</v>
      </c>
      <c r="I46" s="66">
        <v>15.348898999999999</v>
      </c>
      <c r="J46" s="40">
        <v>3.679964</v>
      </c>
      <c r="K46" s="42"/>
      <c r="L46" s="62">
        <v>4.8238430000000001</v>
      </c>
      <c r="M46" s="34"/>
      <c r="N46" s="34"/>
      <c r="Q46" s="36"/>
      <c r="R46" s="63">
        <v>3.0170669999999999</v>
      </c>
      <c r="S46" s="36">
        <v>3.0579550000000002</v>
      </c>
      <c r="T46" s="36">
        <v>6.9285709999999998</v>
      </c>
      <c r="U46" s="36">
        <v>4.584854</v>
      </c>
      <c r="V46" s="36">
        <v>4.2570389999999998</v>
      </c>
      <c r="W46" s="36">
        <v>6.844951</v>
      </c>
      <c r="X46" s="36"/>
      <c r="Y46" s="36"/>
      <c r="Z46" s="62">
        <v>3.7684950000000002</v>
      </c>
      <c r="AA46" s="62">
        <v>7.6267189999999996</v>
      </c>
      <c r="AB46" s="62">
        <v>4.3931060000000004</v>
      </c>
      <c r="AC46" s="64">
        <v>3.2580420000000001</v>
      </c>
      <c r="AD46" s="62">
        <v>4.584854</v>
      </c>
      <c r="AE46" s="62">
        <v>3.6788080000000001</v>
      </c>
      <c r="AF46" s="62"/>
      <c r="AG46" s="2"/>
      <c r="AH46" s="62">
        <v>15.879493</v>
      </c>
      <c r="AI46" s="62">
        <v>9.7810070000000007</v>
      </c>
      <c r="AJ46" s="62">
        <v>5.0213239999999999</v>
      </c>
      <c r="AK46" s="81">
        <v>4.8238430000000001</v>
      </c>
      <c r="AL46" s="64">
        <v>4.510281</v>
      </c>
      <c r="AM46" s="62">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1391</v>
      </c>
      <c r="D47" s="38">
        <v>8482737</v>
      </c>
      <c r="E47" s="38">
        <v>23585644</v>
      </c>
      <c r="F47" s="38">
        <v>8421430</v>
      </c>
      <c r="G47" s="39">
        <v>12043741</v>
      </c>
      <c r="H47" s="41">
        <v>7.652196</v>
      </c>
      <c r="I47" s="66">
        <v>0.89532500000000004</v>
      </c>
      <c r="J47" s="40">
        <v>7.3661770000000004</v>
      </c>
      <c r="K47" s="42"/>
      <c r="L47" s="62">
        <v>0.873803</v>
      </c>
      <c r="M47" s="34"/>
      <c r="N47" s="34"/>
      <c r="Q47" s="36"/>
      <c r="R47" s="63">
        <v>0.77029800000000004</v>
      </c>
      <c r="S47" s="36">
        <v>0.79803299999999999</v>
      </c>
      <c r="T47" s="36">
        <v>0.85334600000000005</v>
      </c>
      <c r="U47" s="36">
        <v>0.87457700000000005</v>
      </c>
      <c r="V47" s="36">
        <v>1.059347</v>
      </c>
      <c r="W47" s="36">
        <v>1.1732100000000001</v>
      </c>
      <c r="X47" s="36"/>
      <c r="Y47" s="36"/>
      <c r="Z47" s="62" t="s">
        <v>3952</v>
      </c>
      <c r="AA47" s="62">
        <v>0.882826</v>
      </c>
      <c r="AB47" s="64">
        <v>0.86643700000000001</v>
      </c>
      <c r="AC47" s="62">
        <v>0.887459</v>
      </c>
      <c r="AD47" s="62">
        <v>0.87457700000000005</v>
      </c>
      <c r="AE47" s="62">
        <v>7.3600519999999996</v>
      </c>
      <c r="AF47" s="62"/>
      <c r="AG47" s="2"/>
      <c r="AH47" s="62">
        <v>0.90565799999999996</v>
      </c>
      <c r="AI47" s="62">
        <v>0.89759800000000001</v>
      </c>
      <c r="AJ47" s="62">
        <v>0.88042100000000001</v>
      </c>
      <c r="AK47" s="80">
        <v>0.873803</v>
      </c>
      <c r="AL47" s="62">
        <v>0.88151900000000005</v>
      </c>
      <c r="AM47" s="62">
        <v>0.898675</v>
      </c>
      <c r="BX47" s="36" t="s">
        <v>3952</v>
      </c>
      <c r="BY47" s="36">
        <v>0.83311199999999996</v>
      </c>
      <c r="BZ47" s="36">
        <v>0.79214300000000004</v>
      </c>
      <c r="CA47" s="36">
        <v>0.78086100000000003</v>
      </c>
      <c r="CB47" s="36">
        <v>0.77029800000000004</v>
      </c>
      <c r="CC47" s="36"/>
      <c r="CD47" s="36" t="s">
        <v>3952</v>
      </c>
      <c r="CE47" s="36">
        <v>0.80342400000000003</v>
      </c>
      <c r="CF47" s="36">
        <v>0.80254800000000004</v>
      </c>
      <c r="CG47" s="36">
        <v>0.78586599999999995</v>
      </c>
      <c r="CH47" s="36">
        <v>0.79803299999999999</v>
      </c>
      <c r="CI47" s="36"/>
      <c r="CJ47" s="36" t="s">
        <v>3952</v>
      </c>
      <c r="CK47" s="36">
        <v>0.859205</v>
      </c>
      <c r="CL47" s="36">
        <v>0.84983500000000001</v>
      </c>
      <c r="CM47" s="36">
        <v>0.85432600000000003</v>
      </c>
      <c r="CN47" s="36">
        <v>0.85334600000000005</v>
      </c>
      <c r="CO47" s="36"/>
      <c r="CP47" s="36" t="s">
        <v>3952</v>
      </c>
      <c r="CQ47" s="36">
        <v>0.882826</v>
      </c>
      <c r="CR47" s="36">
        <v>0.86643700000000001</v>
      </c>
      <c r="CS47" s="36">
        <v>0.887459</v>
      </c>
      <c r="CT47" s="36">
        <v>0.87457700000000005</v>
      </c>
      <c r="CU47" s="36"/>
      <c r="CV47" s="36" t="s">
        <v>3952</v>
      </c>
      <c r="CW47" s="36">
        <v>0.89251499999999995</v>
      </c>
      <c r="CX47" s="36">
        <v>0.90613100000000002</v>
      </c>
      <c r="CY47" s="36">
        <v>1.049385</v>
      </c>
      <c r="CZ47" s="36">
        <v>1.059347</v>
      </c>
      <c r="DA47" s="36"/>
      <c r="DB47" s="36" t="s">
        <v>3952</v>
      </c>
      <c r="DC47" s="36">
        <v>0.97771799999999998</v>
      </c>
      <c r="DD47" s="36">
        <v>1.0077719999999999</v>
      </c>
      <c r="DE47" s="36">
        <v>1.1623920000000001</v>
      </c>
      <c r="DF47" s="36">
        <v>1.1732100000000001</v>
      </c>
    </row>
    <row r="48" spans="3:110" ht="24" x14ac:dyDescent="0.3">
      <c r="C48" s="11" t="s">
        <v>1448</v>
      </c>
      <c r="D48" s="38">
        <v>5267977</v>
      </c>
      <c r="E48" s="38">
        <v>55363430</v>
      </c>
      <c r="F48" s="38">
        <v>590528</v>
      </c>
      <c r="G48" s="39">
        <v>99655585</v>
      </c>
      <c r="H48" s="41">
        <v>3.4353509999999998</v>
      </c>
      <c r="I48" s="66">
        <v>16.841013</v>
      </c>
      <c r="J48" s="40">
        <v>3.20539</v>
      </c>
      <c r="K48" s="42"/>
      <c r="L48" s="62">
        <v>5.4122669999999999</v>
      </c>
      <c r="M48" s="34"/>
      <c r="N48" s="34"/>
      <c r="Q48" s="36"/>
      <c r="R48" s="63">
        <v>2.930409</v>
      </c>
      <c r="S48" s="36">
        <v>3.0040309999999999</v>
      </c>
      <c r="T48" s="36">
        <v>8.0475460000000005</v>
      </c>
      <c r="U48" s="36">
        <v>5.8204750000000001</v>
      </c>
      <c r="V48" s="36">
        <v>6.5761799999999999</v>
      </c>
      <c r="W48" s="36">
        <v>8.7387759999999997</v>
      </c>
      <c r="X48" s="36"/>
      <c r="Y48" s="36"/>
      <c r="Z48" s="62">
        <v>7.306724</v>
      </c>
      <c r="AA48" s="62">
        <v>5.6608270000000003</v>
      </c>
      <c r="AB48" s="62">
        <v>3.2373270000000001</v>
      </c>
      <c r="AC48" s="62">
        <v>5.1682810000000003</v>
      </c>
      <c r="AD48" s="62">
        <v>5.8204750000000001</v>
      </c>
      <c r="AE48" s="64">
        <v>3.1789939999999999</v>
      </c>
      <c r="AF48" s="62"/>
      <c r="AG48" s="2"/>
      <c r="AH48" s="62">
        <v>17.522859</v>
      </c>
      <c r="AI48" s="62">
        <v>13.057527</v>
      </c>
      <c r="AJ48" s="62">
        <v>6.6693540000000002</v>
      </c>
      <c r="AK48" s="81">
        <v>5.4122669999999999</v>
      </c>
      <c r="AL48" s="64">
        <v>3.4647009999999998</v>
      </c>
      <c r="AM48" s="62">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9" t="s">
        <v>11</v>
      </c>
      <c r="D49" s="38">
        <v>2394385</v>
      </c>
      <c r="E49" s="38">
        <v>9319130</v>
      </c>
      <c r="F49" s="38">
        <v>100029</v>
      </c>
      <c r="G49" s="39">
        <v>86333306</v>
      </c>
      <c r="H49" s="41">
        <v>3.3782510000000001</v>
      </c>
      <c r="I49" s="66">
        <v>11.48353</v>
      </c>
      <c r="J49" s="40">
        <v>1.765601</v>
      </c>
      <c r="K49" s="42"/>
      <c r="L49" s="62">
        <v>2.5116809999999998</v>
      </c>
      <c r="M49" s="34"/>
      <c r="N49" s="34"/>
      <c r="Q49" s="36"/>
      <c r="R49" s="36">
        <v>1.751118</v>
      </c>
      <c r="S49" s="63">
        <v>1.6193029999999999</v>
      </c>
      <c r="T49" s="36">
        <v>11.312514999999999</v>
      </c>
      <c r="U49" s="36">
        <v>2.2555290000000001</v>
      </c>
      <c r="V49" s="36">
        <v>3.395019</v>
      </c>
      <c r="W49" s="36">
        <v>3.808462</v>
      </c>
      <c r="X49" s="36"/>
      <c r="Y49" s="36"/>
      <c r="Z49" s="62">
        <v>3.5533090000000001</v>
      </c>
      <c r="AA49" s="62">
        <v>2.248777</v>
      </c>
      <c r="AB49" s="62">
        <v>3.2036150000000001</v>
      </c>
      <c r="AC49" s="62">
        <v>6.0379810000000003</v>
      </c>
      <c r="AD49" s="62">
        <v>2.2555290000000001</v>
      </c>
      <c r="AE49" s="64">
        <v>1.767763</v>
      </c>
      <c r="AF49" s="62"/>
      <c r="AG49" s="2"/>
      <c r="AH49" s="62">
        <v>11.706106</v>
      </c>
      <c r="AI49" s="62">
        <v>8.6398089999999996</v>
      </c>
      <c r="AJ49" s="62">
        <v>2.9338440000000001</v>
      </c>
      <c r="AK49" s="81">
        <v>2.5116809999999998</v>
      </c>
      <c r="AL49" s="62">
        <v>8.3705219999999994</v>
      </c>
      <c r="AM49" s="64">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9" t="s">
        <v>1434</v>
      </c>
      <c r="D50" s="38">
        <v>7825669</v>
      </c>
      <c r="E50" s="38">
        <v>124492028</v>
      </c>
      <c r="F50" s="38">
        <v>204282</v>
      </c>
      <c r="G50" s="39">
        <v>74995873</v>
      </c>
      <c r="H50" s="41">
        <v>2.4138410000000001</v>
      </c>
      <c r="I50" s="66">
        <v>11.794521</v>
      </c>
      <c r="J50" s="40">
        <v>2.4274909999999998</v>
      </c>
      <c r="K50" s="42"/>
      <c r="L50" s="62">
        <v>4.758845</v>
      </c>
      <c r="M50" s="34"/>
      <c r="N50" s="34"/>
      <c r="Q50" s="36"/>
      <c r="R50" s="36">
        <v>2.1273040000000001</v>
      </c>
      <c r="S50" s="63">
        <v>2.1008070000000001</v>
      </c>
      <c r="T50" s="36">
        <v>2.4339580000000001</v>
      </c>
      <c r="U50" s="36">
        <v>3.1790609999999999</v>
      </c>
      <c r="V50" s="36">
        <v>3.714137</v>
      </c>
      <c r="W50" s="36">
        <v>2.9309440000000002</v>
      </c>
      <c r="X50" s="36"/>
      <c r="Y50" s="36"/>
      <c r="Z50" s="64">
        <v>2.3914149999999998</v>
      </c>
      <c r="AA50" s="62">
        <v>3.7774890000000001</v>
      </c>
      <c r="AB50" s="62">
        <v>3.4358789999999999</v>
      </c>
      <c r="AC50" s="62">
        <v>3.2151559999999999</v>
      </c>
      <c r="AD50" s="62">
        <v>3.1790609999999999</v>
      </c>
      <c r="AE50" s="62">
        <v>2.4155519999999999</v>
      </c>
      <c r="AF50" s="62"/>
      <c r="AG50" s="2"/>
      <c r="AH50" s="62">
        <v>12.362553</v>
      </c>
      <c r="AI50" s="62">
        <v>11.737031999999999</v>
      </c>
      <c r="AJ50" s="62">
        <v>7.3457619999999997</v>
      </c>
      <c r="AK50" s="81">
        <v>4.758845</v>
      </c>
      <c r="AL50" s="62">
        <v>3.4009459999999998</v>
      </c>
      <c r="AM50" s="64">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1462</v>
      </c>
      <c r="D51" s="38">
        <v>33778221</v>
      </c>
      <c r="E51" s="38">
        <v>203595714</v>
      </c>
      <c r="F51" s="38">
        <v>29319</v>
      </c>
      <c r="G51" s="39">
        <v>103359042</v>
      </c>
      <c r="H51" s="41">
        <v>1.6937089999999999</v>
      </c>
      <c r="I51" s="66">
        <v>25.699197000000002</v>
      </c>
      <c r="J51" s="40">
        <v>2.310222</v>
      </c>
      <c r="K51" s="42"/>
      <c r="L51" s="62">
        <v>7.0814329999999996</v>
      </c>
      <c r="M51" s="34"/>
      <c r="N51" s="34"/>
      <c r="Q51" s="36"/>
      <c r="R51" s="63">
        <v>1.619448</v>
      </c>
      <c r="S51" s="36">
        <v>1.747843</v>
      </c>
      <c r="T51" s="36">
        <v>1.8202449999999999</v>
      </c>
      <c r="U51" s="36">
        <v>2.9475910000000001</v>
      </c>
      <c r="V51" s="36">
        <v>6.1847139999999996</v>
      </c>
      <c r="W51" s="36">
        <v>11.213214000000001</v>
      </c>
      <c r="X51" s="36"/>
      <c r="Y51" s="36"/>
      <c r="Z51" s="62">
        <v>3.1606559999999999</v>
      </c>
      <c r="AA51" s="62">
        <v>2.9095740000000001</v>
      </c>
      <c r="AB51" s="62">
        <v>3.0565950000000002</v>
      </c>
      <c r="AC51" s="62">
        <v>2.8557570000000001</v>
      </c>
      <c r="AD51" s="62">
        <v>2.9475910000000001</v>
      </c>
      <c r="AE51" s="64">
        <v>2.251614</v>
      </c>
      <c r="AF51" s="62"/>
      <c r="AG51" s="2"/>
      <c r="AH51" s="62">
        <v>26.685497000000002</v>
      </c>
      <c r="AI51" s="62">
        <v>26.479755000000001</v>
      </c>
      <c r="AJ51" s="62">
        <v>12.449403999999999</v>
      </c>
      <c r="AK51" s="81">
        <v>7.0814329999999996</v>
      </c>
      <c r="AL51" s="64">
        <v>2.833161</v>
      </c>
      <c r="AM51" s="62">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11" t="s">
        <v>1431</v>
      </c>
      <c r="D52" s="38">
        <v>4579069</v>
      </c>
      <c r="E52" s="38">
        <v>12530086</v>
      </c>
      <c r="F52" s="38">
        <v>4043326</v>
      </c>
      <c r="G52" s="39">
        <v>6015927</v>
      </c>
      <c r="H52" s="41">
        <v>7.7896460000000003</v>
      </c>
      <c r="I52" s="66">
        <v>0.93807399999999996</v>
      </c>
      <c r="J52" s="40">
        <v>6.9008060000000002</v>
      </c>
      <c r="K52" s="42"/>
      <c r="L52" s="62">
        <v>0.93605400000000005</v>
      </c>
      <c r="M52" s="34"/>
      <c r="N52" s="34"/>
      <c r="Q52" s="36"/>
      <c r="R52" s="36">
        <v>0.93189500000000003</v>
      </c>
      <c r="S52" s="63">
        <v>0.89166000000000001</v>
      </c>
      <c r="T52" s="36">
        <v>0.91525900000000004</v>
      </c>
      <c r="U52" s="36">
        <v>0.98277800000000004</v>
      </c>
      <c r="V52" s="36">
        <v>1.002707</v>
      </c>
      <c r="W52" s="36">
        <v>1.0921890000000001</v>
      </c>
      <c r="X52" s="36"/>
      <c r="Y52" s="36"/>
      <c r="Z52" s="62">
        <v>1.0419860000000001</v>
      </c>
      <c r="AA52" s="62">
        <v>0.98246299999999998</v>
      </c>
      <c r="AB52" s="62">
        <v>0.96099800000000002</v>
      </c>
      <c r="AC52" s="64">
        <v>0.92219799999999996</v>
      </c>
      <c r="AD52" s="62">
        <v>0.98277800000000004</v>
      </c>
      <c r="AE52" s="62">
        <v>6.9733939999999999</v>
      </c>
      <c r="AF52" s="62"/>
      <c r="AG52" s="2"/>
      <c r="AH52" s="62">
        <v>0.95439200000000002</v>
      </c>
      <c r="AI52" s="62">
        <v>0.96843299999999999</v>
      </c>
      <c r="AJ52" s="62">
        <v>0.96120000000000005</v>
      </c>
      <c r="AK52" s="81">
        <v>0.93605400000000005</v>
      </c>
      <c r="AL52" s="64">
        <v>0.91859599999999997</v>
      </c>
      <c r="AM52" s="62">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66">
        <v>5.9442469999999998</v>
      </c>
      <c r="J53" s="40">
        <v>2.9715720000000001</v>
      </c>
      <c r="K53" s="42"/>
      <c r="L53" s="62">
        <v>2.8253370000000002</v>
      </c>
      <c r="M53" s="34"/>
      <c r="N53" s="34"/>
      <c r="Q53" s="36"/>
      <c r="R53" s="63">
        <v>2.2864110000000002</v>
      </c>
      <c r="S53" s="36">
        <v>2.300843</v>
      </c>
      <c r="T53" s="36">
        <v>3.4209420000000001</v>
      </c>
      <c r="U53" s="36">
        <v>2.5260210000000001</v>
      </c>
      <c r="V53" s="36">
        <v>3.3987810000000001</v>
      </c>
      <c r="W53" s="36">
        <v>4.4973419999999997</v>
      </c>
      <c r="X53" s="36"/>
      <c r="Y53" s="36"/>
      <c r="Z53" s="62">
        <v>3.4300060000000001</v>
      </c>
      <c r="AA53" s="62">
        <v>2.937573</v>
      </c>
      <c r="AB53" s="62">
        <v>2.4742250000000001</v>
      </c>
      <c r="AC53" s="64">
        <v>2.4326989999999999</v>
      </c>
      <c r="AD53" s="62">
        <v>2.5260210000000001</v>
      </c>
      <c r="AE53" s="62">
        <v>2.9773869999999998</v>
      </c>
      <c r="AF53" s="62"/>
      <c r="AG53" s="2"/>
      <c r="AH53" s="62">
        <v>6.1249459999999996</v>
      </c>
      <c r="AI53" s="62">
        <v>6.3695349999999999</v>
      </c>
      <c r="AJ53" s="62">
        <v>3.8291759999999999</v>
      </c>
      <c r="AK53" s="81">
        <v>2.8253370000000002</v>
      </c>
      <c r="AL53" s="64">
        <v>2.625896</v>
      </c>
      <c r="AM53" s="62">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1409</v>
      </c>
      <c r="D54" s="38">
        <v>3411795</v>
      </c>
      <c r="E54" s="38">
        <v>26854686</v>
      </c>
      <c r="F54" s="38">
        <v>2487058</v>
      </c>
      <c r="G54" s="39">
        <v>8209611</v>
      </c>
      <c r="H54" s="41">
        <v>4.5660360000000004</v>
      </c>
      <c r="I54" s="66">
        <v>0.94574000000000003</v>
      </c>
      <c r="J54" s="40">
        <v>2.5636969999999999</v>
      </c>
      <c r="K54" s="42"/>
      <c r="L54" s="62">
        <v>0.85847099999999998</v>
      </c>
      <c r="M54" s="34"/>
      <c r="N54" s="34"/>
      <c r="Q54" s="36"/>
      <c r="R54" s="36">
        <v>2.564349</v>
      </c>
      <c r="S54" s="36">
        <v>2.5623800000000001</v>
      </c>
      <c r="T54" s="63">
        <v>0.88851800000000003</v>
      </c>
      <c r="U54" s="36">
        <v>0.918906</v>
      </c>
      <c r="V54" s="36">
        <v>1.1537630000000001</v>
      </c>
      <c r="W54" s="36">
        <v>1.967543</v>
      </c>
      <c r="X54" s="36"/>
      <c r="Y54" s="36"/>
      <c r="Z54" s="62">
        <v>0.86548899999999995</v>
      </c>
      <c r="AA54" s="64">
        <v>0.80623199999999995</v>
      </c>
      <c r="AB54" s="62">
        <v>0.82989299999999999</v>
      </c>
      <c r="AC54" s="62">
        <v>0.96807799999999999</v>
      </c>
      <c r="AD54" s="62">
        <v>0.918906</v>
      </c>
      <c r="AE54" s="62">
        <v>2.5749040000000001</v>
      </c>
      <c r="AF54" s="62"/>
      <c r="AG54" s="2"/>
      <c r="AH54" s="62">
        <v>0.90495599999999998</v>
      </c>
      <c r="AI54" s="62">
        <v>0.91064500000000004</v>
      </c>
      <c r="AJ54" s="62">
        <v>0.90869</v>
      </c>
      <c r="AK54" s="80">
        <v>0.85847099999999998</v>
      </c>
      <c r="AL54" s="62">
        <v>0.912605</v>
      </c>
      <c r="AM54" s="62">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1404</v>
      </c>
      <c r="D55" s="38">
        <v>2939627</v>
      </c>
      <c r="E55" s="38">
        <v>20974994</v>
      </c>
      <c r="F55" s="38">
        <v>916719</v>
      </c>
      <c r="G55" s="39">
        <v>49558992</v>
      </c>
      <c r="H55" s="41">
        <v>3.7311160000000001</v>
      </c>
      <c r="I55" s="66">
        <v>5.7104470000000003</v>
      </c>
      <c r="J55" s="40">
        <v>3.2534559999999999</v>
      </c>
      <c r="K55" s="42"/>
      <c r="L55" s="62">
        <v>2.0374910000000002</v>
      </c>
      <c r="M55" s="34"/>
      <c r="N55" s="34"/>
      <c r="Q55" s="36"/>
      <c r="R55" s="36">
        <v>3.1850529999999999</v>
      </c>
      <c r="S55" s="36">
        <v>3.1772360000000002</v>
      </c>
      <c r="T55" s="36">
        <v>4.2090759999999996</v>
      </c>
      <c r="U55" s="63">
        <v>1.4357489999999999</v>
      </c>
      <c r="V55" s="36">
        <v>3.820751</v>
      </c>
      <c r="W55" s="36">
        <v>3.5623179999999999</v>
      </c>
      <c r="X55" s="36"/>
      <c r="Y55" s="36"/>
      <c r="Z55" s="62">
        <v>2.837418</v>
      </c>
      <c r="AA55" s="62">
        <v>2.888144</v>
      </c>
      <c r="AB55" s="62">
        <v>1.4432940000000001</v>
      </c>
      <c r="AC55" s="62">
        <v>1.544789</v>
      </c>
      <c r="AD55" s="64">
        <v>1.4357489999999999</v>
      </c>
      <c r="AE55" s="62">
        <v>3.230728</v>
      </c>
      <c r="AF55" s="62"/>
      <c r="AG55" s="2"/>
      <c r="AH55" s="62">
        <v>5.9929649999999999</v>
      </c>
      <c r="AI55" s="62">
        <v>5.9242460000000001</v>
      </c>
      <c r="AJ55" s="62">
        <v>2.842937</v>
      </c>
      <c r="AK55" s="81">
        <v>2.0374910000000002</v>
      </c>
      <c r="AL55" s="62">
        <v>1.607669</v>
      </c>
      <c r="AM55" s="64">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22" t="s">
        <v>3912</v>
      </c>
      <c r="D56" s="38">
        <v>4033138</v>
      </c>
      <c r="E56" s="38">
        <v>55866126</v>
      </c>
      <c r="F56" s="38">
        <v>2651</v>
      </c>
      <c r="G56" s="39">
        <v>38413666</v>
      </c>
      <c r="H56" s="41">
        <v>1.571016</v>
      </c>
      <c r="I56" s="66">
        <v>6.711659</v>
      </c>
      <c r="J56" s="40">
        <v>1.4397960000000001</v>
      </c>
      <c r="K56" s="42"/>
      <c r="L56" s="62">
        <v>4.0897119999999996</v>
      </c>
      <c r="M56" s="34"/>
      <c r="N56" s="34"/>
      <c r="Q56" s="36"/>
      <c r="R56" s="36">
        <v>1.1497919999999999</v>
      </c>
      <c r="S56" s="63">
        <v>1.1062050000000001</v>
      </c>
      <c r="T56" s="36">
        <v>3.5289079999999999</v>
      </c>
      <c r="U56" s="36">
        <v>4.177575</v>
      </c>
      <c r="V56" s="36">
        <v>4.6153170000000001</v>
      </c>
      <c r="W56" s="36">
        <v>4.8095809999999997</v>
      </c>
      <c r="X56" s="36"/>
      <c r="Y56" s="36"/>
      <c r="Z56" s="62">
        <v>6.7908150000000003</v>
      </c>
      <c r="AA56" s="62">
        <v>5.3423400000000001</v>
      </c>
      <c r="AB56" s="62">
        <v>4.5182729999999998</v>
      </c>
      <c r="AC56" s="62">
        <v>4.175325</v>
      </c>
      <c r="AD56" s="62">
        <v>4.177575</v>
      </c>
      <c r="AE56" s="64">
        <v>1.445926</v>
      </c>
      <c r="AF56" s="62"/>
      <c r="AG56" s="2"/>
      <c r="AH56" s="62">
        <v>6.9071680000000004</v>
      </c>
      <c r="AI56" s="62">
        <v>6.6971160000000003</v>
      </c>
      <c r="AJ56" s="62">
        <v>4.2195349999999996</v>
      </c>
      <c r="AK56" s="81">
        <v>4.0897119999999996</v>
      </c>
      <c r="AL56" s="64">
        <v>4.0474309999999996</v>
      </c>
      <c r="AM56" s="62">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1346</v>
      </c>
      <c r="D57" s="38">
        <v>1696415</v>
      </c>
      <c r="E57" s="38">
        <v>22190596</v>
      </c>
      <c r="F57" s="38">
        <v>35455</v>
      </c>
      <c r="G57" s="39">
        <v>37322355</v>
      </c>
      <c r="H57" s="41">
        <v>1.300643</v>
      </c>
      <c r="I57" s="66">
        <v>7.0529869999999999</v>
      </c>
      <c r="J57" s="40">
        <v>1.085415</v>
      </c>
      <c r="K57" s="42"/>
      <c r="L57" s="62">
        <v>2.076346</v>
      </c>
      <c r="M57" s="34"/>
      <c r="N57" s="34"/>
      <c r="Q57" s="36"/>
      <c r="R57" s="63">
        <v>1.0675589999999999</v>
      </c>
      <c r="S57" s="36">
        <v>3.6673930000000001</v>
      </c>
      <c r="T57" s="36">
        <v>6.0054169999999996</v>
      </c>
      <c r="U57" s="36">
        <v>6.2377589999999996</v>
      </c>
      <c r="V57" s="36">
        <v>6.1438750000000004</v>
      </c>
      <c r="W57" s="36">
        <v>6.3024579999999997</v>
      </c>
      <c r="X57" s="36"/>
      <c r="Y57" s="36"/>
      <c r="Z57" s="62">
        <v>1.2674479999999999</v>
      </c>
      <c r="AA57" s="62">
        <v>1.371791</v>
      </c>
      <c r="AB57" s="62">
        <v>1.548705</v>
      </c>
      <c r="AC57" s="62">
        <v>6.4103060000000003</v>
      </c>
      <c r="AD57" s="62">
        <v>6.2377589999999996</v>
      </c>
      <c r="AE57" s="64">
        <v>1.0740229999999999</v>
      </c>
      <c r="AF57" s="62"/>
      <c r="AG57" s="2"/>
      <c r="AH57" s="62">
        <v>7.2429079999999999</v>
      </c>
      <c r="AI57" s="62">
        <v>6.2302080000000002</v>
      </c>
      <c r="AJ57" s="62">
        <v>3.0055230000000002</v>
      </c>
      <c r="AK57" s="80">
        <v>2.076346</v>
      </c>
      <c r="AL57" s="62">
        <v>4.9131790000000004</v>
      </c>
      <c r="AM57" s="62">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1411</v>
      </c>
      <c r="D58" s="38">
        <v>3496954</v>
      </c>
      <c r="E58" s="38">
        <v>27305086</v>
      </c>
      <c r="F58" s="38">
        <v>2187803</v>
      </c>
      <c r="G58" s="39">
        <v>12230903</v>
      </c>
      <c r="H58" s="41">
        <v>1.9853620000000001</v>
      </c>
      <c r="I58" s="66">
        <v>0.65300999999999998</v>
      </c>
      <c r="J58" s="40">
        <v>1.808211</v>
      </c>
      <c r="K58" s="42"/>
      <c r="L58" s="62">
        <v>0.72130399999999995</v>
      </c>
      <c r="M58" s="34"/>
      <c r="N58" s="34"/>
      <c r="Q58" s="36"/>
      <c r="R58" s="36">
        <v>0.49072199999999999</v>
      </c>
      <c r="S58" s="63">
        <v>0.38749099999999997</v>
      </c>
      <c r="T58" s="36">
        <v>0.49818699999999999</v>
      </c>
      <c r="U58" s="36">
        <v>0.71754899999999999</v>
      </c>
      <c r="V58" s="36">
        <v>1.0684100000000001</v>
      </c>
      <c r="W58" s="36">
        <v>1.632644</v>
      </c>
      <c r="X58" s="36"/>
      <c r="Y58" s="36"/>
      <c r="Z58" s="62">
        <v>0.71407900000000002</v>
      </c>
      <c r="AA58" s="62">
        <v>0.62813099999999999</v>
      </c>
      <c r="AB58" s="64">
        <v>0.61056699999999997</v>
      </c>
      <c r="AC58" s="62">
        <v>0.73452200000000001</v>
      </c>
      <c r="AD58" s="62">
        <v>0.71754899999999999</v>
      </c>
      <c r="AE58" s="62">
        <v>1.8323670000000001</v>
      </c>
      <c r="AF58" s="62"/>
      <c r="AG58" s="2"/>
      <c r="AH58" s="62">
        <v>0.74632600000000004</v>
      </c>
      <c r="AI58" s="62">
        <v>0.84335300000000002</v>
      </c>
      <c r="AJ58" s="62">
        <v>0.64007000000000003</v>
      </c>
      <c r="AK58" s="81">
        <v>0.72130399999999995</v>
      </c>
      <c r="AL58" s="64">
        <v>0.63005900000000004</v>
      </c>
      <c r="AM58" s="62">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3917</v>
      </c>
      <c r="D59" s="38">
        <v>1791489</v>
      </c>
      <c r="E59" s="38">
        <v>50888414</v>
      </c>
      <c r="F59" s="38">
        <v>238342</v>
      </c>
      <c r="G59" s="39">
        <v>27229873</v>
      </c>
      <c r="H59" s="41">
        <v>1.3038989999999999</v>
      </c>
      <c r="I59" s="66">
        <v>4.5417589999999999</v>
      </c>
      <c r="J59" s="40">
        <v>1.1079509999999999</v>
      </c>
      <c r="K59" s="42"/>
      <c r="L59" s="62">
        <v>1.3929849999999999</v>
      </c>
      <c r="M59" s="34"/>
      <c r="N59" s="34"/>
      <c r="Q59" s="36"/>
      <c r="R59" s="63">
        <v>0.73124500000000003</v>
      </c>
      <c r="S59" s="36">
        <v>0.74217500000000003</v>
      </c>
      <c r="T59" s="36">
        <v>0.82330899999999996</v>
      </c>
      <c r="U59" s="36">
        <v>1.107861</v>
      </c>
      <c r="V59" s="36">
        <v>1.6855180000000001</v>
      </c>
      <c r="W59" s="36">
        <v>2.8502160000000001</v>
      </c>
      <c r="X59" s="36"/>
      <c r="Y59" s="36"/>
      <c r="Z59" s="62">
        <v>0.95522300000000004</v>
      </c>
      <c r="AA59" s="62">
        <v>1.072522</v>
      </c>
      <c r="AB59" s="64">
        <v>0.91146499999999997</v>
      </c>
      <c r="AC59" s="62">
        <v>1.027428</v>
      </c>
      <c r="AD59" s="62">
        <v>1.107861</v>
      </c>
      <c r="AE59" s="62">
        <v>1.1189070000000001</v>
      </c>
      <c r="AF59" s="62"/>
      <c r="AG59" s="2"/>
      <c r="AH59" s="62">
        <v>4.6114670000000002</v>
      </c>
      <c r="AI59" s="62">
        <v>4.4164440000000003</v>
      </c>
      <c r="AJ59" s="62">
        <v>2.3524859999999999</v>
      </c>
      <c r="AK59" s="81">
        <v>1.3929849999999999</v>
      </c>
      <c r="AL59" s="62">
        <v>1.2803720000000001</v>
      </c>
      <c r="AM59" s="64">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66">
        <v>5.6263290000000001</v>
      </c>
      <c r="J60" s="40">
        <v>1.308095</v>
      </c>
      <c r="K60" s="42"/>
      <c r="L60" s="62">
        <v>2.3065820000000001</v>
      </c>
      <c r="M60" s="34"/>
      <c r="N60" s="34"/>
      <c r="Q60" s="36"/>
      <c r="R60" s="36">
        <v>1.2897780000000001</v>
      </c>
      <c r="S60" s="63">
        <v>1.2659910000000001</v>
      </c>
      <c r="T60" s="36">
        <v>1.771131</v>
      </c>
      <c r="U60" s="36">
        <v>2.045121</v>
      </c>
      <c r="V60" s="36">
        <v>3.7644380000000002</v>
      </c>
      <c r="W60" s="36">
        <v>5.5104610000000003</v>
      </c>
      <c r="X60" s="36"/>
      <c r="Y60" s="36"/>
      <c r="Z60" s="62">
        <v>1.728583</v>
      </c>
      <c r="AA60" s="62">
        <v>1.9112150000000001</v>
      </c>
      <c r="AB60" s="62">
        <v>2.0438459999999998</v>
      </c>
      <c r="AC60" s="62">
        <v>2.085073</v>
      </c>
      <c r="AD60" s="62">
        <v>2.045121</v>
      </c>
      <c r="AE60" s="64">
        <v>1.3088630000000001</v>
      </c>
      <c r="AF60" s="62"/>
      <c r="AG60" s="2"/>
      <c r="AH60" s="62">
        <v>5.9733539999999996</v>
      </c>
      <c r="AI60" s="62">
        <v>5.5395899999999996</v>
      </c>
      <c r="AJ60" s="62">
        <v>2.1997770000000001</v>
      </c>
      <c r="AK60" s="81">
        <v>2.3065820000000001</v>
      </c>
      <c r="AL60" s="64">
        <v>1.914847</v>
      </c>
      <c r="AM60" s="62">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1402</v>
      </c>
      <c r="D61" s="38">
        <v>2132864</v>
      </c>
      <c r="E61" s="38">
        <v>17441248</v>
      </c>
      <c r="F61" s="38">
        <v>306136</v>
      </c>
      <c r="G61" s="39">
        <v>11329220</v>
      </c>
      <c r="H61" s="41">
        <v>0.99414100000000005</v>
      </c>
      <c r="I61" s="66">
        <v>1.8110040000000001</v>
      </c>
      <c r="J61" s="40">
        <v>0.791018</v>
      </c>
      <c r="K61" s="42"/>
      <c r="L61" s="62">
        <v>1.1210039999999999</v>
      </c>
      <c r="M61" s="34"/>
      <c r="N61" s="34"/>
      <c r="Q61" s="36"/>
      <c r="R61" s="36">
        <v>0.75356400000000001</v>
      </c>
      <c r="S61" s="63">
        <v>0.68957199999999996</v>
      </c>
      <c r="T61" s="36">
        <v>1.009171</v>
      </c>
      <c r="U61" s="36">
        <v>1.1198589999999999</v>
      </c>
      <c r="V61" s="36">
        <v>1.656684</v>
      </c>
      <c r="W61" s="36">
        <v>2.4768729999999999</v>
      </c>
      <c r="X61" s="36"/>
      <c r="Y61" s="36"/>
      <c r="Z61" s="62">
        <v>1.434606</v>
      </c>
      <c r="AA61" s="62">
        <v>1.374106</v>
      </c>
      <c r="AB61" s="62">
        <v>1.243671</v>
      </c>
      <c r="AC61" s="62">
        <v>1.3114030000000001</v>
      </c>
      <c r="AD61" s="62">
        <v>1.1198589999999999</v>
      </c>
      <c r="AE61" s="64">
        <v>0.79191599999999995</v>
      </c>
      <c r="AF61" s="62"/>
      <c r="AG61" s="2"/>
      <c r="AH61" s="62">
        <v>1.8702840000000001</v>
      </c>
      <c r="AI61" s="62">
        <v>1.9740839999999999</v>
      </c>
      <c r="AJ61" s="62">
        <v>1.359653</v>
      </c>
      <c r="AK61" s="80">
        <v>1.1210039999999999</v>
      </c>
      <c r="AL61" s="62">
        <v>1.1417010000000001</v>
      </c>
      <c r="AM61" s="62">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1371</v>
      </c>
      <c r="D62" s="38">
        <v>2140198</v>
      </c>
      <c r="E62" s="38">
        <v>34029892</v>
      </c>
      <c r="F62" s="38">
        <v>97848</v>
      </c>
      <c r="G62" s="39">
        <v>19365288</v>
      </c>
      <c r="H62" s="41">
        <v>0.85894899999999996</v>
      </c>
      <c r="I62" s="66">
        <v>3.3648449999999999</v>
      </c>
      <c r="J62" s="40">
        <v>0.71303899999999998</v>
      </c>
      <c r="K62" s="42"/>
      <c r="L62" s="62">
        <v>1.127974</v>
      </c>
      <c r="M62" s="34"/>
      <c r="N62" s="34"/>
      <c r="Q62" s="36"/>
      <c r="R62" s="36">
        <v>0.69819500000000001</v>
      </c>
      <c r="S62" s="63">
        <v>0.69303599999999999</v>
      </c>
      <c r="T62" s="36">
        <v>0.71346200000000004</v>
      </c>
      <c r="U62" s="36">
        <v>0.75371200000000005</v>
      </c>
      <c r="V62" s="36">
        <v>1.6018619999999999</v>
      </c>
      <c r="W62" s="36">
        <v>2.1120359999999998</v>
      </c>
      <c r="X62" s="36"/>
      <c r="Y62" s="36"/>
      <c r="Z62" s="62">
        <v>0.85531000000000001</v>
      </c>
      <c r="AA62" s="62">
        <v>0.75666800000000001</v>
      </c>
      <c r="AB62" s="62">
        <v>0.75007299999999999</v>
      </c>
      <c r="AC62" s="62">
        <v>0.92179500000000003</v>
      </c>
      <c r="AD62" s="62">
        <v>0.75371200000000005</v>
      </c>
      <c r="AE62" s="64">
        <v>0.71028800000000003</v>
      </c>
      <c r="AF62" s="62"/>
      <c r="AG62" s="2"/>
      <c r="AH62" s="62">
        <v>3.37154</v>
      </c>
      <c r="AI62" s="62">
        <v>3.3495140000000001</v>
      </c>
      <c r="AJ62" s="62">
        <v>1.583351</v>
      </c>
      <c r="AK62" s="81">
        <v>1.127974</v>
      </c>
      <c r="AL62" s="64">
        <v>0.80255799999999999</v>
      </c>
      <c r="AM62" s="62">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22" t="s">
        <v>3919</v>
      </c>
      <c r="D63" s="38">
        <v>2937612</v>
      </c>
      <c r="E63" s="38">
        <v>41919708</v>
      </c>
      <c r="F63" s="38">
        <v>4356</v>
      </c>
      <c r="G63" s="39">
        <v>27593398</v>
      </c>
      <c r="H63" s="41">
        <v>0.62366100000000002</v>
      </c>
      <c r="I63" s="66">
        <v>3.6801520000000001</v>
      </c>
      <c r="J63" s="40">
        <v>0.48078500000000002</v>
      </c>
      <c r="K63" s="42"/>
      <c r="L63" s="62">
        <v>1.075196</v>
      </c>
      <c r="M63" s="34"/>
      <c r="N63" s="34"/>
      <c r="Q63" s="36"/>
      <c r="R63" s="63">
        <v>0.44650600000000001</v>
      </c>
      <c r="S63" s="36">
        <v>0.452901</v>
      </c>
      <c r="T63" s="36">
        <v>0.46580100000000002</v>
      </c>
      <c r="U63" s="36">
        <v>0.51997800000000005</v>
      </c>
      <c r="V63" s="36">
        <v>0.79097200000000001</v>
      </c>
      <c r="W63" s="36">
        <v>1.5404899999999999</v>
      </c>
      <c r="X63" s="36"/>
      <c r="Y63" s="36"/>
      <c r="Z63" s="62">
        <v>0.48528100000000002</v>
      </c>
      <c r="AA63" s="62">
        <v>0.62544</v>
      </c>
      <c r="AB63" s="62">
        <v>0.52425200000000005</v>
      </c>
      <c r="AC63" s="62">
        <v>0.55877600000000005</v>
      </c>
      <c r="AD63" s="62">
        <v>0.51997800000000005</v>
      </c>
      <c r="AE63" s="64">
        <v>0.48383300000000001</v>
      </c>
      <c r="AF63" s="62"/>
      <c r="AG63" s="2"/>
      <c r="AH63" s="62">
        <v>3.8463880000000001</v>
      </c>
      <c r="AI63" s="62">
        <v>3.838438</v>
      </c>
      <c r="AJ63" s="62">
        <v>1.9361330000000001</v>
      </c>
      <c r="AK63" s="81">
        <v>1.075196</v>
      </c>
      <c r="AL63" s="64">
        <v>0.47320099999999998</v>
      </c>
      <c r="AM63" s="62">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1408</v>
      </c>
      <c r="D64" s="38">
        <v>4063587</v>
      </c>
      <c r="E64" s="38">
        <v>17652554</v>
      </c>
      <c r="F64" s="38">
        <v>4059644</v>
      </c>
      <c r="G64" s="39">
        <v>8823479</v>
      </c>
      <c r="H64" s="41">
        <v>1.682345</v>
      </c>
      <c r="I64" s="66">
        <v>0.16831399999999999</v>
      </c>
      <c r="J64" s="40">
        <v>1.5356030000000001</v>
      </c>
      <c r="K64" s="42"/>
      <c r="L64" s="62">
        <v>0.108086</v>
      </c>
      <c r="M64" s="34"/>
      <c r="N64" s="34"/>
      <c r="Q64" s="36"/>
      <c r="R64" s="36">
        <v>9.0593999999999994E-2</v>
      </c>
      <c r="S64" s="36">
        <v>8.3215999999999998E-2</v>
      </c>
      <c r="T64" s="63">
        <v>6.5948000000000007E-2</v>
      </c>
      <c r="U64" s="36">
        <v>6.9968000000000002E-2</v>
      </c>
      <c r="V64" s="36">
        <v>9.0593999999999994E-2</v>
      </c>
      <c r="W64" s="36">
        <v>9.0593999999999994E-2</v>
      </c>
      <c r="X64" s="36"/>
      <c r="Y64" s="36"/>
      <c r="Z64" s="62">
        <v>9.9423999999999998E-2</v>
      </c>
      <c r="AA64" s="62">
        <v>7.4588000000000002E-2</v>
      </c>
      <c r="AB64" s="62">
        <v>7.0073999999999997E-2</v>
      </c>
      <c r="AC64" s="62">
        <v>7.1620000000000003E-2</v>
      </c>
      <c r="AD64" s="64">
        <v>6.9968000000000002E-2</v>
      </c>
      <c r="AE64" s="62">
        <v>1.5362180000000001</v>
      </c>
      <c r="AF64" s="62"/>
      <c r="AG64" s="2"/>
      <c r="AH64" s="62">
        <v>0.201511</v>
      </c>
      <c r="AI64" s="62">
        <v>0.20094400000000001</v>
      </c>
      <c r="AJ64" s="62">
        <v>0.21540100000000001</v>
      </c>
      <c r="AK64" s="81">
        <v>0.108086</v>
      </c>
      <c r="AL64" s="62">
        <v>7.6687000000000005E-2</v>
      </c>
      <c r="AM64" s="64">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3920</v>
      </c>
      <c r="D65" s="38">
        <v>1632803</v>
      </c>
      <c r="E65" s="38">
        <v>44603928</v>
      </c>
      <c r="F65" s="38">
        <v>14854</v>
      </c>
      <c r="G65" s="39">
        <v>19376873</v>
      </c>
      <c r="H65" s="41">
        <v>2.154563</v>
      </c>
      <c r="I65" s="66">
        <v>2.2659929999999999</v>
      </c>
      <c r="J65" s="40">
        <v>0.34845199999999998</v>
      </c>
      <c r="K65" s="42"/>
      <c r="L65" s="62">
        <v>0.96733800000000003</v>
      </c>
      <c r="M65" s="34"/>
      <c r="N65" s="34"/>
      <c r="Q65" s="36"/>
      <c r="R65" s="36">
        <v>0.42020400000000002</v>
      </c>
      <c r="S65" s="63">
        <v>0.34439500000000001</v>
      </c>
      <c r="T65" s="36">
        <v>0.37906899999999999</v>
      </c>
      <c r="U65" s="36">
        <v>0.40839599999999998</v>
      </c>
      <c r="V65" s="36">
        <v>0.42020400000000002</v>
      </c>
      <c r="W65" s="36">
        <v>0.42020400000000002</v>
      </c>
      <c r="X65" s="36"/>
      <c r="Y65" s="36"/>
      <c r="Z65" s="62">
        <v>0.350883</v>
      </c>
      <c r="AA65" s="64">
        <v>0.33395799999999998</v>
      </c>
      <c r="AB65" s="62">
        <v>0.34735300000000002</v>
      </c>
      <c r="AC65" s="62">
        <v>0.40576099999999998</v>
      </c>
      <c r="AD65" s="62">
        <v>0.40839599999999998</v>
      </c>
      <c r="AE65" s="62">
        <v>0.34820899999999999</v>
      </c>
      <c r="AF65" s="62"/>
      <c r="AG65" s="2"/>
      <c r="AH65" s="62">
        <v>2.3521540000000001</v>
      </c>
      <c r="AI65" s="62">
        <v>2.3990469999999999</v>
      </c>
      <c r="AJ65" s="62">
        <v>1.4637290000000001</v>
      </c>
      <c r="AK65" s="82">
        <v>0.96733800000000003</v>
      </c>
      <c r="AL65" s="64">
        <v>0.35204800000000003</v>
      </c>
      <c r="AM65" s="62">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C136"/>
  <sheetViews>
    <sheetView topLeftCell="A23" workbookViewId="0">
      <selection activeCell="C64" sqref="C6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57"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91" t="s">
        <v>3963</v>
      </c>
      <c r="I4" s="91"/>
      <c r="J4" s="91"/>
      <c r="K4" s="91"/>
      <c r="L4" s="37"/>
      <c r="M4" s="84"/>
      <c r="N4" s="84"/>
    </row>
    <row r="5" spans="3:23" x14ac:dyDescent="0.3">
      <c r="C5" s="13" t="s">
        <v>25</v>
      </c>
      <c r="D5" s="12" t="s">
        <v>13</v>
      </c>
      <c r="E5" s="12" t="s">
        <v>14</v>
      </c>
      <c r="F5" s="12" t="s">
        <v>15</v>
      </c>
      <c r="G5" s="13" t="s">
        <v>3932</v>
      </c>
      <c r="H5" s="13" t="s">
        <v>3930</v>
      </c>
      <c r="I5" s="13" t="s">
        <v>20</v>
      </c>
      <c r="J5" s="13" t="s">
        <v>3950</v>
      </c>
      <c r="K5" s="13" t="s">
        <v>3951</v>
      </c>
      <c r="L5" s="13" t="s">
        <v>3929</v>
      </c>
      <c r="M5" s="58" t="s">
        <v>3949</v>
      </c>
      <c r="N5" s="13" t="s">
        <v>22</v>
      </c>
      <c r="O5" s="12" t="s">
        <v>21</v>
      </c>
    </row>
    <row r="6" spans="3:23" hidden="1" x14ac:dyDescent="0.3">
      <c r="C6" s="9" t="s">
        <v>16</v>
      </c>
      <c r="D6" s="11">
        <v>13593032</v>
      </c>
      <c r="E6" s="11">
        <v>669183050</v>
      </c>
      <c r="F6" s="11">
        <v>1052326</v>
      </c>
      <c r="G6" s="10"/>
      <c r="H6" s="28" t="s">
        <v>3902</v>
      </c>
      <c r="I6" s="28"/>
      <c r="J6" s="10"/>
      <c r="K6" s="10"/>
      <c r="L6" s="9"/>
      <c r="M6" s="59"/>
      <c r="N6" s="25"/>
      <c r="O6" s="25"/>
    </row>
    <row r="7" spans="3:23" hidden="1" x14ac:dyDescent="0.3">
      <c r="C7" s="9" t="s">
        <v>3901</v>
      </c>
      <c r="D7" s="11">
        <v>18483186</v>
      </c>
      <c r="E7" s="11">
        <v>523574516</v>
      </c>
      <c r="F7" s="11">
        <v>194955</v>
      </c>
      <c r="G7" s="10"/>
      <c r="H7" s="28" t="s">
        <v>3902</v>
      </c>
      <c r="I7" s="28"/>
      <c r="J7" s="10"/>
      <c r="K7" s="10"/>
      <c r="L7" s="9"/>
      <c r="M7" s="59"/>
      <c r="N7" s="25"/>
      <c r="O7" s="25"/>
    </row>
    <row r="8" spans="3:23" hidden="1" x14ac:dyDescent="0.3">
      <c r="C8" s="11" t="s">
        <v>1460</v>
      </c>
      <c r="D8" s="11">
        <v>4512099</v>
      </c>
      <c r="E8" s="11">
        <v>163921732</v>
      </c>
      <c r="F8" s="11">
        <v>288044</v>
      </c>
      <c r="G8" s="10"/>
      <c r="H8" s="28" t="s">
        <v>3902</v>
      </c>
      <c r="I8" s="28"/>
      <c r="J8" s="10"/>
      <c r="K8" s="10"/>
      <c r="L8" s="9"/>
      <c r="M8" s="59"/>
      <c r="N8" s="25"/>
      <c r="O8" s="25"/>
    </row>
    <row r="9" spans="3:23" hidden="1" x14ac:dyDescent="0.3">
      <c r="C9" s="9" t="s">
        <v>3900</v>
      </c>
      <c r="D9" s="11">
        <v>1069126</v>
      </c>
      <c r="E9" s="11">
        <v>112613306</v>
      </c>
      <c r="F9" s="11">
        <v>11467</v>
      </c>
      <c r="G9" s="10"/>
      <c r="H9" s="28" t="s">
        <v>3902</v>
      </c>
      <c r="I9" s="28"/>
      <c r="J9" s="10"/>
      <c r="K9" s="10"/>
      <c r="L9" s="9"/>
      <c r="M9" s="59"/>
      <c r="N9" s="25"/>
      <c r="O9" s="25"/>
    </row>
    <row r="10" spans="3:23" hidden="1" x14ac:dyDescent="0.3">
      <c r="C10" s="9" t="s">
        <v>1427</v>
      </c>
      <c r="D10" s="11">
        <v>2105723</v>
      </c>
      <c r="E10" s="11">
        <v>100093818</v>
      </c>
      <c r="F10" s="11">
        <v>218818</v>
      </c>
      <c r="G10" s="10"/>
      <c r="H10" s="28" t="s">
        <v>3902</v>
      </c>
      <c r="I10" s="28"/>
      <c r="J10" s="10"/>
      <c r="K10" s="10"/>
      <c r="L10" s="9"/>
      <c r="M10" s="59"/>
      <c r="N10" s="25"/>
      <c r="O10" s="25"/>
    </row>
    <row r="11" spans="3:23" hidden="1" x14ac:dyDescent="0.3">
      <c r="C11" s="11" t="s">
        <v>1424</v>
      </c>
      <c r="D11" s="11">
        <v>2302925</v>
      </c>
      <c r="E11" s="11">
        <v>45676552</v>
      </c>
      <c r="F11" s="11">
        <v>27937</v>
      </c>
      <c r="G11" s="10"/>
      <c r="H11" s="28" t="s">
        <v>3902</v>
      </c>
      <c r="I11" s="28"/>
      <c r="J11" s="10"/>
      <c r="K11" s="10"/>
      <c r="L11" s="9"/>
      <c r="M11" s="59"/>
      <c r="N11" s="25"/>
      <c r="O11" s="25"/>
    </row>
    <row r="12" spans="3:23" hidden="1" x14ac:dyDescent="0.3">
      <c r="C12" s="11" t="s">
        <v>1465</v>
      </c>
      <c r="D12" s="11">
        <v>68349466</v>
      </c>
      <c r="E12" s="11">
        <v>3623698684</v>
      </c>
      <c r="F12" s="11">
        <v>5214</v>
      </c>
      <c r="G12" s="10"/>
      <c r="H12" s="28" t="s">
        <v>3904</v>
      </c>
      <c r="I12" s="28"/>
      <c r="J12" s="10"/>
      <c r="K12" s="10"/>
      <c r="L12" s="9"/>
      <c r="M12" s="59"/>
      <c r="N12" s="25"/>
      <c r="O12" s="25"/>
    </row>
    <row r="13" spans="3:23" hidden="1" x14ac:dyDescent="0.3">
      <c r="C13" s="9" t="s">
        <v>3914</v>
      </c>
      <c r="D13" s="11">
        <v>147925593</v>
      </c>
      <c r="E13" s="11">
        <v>893533906</v>
      </c>
      <c r="F13" s="11">
        <v>308477</v>
      </c>
      <c r="G13" s="10"/>
      <c r="H13" s="28" t="s">
        <v>3904</v>
      </c>
      <c r="I13" s="28"/>
      <c r="J13" s="10"/>
      <c r="K13" s="10"/>
      <c r="L13" s="9"/>
      <c r="M13" s="59"/>
      <c r="N13" s="25"/>
      <c r="O13" s="25"/>
    </row>
    <row r="14" spans="3:23" hidden="1" x14ac:dyDescent="0.3">
      <c r="C14" s="11" t="s">
        <v>1417</v>
      </c>
      <c r="D14" s="11">
        <v>5203763</v>
      </c>
      <c r="E14" s="11">
        <v>97419242</v>
      </c>
      <c r="F14" s="11">
        <v>15016</v>
      </c>
      <c r="G14" s="10"/>
      <c r="H14" s="28" t="s">
        <v>3921</v>
      </c>
      <c r="I14" s="28"/>
      <c r="J14" s="10"/>
      <c r="K14" s="10"/>
      <c r="L14" s="9"/>
      <c r="M14" s="59"/>
      <c r="N14" s="25"/>
      <c r="O14" s="25"/>
    </row>
    <row r="15" spans="3:23" hidden="1" x14ac:dyDescent="0.3">
      <c r="C15" s="11" t="s">
        <v>1435</v>
      </c>
      <c r="D15" s="11">
        <v>4846609</v>
      </c>
      <c r="E15" s="11">
        <v>85702474</v>
      </c>
      <c r="F15" s="11">
        <v>20333</v>
      </c>
      <c r="G15" s="10"/>
      <c r="H15" s="28" t="s">
        <v>3921</v>
      </c>
      <c r="I15" s="28"/>
      <c r="J15" s="10"/>
      <c r="K15" s="10"/>
      <c r="L15" s="9"/>
      <c r="M15" s="59"/>
      <c r="N15" s="25"/>
      <c r="O15" s="25"/>
    </row>
    <row r="16" spans="3:23" ht="24" x14ac:dyDescent="0.3">
      <c r="C16" s="9" t="s">
        <v>1452</v>
      </c>
      <c r="D16" s="38">
        <v>3175009</v>
      </c>
      <c r="E16" s="38">
        <v>206621674</v>
      </c>
      <c r="F16" s="38">
        <v>369566</v>
      </c>
      <c r="G16" s="39">
        <v>67547002</v>
      </c>
      <c r="H16" s="40">
        <v>433.71</v>
      </c>
      <c r="I16" s="40"/>
      <c r="J16" s="41">
        <v>492.73</v>
      </c>
      <c r="K16" s="41">
        <v>408.18284899999998</v>
      </c>
      <c r="L16" s="86">
        <v>346.19295299999999</v>
      </c>
      <c r="M16" s="88">
        <v>102.65375299999999</v>
      </c>
      <c r="N16" s="34"/>
      <c r="O16" s="34"/>
      <c r="S16" s="35"/>
      <c r="U16" s="2"/>
      <c r="W16" s="2"/>
    </row>
    <row r="17" spans="3:23" ht="24" x14ac:dyDescent="0.3">
      <c r="C17" s="9" t="s">
        <v>1443</v>
      </c>
      <c r="D17" s="38">
        <v>3924218</v>
      </c>
      <c r="E17" s="38">
        <v>152878772</v>
      </c>
      <c r="F17" s="38">
        <v>254555</v>
      </c>
      <c r="G17" s="39">
        <v>36008128</v>
      </c>
      <c r="H17" s="41">
        <v>486.47726599999999</v>
      </c>
      <c r="I17" s="40"/>
      <c r="J17" s="41">
        <v>484.93</v>
      </c>
      <c r="K17" s="41">
        <v>481.75678499999998</v>
      </c>
      <c r="L17" s="86">
        <v>450.831255</v>
      </c>
      <c r="M17" s="88">
        <v>220.903085</v>
      </c>
      <c r="N17" s="34"/>
      <c r="O17" s="34"/>
      <c r="S17" s="35"/>
      <c r="U17" s="2"/>
      <c r="W17" s="2"/>
    </row>
    <row r="18" spans="3:23" ht="24" x14ac:dyDescent="0.3">
      <c r="C18" s="9" t="s">
        <v>1451</v>
      </c>
      <c r="D18" s="38">
        <v>3333397</v>
      </c>
      <c r="E18" s="38">
        <v>200923810</v>
      </c>
      <c r="F18" s="38">
        <v>399358</v>
      </c>
      <c r="G18" s="39">
        <v>1902943357</v>
      </c>
      <c r="H18" s="41">
        <v>224.11627300000001</v>
      </c>
      <c r="I18" s="40"/>
      <c r="J18" s="41">
        <v>234.64</v>
      </c>
      <c r="K18" s="41">
        <v>234.91</v>
      </c>
      <c r="L18" s="85">
        <v>834.23</v>
      </c>
      <c r="M18" s="88">
        <v>179.01</v>
      </c>
      <c r="N18" s="34"/>
      <c r="O18" s="34"/>
      <c r="S18" s="35"/>
      <c r="U18" s="2"/>
      <c r="W18" s="2"/>
    </row>
    <row r="19" spans="3:23" ht="24" x14ac:dyDescent="0.3">
      <c r="C19" s="9" t="s">
        <v>3915</v>
      </c>
      <c r="D19" s="38">
        <v>25921548</v>
      </c>
      <c r="E19" s="38">
        <v>1086367222</v>
      </c>
      <c r="F19" s="38">
        <v>4271341</v>
      </c>
      <c r="G19" s="39">
        <v>568730123</v>
      </c>
      <c r="H19" s="41">
        <v>150.722433</v>
      </c>
      <c r="I19" s="40"/>
      <c r="J19" s="41">
        <v>225.29803999999999</v>
      </c>
      <c r="K19" s="41">
        <v>147.34859499999999</v>
      </c>
      <c r="L19" s="85">
        <v>227.71192199999999</v>
      </c>
      <c r="M19" s="88">
        <v>99.896929</v>
      </c>
      <c r="N19" s="34"/>
      <c r="O19" s="34"/>
      <c r="S19" s="35"/>
      <c r="U19" s="2"/>
      <c r="W19" s="2"/>
    </row>
    <row r="20" spans="3:23" ht="24" x14ac:dyDescent="0.3">
      <c r="C20" s="9" t="s">
        <v>10</v>
      </c>
      <c r="D20" s="38">
        <v>3603726</v>
      </c>
      <c r="E20" s="38">
        <v>155093964</v>
      </c>
      <c r="F20" s="38">
        <v>434234</v>
      </c>
      <c r="G20" s="39">
        <v>1237624958</v>
      </c>
      <c r="H20" s="41">
        <v>107.39003200000001</v>
      </c>
      <c r="I20" s="40"/>
      <c r="J20" s="41">
        <v>94.19</v>
      </c>
      <c r="K20" s="41">
        <v>98.4</v>
      </c>
      <c r="L20" s="86">
        <v>196.60153800000001</v>
      </c>
      <c r="M20" s="88">
        <v>68.88</v>
      </c>
      <c r="N20" s="34"/>
      <c r="O20" s="34"/>
      <c r="S20" s="35"/>
      <c r="U20" s="2"/>
      <c r="W20" s="2"/>
    </row>
    <row r="21" spans="3:23" ht="24" x14ac:dyDescent="0.3">
      <c r="C21" s="11" t="s">
        <v>1455</v>
      </c>
      <c r="D21" s="38">
        <v>8833229</v>
      </c>
      <c r="E21" s="38">
        <v>105882456</v>
      </c>
      <c r="F21" s="38">
        <v>2126384</v>
      </c>
      <c r="G21" s="39">
        <v>2115046340</v>
      </c>
      <c r="H21" s="41">
        <v>105.59741699999999</v>
      </c>
      <c r="I21" s="40"/>
      <c r="J21" s="41">
        <v>87.072643999999997</v>
      </c>
      <c r="K21" s="41">
        <v>87.62</v>
      </c>
      <c r="L21" s="86">
        <v>306.40025200000002</v>
      </c>
      <c r="M21" s="88">
        <v>46.755004999999997</v>
      </c>
      <c r="N21" s="34"/>
      <c r="O21" s="34"/>
      <c r="S21" s="35"/>
      <c r="U21" s="2"/>
      <c r="W21" s="2"/>
    </row>
    <row r="22" spans="3:23" ht="24" x14ac:dyDescent="0.3">
      <c r="C22" s="11" t="s">
        <v>6</v>
      </c>
      <c r="D22" s="38">
        <v>3072441</v>
      </c>
      <c r="E22" s="38">
        <v>234369798</v>
      </c>
      <c r="F22" s="38">
        <v>33313</v>
      </c>
      <c r="G22" s="39">
        <v>2270456447</v>
      </c>
      <c r="H22" s="41">
        <v>85.151685000000001</v>
      </c>
      <c r="I22" s="40"/>
      <c r="J22" s="41">
        <v>84.17</v>
      </c>
      <c r="K22" s="41">
        <v>73.239999999999995</v>
      </c>
      <c r="L22" s="85">
        <v>281.76346699999999</v>
      </c>
      <c r="M22" s="88">
        <v>51.644970999999998</v>
      </c>
      <c r="N22" s="34"/>
      <c r="O22" s="34"/>
      <c r="S22" s="35"/>
      <c r="U22" s="2"/>
      <c r="W22" s="2"/>
    </row>
    <row r="23" spans="3:23" ht="24" x14ac:dyDescent="0.3">
      <c r="C23" s="9" t="s">
        <v>1442</v>
      </c>
      <c r="D23" s="38">
        <v>3370462</v>
      </c>
      <c r="E23" s="38">
        <v>143901836</v>
      </c>
      <c r="F23" s="38">
        <v>282591</v>
      </c>
      <c r="G23" s="39">
        <v>563203047</v>
      </c>
      <c r="H23" s="41">
        <v>127.82051300000001</v>
      </c>
      <c r="I23" s="40"/>
      <c r="J23" s="41">
        <v>80.39</v>
      </c>
      <c r="K23" s="41">
        <v>68.150000000000006</v>
      </c>
      <c r="L23" s="87">
        <v>200.62130099999999</v>
      </c>
      <c r="M23" s="88">
        <v>47.39</v>
      </c>
      <c r="N23" s="34"/>
      <c r="O23" s="34"/>
      <c r="S23" s="35"/>
      <c r="U23" s="2"/>
      <c r="W23" s="2"/>
    </row>
    <row r="24" spans="3:23" ht="24" x14ac:dyDescent="0.3">
      <c r="C24" s="11" t="s">
        <v>3</v>
      </c>
      <c r="D24" s="38">
        <v>2212663</v>
      </c>
      <c r="E24" s="38">
        <v>58330960</v>
      </c>
      <c r="F24" s="38">
        <v>137021</v>
      </c>
      <c r="G24" s="39">
        <v>1569924556</v>
      </c>
      <c r="H24" s="41">
        <v>68.285578000000001</v>
      </c>
      <c r="I24" s="40"/>
      <c r="J24" s="41">
        <v>67.303210000000007</v>
      </c>
      <c r="K24" s="41">
        <v>65.23</v>
      </c>
      <c r="L24" s="85">
        <v>223.255968</v>
      </c>
      <c r="M24" s="88">
        <v>33.600096000000001</v>
      </c>
      <c r="N24" s="34"/>
      <c r="O24" s="34"/>
      <c r="S24" s="35"/>
      <c r="U24" s="2"/>
      <c r="W24" s="2"/>
    </row>
    <row r="25" spans="3:23" ht="24" x14ac:dyDescent="0.3">
      <c r="C25" s="11" t="s">
        <v>1456</v>
      </c>
      <c r="D25" s="38">
        <v>5829441</v>
      </c>
      <c r="E25" s="38">
        <v>110439216</v>
      </c>
      <c r="F25" s="38">
        <v>818185</v>
      </c>
      <c r="G25" s="39">
        <v>1508704249</v>
      </c>
      <c r="H25" s="41">
        <v>84.078997999999999</v>
      </c>
      <c r="I25" s="40"/>
      <c r="J25" s="41">
        <v>51.512694000000003</v>
      </c>
      <c r="K25" s="41">
        <v>52.7</v>
      </c>
      <c r="L25" s="85">
        <v>245.51799</v>
      </c>
      <c r="M25" s="88">
        <v>37.410254999999999</v>
      </c>
      <c r="N25" s="34"/>
      <c r="O25" s="34"/>
      <c r="S25" s="35"/>
      <c r="U25" s="2"/>
      <c r="W25" s="2"/>
    </row>
    <row r="26" spans="3:23" ht="24" x14ac:dyDescent="0.3">
      <c r="C26" s="9" t="s">
        <v>1446</v>
      </c>
      <c r="D26" s="38">
        <v>6100692</v>
      </c>
      <c r="E26" s="38">
        <v>199729748</v>
      </c>
      <c r="F26" s="38">
        <v>2732817</v>
      </c>
      <c r="G26" s="39">
        <v>97362094</v>
      </c>
      <c r="H26" s="41">
        <v>59.816648000000001</v>
      </c>
      <c r="I26" s="40"/>
      <c r="J26" s="41">
        <v>61.136302999999998</v>
      </c>
      <c r="K26" s="41">
        <v>58.558579999999999</v>
      </c>
      <c r="L26" s="88">
        <v>32.213045000000001</v>
      </c>
      <c r="M26" s="85">
        <v>53.737893</v>
      </c>
      <c r="N26" s="34"/>
      <c r="O26" s="34"/>
      <c r="S26" s="35"/>
      <c r="U26" s="2"/>
      <c r="W26" s="2"/>
    </row>
    <row r="27" spans="3:23" ht="24" x14ac:dyDescent="0.3">
      <c r="C27" s="11" t="s">
        <v>7</v>
      </c>
      <c r="D27" s="38">
        <v>2584164</v>
      </c>
      <c r="E27" s="38">
        <v>56367036</v>
      </c>
      <c r="F27" s="38">
        <v>44065</v>
      </c>
      <c r="G27" s="39">
        <v>918563917</v>
      </c>
      <c r="H27" s="41">
        <v>71.662347999999994</v>
      </c>
      <c r="I27" s="40"/>
      <c r="J27" s="41">
        <v>33.369999999999997</v>
      </c>
      <c r="K27" s="41">
        <v>28.33</v>
      </c>
      <c r="L27" s="85">
        <v>129.14542800000001</v>
      </c>
      <c r="M27" s="88">
        <v>21.417175</v>
      </c>
      <c r="N27" s="34"/>
      <c r="O27" s="34"/>
      <c r="S27" s="35"/>
      <c r="U27" s="2"/>
      <c r="W27" s="2"/>
    </row>
    <row r="28" spans="3:23" ht="24" x14ac:dyDescent="0.3">
      <c r="C28" s="9" t="s">
        <v>3913</v>
      </c>
      <c r="D28" s="38">
        <v>58655849</v>
      </c>
      <c r="E28" s="38">
        <v>522642066</v>
      </c>
      <c r="F28" s="38">
        <v>278489</v>
      </c>
      <c r="G28" s="39">
        <v>1117416174</v>
      </c>
      <c r="H28" s="41">
        <v>60.576824999999999</v>
      </c>
      <c r="I28" s="40"/>
      <c r="J28" s="41">
        <v>32.021475000000002</v>
      </c>
      <c r="K28" s="41">
        <v>31.56</v>
      </c>
      <c r="L28" s="85">
        <v>144.30504400000001</v>
      </c>
      <c r="M28" s="88">
        <v>30.88738</v>
      </c>
      <c r="N28" s="34"/>
      <c r="O28" s="34"/>
      <c r="S28" s="35"/>
      <c r="U28" s="2"/>
      <c r="W28" s="2"/>
    </row>
    <row r="29" spans="3:23" ht="24" x14ac:dyDescent="0.3">
      <c r="C29" s="11" t="s">
        <v>1450</v>
      </c>
      <c r="D29" s="38">
        <v>5867547</v>
      </c>
      <c r="E29" s="38">
        <v>61171040</v>
      </c>
      <c r="F29" s="38">
        <v>959344</v>
      </c>
      <c r="G29" s="39">
        <v>994503898</v>
      </c>
      <c r="H29" s="41">
        <v>57.130594000000002</v>
      </c>
      <c r="I29" s="40"/>
      <c r="J29" s="41">
        <v>34.142220000000002</v>
      </c>
      <c r="K29" s="41">
        <v>35</v>
      </c>
      <c r="L29" s="85">
        <v>123.493318</v>
      </c>
      <c r="M29" s="88">
        <v>20.122519</v>
      </c>
      <c r="N29" s="34"/>
      <c r="O29" s="34"/>
      <c r="S29" s="35"/>
      <c r="U29" s="2"/>
      <c r="W29" s="2"/>
    </row>
    <row r="30" spans="3:23" ht="24" x14ac:dyDescent="0.3">
      <c r="C30" s="9" t="s">
        <v>1445</v>
      </c>
      <c r="D30" s="38">
        <v>2148791</v>
      </c>
      <c r="E30" s="38">
        <v>155750262</v>
      </c>
      <c r="F30" s="38">
        <v>286585</v>
      </c>
      <c r="G30" s="39">
        <v>147929073</v>
      </c>
      <c r="H30" s="41">
        <v>33.766888999999999</v>
      </c>
      <c r="I30" s="40"/>
      <c r="J30" s="41">
        <v>38.719047000000003</v>
      </c>
      <c r="K30" s="41">
        <v>31.719238000000001</v>
      </c>
      <c r="L30" s="85">
        <v>110.60061399999999</v>
      </c>
      <c r="M30" s="88">
        <v>23.840702</v>
      </c>
      <c r="N30" s="34"/>
      <c r="O30" s="34"/>
      <c r="S30" s="35"/>
      <c r="U30" s="2"/>
      <c r="W30" s="2"/>
    </row>
    <row r="31" spans="3:23" ht="24" x14ac:dyDescent="0.3">
      <c r="C31" s="9" t="s">
        <v>1422</v>
      </c>
      <c r="D31" s="38">
        <v>2622756</v>
      </c>
      <c r="E31" s="38">
        <v>94934908</v>
      </c>
      <c r="F31" s="38">
        <v>900354</v>
      </c>
      <c r="G31" s="39">
        <v>104704438</v>
      </c>
      <c r="H31" s="41">
        <v>23.738012000000001</v>
      </c>
      <c r="I31" s="40"/>
      <c r="J31" s="41">
        <v>27.719543999999999</v>
      </c>
      <c r="K31" s="41">
        <v>23.200935000000001</v>
      </c>
      <c r="L31" s="85">
        <v>31.811346</v>
      </c>
      <c r="M31" s="88">
        <v>17.874461</v>
      </c>
      <c r="N31" s="34"/>
      <c r="O31" s="34"/>
      <c r="S31" s="35"/>
      <c r="U31" s="2"/>
      <c r="W31" s="2"/>
    </row>
    <row r="32" spans="3:23" ht="24" x14ac:dyDescent="0.3">
      <c r="C32" s="9" t="s">
        <v>18</v>
      </c>
      <c r="D32" s="38">
        <v>27665730</v>
      </c>
      <c r="E32" s="38">
        <v>281227494</v>
      </c>
      <c r="F32" s="38">
        <v>11571953</v>
      </c>
      <c r="G32" s="39">
        <v>134221196</v>
      </c>
      <c r="H32" s="41">
        <v>64.861952000000002</v>
      </c>
      <c r="I32" s="40"/>
      <c r="J32" s="41">
        <v>62.440403000000003</v>
      </c>
      <c r="K32" s="41">
        <v>62.276108000000001</v>
      </c>
      <c r="L32" s="88">
        <v>23.307552999999999</v>
      </c>
      <c r="M32" s="85">
        <v>23.874721000000001</v>
      </c>
      <c r="N32" s="34"/>
      <c r="O32" s="34"/>
      <c r="S32" s="35"/>
      <c r="U32" s="2"/>
      <c r="W32" s="2"/>
    </row>
    <row r="33" spans="3:29" ht="24" x14ac:dyDescent="0.3">
      <c r="C33" s="11" t="s">
        <v>1436</v>
      </c>
      <c r="D33" s="38">
        <v>3790750</v>
      </c>
      <c r="E33" s="38">
        <v>44273578</v>
      </c>
      <c r="F33" s="38">
        <v>866662</v>
      </c>
      <c r="G33" s="39">
        <v>489911259</v>
      </c>
      <c r="H33" s="41">
        <v>11.255535999999999</v>
      </c>
      <c r="I33" s="40"/>
      <c r="J33" s="41">
        <v>20.010489</v>
      </c>
      <c r="K33" s="89">
        <v>11.012378999999999</v>
      </c>
      <c r="L33" s="85">
        <v>72.252588000000003</v>
      </c>
      <c r="M33" s="85">
        <v>12.491521000000001</v>
      </c>
      <c r="N33" s="34"/>
      <c r="O33" s="34"/>
      <c r="S33" s="35"/>
      <c r="U33" s="2"/>
      <c r="W33" s="2"/>
    </row>
    <row r="34" spans="3:29" ht="24" x14ac:dyDescent="0.3">
      <c r="C34" s="11" t="s">
        <v>5</v>
      </c>
      <c r="D34" s="38">
        <v>8730857</v>
      </c>
      <c r="E34" s="38">
        <v>654072972</v>
      </c>
      <c r="F34" s="38">
        <v>318268</v>
      </c>
      <c r="G34" s="39">
        <v>417032363</v>
      </c>
      <c r="H34" s="41">
        <v>14.054064</v>
      </c>
      <c r="I34" s="40"/>
      <c r="J34" s="41">
        <v>24.522736999999999</v>
      </c>
      <c r="K34" s="89">
        <v>18.855840000000001</v>
      </c>
      <c r="L34" s="85">
        <v>249.501497</v>
      </c>
      <c r="M34" s="85">
        <v>19.519027000000001</v>
      </c>
      <c r="N34" s="34"/>
      <c r="O34" s="34"/>
      <c r="S34" s="35"/>
      <c r="U34" s="2"/>
      <c r="W34" s="2"/>
    </row>
    <row r="35" spans="3:29" ht="24" x14ac:dyDescent="0.3">
      <c r="C35" s="9" t="s">
        <v>1405</v>
      </c>
      <c r="D35" s="38">
        <v>2093449</v>
      </c>
      <c r="E35" s="38">
        <v>52098498</v>
      </c>
      <c r="F35" s="38">
        <v>1140084</v>
      </c>
      <c r="G35" s="39">
        <v>7254227</v>
      </c>
      <c r="H35" s="41">
        <v>17.421547</v>
      </c>
      <c r="I35" s="40"/>
      <c r="J35" s="41">
        <v>17.122154999999999</v>
      </c>
      <c r="K35" s="41">
        <v>17.204273000000001</v>
      </c>
      <c r="L35" s="85">
        <v>23.765003</v>
      </c>
      <c r="M35" s="88">
        <v>14.029244</v>
      </c>
      <c r="N35" s="34"/>
      <c r="O35" s="34"/>
      <c r="S35" s="35"/>
      <c r="U35" s="2"/>
      <c r="W35" s="2"/>
    </row>
    <row r="36" spans="3:29" ht="24" x14ac:dyDescent="0.3">
      <c r="C36" s="11" t="s">
        <v>2</v>
      </c>
      <c r="D36" s="38">
        <v>4382070</v>
      </c>
      <c r="E36" s="38">
        <v>38996662</v>
      </c>
      <c r="F36" s="38">
        <v>699764</v>
      </c>
      <c r="G36" s="39">
        <v>287608260</v>
      </c>
      <c r="H36" s="41">
        <v>7.5799459999999996</v>
      </c>
      <c r="I36" s="40"/>
      <c r="J36" s="41">
        <v>10.682527</v>
      </c>
      <c r="K36" s="89">
        <v>7.4260539999999997</v>
      </c>
      <c r="L36" s="85">
        <v>38.782924999999999</v>
      </c>
      <c r="M36" s="85">
        <v>8.0992370000000005</v>
      </c>
      <c r="N36" s="34"/>
      <c r="O36" s="34"/>
      <c r="S36" s="35"/>
      <c r="U36" s="2"/>
      <c r="W36" s="2"/>
    </row>
    <row r="37" spans="3:29" ht="24" x14ac:dyDescent="0.3">
      <c r="C37" s="11" t="s">
        <v>1</v>
      </c>
      <c r="D37" s="38">
        <v>18268991</v>
      </c>
      <c r="E37" s="38">
        <v>253780418</v>
      </c>
      <c r="F37" s="38">
        <v>612308</v>
      </c>
      <c r="G37" s="39">
        <v>240680701</v>
      </c>
      <c r="H37" s="41">
        <v>6.968604</v>
      </c>
      <c r="I37" s="40"/>
      <c r="J37" s="41">
        <v>10.877093</v>
      </c>
      <c r="K37" s="89">
        <v>6.9283619999999999</v>
      </c>
      <c r="L37" s="85">
        <v>45.206122000000001</v>
      </c>
      <c r="M37" s="85">
        <v>10.693218999999999</v>
      </c>
      <c r="N37" s="34"/>
      <c r="O37" s="34"/>
      <c r="S37" s="35"/>
      <c r="U37" s="2"/>
      <c r="W37" s="2"/>
    </row>
    <row r="38" spans="3:29" ht="24" x14ac:dyDescent="0.3">
      <c r="C38" s="9" t="s">
        <v>1414</v>
      </c>
      <c r="D38" s="38">
        <v>3033373</v>
      </c>
      <c r="E38" s="38">
        <v>87691916</v>
      </c>
      <c r="F38" s="38">
        <v>275166</v>
      </c>
      <c r="G38" s="39">
        <v>118034566</v>
      </c>
      <c r="H38" s="41">
        <v>8.8155560000000008</v>
      </c>
      <c r="I38" s="40"/>
      <c r="J38" s="41">
        <v>11.389962000000001</v>
      </c>
      <c r="K38" s="89">
        <v>8.328792</v>
      </c>
      <c r="L38" s="85">
        <v>24.346118000000001</v>
      </c>
      <c r="M38" s="85">
        <v>9.3502709999999993</v>
      </c>
      <c r="N38" s="34"/>
      <c r="O38" s="34"/>
      <c r="S38" s="35"/>
      <c r="U38" s="2"/>
      <c r="W38" s="2"/>
    </row>
    <row r="39" spans="3:29" ht="24" x14ac:dyDescent="0.3">
      <c r="C39" s="11" t="s">
        <v>1423</v>
      </c>
      <c r="D39" s="38">
        <v>7570051</v>
      </c>
      <c r="E39" s="38">
        <v>43881980</v>
      </c>
      <c r="F39" s="38">
        <v>5669991</v>
      </c>
      <c r="G39" s="39">
        <v>41148109</v>
      </c>
      <c r="H39" s="41">
        <v>12.697224</v>
      </c>
      <c r="I39" s="40"/>
      <c r="J39" s="41">
        <v>12.580476000000001</v>
      </c>
      <c r="K39" s="41">
        <v>12.267455</v>
      </c>
      <c r="L39" s="85">
        <v>4.7210000000000001</v>
      </c>
      <c r="M39" s="88">
        <v>2.3150789999999999</v>
      </c>
      <c r="N39" s="34"/>
      <c r="O39" s="34"/>
      <c r="S39" s="35"/>
      <c r="U39" s="2"/>
      <c r="W39" s="2"/>
      <c r="AA39" s="2"/>
      <c r="AC39" s="2"/>
    </row>
    <row r="40" spans="3:29" ht="24" x14ac:dyDescent="0.3">
      <c r="C40" s="9" t="s">
        <v>1438</v>
      </c>
      <c r="D40" s="38">
        <v>7891015</v>
      </c>
      <c r="E40" s="38">
        <v>127830770</v>
      </c>
      <c r="F40" s="38">
        <v>3636005</v>
      </c>
      <c r="G40" s="39">
        <v>52252646</v>
      </c>
      <c r="H40" s="41">
        <v>11.282028</v>
      </c>
      <c r="I40" s="40"/>
      <c r="J40" s="41">
        <v>11.195107</v>
      </c>
      <c r="K40" s="41">
        <v>10.717722999999999</v>
      </c>
      <c r="L40" s="85">
        <v>2.9514300000000002</v>
      </c>
      <c r="M40" s="88">
        <v>2.0402999999999998</v>
      </c>
      <c r="N40" s="34"/>
      <c r="O40" s="34"/>
      <c r="S40" s="35"/>
      <c r="U40" s="2"/>
      <c r="W40" s="2"/>
      <c r="AA40" s="2"/>
      <c r="AC40" s="2"/>
    </row>
    <row r="41" spans="3:29" ht="24" x14ac:dyDescent="0.3">
      <c r="C41" s="11" t="s">
        <v>1449</v>
      </c>
      <c r="D41" s="38">
        <v>4799646</v>
      </c>
      <c r="E41" s="38">
        <v>63844012</v>
      </c>
      <c r="F41" s="38">
        <v>1076572</v>
      </c>
      <c r="G41" s="39">
        <v>157475935</v>
      </c>
      <c r="H41" s="41">
        <v>6.8452809999999999</v>
      </c>
      <c r="I41" s="40"/>
      <c r="J41" s="41">
        <v>7.4556459999999998</v>
      </c>
      <c r="K41" s="89">
        <v>5.0708260000000003</v>
      </c>
      <c r="L41" s="85">
        <v>23.708839000000001</v>
      </c>
      <c r="M41" s="85">
        <v>7.6292460000000002</v>
      </c>
      <c r="N41" s="34"/>
      <c r="O41" s="34"/>
      <c r="S41" s="35"/>
      <c r="U41" s="2"/>
      <c r="W41" s="2"/>
      <c r="AA41" s="2"/>
      <c r="AC41" s="2"/>
    </row>
    <row r="42" spans="3:29" ht="24" x14ac:dyDescent="0.3">
      <c r="C42" s="11" t="s">
        <v>4</v>
      </c>
      <c r="D42" s="38">
        <v>1203995</v>
      </c>
      <c r="E42" s="38">
        <v>40033816</v>
      </c>
      <c r="F42" s="38">
        <v>81090</v>
      </c>
      <c r="G42" s="39">
        <v>148294115</v>
      </c>
      <c r="H42" s="41">
        <v>3.9173870000000002</v>
      </c>
      <c r="I42" s="40"/>
      <c r="J42" s="41">
        <v>5.7804260000000003</v>
      </c>
      <c r="K42" s="89">
        <v>3.7129669999999999</v>
      </c>
      <c r="L42" s="85">
        <v>28.647296999999998</v>
      </c>
      <c r="M42" s="85">
        <v>7.8326770000000003</v>
      </c>
      <c r="N42" s="34"/>
      <c r="O42" s="34"/>
      <c r="S42" s="35"/>
      <c r="U42" s="2"/>
      <c r="W42" s="2"/>
      <c r="AA42" s="2"/>
      <c r="AC42" s="2"/>
    </row>
    <row r="43" spans="3:29" ht="24" x14ac:dyDescent="0.3">
      <c r="C43" s="11" t="s">
        <v>1447</v>
      </c>
      <c r="D43" s="38">
        <v>7489073</v>
      </c>
      <c r="E43" s="38">
        <v>224610814</v>
      </c>
      <c r="F43" s="38">
        <v>1053720</v>
      </c>
      <c r="G43" s="39">
        <v>148627058</v>
      </c>
      <c r="H43" s="41">
        <v>4.1408459999999998</v>
      </c>
      <c r="I43" s="40"/>
      <c r="J43" s="41">
        <v>5.4947679999999997</v>
      </c>
      <c r="K43" s="89">
        <v>3.9712429999999999</v>
      </c>
      <c r="L43" s="85">
        <v>37.416477</v>
      </c>
      <c r="M43" s="85">
        <v>5.235112</v>
      </c>
      <c r="N43" s="34"/>
      <c r="O43" s="34"/>
      <c r="S43" s="35"/>
      <c r="U43" s="2"/>
      <c r="W43" s="2"/>
      <c r="AA43" s="2"/>
      <c r="AC43" s="2"/>
    </row>
    <row r="44" spans="3:29" ht="24" x14ac:dyDescent="0.3">
      <c r="C44" s="11" t="s">
        <v>1440</v>
      </c>
      <c r="D44" s="38">
        <v>5812931</v>
      </c>
      <c r="E44" s="38">
        <v>54238524</v>
      </c>
      <c r="F44" s="38">
        <v>3504033</v>
      </c>
      <c r="G44" s="39">
        <v>72022415</v>
      </c>
      <c r="H44" s="41">
        <v>5.1042110000000003</v>
      </c>
      <c r="I44" s="40"/>
      <c r="J44" s="41">
        <v>5.3348269999999998</v>
      </c>
      <c r="K44" s="41">
        <v>4.8326019999999996</v>
      </c>
      <c r="L44" s="85">
        <v>9.5797369999999997</v>
      </c>
      <c r="M44" s="88">
        <v>3.0204589999999998</v>
      </c>
      <c r="N44" s="34"/>
      <c r="O44" s="34"/>
      <c r="S44" s="35"/>
      <c r="U44" s="2"/>
      <c r="W44" s="2"/>
      <c r="AA44" s="2"/>
      <c r="AC44" s="2"/>
    </row>
    <row r="45" spans="3:29" ht="24" x14ac:dyDescent="0.3">
      <c r="C45" s="11" t="s">
        <v>1461</v>
      </c>
      <c r="D45" s="38">
        <v>33777768</v>
      </c>
      <c r="E45" s="38">
        <v>274478882</v>
      </c>
      <c r="F45" s="38">
        <v>1057783</v>
      </c>
      <c r="G45" s="39">
        <v>152479402</v>
      </c>
      <c r="H45" s="41">
        <v>3.8363990000000001</v>
      </c>
      <c r="I45" s="40"/>
      <c r="J45" s="41">
        <v>4.7929389999999996</v>
      </c>
      <c r="K45" s="90">
        <v>3.2303030000000001</v>
      </c>
      <c r="L45" s="85">
        <v>18.665141999999999</v>
      </c>
      <c r="M45" s="85">
        <v>7.6161149999999997</v>
      </c>
      <c r="N45" s="34"/>
      <c r="O45" s="34"/>
      <c r="S45" s="35"/>
      <c r="U45" s="2"/>
      <c r="W45" s="2"/>
      <c r="AA45" s="2"/>
      <c r="AC45" s="2"/>
    </row>
    <row r="46" spans="3:29" ht="24" x14ac:dyDescent="0.3">
      <c r="C46" s="11" t="s">
        <v>1433</v>
      </c>
      <c r="D46" s="38">
        <v>2646291</v>
      </c>
      <c r="E46" s="38">
        <v>42433496</v>
      </c>
      <c r="F46" s="38">
        <v>850681</v>
      </c>
      <c r="G46" s="39">
        <v>110149144</v>
      </c>
      <c r="H46" s="41">
        <v>3.8337750000000002</v>
      </c>
      <c r="I46" s="40"/>
      <c r="J46" s="41">
        <v>4.6146729999999998</v>
      </c>
      <c r="K46" s="90">
        <v>3.679964</v>
      </c>
      <c r="L46" s="85">
        <v>15.348898999999999</v>
      </c>
      <c r="M46" s="85">
        <v>4.8238430000000001</v>
      </c>
      <c r="N46" s="34"/>
      <c r="O46" s="34"/>
      <c r="S46" s="35"/>
      <c r="U46" s="2"/>
      <c r="W46" s="2"/>
      <c r="AA46" s="2"/>
      <c r="AC46" s="2"/>
    </row>
    <row r="47" spans="3:29" ht="24" x14ac:dyDescent="0.3">
      <c r="C47" s="11" t="s">
        <v>1391</v>
      </c>
      <c r="D47" s="38">
        <v>8482737</v>
      </c>
      <c r="E47" s="38">
        <v>23585644</v>
      </c>
      <c r="F47" s="38">
        <v>8421430</v>
      </c>
      <c r="G47" s="39">
        <v>12043741</v>
      </c>
      <c r="H47" s="41">
        <v>7.652196</v>
      </c>
      <c r="I47" s="40"/>
      <c r="J47" s="41">
        <v>7.3640220000000003</v>
      </c>
      <c r="K47" s="40">
        <v>7.3661770000000004</v>
      </c>
      <c r="L47" s="85">
        <v>0.89532500000000004</v>
      </c>
      <c r="M47" s="88">
        <v>0.873803</v>
      </c>
      <c r="N47" s="34"/>
      <c r="O47" s="34"/>
      <c r="S47" s="35"/>
      <c r="U47" s="2"/>
      <c r="W47" s="2"/>
      <c r="AA47" s="2"/>
      <c r="AC47" s="2"/>
    </row>
    <row r="48" spans="3:29" ht="24" x14ac:dyDescent="0.3">
      <c r="C48" s="11" t="s">
        <v>1448</v>
      </c>
      <c r="D48" s="38">
        <v>5267977</v>
      </c>
      <c r="E48" s="38">
        <v>55363430</v>
      </c>
      <c r="F48" s="38">
        <v>590528</v>
      </c>
      <c r="G48" s="39">
        <v>99655585</v>
      </c>
      <c r="H48" s="41">
        <v>3.4353509999999998</v>
      </c>
      <c r="I48" s="40"/>
      <c r="J48" s="41">
        <v>3.8903150000000002</v>
      </c>
      <c r="K48" s="90">
        <v>3.20539</v>
      </c>
      <c r="L48" s="85">
        <v>16.841013</v>
      </c>
      <c r="M48" s="85">
        <v>5.4122669999999999</v>
      </c>
      <c r="N48" s="34"/>
      <c r="O48" s="34"/>
      <c r="S48" s="35"/>
      <c r="U48" s="2"/>
      <c r="W48" s="2"/>
      <c r="AA48" s="2"/>
      <c r="AC48" s="2"/>
    </row>
    <row r="49" spans="3:29" ht="24" x14ac:dyDescent="0.3">
      <c r="C49" s="9" t="s">
        <v>11</v>
      </c>
      <c r="D49" s="38">
        <v>2394385</v>
      </c>
      <c r="E49" s="38">
        <v>9319130</v>
      </c>
      <c r="F49" s="38">
        <v>100029</v>
      </c>
      <c r="G49" s="39">
        <v>86333306</v>
      </c>
      <c r="H49" s="41">
        <v>3.3782510000000001</v>
      </c>
      <c r="I49" s="40"/>
      <c r="J49" s="41">
        <v>2.6237210000000002</v>
      </c>
      <c r="K49" s="90">
        <v>1.765601</v>
      </c>
      <c r="L49" s="85">
        <v>11.48353</v>
      </c>
      <c r="M49" s="85">
        <v>2.5116809999999998</v>
      </c>
      <c r="N49" s="34"/>
      <c r="O49" s="34"/>
      <c r="S49" s="35"/>
      <c r="U49" s="2"/>
      <c r="W49" s="2"/>
      <c r="AA49" s="2"/>
      <c r="AC49" s="2"/>
    </row>
    <row r="50" spans="3:29" ht="24" x14ac:dyDescent="0.3">
      <c r="C50" s="9" t="s">
        <v>1434</v>
      </c>
      <c r="D50" s="38">
        <v>7825669</v>
      </c>
      <c r="E50" s="38">
        <v>124492028</v>
      </c>
      <c r="F50" s="38">
        <v>204282</v>
      </c>
      <c r="G50" s="39">
        <v>74995873</v>
      </c>
      <c r="H50" s="89">
        <v>2.4138410000000001</v>
      </c>
      <c r="I50" s="40"/>
      <c r="J50" s="41">
        <v>3.702521</v>
      </c>
      <c r="K50" s="40">
        <v>2.4274909999999998</v>
      </c>
      <c r="L50" s="85">
        <v>11.794521</v>
      </c>
      <c r="M50" s="85">
        <v>4.758845</v>
      </c>
      <c r="N50" s="34"/>
      <c r="O50" s="34"/>
      <c r="S50" s="35"/>
      <c r="U50" s="2"/>
      <c r="W50" s="2"/>
      <c r="AA50" s="2"/>
      <c r="AC50" s="2"/>
    </row>
    <row r="51" spans="3:29" ht="24" x14ac:dyDescent="0.3">
      <c r="C51" s="11" t="s">
        <v>1462</v>
      </c>
      <c r="D51" s="38">
        <v>33778221</v>
      </c>
      <c r="E51" s="38">
        <v>203595714</v>
      </c>
      <c r="F51" s="38">
        <v>29319</v>
      </c>
      <c r="G51" s="39">
        <v>103359042</v>
      </c>
      <c r="H51" s="41">
        <v>1.6937089999999999</v>
      </c>
      <c r="I51" s="40"/>
      <c r="J51" s="41">
        <v>2.5703559999999999</v>
      </c>
      <c r="K51" s="90">
        <v>1.310222</v>
      </c>
      <c r="L51" s="85">
        <v>25.699197000000002</v>
      </c>
      <c r="M51" s="85">
        <v>7.0814329999999996</v>
      </c>
      <c r="N51" s="34"/>
      <c r="O51" s="34"/>
      <c r="S51" s="35"/>
      <c r="U51" s="2"/>
      <c r="W51" s="2"/>
      <c r="AA51" s="2"/>
      <c r="AC51" s="2"/>
    </row>
    <row r="52" spans="3:29" ht="24" x14ac:dyDescent="0.3">
      <c r="C52" s="11" t="s">
        <v>1431</v>
      </c>
      <c r="D52" s="38">
        <v>4579069</v>
      </c>
      <c r="E52" s="38">
        <v>12530086</v>
      </c>
      <c r="F52" s="38">
        <v>4043326</v>
      </c>
      <c r="G52" s="39">
        <v>6015927</v>
      </c>
      <c r="H52" s="41">
        <v>7.7896460000000003</v>
      </c>
      <c r="I52" s="40"/>
      <c r="J52" s="41">
        <v>7.0005249999999997</v>
      </c>
      <c r="K52" s="40">
        <v>6.9008060000000002</v>
      </c>
      <c r="L52" s="85">
        <v>0.93807399999999996</v>
      </c>
      <c r="M52" s="88">
        <v>0.93605400000000005</v>
      </c>
      <c r="N52" s="34"/>
      <c r="O52" s="34"/>
      <c r="S52" s="35"/>
      <c r="U52" s="2"/>
      <c r="W52" s="2"/>
      <c r="AA52" s="2"/>
      <c r="AC52" s="2"/>
    </row>
    <row r="53" spans="3:29" ht="24" x14ac:dyDescent="0.3">
      <c r="C53" s="11" t="s">
        <v>1425</v>
      </c>
      <c r="D53" s="38">
        <v>5005932</v>
      </c>
      <c r="E53" s="38">
        <v>33083838</v>
      </c>
      <c r="F53" s="38">
        <v>1208022</v>
      </c>
      <c r="G53" s="39">
        <v>48080344</v>
      </c>
      <c r="H53" s="41">
        <v>3.2148729999999999</v>
      </c>
      <c r="I53" s="40"/>
      <c r="J53" s="41">
        <v>3.403111</v>
      </c>
      <c r="K53" s="40">
        <v>2.9715720000000001</v>
      </c>
      <c r="L53" s="85">
        <v>5.9442469999999998</v>
      </c>
      <c r="M53" s="88">
        <v>2.8253370000000002</v>
      </c>
      <c r="N53" s="34"/>
      <c r="O53" s="34"/>
      <c r="S53" s="35"/>
      <c r="U53" s="2"/>
      <c r="W53" s="2"/>
      <c r="AA53" s="2"/>
      <c r="AC53" s="2"/>
    </row>
    <row r="54" spans="3:29" ht="24" x14ac:dyDescent="0.3">
      <c r="C54" s="11" t="s">
        <v>1409</v>
      </c>
      <c r="D54" s="38">
        <v>3411795</v>
      </c>
      <c r="E54" s="38">
        <v>26854686</v>
      </c>
      <c r="F54" s="38">
        <v>2487058</v>
      </c>
      <c r="G54" s="39">
        <v>8209611</v>
      </c>
      <c r="H54" s="41">
        <v>4.5660360000000004</v>
      </c>
      <c r="I54" s="40"/>
      <c r="J54" s="41">
        <v>2.5640559999999999</v>
      </c>
      <c r="K54" s="40">
        <v>2.5636969999999999</v>
      </c>
      <c r="L54" s="85">
        <v>0.94574000000000003</v>
      </c>
      <c r="M54" s="88">
        <v>0.85847099999999998</v>
      </c>
      <c r="N54" s="34"/>
      <c r="O54" s="34"/>
      <c r="S54" s="35"/>
      <c r="U54" s="2"/>
      <c r="W54" s="2"/>
      <c r="AA54" s="2"/>
      <c r="AC54" s="2"/>
    </row>
    <row r="55" spans="3:29" ht="24" x14ac:dyDescent="0.3">
      <c r="C55" s="11" t="s">
        <v>1404</v>
      </c>
      <c r="D55" s="38">
        <v>2939627</v>
      </c>
      <c r="E55" s="38">
        <v>20974994</v>
      </c>
      <c r="F55" s="38">
        <v>916719</v>
      </c>
      <c r="G55" s="39">
        <v>49558992</v>
      </c>
      <c r="H55" s="41">
        <v>3.7311160000000001</v>
      </c>
      <c r="I55" s="40"/>
      <c r="J55" s="41">
        <v>3.5483899999999999</v>
      </c>
      <c r="K55" s="40">
        <v>3.2534559999999999</v>
      </c>
      <c r="L55" s="85">
        <v>5.7104470000000003</v>
      </c>
      <c r="M55" s="88">
        <v>2.0374910000000002</v>
      </c>
      <c r="N55" s="34"/>
      <c r="O55" s="34"/>
      <c r="S55" s="35"/>
      <c r="U55" s="2"/>
      <c r="W55" s="2"/>
      <c r="AA55" s="2"/>
      <c r="AC55" s="2"/>
    </row>
    <row r="56" spans="3:29" ht="24" x14ac:dyDescent="0.3">
      <c r="C56" s="22" t="s">
        <v>3912</v>
      </c>
      <c r="D56" s="38">
        <v>4033138</v>
      </c>
      <c r="E56" s="38">
        <v>55866126</v>
      </c>
      <c r="F56" s="38">
        <v>2651</v>
      </c>
      <c r="G56" s="39">
        <v>38413666</v>
      </c>
      <c r="H56" s="41">
        <v>1.571016</v>
      </c>
      <c r="I56" s="40"/>
      <c r="J56" s="41">
        <v>2.039167</v>
      </c>
      <c r="K56" s="90">
        <v>1.4397960000000001</v>
      </c>
      <c r="L56" s="85">
        <v>6.711659</v>
      </c>
      <c r="M56" s="85">
        <v>4.0897119999999996</v>
      </c>
      <c r="N56" s="34"/>
      <c r="O56" s="34"/>
      <c r="S56" s="35"/>
      <c r="U56" s="2"/>
      <c r="W56" s="2"/>
      <c r="AA56" s="2"/>
      <c r="AC56" s="2"/>
    </row>
    <row r="57" spans="3:29" ht="24" x14ac:dyDescent="0.3">
      <c r="C57" s="11" t="s">
        <v>1346</v>
      </c>
      <c r="D57" s="38">
        <v>1696415</v>
      </c>
      <c r="E57" s="38">
        <v>22190596</v>
      </c>
      <c r="F57" s="38">
        <v>35455</v>
      </c>
      <c r="G57" s="39">
        <v>37322355</v>
      </c>
      <c r="H57" s="41">
        <v>1.300643</v>
      </c>
      <c r="I57" s="40"/>
      <c r="J57" s="41">
        <v>1.6876949999999999</v>
      </c>
      <c r="K57" s="90">
        <v>1.085415</v>
      </c>
      <c r="L57" s="85">
        <v>7.0529869999999999</v>
      </c>
      <c r="M57" s="85">
        <v>2.076346</v>
      </c>
      <c r="N57" s="34"/>
      <c r="O57" s="34"/>
      <c r="S57" s="35"/>
      <c r="U57" s="2"/>
      <c r="W57" s="2"/>
      <c r="AA57" s="2"/>
      <c r="AC57" s="2"/>
    </row>
    <row r="58" spans="3:29" ht="21" customHeight="1" x14ac:dyDescent="0.3">
      <c r="C58" s="11" t="s">
        <v>1411</v>
      </c>
      <c r="D58" s="38">
        <v>3496954</v>
      </c>
      <c r="E58" s="38">
        <v>27305086</v>
      </c>
      <c r="F58" s="38">
        <v>2187803</v>
      </c>
      <c r="G58" s="39">
        <v>12230903</v>
      </c>
      <c r="H58" s="41">
        <v>1.9853620000000001</v>
      </c>
      <c r="I58" s="40"/>
      <c r="J58" s="41">
        <v>1.8377460000000001</v>
      </c>
      <c r="K58" s="40">
        <v>1.808211</v>
      </c>
      <c r="L58" s="88">
        <v>0.65300999999999998</v>
      </c>
      <c r="M58" s="85">
        <v>0.72130399999999995</v>
      </c>
      <c r="N58" s="34"/>
      <c r="O58" s="34"/>
      <c r="S58" s="35"/>
      <c r="U58" s="2"/>
      <c r="W58" s="2"/>
      <c r="AA58" s="2"/>
      <c r="AC58" s="2"/>
    </row>
    <row r="59" spans="3:29" ht="24" x14ac:dyDescent="0.3">
      <c r="C59" s="9" t="s">
        <v>3917</v>
      </c>
      <c r="D59" s="38">
        <v>1791489</v>
      </c>
      <c r="E59" s="38">
        <v>50888414</v>
      </c>
      <c r="F59" s="38">
        <v>238342</v>
      </c>
      <c r="G59" s="39">
        <v>27229873</v>
      </c>
      <c r="H59" s="41">
        <v>1.3038989999999999</v>
      </c>
      <c r="I59" s="40"/>
      <c r="J59" s="41">
        <v>1.4571909999999999</v>
      </c>
      <c r="K59" s="90">
        <v>1.1079509999999999</v>
      </c>
      <c r="L59" s="85">
        <v>4.5417589999999999</v>
      </c>
      <c r="M59" s="85">
        <v>1.3929849999999999</v>
      </c>
      <c r="N59" s="34"/>
      <c r="O59" s="34"/>
      <c r="S59" s="35"/>
      <c r="U59" s="2"/>
      <c r="W59" s="2"/>
      <c r="AA59" s="2"/>
      <c r="AC59" s="2"/>
    </row>
    <row r="60" spans="3:29" ht="24" x14ac:dyDescent="0.3">
      <c r="C60" s="11" t="s">
        <v>1437</v>
      </c>
      <c r="D60" s="38">
        <v>2981204</v>
      </c>
      <c r="E60" s="38">
        <v>42832752</v>
      </c>
      <c r="F60" s="38">
        <v>385104</v>
      </c>
      <c r="G60" s="39">
        <v>35290880</v>
      </c>
      <c r="H60" s="41">
        <v>1.446725</v>
      </c>
      <c r="I60" s="40"/>
      <c r="J60" s="41">
        <v>1.4544539999999999</v>
      </c>
      <c r="K60" s="90">
        <v>1.308095</v>
      </c>
      <c r="L60" s="85">
        <v>5.6263290000000001</v>
      </c>
      <c r="M60" s="85">
        <v>2.3065820000000001</v>
      </c>
      <c r="N60" s="34"/>
      <c r="O60" s="34"/>
      <c r="S60" s="35"/>
      <c r="U60" s="2"/>
      <c r="W60" s="2"/>
      <c r="AA60" s="2"/>
      <c r="AC60" s="2"/>
    </row>
    <row r="61" spans="3:29" ht="24" x14ac:dyDescent="0.3">
      <c r="C61" s="9" t="s">
        <v>1402</v>
      </c>
      <c r="D61" s="38">
        <v>2132864</v>
      </c>
      <c r="E61" s="38">
        <v>17441248</v>
      </c>
      <c r="F61" s="38">
        <v>306136</v>
      </c>
      <c r="G61" s="39">
        <v>11329220</v>
      </c>
      <c r="H61" s="41">
        <v>0.99414100000000005</v>
      </c>
      <c r="I61" s="40"/>
      <c r="J61" s="41">
        <v>0.85337799999999997</v>
      </c>
      <c r="K61" s="90">
        <v>0.791018</v>
      </c>
      <c r="L61" s="85">
        <v>1.8110040000000001</v>
      </c>
      <c r="M61" s="85">
        <v>1.1210039999999999</v>
      </c>
      <c r="N61" s="34"/>
      <c r="O61" s="34"/>
      <c r="S61" s="35"/>
      <c r="U61" s="2"/>
      <c r="W61" s="2"/>
      <c r="AA61" s="2"/>
      <c r="AC61" s="2"/>
    </row>
    <row r="62" spans="3:29" ht="24" x14ac:dyDescent="0.3">
      <c r="C62" s="9" t="s">
        <v>1371</v>
      </c>
      <c r="D62" s="38">
        <v>2140198</v>
      </c>
      <c r="E62" s="38">
        <v>34029892</v>
      </c>
      <c r="F62" s="38">
        <v>97848</v>
      </c>
      <c r="G62" s="39">
        <v>19365288</v>
      </c>
      <c r="H62" s="41">
        <v>0.85894899999999996</v>
      </c>
      <c r="I62" s="40"/>
      <c r="J62" s="41">
        <v>0.85916800000000004</v>
      </c>
      <c r="K62" s="90">
        <v>0.71303899999999998</v>
      </c>
      <c r="L62" s="85">
        <v>3.3648449999999999</v>
      </c>
      <c r="M62" s="85">
        <v>1.127974</v>
      </c>
      <c r="N62" s="34"/>
      <c r="O62" s="34"/>
      <c r="S62" s="35"/>
      <c r="U62" s="2"/>
      <c r="W62" s="2"/>
      <c r="AA62" s="2"/>
      <c r="AC62" s="2"/>
    </row>
    <row r="63" spans="3:29" ht="24" x14ac:dyDescent="0.3">
      <c r="C63" s="22" t="s">
        <v>3919</v>
      </c>
      <c r="D63" s="38">
        <v>2937612</v>
      </c>
      <c r="E63" s="38">
        <v>41919708</v>
      </c>
      <c r="F63" s="38">
        <v>4356</v>
      </c>
      <c r="G63" s="39">
        <v>27593398</v>
      </c>
      <c r="H63" s="41">
        <v>0.62366100000000002</v>
      </c>
      <c r="I63" s="40"/>
      <c r="J63" s="41">
        <v>0.63905199999999995</v>
      </c>
      <c r="K63" s="90">
        <v>0.48078500000000002</v>
      </c>
      <c r="L63" s="85">
        <v>3.6801520000000001</v>
      </c>
      <c r="M63" s="85">
        <v>1.075196</v>
      </c>
      <c r="N63" s="34"/>
      <c r="O63" s="34"/>
      <c r="S63" s="35"/>
      <c r="U63" s="2"/>
      <c r="W63" s="2"/>
      <c r="AA63" s="2"/>
      <c r="AC63" s="2"/>
    </row>
    <row r="64" spans="3:29" ht="24" x14ac:dyDescent="0.3">
      <c r="C64" s="11" t="s">
        <v>1408</v>
      </c>
      <c r="D64" s="38">
        <v>4063587</v>
      </c>
      <c r="E64" s="38">
        <v>17652554</v>
      </c>
      <c r="F64" s="38">
        <v>4059644</v>
      </c>
      <c r="G64" s="39">
        <v>8823479</v>
      </c>
      <c r="H64" s="41">
        <v>1.682345</v>
      </c>
      <c r="I64" s="40"/>
      <c r="J64" s="41">
        <v>1.511938</v>
      </c>
      <c r="K64" s="40">
        <v>1.5356030000000001</v>
      </c>
      <c r="L64" s="85">
        <v>0.16831399999999999</v>
      </c>
      <c r="M64" s="88">
        <v>0.108086</v>
      </c>
      <c r="N64" s="34"/>
      <c r="O64" s="34"/>
      <c r="S64" s="35"/>
      <c r="U64" s="2"/>
      <c r="W64" s="2"/>
      <c r="AA64" s="2"/>
      <c r="AC64" s="2"/>
    </row>
    <row r="65" spans="3:29" ht="24" x14ac:dyDescent="0.3">
      <c r="C65" s="22" t="s">
        <v>3920</v>
      </c>
      <c r="D65" s="38">
        <v>1632803</v>
      </c>
      <c r="E65" s="38">
        <v>44603928</v>
      </c>
      <c r="F65" s="38">
        <v>14854</v>
      </c>
      <c r="G65" s="39">
        <v>19376873</v>
      </c>
      <c r="H65" s="41">
        <v>2.154563</v>
      </c>
      <c r="I65" s="40"/>
      <c r="J65" s="41">
        <v>0.43253999999999998</v>
      </c>
      <c r="K65" s="90">
        <v>0.34845199999999998</v>
      </c>
      <c r="L65" s="85">
        <v>2.2659929999999999</v>
      </c>
      <c r="M65" s="85">
        <v>0.96733800000000003</v>
      </c>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honeticPr fontId="5" type="noConversion"/>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Q287"/>
  <sheetViews>
    <sheetView tabSelected="1" topLeftCell="A39" workbookViewId="0">
      <selection activeCell="D69" sqref="D69"/>
    </sheetView>
  </sheetViews>
  <sheetFormatPr baseColWidth="10" defaultRowHeight="16" x14ac:dyDescent="0.2"/>
  <cols>
    <col min="4" max="4" width="30.6640625" customWidth="1"/>
    <col min="7" max="7" width="13.1640625" customWidth="1"/>
    <col min="8" max="8" width="23.1640625" customWidth="1"/>
    <col min="9" max="9" width="11.5" bestFit="1" customWidth="1"/>
    <col min="11" max="11" width="16.6640625" bestFit="1" customWidth="1"/>
    <col min="14" max="14" width="16.33203125" customWidth="1"/>
  </cols>
  <sheetData>
    <row r="3" spans="2:17" ht="21" x14ac:dyDescent="0.25">
      <c r="H3" s="68" t="s">
        <v>3958</v>
      </c>
      <c r="I3" s="68"/>
      <c r="J3" s="68"/>
      <c r="K3" s="68"/>
      <c r="L3" s="68"/>
      <c r="M3" s="68"/>
      <c r="N3" s="68" t="s">
        <v>3959</v>
      </c>
      <c r="O3" s="68"/>
    </row>
    <row r="4" spans="2:17" ht="21" x14ac:dyDescent="0.25">
      <c r="B4" s="69" t="s">
        <v>3960</v>
      </c>
      <c r="C4" s="69" t="s">
        <v>21</v>
      </c>
      <c r="D4" s="69" t="s">
        <v>3961</v>
      </c>
      <c r="E4" s="69" t="s">
        <v>3962</v>
      </c>
      <c r="F4" s="69" t="s">
        <v>3930</v>
      </c>
      <c r="G4" s="69" t="s">
        <v>3929</v>
      </c>
      <c r="H4" s="69" t="s">
        <v>3963</v>
      </c>
      <c r="I4" s="69" t="s">
        <v>3964</v>
      </c>
      <c r="J4" s="69" t="s">
        <v>19</v>
      </c>
      <c r="K4" s="69" t="s">
        <v>3965</v>
      </c>
      <c r="L4" s="69" t="s">
        <v>3966</v>
      </c>
      <c r="M4" s="69" t="s">
        <v>20</v>
      </c>
      <c r="N4" s="69" t="s">
        <v>3967</v>
      </c>
      <c r="O4" s="69" t="s">
        <v>3968</v>
      </c>
      <c r="P4" s="69" t="s">
        <v>3969</v>
      </c>
      <c r="Q4" s="69" t="s">
        <v>3970</v>
      </c>
    </row>
    <row r="5" spans="2:17" ht="21" x14ac:dyDescent="0.25">
      <c r="B5" s="70">
        <v>1</v>
      </c>
      <c r="C5" s="71">
        <v>1</v>
      </c>
      <c r="D5" s="70" t="s">
        <v>3920</v>
      </c>
      <c r="E5" s="70">
        <v>2</v>
      </c>
      <c r="F5" s="72">
        <v>1.9899199999999999</v>
      </c>
      <c r="G5" s="72">
        <v>2.7986249999999999</v>
      </c>
      <c r="H5" s="72">
        <v>1.762143</v>
      </c>
      <c r="I5" s="72">
        <v>1.0447580000000001</v>
      </c>
      <c r="J5" s="72"/>
      <c r="K5" s="73" t="str">
        <f>IFERROR([1]!Table37[[#This Row],[CPU Only]]/[1]!Table37[[#This Row],[Hybrid]], "-")</f>
        <v>-</v>
      </c>
      <c r="L5" s="74" t="str">
        <f>IFERROR([1]!Table37[[#This Row],[GPU Only]]/[1]!Table37[[#This Row],[Hybrid]], "-")</f>
        <v>-</v>
      </c>
      <c r="M5" s="75" t="str">
        <f>IFERROR([1]!Table37[[#This Row],[Hybrid2]]/[1]!Table37[[#This Row],[Hybrid]], "-")</f>
        <v>-</v>
      </c>
      <c r="N5" s="72">
        <v>1.8789290000000001</v>
      </c>
      <c r="O5" s="72">
        <v>2.037236</v>
      </c>
      <c r="P5" s="72" t="str">
        <f>IFERROR([1]!Table37[[#This Row],[GPU Only2]]/[1]!Table37[[#This Row],[Hybrid2]], "-")</f>
        <v>-</v>
      </c>
      <c r="Q5" s="72" t="str">
        <f>IFERROR([1]!Table37[[#This Row],[CPU Only]]/[1]!Table37[[#This Row],[Hybrid2]], "-")</f>
        <v>-</v>
      </c>
    </row>
    <row r="6" spans="2:17" ht="21" x14ac:dyDescent="0.25">
      <c r="B6" s="70">
        <v>1</v>
      </c>
      <c r="C6" s="71">
        <v>2</v>
      </c>
      <c r="D6" s="70" t="s">
        <v>3920</v>
      </c>
      <c r="E6" s="70">
        <v>5</v>
      </c>
      <c r="F6" s="72">
        <v>6.5475979999999998</v>
      </c>
      <c r="G6" s="72">
        <v>9.5203530000000001</v>
      </c>
      <c r="H6" s="72">
        <v>6.0130030000000003</v>
      </c>
      <c r="I6" s="72">
        <v>3.9973770000000002</v>
      </c>
      <c r="J6" s="72"/>
      <c r="K6" s="73" t="str">
        <f>IFERROR([1]!Table37[[#This Row],[CPU Only]]/[1]!Table37[[#This Row],[Hybrid]], "-")</f>
        <v>-</v>
      </c>
      <c r="L6" s="74" t="str">
        <f>IFERROR([1]!Table37[[#This Row],[GPU Only]]/[1]!Table37[[#This Row],[Hybrid]], "-")</f>
        <v>-</v>
      </c>
      <c r="M6" s="75" t="str">
        <f>IFERROR([1]!Table37[[#This Row],[Hybrid2]]/[1]!Table37[[#This Row],[Hybrid]], "-")</f>
        <v>-</v>
      </c>
      <c r="N6" s="72">
        <v>6.812265</v>
      </c>
      <c r="O6" s="72">
        <v>7.5830029999999997</v>
      </c>
      <c r="P6" s="72" t="str">
        <f>IFERROR([1]!Table37[[#This Row],[GPU Only2]]/[1]!Table37[[#This Row],[Hybrid2]], "-")</f>
        <v>-</v>
      </c>
      <c r="Q6" s="72" t="str">
        <f>IFERROR([1]!Table37[[#This Row],[CPU Only]]/[1]!Table37[[#This Row],[Hybrid2]], "-")</f>
        <v>-</v>
      </c>
    </row>
    <row r="7" spans="2:17" ht="21" x14ac:dyDescent="0.25">
      <c r="B7" s="70">
        <v>1</v>
      </c>
      <c r="C7" s="71">
        <v>3</v>
      </c>
      <c r="D7" s="70" t="s">
        <v>3920</v>
      </c>
      <c r="E7" s="70">
        <v>8</v>
      </c>
      <c r="F7" s="72">
        <v>13.811641</v>
      </c>
      <c r="G7" s="72">
        <v>53.249589</v>
      </c>
      <c r="H7" s="72">
        <v>7.7477510000000001</v>
      </c>
      <c r="I7" s="72">
        <v>7.948963</v>
      </c>
      <c r="J7" s="72"/>
      <c r="K7" s="73" t="str">
        <f>IFERROR([1]!Table37[[#This Row],[CPU Only]]/[1]!Table37[[#This Row],[Hybrid]], "-")</f>
        <v>-</v>
      </c>
      <c r="L7" s="74" t="str">
        <f>IFERROR([1]!Table37[[#This Row],[GPU Only]]/[1]!Table37[[#This Row],[Hybrid]], "-")</f>
        <v>-</v>
      </c>
      <c r="M7" s="75" t="str">
        <f>IFERROR([1]!Table37[[#This Row],[Hybrid2]]/[1]!Table37[[#This Row],[Hybrid]], "-")</f>
        <v>-</v>
      </c>
      <c r="N7" s="72">
        <v>17.732524000000002</v>
      </c>
      <c r="O7" s="72">
        <v>18.643443000000001</v>
      </c>
      <c r="P7" s="72" t="str">
        <f>IFERROR([1]!Table37[[#This Row],[GPU Only2]]/[1]!Table37[[#This Row],[Hybrid2]], "-")</f>
        <v>-</v>
      </c>
      <c r="Q7" s="72" t="str">
        <f>IFERROR([1]!Table37[[#This Row],[CPU Only]]/[1]!Table37[[#This Row],[Hybrid2]], "-")</f>
        <v>-</v>
      </c>
    </row>
    <row r="8" spans="2:17" ht="21" x14ac:dyDescent="0.25">
      <c r="B8" s="70">
        <v>2</v>
      </c>
      <c r="C8" s="71">
        <v>10</v>
      </c>
      <c r="D8" s="70" t="s">
        <v>3919</v>
      </c>
      <c r="E8" s="70">
        <v>2</v>
      </c>
      <c r="F8" s="72">
        <v>1.7038310000000001</v>
      </c>
      <c r="G8" s="72">
        <v>5.7062600000000003</v>
      </c>
      <c r="H8" s="72">
        <v>1.543666</v>
      </c>
      <c r="I8" s="72">
        <v>1.7397039999999999</v>
      </c>
      <c r="J8" s="72"/>
      <c r="K8" s="73" t="str">
        <f>IFERROR([1]!Table37[[#This Row],[CPU Only]]/[1]!Table37[[#This Row],[Hybrid]], "-")</f>
        <v>-</v>
      </c>
      <c r="L8" s="74" t="str">
        <f>IFERROR([1]!Table37[[#This Row],[GPU Only]]/[1]!Table37[[#This Row],[Hybrid]], "-")</f>
        <v>-</v>
      </c>
      <c r="M8" s="75" t="str">
        <f>IFERROR([1]!Table37[[#This Row],[Hybrid2]]/[1]!Table37[[#This Row],[Hybrid]], "-")</f>
        <v>-</v>
      </c>
      <c r="N8" s="72">
        <v>3.6407980000000002</v>
      </c>
      <c r="O8" s="72">
        <v>3.6430180000000001</v>
      </c>
      <c r="P8" s="72" t="str">
        <f>IFERROR([1]!Table37[[#This Row],[GPU Only2]]/[1]!Table37[[#This Row],[Hybrid2]], "-")</f>
        <v>-</v>
      </c>
      <c r="Q8" s="72" t="str">
        <f>IFERROR([1]!Table37[[#This Row],[CPU Only]]/[1]!Table37[[#This Row],[Hybrid2]], "-")</f>
        <v>-</v>
      </c>
    </row>
    <row r="9" spans="2:17" ht="21" x14ac:dyDescent="0.25">
      <c r="B9" s="70">
        <v>2</v>
      </c>
      <c r="C9" s="71">
        <v>11</v>
      </c>
      <c r="D9" s="70" t="s">
        <v>3919</v>
      </c>
      <c r="E9" s="70">
        <v>5</v>
      </c>
      <c r="F9" s="72">
        <v>14.089634</v>
      </c>
      <c r="G9" s="72">
        <v>34.159426000000003</v>
      </c>
      <c r="H9" s="72">
        <v>10.207003</v>
      </c>
      <c r="I9" s="72">
        <v>10.203239</v>
      </c>
      <c r="J9" s="72"/>
      <c r="K9" s="73" t="str">
        <f>IFERROR([1]!Table37[[#This Row],[CPU Only]]/[1]!Table37[[#This Row],[Hybrid]], "-")</f>
        <v>-</v>
      </c>
      <c r="L9" s="74" t="str">
        <f>IFERROR([1]!Table37[[#This Row],[GPU Only]]/[1]!Table37[[#This Row],[Hybrid]], "-")</f>
        <v>-</v>
      </c>
      <c r="M9" s="75" t="str">
        <f>IFERROR([1]!Table37[[#This Row],[Hybrid2]]/[1]!Table37[[#This Row],[Hybrid]], "-")</f>
        <v>-</v>
      </c>
      <c r="N9" s="72">
        <v>24.766068000000001</v>
      </c>
      <c r="O9" s="72">
        <v>26.069410000000001</v>
      </c>
      <c r="P9" s="72" t="str">
        <f>IFERROR([1]!Table37[[#This Row],[GPU Only2]]/[1]!Table37[[#This Row],[Hybrid2]], "-")</f>
        <v>-</v>
      </c>
      <c r="Q9" s="72" t="str">
        <f>IFERROR([1]!Table37[[#This Row],[CPU Only]]/[1]!Table37[[#This Row],[Hybrid2]], "-")</f>
        <v>-</v>
      </c>
    </row>
    <row r="10" spans="2:17" ht="21" x14ac:dyDescent="0.25">
      <c r="B10" s="70">
        <v>2</v>
      </c>
      <c r="C10" s="71">
        <v>12</v>
      </c>
      <c r="D10" s="70" t="s">
        <v>3919</v>
      </c>
      <c r="E10" s="70">
        <v>8</v>
      </c>
      <c r="F10" s="72">
        <v>31.523197</v>
      </c>
      <c r="G10" s="72">
        <v>157.16602800000001</v>
      </c>
      <c r="H10" s="72">
        <v>22.2</v>
      </c>
      <c r="I10" s="72">
        <v>22.59</v>
      </c>
      <c r="J10" s="72"/>
      <c r="K10" s="73" t="str">
        <f>IFERROR([1]!Table37[[#This Row],[CPU Only]]/[1]!Table37[[#This Row],[Hybrid]], "-")</f>
        <v>-</v>
      </c>
      <c r="L10" s="74" t="str">
        <f>IFERROR([1]!Table37[[#This Row],[GPU Only]]/[1]!Table37[[#This Row],[Hybrid]], "-")</f>
        <v>-</v>
      </c>
      <c r="M10" s="75" t="str">
        <f>IFERROR([1]!Table37[[#This Row],[Hybrid2]]/[1]!Table37[[#This Row],[Hybrid]], "-")</f>
        <v>-</v>
      </c>
      <c r="N10" s="72">
        <v>66.436921999999996</v>
      </c>
      <c r="O10" s="72">
        <v>70.899270000000001</v>
      </c>
      <c r="P10" s="72" t="str">
        <f>IFERROR([1]!Table37[[#This Row],[GPU Only2]]/[1]!Table37[[#This Row],[Hybrid2]], "-")</f>
        <v>-</v>
      </c>
      <c r="Q10" s="72" t="str">
        <f>IFERROR([1]!Table37[[#This Row],[CPU Only]]/[1]!Table37[[#This Row],[Hybrid2]], "-")</f>
        <v>-</v>
      </c>
    </row>
    <row r="11" spans="2:17" ht="21" x14ac:dyDescent="0.25">
      <c r="B11" s="70">
        <v>3</v>
      </c>
      <c r="C11" s="71">
        <v>25</v>
      </c>
      <c r="D11" s="70" t="s">
        <v>3912</v>
      </c>
      <c r="E11" s="70">
        <v>2</v>
      </c>
      <c r="F11" s="72">
        <v>2.2228370000000002</v>
      </c>
      <c r="G11" s="72">
        <v>8.3061889999999998</v>
      </c>
      <c r="H11" s="72">
        <v>2.014427</v>
      </c>
      <c r="I11" s="72">
        <v>2.3148599999999999</v>
      </c>
      <c r="J11" s="72"/>
      <c r="K11" s="73" t="str">
        <f>IFERROR([1]!Table37[[#This Row],[CPU Only]]/[1]!Table37[[#This Row],[Hybrid]], "-")</f>
        <v>-</v>
      </c>
      <c r="L11" s="74" t="str">
        <f>IFERROR([1]!Table37[[#This Row],[GPU Only]]/[1]!Table37[[#This Row],[Hybrid]], "-")</f>
        <v>-</v>
      </c>
      <c r="M11" s="75" t="str">
        <f>IFERROR([1]!Table37[[#This Row],[Hybrid2]]/[1]!Table37[[#This Row],[Hybrid]], "-")</f>
        <v>-</v>
      </c>
      <c r="N11" s="72">
        <v>4.5</v>
      </c>
      <c r="O11" s="72">
        <v>4.6644259999999997</v>
      </c>
      <c r="P11" s="72" t="str">
        <f>IFERROR([1]!Table37[[#This Row],[GPU Only2]]/[1]!Table37[[#This Row],[Hybrid2]], "-")</f>
        <v>-</v>
      </c>
      <c r="Q11" s="72" t="str">
        <f>IFERROR([1]!Table37[[#This Row],[CPU Only]]/[1]!Table37[[#This Row],[Hybrid2]], "-")</f>
        <v>-</v>
      </c>
    </row>
    <row r="12" spans="2:17" ht="21" x14ac:dyDescent="0.25">
      <c r="B12" s="70">
        <v>3</v>
      </c>
      <c r="C12" s="71">
        <v>26</v>
      </c>
      <c r="D12" s="70" t="s">
        <v>3912</v>
      </c>
      <c r="E12" s="70">
        <v>5</v>
      </c>
      <c r="F12" s="72">
        <v>61.337943000000003</v>
      </c>
      <c r="G12" s="72">
        <v>476.84845799999999</v>
      </c>
      <c r="H12" s="72">
        <v>51.68</v>
      </c>
      <c r="I12" s="72">
        <v>49.89</v>
      </c>
      <c r="J12" s="72"/>
      <c r="K12" s="73" t="str">
        <f>IFERROR([1]!Table37[[#This Row],[CPU Only]]/[1]!Table37[[#This Row],[Hybrid]], "-")</f>
        <v>-</v>
      </c>
      <c r="L12" s="74" t="str">
        <f>IFERROR([1]!Table37[[#This Row],[GPU Only]]/[1]!Table37[[#This Row],[Hybrid]], "-")</f>
        <v>-</v>
      </c>
      <c r="M12" s="75" t="str">
        <f>IFERROR([1]!Table37[[#This Row],[Hybrid2]]/[1]!Table37[[#This Row],[Hybrid]], "-")</f>
        <v>-</v>
      </c>
      <c r="N12" s="72">
        <v>180.94570300000001</v>
      </c>
      <c r="O12" s="72">
        <v>205.088571</v>
      </c>
      <c r="P12" s="72" t="str">
        <f>IFERROR([1]!Table37[[#This Row],[GPU Only2]]/[1]!Table37[[#This Row],[Hybrid2]], "-")</f>
        <v>-</v>
      </c>
      <c r="Q12" s="72" t="str">
        <f>IFERROR([1]!Table37[[#This Row],[CPU Only]]/[1]!Table37[[#This Row],[Hybrid2]], "-")</f>
        <v>-</v>
      </c>
    </row>
    <row r="13" spans="2:17" ht="21" x14ac:dyDescent="0.25">
      <c r="B13" s="70">
        <v>3</v>
      </c>
      <c r="C13" s="71">
        <v>27</v>
      </c>
      <c r="D13" s="70" t="s">
        <v>3912</v>
      </c>
      <c r="E13" s="70">
        <v>8</v>
      </c>
      <c r="F13" s="72">
        <v>102.332272</v>
      </c>
      <c r="G13" s="72">
        <v>767.48825799999997</v>
      </c>
      <c r="H13" s="72">
        <v>94.56</v>
      </c>
      <c r="I13" s="72">
        <v>94.45</v>
      </c>
      <c r="J13" s="72"/>
      <c r="K13" s="73" t="str">
        <f>IFERROR([1]!Table37[[#This Row],[CPU Only]]/[1]!Table37[[#This Row],[Hybrid]], "-")</f>
        <v>-</v>
      </c>
      <c r="L13" s="74" t="str">
        <f>IFERROR([1]!Table37[[#This Row],[GPU Only]]/[1]!Table37[[#This Row],[Hybrid]], "-")</f>
        <v>-</v>
      </c>
      <c r="M13" s="75" t="str">
        <f>IFERROR([1]!Table37[[#This Row],[Hybrid2]]/[1]!Table37[[#This Row],[Hybrid]], "-")</f>
        <v>-</v>
      </c>
      <c r="N13" s="72">
        <v>246.494654</v>
      </c>
      <c r="O13" s="72">
        <v>277.86694699999998</v>
      </c>
      <c r="P13" s="72" t="str">
        <f>IFERROR([1]!Table37[[#This Row],[GPU Only2]]/[1]!Table37[[#This Row],[Hybrid2]], "-")</f>
        <v>-</v>
      </c>
      <c r="Q13" s="72" t="str">
        <f>IFERROR([1]!Table37[[#This Row],[CPU Only]]/[1]!Table37[[#This Row],[Hybrid2]], "-")</f>
        <v>-</v>
      </c>
    </row>
    <row r="14" spans="2:17" ht="21" x14ac:dyDescent="0.25">
      <c r="B14" s="70">
        <v>4</v>
      </c>
      <c r="C14" s="71">
        <v>28</v>
      </c>
      <c r="D14" s="70" t="s">
        <v>1408</v>
      </c>
      <c r="E14" s="70">
        <v>2</v>
      </c>
      <c r="F14" s="72">
        <v>0.57923500000000006</v>
      </c>
      <c r="G14" s="72">
        <v>141.54316499999999</v>
      </c>
      <c r="H14" s="72">
        <v>0.34300999999999998</v>
      </c>
      <c r="I14" s="72">
        <v>0.69133100000000003</v>
      </c>
      <c r="J14" s="72"/>
      <c r="K14" s="73" t="str">
        <f>IFERROR([1]!Table37[[#This Row],[CPU Only]]/[1]!Table37[[#This Row],[Hybrid]], "-")</f>
        <v>-</v>
      </c>
      <c r="L14" s="74" t="str">
        <f>IFERROR([1]!Table37[[#This Row],[GPU Only]]/[1]!Table37[[#This Row],[Hybrid]], "-")</f>
        <v>-</v>
      </c>
      <c r="M14" s="75" t="str">
        <f>IFERROR([1]!Table37[[#This Row],[Hybrid2]]/[1]!Table37[[#This Row],[Hybrid]], "-")</f>
        <v>-</v>
      </c>
      <c r="N14" s="72">
        <v>2.6631480000000001</v>
      </c>
      <c r="O14" s="72">
        <v>0.33072000000000001</v>
      </c>
      <c r="P14" s="72" t="str">
        <f>IFERROR([1]!Table37[[#This Row],[GPU Only2]]/[1]!Table37[[#This Row],[Hybrid2]], "-")</f>
        <v>-</v>
      </c>
      <c r="Q14" s="72" t="str">
        <f>IFERROR([1]!Table37[[#This Row],[CPU Only]]/[1]!Table37[[#This Row],[Hybrid2]], "-")</f>
        <v>-</v>
      </c>
    </row>
    <row r="15" spans="2:17" ht="21" x14ac:dyDescent="0.25">
      <c r="B15" s="70">
        <v>4</v>
      </c>
      <c r="C15" s="71">
        <v>29</v>
      </c>
      <c r="D15" s="70" t="s">
        <v>1408</v>
      </c>
      <c r="E15" s="70">
        <v>5</v>
      </c>
      <c r="F15" s="72">
        <v>0.78765399999999997</v>
      </c>
      <c r="G15" s="72">
        <v>30.192174999999999</v>
      </c>
      <c r="H15" s="72">
        <v>0.30552200000000002</v>
      </c>
      <c r="I15" s="72">
        <v>0.47162500000000002</v>
      </c>
      <c r="J15" s="72"/>
      <c r="K15" s="73" t="str">
        <f>IFERROR([1]!Table37[[#This Row],[CPU Only]]/[1]!Table37[[#This Row],[Hybrid]], "-")</f>
        <v>-</v>
      </c>
      <c r="L15" s="74" t="str">
        <f>IFERROR([1]!Table37[[#This Row],[GPU Only]]/[1]!Table37[[#This Row],[Hybrid]], "-")</f>
        <v>-</v>
      </c>
      <c r="M15" s="75" t="str">
        <f>IFERROR([1]!Table37[[#This Row],[Hybrid2]]/[1]!Table37[[#This Row],[Hybrid]], "-")</f>
        <v>-</v>
      </c>
      <c r="N15" s="72">
        <v>0.29410199999999997</v>
      </c>
      <c r="O15" s="72">
        <v>0.28967399999999999</v>
      </c>
      <c r="P15" s="72" t="str">
        <f>IFERROR([1]!Table37[[#This Row],[GPU Only2]]/[1]!Table37[[#This Row],[Hybrid2]], "-")</f>
        <v>-</v>
      </c>
      <c r="Q15" s="72" t="str">
        <f>IFERROR([1]!Table37[[#This Row],[CPU Only]]/[1]!Table37[[#This Row],[Hybrid2]], "-")</f>
        <v>-</v>
      </c>
    </row>
    <row r="16" spans="2:17" ht="21" x14ac:dyDescent="0.25">
      <c r="B16" s="70">
        <v>4</v>
      </c>
      <c r="C16" s="71">
        <v>30</v>
      </c>
      <c r="D16" s="70" t="s">
        <v>1408</v>
      </c>
      <c r="E16" s="70">
        <v>8</v>
      </c>
      <c r="F16" s="72">
        <v>10.044715</v>
      </c>
      <c r="G16" s="72">
        <v>213.316024</v>
      </c>
      <c r="H16" s="72">
        <v>0.506602</v>
      </c>
      <c r="I16" s="72">
        <v>6.8979460000000001</v>
      </c>
      <c r="J16" s="72"/>
      <c r="K16" s="73" t="str">
        <f>IFERROR([1]!Table37[[#This Row],[CPU Only]]/[1]!Table37[[#This Row],[Hybrid]], "-")</f>
        <v>-</v>
      </c>
      <c r="L16" s="74" t="str">
        <f>IFERROR([1]!Table37[[#This Row],[GPU Only]]/[1]!Table37[[#This Row],[Hybrid]], "-")</f>
        <v>-</v>
      </c>
      <c r="M16" s="75" t="str">
        <f>IFERROR([1]!Table37[[#This Row],[Hybrid2]]/[1]!Table37[[#This Row],[Hybrid]], "-")</f>
        <v>-</v>
      </c>
      <c r="N16" s="72">
        <v>0.50896699999999995</v>
      </c>
      <c r="O16" s="72">
        <v>0.51063199999999997</v>
      </c>
      <c r="P16" s="72" t="str">
        <f>IFERROR([1]!Table37[[#This Row],[GPU Only2]]/[1]!Table37[[#This Row],[Hybrid2]], "-")</f>
        <v>-</v>
      </c>
      <c r="Q16" s="72" t="str">
        <f>IFERROR([1]!Table37[[#This Row],[CPU Only]]/[1]!Table37[[#This Row],[Hybrid2]], "-")</f>
        <v>-</v>
      </c>
    </row>
    <row r="17" spans="2:17" ht="21" x14ac:dyDescent="0.25">
      <c r="B17" s="70">
        <v>5</v>
      </c>
      <c r="C17" s="71">
        <v>31</v>
      </c>
      <c r="D17" s="70" t="s">
        <v>1431</v>
      </c>
      <c r="E17" s="70">
        <v>2</v>
      </c>
      <c r="F17" s="72">
        <v>439.22577899999999</v>
      </c>
      <c r="G17" s="76">
        <v>24.27139</v>
      </c>
      <c r="H17" s="76">
        <v>649.23</v>
      </c>
      <c r="I17" s="76">
        <v>637.72</v>
      </c>
      <c r="J17" s="72"/>
      <c r="K17" s="73" t="str">
        <f>IFERROR([1]!Table37[[#This Row],[CPU Only]]/[1]!Table37[[#This Row],[Hybrid]], "-")</f>
        <v>-</v>
      </c>
      <c r="L17" s="74" t="str">
        <f>IFERROR([1]!Table37[[#This Row],[GPU Only]]/[1]!Table37[[#This Row],[Hybrid]], "-")</f>
        <v>-</v>
      </c>
      <c r="M17" s="75" t="str">
        <f>IFERROR([1]!Table37[[#This Row],[Hybrid2]]/[1]!Table37[[#This Row],[Hybrid]], "-")</f>
        <v>-</v>
      </c>
      <c r="N17" s="72">
        <v>4.4918690000000003</v>
      </c>
      <c r="O17" s="72">
        <v>4.4963259999999998</v>
      </c>
      <c r="P17" s="72" t="str">
        <f>IFERROR([1]!Table37[[#This Row],[GPU Only2]]/[1]!Table37[[#This Row],[Hybrid2]], "-")</f>
        <v>-</v>
      </c>
      <c r="Q17" s="72" t="str">
        <f>IFERROR([1]!Table37[[#This Row],[CPU Only]]/[1]!Table37[[#This Row],[Hybrid2]], "-")</f>
        <v>-</v>
      </c>
    </row>
    <row r="18" spans="2:17" ht="21" x14ac:dyDescent="0.25">
      <c r="B18" s="70">
        <v>5</v>
      </c>
      <c r="C18" s="71">
        <v>32</v>
      </c>
      <c r="D18" s="70" t="s">
        <v>1431</v>
      </c>
      <c r="E18" s="70">
        <v>5</v>
      </c>
      <c r="F18" s="72">
        <v>728.076415</v>
      </c>
      <c r="G18" s="76">
        <v>18.883482000000001</v>
      </c>
      <c r="H18" s="76">
        <v>1035.9000000000001</v>
      </c>
      <c r="I18" s="76">
        <v>1033.1300000000001</v>
      </c>
      <c r="J18" s="72"/>
      <c r="K18" s="73" t="str">
        <f>IFERROR([1]!Table37[[#This Row],[CPU Only]]/[1]!Table37[[#This Row],[Hybrid]], "-")</f>
        <v>-</v>
      </c>
      <c r="L18" s="74" t="str">
        <f>IFERROR([1]!Table37[[#This Row],[GPU Only]]/[1]!Table37[[#This Row],[Hybrid]], "-")</f>
        <v>-</v>
      </c>
      <c r="M18" s="75" t="str">
        <f>IFERROR([1]!Table37[[#This Row],[Hybrid2]]/[1]!Table37[[#This Row],[Hybrid]], "-")</f>
        <v>-</v>
      </c>
      <c r="N18" s="72">
        <v>0.88195199999999996</v>
      </c>
      <c r="O18" s="72">
        <v>0.87745499999999998</v>
      </c>
      <c r="P18" s="72" t="str">
        <f>IFERROR([1]!Table37[[#This Row],[GPU Only2]]/[1]!Table37[[#This Row],[Hybrid2]], "-")</f>
        <v>-</v>
      </c>
      <c r="Q18" s="72" t="str">
        <f>IFERROR([1]!Table37[[#This Row],[CPU Only]]/[1]!Table37[[#This Row],[Hybrid2]], "-")</f>
        <v>-</v>
      </c>
    </row>
    <row r="19" spans="2:17" ht="21" x14ac:dyDescent="0.25">
      <c r="B19" s="70">
        <v>5</v>
      </c>
      <c r="C19" s="71">
        <v>33</v>
      </c>
      <c r="D19" s="70" t="s">
        <v>1431</v>
      </c>
      <c r="E19" s="70">
        <v>8</v>
      </c>
      <c r="F19" s="72" t="s">
        <v>3902</v>
      </c>
      <c r="G19" s="72" t="s">
        <v>3902</v>
      </c>
      <c r="H19" s="72">
        <v>1165.23</v>
      </c>
      <c r="I19" s="72">
        <v>1162.83</v>
      </c>
      <c r="J19" s="72"/>
      <c r="K19" s="73" t="str">
        <f>IFERROR([1]!Table37[[#This Row],[CPU Only]]/[1]!Table37[[#This Row],[Hybrid]], "-")</f>
        <v>-</v>
      </c>
      <c r="L19" s="74" t="str">
        <f>IFERROR([1]!Table37[[#This Row],[GPU Only]]/[1]!Table37[[#This Row],[Hybrid]], "-")</f>
        <v>-</v>
      </c>
      <c r="M19" s="75" t="str">
        <f>IFERROR([1]!Table37[[#This Row],[Hybrid2]]/[1]!Table37[[#This Row],[Hybrid]], "-")</f>
        <v>-</v>
      </c>
      <c r="N19" s="72" t="s">
        <v>3902</v>
      </c>
      <c r="O19" s="72" t="s">
        <v>3902</v>
      </c>
      <c r="P19" s="72" t="str">
        <f>IFERROR([1]!Table37[[#This Row],[GPU Only2]]/[1]!Table37[[#This Row],[Hybrid2]], "-")</f>
        <v>-</v>
      </c>
      <c r="Q19" s="72" t="str">
        <f>IFERROR([1]!Table37[[#This Row],[CPU Only]]/[1]!Table37[[#This Row],[Hybrid2]], "-")</f>
        <v>-</v>
      </c>
    </row>
    <row r="20" spans="2:17" ht="21" x14ac:dyDescent="0.25">
      <c r="B20" s="70">
        <v>6</v>
      </c>
      <c r="C20" s="71">
        <v>49</v>
      </c>
      <c r="D20" s="70" t="s">
        <v>1391</v>
      </c>
      <c r="E20" s="70">
        <v>2</v>
      </c>
      <c r="F20" s="72">
        <v>222.16270800000001</v>
      </c>
      <c r="G20" s="72">
        <v>65.673317999999995</v>
      </c>
      <c r="H20" s="72">
        <v>200.78</v>
      </c>
      <c r="I20" s="72">
        <v>41.25</v>
      </c>
      <c r="J20" s="72"/>
      <c r="K20" s="73" t="str">
        <f>IFERROR([1]!Table37[[#This Row],[CPU Only]]/[1]!Table37[[#This Row],[Hybrid]], "-")</f>
        <v>-</v>
      </c>
      <c r="L20" s="74" t="str">
        <f>IFERROR([1]!Table37[[#This Row],[GPU Only]]/[1]!Table37[[#This Row],[Hybrid]], "-")</f>
        <v>-</v>
      </c>
      <c r="M20" s="75" t="str">
        <f>IFERROR([1]!Table37[[#This Row],[Hybrid2]]/[1]!Table37[[#This Row],[Hybrid]], "-")</f>
        <v>-</v>
      </c>
      <c r="N20" s="72">
        <v>5.2521839999999997</v>
      </c>
      <c r="O20" s="72">
        <v>5.2523150000000003</v>
      </c>
      <c r="P20" s="72" t="str">
        <f>IFERROR([1]!Table37[[#This Row],[GPU Only2]]/[1]!Table37[[#This Row],[Hybrid2]], "-")</f>
        <v>-</v>
      </c>
      <c r="Q20" s="72" t="str">
        <f>IFERROR([1]!Table37[[#This Row],[CPU Only]]/[1]!Table37[[#This Row],[Hybrid2]], "-")</f>
        <v>-</v>
      </c>
    </row>
    <row r="21" spans="2:17" ht="21" x14ac:dyDescent="0.25">
      <c r="B21" s="70">
        <v>6</v>
      </c>
      <c r="C21" s="71">
        <v>50</v>
      </c>
      <c r="D21" s="70" t="s">
        <v>1391</v>
      </c>
      <c r="E21" s="70">
        <v>5</v>
      </c>
      <c r="F21" s="72">
        <v>360.97004399999997</v>
      </c>
      <c r="G21" s="72" t="s">
        <v>3902</v>
      </c>
      <c r="H21" s="72">
        <v>356.05</v>
      </c>
      <c r="I21" s="72">
        <v>352.97</v>
      </c>
      <c r="J21" s="72"/>
      <c r="K21" s="73" t="str">
        <f>IFERROR([1]!Table37[[#This Row],[CPU Only]]/[1]!Table37[[#This Row],[Hybrid]], "-")</f>
        <v>-</v>
      </c>
      <c r="L21" s="74" t="str">
        <f>IFERROR([1]!Table37[[#This Row],[GPU Only]]/[1]!Table37[[#This Row],[Hybrid]], "-")</f>
        <v>-</v>
      </c>
      <c r="M21" s="75" t="str">
        <f>IFERROR([1]!Table37[[#This Row],[Hybrid2]]/[1]!Table37[[#This Row],[Hybrid]], "-")</f>
        <v>-</v>
      </c>
      <c r="N21" s="72">
        <v>25.956934</v>
      </c>
      <c r="O21" s="72">
        <v>25.973710000000001</v>
      </c>
      <c r="P21" s="72" t="str">
        <f>IFERROR([1]!Table37[[#This Row],[GPU Only2]]/[1]!Table37[[#This Row],[Hybrid2]], "-")</f>
        <v>-</v>
      </c>
      <c r="Q21" s="72" t="str">
        <f>IFERROR([1]!Table37[[#This Row],[CPU Only]]/[1]!Table37[[#This Row],[Hybrid2]], "-")</f>
        <v>-</v>
      </c>
    </row>
    <row r="22" spans="2:17" ht="21" x14ac:dyDescent="0.25">
      <c r="B22" s="70">
        <v>6</v>
      </c>
      <c r="C22" s="71">
        <v>51</v>
      </c>
      <c r="D22" s="70" t="s">
        <v>1391</v>
      </c>
      <c r="E22" s="70">
        <v>8</v>
      </c>
      <c r="F22" s="72" t="s">
        <v>3902</v>
      </c>
      <c r="G22" s="72" t="s">
        <v>3902</v>
      </c>
      <c r="H22" s="72">
        <v>115.22</v>
      </c>
      <c r="I22" s="72">
        <v>115.04</v>
      </c>
      <c r="J22" s="72"/>
      <c r="K22" s="73" t="str">
        <f>IFERROR([1]!Table37[[#This Row],[CPU Only]]/[1]!Table37[[#This Row],[Hybrid]], "-")</f>
        <v>-</v>
      </c>
      <c r="L22" s="74" t="str">
        <f>IFERROR([1]!Table37[[#This Row],[GPU Only]]/[1]!Table37[[#This Row],[Hybrid]], "-")</f>
        <v>-</v>
      </c>
      <c r="M22" s="75" t="str">
        <f>IFERROR([1]!Table37[[#This Row],[Hybrid2]]/[1]!Table37[[#This Row],[Hybrid]], "-")</f>
        <v>-</v>
      </c>
      <c r="N22" s="72">
        <v>397.55998699999998</v>
      </c>
      <c r="O22" s="72">
        <v>399.488024</v>
      </c>
      <c r="P22" s="72" t="str">
        <f>IFERROR([1]!Table37[[#This Row],[GPU Only2]]/[1]!Table37[[#This Row],[Hybrid2]], "-")</f>
        <v>-</v>
      </c>
      <c r="Q22" s="72" t="str">
        <f>IFERROR([1]!Table37[[#This Row],[CPU Only]]/[1]!Table37[[#This Row],[Hybrid2]], "-")</f>
        <v>-</v>
      </c>
    </row>
    <row r="23" spans="2:17" ht="21" x14ac:dyDescent="0.25">
      <c r="B23" s="70">
        <v>7</v>
      </c>
      <c r="C23" s="71">
        <v>58</v>
      </c>
      <c r="D23" s="70" t="s">
        <v>3913</v>
      </c>
      <c r="E23" s="70">
        <v>2</v>
      </c>
      <c r="F23" s="72">
        <v>35.530095000000003</v>
      </c>
      <c r="G23" s="72" t="s">
        <v>3902</v>
      </c>
      <c r="H23" s="72">
        <v>58.38</v>
      </c>
      <c r="I23" s="72">
        <v>59.15</v>
      </c>
      <c r="J23" s="72"/>
      <c r="K23" s="73" t="str">
        <f>IFERROR([1]!Table37[[#This Row],[CPU Only]]/[1]!Table37[[#This Row],[Hybrid]], "-")</f>
        <v>-</v>
      </c>
      <c r="L23" s="74" t="str">
        <f>IFERROR([1]!Table37[[#This Row],[GPU Only]]/[1]!Table37[[#This Row],[Hybrid]], "-")</f>
        <v>-</v>
      </c>
      <c r="M23" s="75" t="str">
        <f>IFERROR([1]!Table37[[#This Row],[Hybrid2]]/[1]!Table37[[#This Row],[Hybrid]], "-")</f>
        <v>-</v>
      </c>
      <c r="N23" s="72">
        <v>59.354384000000003</v>
      </c>
      <c r="O23" s="72">
        <v>61.854612000000003</v>
      </c>
      <c r="P23" s="72" t="str">
        <f>IFERROR([1]!Table37[[#This Row],[GPU Only2]]/[1]!Table37[[#This Row],[Hybrid2]], "-")</f>
        <v>-</v>
      </c>
      <c r="Q23" s="72" t="str">
        <f>IFERROR([1]!Table37[[#This Row],[CPU Only]]/[1]!Table37[[#This Row],[Hybrid2]], "-")</f>
        <v>-</v>
      </c>
    </row>
    <row r="24" spans="2:17" ht="21" x14ac:dyDescent="0.25">
      <c r="B24" s="70">
        <v>7</v>
      </c>
      <c r="C24" s="71">
        <v>59</v>
      </c>
      <c r="D24" s="70" t="s">
        <v>3913</v>
      </c>
      <c r="E24" s="70">
        <v>5</v>
      </c>
      <c r="F24" s="72">
        <v>292.13288799999998</v>
      </c>
      <c r="G24" s="72" t="s">
        <v>3902</v>
      </c>
      <c r="H24" s="72">
        <v>327.69</v>
      </c>
      <c r="I24" s="72">
        <v>322.13</v>
      </c>
      <c r="J24" s="72"/>
      <c r="K24" s="73" t="str">
        <f>IFERROR([1]!Table37[[#This Row],[CPU Only]]/[1]!Table37[[#This Row],[Hybrid]], "-")</f>
        <v>-</v>
      </c>
      <c r="L24" s="74" t="str">
        <f>IFERROR([1]!Table37[[#This Row],[GPU Only]]/[1]!Table37[[#This Row],[Hybrid]], "-")</f>
        <v>-</v>
      </c>
      <c r="M24" s="75" t="str">
        <f>IFERROR([1]!Table37[[#This Row],[Hybrid2]]/[1]!Table37[[#This Row],[Hybrid]], "-")</f>
        <v>-</v>
      </c>
      <c r="N24" s="72" t="s">
        <v>3902</v>
      </c>
      <c r="O24" s="72" t="s">
        <v>3902</v>
      </c>
      <c r="P24" s="72" t="str">
        <f>IFERROR([1]!Table37[[#This Row],[GPU Only2]]/[1]!Table37[[#This Row],[Hybrid2]], "-")</f>
        <v>-</v>
      </c>
      <c r="Q24" s="72" t="str">
        <f>IFERROR([1]!Table37[[#This Row],[CPU Only]]/[1]!Table37[[#This Row],[Hybrid2]], "-")</f>
        <v>-</v>
      </c>
    </row>
    <row r="25" spans="2:17" ht="21" x14ac:dyDescent="0.25">
      <c r="B25" s="70">
        <v>7</v>
      </c>
      <c r="C25" s="71">
        <v>60</v>
      </c>
      <c r="D25" s="70" t="s">
        <v>3913</v>
      </c>
      <c r="E25" s="70">
        <v>8</v>
      </c>
      <c r="F25" s="72">
        <v>470.68055399999997</v>
      </c>
      <c r="G25" s="72" t="s">
        <v>3902</v>
      </c>
      <c r="H25" s="72">
        <v>431.57</v>
      </c>
      <c r="I25" s="72">
        <v>436.74</v>
      </c>
      <c r="J25" s="72"/>
      <c r="K25" s="73" t="str">
        <f>IFERROR([1]!Table37[[#This Row],[CPU Only]]/[1]!Table37[[#This Row],[Hybrid]], "-")</f>
        <v>-</v>
      </c>
      <c r="L25" s="74" t="str">
        <f>IFERROR([1]!Table37[[#This Row],[GPU Only]]/[1]!Table37[[#This Row],[Hybrid]], "-")</f>
        <v>-</v>
      </c>
      <c r="M25" s="75" t="str">
        <f>IFERROR([1]!Table37[[#This Row],[Hybrid2]]/[1]!Table37[[#This Row],[Hybrid]], "-")</f>
        <v>-</v>
      </c>
      <c r="N25" s="72" t="s">
        <v>3902</v>
      </c>
      <c r="O25" s="72" t="s">
        <v>3902</v>
      </c>
      <c r="P25" s="72" t="str">
        <f>IFERROR([1]!Table37[[#This Row],[GPU Only2]]/[1]!Table37[[#This Row],[Hybrid2]], "-")</f>
        <v>-</v>
      </c>
      <c r="Q25" s="72" t="str">
        <f>IFERROR([1]!Table37[[#This Row],[CPU Only]]/[1]!Table37[[#This Row],[Hybrid2]], "-")</f>
        <v>-</v>
      </c>
    </row>
    <row r="42" spans="4:10" ht="22" x14ac:dyDescent="0.3">
      <c r="D42" s="69" t="s">
        <v>3961</v>
      </c>
      <c r="E42" s="69" t="s">
        <v>3962</v>
      </c>
      <c r="G42" s="99" t="s">
        <v>3963</v>
      </c>
      <c r="H42" s="99" t="s">
        <v>3929</v>
      </c>
      <c r="I42" s="99" t="s">
        <v>3972</v>
      </c>
      <c r="J42" s="99" t="s">
        <v>3973</v>
      </c>
    </row>
    <row r="43" spans="4:10" ht="22" x14ac:dyDescent="0.3">
      <c r="D43" s="70" t="s">
        <v>3920</v>
      </c>
      <c r="E43" s="70">
        <v>2</v>
      </c>
      <c r="G43" s="99">
        <v>0.19509899999999999</v>
      </c>
      <c r="H43" s="99">
        <v>2.1407099999999999</v>
      </c>
      <c r="I43" s="99">
        <v>0.28299999999999997</v>
      </c>
      <c r="J43" s="99">
        <v>0.41952200000000001</v>
      </c>
    </row>
    <row r="44" spans="4:10" ht="22" x14ac:dyDescent="0.3">
      <c r="D44" s="70" t="s">
        <v>3920</v>
      </c>
      <c r="E44" s="70">
        <v>5</v>
      </c>
      <c r="G44" s="99">
        <v>0.69525899999999996</v>
      </c>
      <c r="H44" s="99">
        <v>9.6177469999999996</v>
      </c>
      <c r="I44" s="99">
        <v>1.2702150000000001</v>
      </c>
      <c r="J44" s="99">
        <v>1.598217</v>
      </c>
    </row>
    <row r="45" spans="4:10" ht="22" x14ac:dyDescent="0.3">
      <c r="D45" s="70" t="s">
        <v>3920</v>
      </c>
      <c r="E45" s="70">
        <v>8</v>
      </c>
      <c r="G45" s="99">
        <v>1.593531</v>
      </c>
      <c r="H45" s="99">
        <v>27.051659000000001</v>
      </c>
      <c r="I45" s="99">
        <v>4.7368709999999998</v>
      </c>
      <c r="J45" s="99">
        <v>22.180754</v>
      </c>
    </row>
    <row r="46" spans="4:10" ht="22" x14ac:dyDescent="0.3">
      <c r="D46" s="70" t="s">
        <v>3919</v>
      </c>
      <c r="E46" s="70">
        <v>2</v>
      </c>
      <c r="G46" s="99">
        <v>0.247972</v>
      </c>
      <c r="H46" s="99">
        <v>5.5973269999999999</v>
      </c>
      <c r="I46" s="99">
        <v>0.25170500000000001</v>
      </c>
      <c r="J46" s="99">
        <v>0.75672799999999996</v>
      </c>
    </row>
    <row r="47" spans="4:10" ht="22" x14ac:dyDescent="0.3">
      <c r="D47" s="70" t="s">
        <v>3919</v>
      </c>
      <c r="E47" s="70">
        <v>5</v>
      </c>
      <c r="G47" s="99">
        <v>1.5847869999999999</v>
      </c>
      <c r="H47" s="99">
        <v>35.590407999999996</v>
      </c>
      <c r="I47" s="99">
        <v>1.5885739999999999</v>
      </c>
      <c r="J47" s="99">
        <v>5.6023449999999997</v>
      </c>
    </row>
    <row r="48" spans="4:10" ht="22" x14ac:dyDescent="0.3">
      <c r="D48" s="70" t="s">
        <v>3919</v>
      </c>
      <c r="E48" s="70">
        <v>8</v>
      </c>
      <c r="G48" s="99">
        <v>11.805186000000001</v>
      </c>
      <c r="H48" s="99">
        <v>156.56901400000001</v>
      </c>
      <c r="I48" s="99">
        <v>11.453761</v>
      </c>
      <c r="J48" s="99">
        <v>36.134717999999999</v>
      </c>
    </row>
    <row r="49" spans="4:10" ht="22" x14ac:dyDescent="0.3">
      <c r="D49" s="70" t="s">
        <v>3912</v>
      </c>
      <c r="E49" s="70">
        <v>2</v>
      </c>
      <c r="G49" s="99">
        <v>0.35821700000000001</v>
      </c>
      <c r="H49" s="99">
        <v>9.2711939999999995</v>
      </c>
      <c r="I49" s="99">
        <v>4.9693860000000001</v>
      </c>
      <c r="J49" s="99">
        <v>0.98031500000000005</v>
      </c>
    </row>
    <row r="50" spans="4:10" ht="22" x14ac:dyDescent="0.3">
      <c r="D50" s="70" t="s">
        <v>3912</v>
      </c>
      <c r="E50" s="70">
        <v>5</v>
      </c>
      <c r="G50" s="99">
        <v>15.158586</v>
      </c>
      <c r="H50" s="99">
        <v>553.91599499999995</v>
      </c>
      <c r="I50" s="99">
        <v>66.946036000000007</v>
      </c>
      <c r="J50" s="99">
        <v>64.713048999999998</v>
      </c>
    </row>
    <row r="51" spans="4:10" ht="22" x14ac:dyDescent="0.3">
      <c r="D51" s="70" t="s">
        <v>3912</v>
      </c>
      <c r="E51" s="70">
        <v>8</v>
      </c>
      <c r="G51" s="99">
        <v>38.182867999999999</v>
      </c>
      <c r="H51" s="99" t="s">
        <v>3952</v>
      </c>
      <c r="I51" s="99">
        <v>41.812798999999998</v>
      </c>
      <c r="J51" s="99">
        <v>82.903813</v>
      </c>
    </row>
    <row r="52" spans="4:10" ht="22" x14ac:dyDescent="0.3">
      <c r="D52" s="70" t="s">
        <v>1408</v>
      </c>
      <c r="E52" s="70">
        <v>2</v>
      </c>
      <c r="G52" s="99">
        <v>1.103539</v>
      </c>
      <c r="H52" s="99">
        <v>8.3141999999999994E-2</v>
      </c>
      <c r="I52" s="99">
        <v>7.4453000000000005E-2</v>
      </c>
      <c r="J52" s="99">
        <v>1.278993</v>
      </c>
    </row>
    <row r="53" spans="4:10" ht="22" x14ac:dyDescent="0.3">
      <c r="D53" s="70" t="s">
        <v>1408</v>
      </c>
      <c r="E53" s="70">
        <v>5</v>
      </c>
      <c r="G53" s="99">
        <v>1.2022219999999999</v>
      </c>
      <c r="H53" s="99">
        <v>5.5105000000000001E-2</v>
      </c>
      <c r="I53" s="99">
        <v>0.160383</v>
      </c>
      <c r="J53" s="99">
        <v>1.2137119999999999</v>
      </c>
    </row>
    <row r="54" spans="4:10" ht="22" x14ac:dyDescent="0.3">
      <c r="D54" s="70" t="s">
        <v>1408</v>
      </c>
      <c r="E54" s="70">
        <v>8</v>
      </c>
      <c r="G54" s="99">
        <v>1.359286</v>
      </c>
      <c r="H54" s="99">
        <v>142.51957999999999</v>
      </c>
      <c r="I54" s="99">
        <v>0.25954500000000003</v>
      </c>
      <c r="J54" s="99">
        <v>0.96968600000000005</v>
      </c>
    </row>
    <row r="55" spans="4:10" ht="22" x14ac:dyDescent="0.3">
      <c r="D55" s="70" t="s">
        <v>1431</v>
      </c>
      <c r="E55" s="70">
        <v>2</v>
      </c>
      <c r="G55" s="99">
        <v>2.023552</v>
      </c>
      <c r="H55" s="99">
        <v>13.386818999999999</v>
      </c>
      <c r="I55" s="99">
        <v>0.59798799999999996</v>
      </c>
      <c r="J55" s="99">
        <v>2.341272</v>
      </c>
    </row>
    <row r="56" spans="4:10" ht="22" x14ac:dyDescent="0.3">
      <c r="D56" s="70" t="s">
        <v>1431</v>
      </c>
      <c r="E56" s="70">
        <v>5</v>
      </c>
      <c r="G56" s="99">
        <v>2.4282240000000002</v>
      </c>
      <c r="H56" s="99">
        <v>5.5830380000000002</v>
      </c>
      <c r="I56" s="99">
        <v>1.02386</v>
      </c>
      <c r="J56" s="99">
        <v>1.3387849999999999</v>
      </c>
    </row>
    <row r="57" spans="4:10" ht="22" x14ac:dyDescent="0.3">
      <c r="D57" s="70" t="s">
        <v>1431</v>
      </c>
      <c r="E57" s="70">
        <v>8</v>
      </c>
      <c r="G57" s="99">
        <v>21.587534000000002</v>
      </c>
      <c r="H57" s="99" t="s">
        <v>3952</v>
      </c>
      <c r="I57" s="99">
        <v>20.056457999999999</v>
      </c>
      <c r="J57" s="99">
        <v>121.394925</v>
      </c>
    </row>
    <row r="58" spans="4:10" ht="22" x14ac:dyDescent="0.3">
      <c r="D58" s="70" t="s">
        <v>1391</v>
      </c>
      <c r="E58" s="70">
        <v>2</v>
      </c>
      <c r="G58" s="99">
        <v>1.764275</v>
      </c>
      <c r="H58" s="99">
        <v>22.697265999999999</v>
      </c>
      <c r="I58" s="99">
        <v>0.68614200000000003</v>
      </c>
      <c r="J58" s="99">
        <v>2.3131810000000002</v>
      </c>
    </row>
    <row r="59" spans="4:10" ht="22" x14ac:dyDescent="0.3">
      <c r="D59" s="70" t="s">
        <v>1391</v>
      </c>
      <c r="E59" s="70">
        <v>5</v>
      </c>
      <c r="G59" s="99">
        <v>4.8370249999999997</v>
      </c>
      <c r="H59" s="99">
        <v>75.350153000000006</v>
      </c>
      <c r="I59" s="99">
        <v>3.6336750000000002</v>
      </c>
      <c r="J59" s="99">
        <v>7.5947610000000001</v>
      </c>
    </row>
    <row r="60" spans="4:10" ht="22" x14ac:dyDescent="0.3">
      <c r="D60" s="70" t="s">
        <v>1391</v>
      </c>
      <c r="E60" s="70">
        <v>8</v>
      </c>
      <c r="G60" s="99">
        <v>26.923605999999999</v>
      </c>
      <c r="H60" s="99" t="s">
        <v>3952</v>
      </c>
      <c r="I60" s="99">
        <v>25.777509999999999</v>
      </c>
      <c r="J60" s="99">
        <v>113.90902</v>
      </c>
    </row>
    <row r="61" spans="4:10" ht="22" x14ac:dyDescent="0.3">
      <c r="D61" s="70" t="s">
        <v>3913</v>
      </c>
      <c r="E61" s="70">
        <v>2</v>
      </c>
      <c r="G61" s="99">
        <v>3.4051909999999999</v>
      </c>
      <c r="H61" s="99">
        <v>171.21091200000001</v>
      </c>
      <c r="I61" s="99">
        <v>6.8112500000000002</v>
      </c>
      <c r="J61" s="99">
        <v>13.419432</v>
      </c>
    </row>
    <row r="62" spans="4:10" ht="22" x14ac:dyDescent="0.3">
      <c r="D62" s="70" t="s">
        <v>3913</v>
      </c>
      <c r="E62" s="70">
        <v>5</v>
      </c>
      <c r="G62" s="99">
        <v>42.640940000000001</v>
      </c>
      <c r="H62" s="99" t="s">
        <v>3952</v>
      </c>
      <c r="I62" s="99">
        <v>60.275081999999998</v>
      </c>
      <c r="J62" s="99">
        <v>220.93576300000001</v>
      </c>
    </row>
    <row r="63" spans="4:10" ht="22" x14ac:dyDescent="0.3">
      <c r="D63" s="70" t="s">
        <v>3913</v>
      </c>
      <c r="E63" s="70">
        <v>8</v>
      </c>
      <c r="G63" s="99">
        <v>128.21151</v>
      </c>
      <c r="H63" s="99" t="s">
        <v>3952</v>
      </c>
      <c r="I63" s="99">
        <v>124.409626</v>
      </c>
      <c r="J63" s="99">
        <v>421.54352599999999</v>
      </c>
    </row>
    <row r="64" spans="4:10" ht="22" x14ac:dyDescent="0.3">
      <c r="D64" s="70"/>
      <c r="E64" s="70"/>
      <c r="G64" s="99"/>
      <c r="H64" s="99"/>
      <c r="I64" s="99"/>
      <c r="J64" s="99"/>
    </row>
    <row r="65" spans="4:10" ht="22" x14ac:dyDescent="0.3">
      <c r="D65" s="70"/>
      <c r="E65" s="70"/>
      <c r="G65" s="99"/>
      <c r="H65" s="99"/>
      <c r="I65" s="99"/>
      <c r="J65" s="99"/>
    </row>
    <row r="66" spans="4:10" ht="22" x14ac:dyDescent="0.3">
      <c r="D66" s="70"/>
      <c r="E66" s="70"/>
      <c r="G66" s="99"/>
      <c r="H66" s="99"/>
      <c r="I66" s="99"/>
      <c r="J66" s="99"/>
    </row>
    <row r="67" spans="4:10" ht="22" x14ac:dyDescent="0.3">
      <c r="D67" s="70"/>
      <c r="E67" s="70"/>
      <c r="G67" s="99"/>
      <c r="H67" s="99"/>
      <c r="I67" s="99"/>
      <c r="J67" s="99"/>
    </row>
    <row r="68" spans="4:10" ht="22" x14ac:dyDescent="0.3">
      <c r="D68" s="70"/>
      <c r="E68" s="70"/>
      <c r="G68" s="99"/>
      <c r="H68" s="99"/>
      <c r="I68" s="99"/>
      <c r="J68" s="99"/>
    </row>
    <row r="69" spans="4:10" ht="22" x14ac:dyDescent="0.3">
      <c r="D69" s="70"/>
      <c r="E69" s="70"/>
      <c r="G69" s="99"/>
      <c r="H69" s="99"/>
      <c r="I69" s="99"/>
      <c r="J69" s="99"/>
    </row>
    <row r="70" spans="4:10" ht="22" x14ac:dyDescent="0.3">
      <c r="D70" s="70"/>
      <c r="E70" s="70"/>
      <c r="G70" s="99"/>
      <c r="H70" s="99"/>
      <c r="I70" s="99"/>
      <c r="J70" s="99"/>
    </row>
    <row r="71" spans="4:10" ht="22" x14ac:dyDescent="0.3">
      <c r="D71" s="70"/>
      <c r="E71" s="70"/>
      <c r="G71" s="99"/>
      <c r="H71" s="99"/>
      <c r="I71" s="99"/>
      <c r="J71" s="99"/>
    </row>
    <row r="72" spans="4:10" ht="22" x14ac:dyDescent="0.3">
      <c r="D72" s="70"/>
      <c r="E72" s="70"/>
      <c r="G72" s="99"/>
      <c r="H72" s="99"/>
      <c r="I72" s="99"/>
      <c r="J72" s="99"/>
    </row>
    <row r="73" spans="4:10" ht="22" x14ac:dyDescent="0.3">
      <c r="D73" s="70"/>
      <c r="E73" s="70"/>
      <c r="G73" s="99"/>
      <c r="H73" s="99"/>
      <c r="I73" s="99"/>
      <c r="J73" s="99"/>
    </row>
    <row r="74" spans="4:10" ht="22" x14ac:dyDescent="0.3">
      <c r="D74" s="70"/>
      <c r="E74" s="70"/>
      <c r="G74" s="99"/>
      <c r="H74" s="99"/>
      <c r="I74" s="99"/>
      <c r="J74" s="99"/>
    </row>
    <row r="75" spans="4:10" ht="22" x14ac:dyDescent="0.3">
      <c r="D75" s="70"/>
      <c r="E75" s="70"/>
      <c r="G75" s="99"/>
      <c r="H75" s="99"/>
      <c r="I75" s="99"/>
      <c r="J75" s="99"/>
    </row>
    <row r="76" spans="4:10" ht="22" x14ac:dyDescent="0.3">
      <c r="D76" s="70"/>
      <c r="E76" s="70"/>
      <c r="G76" s="99"/>
      <c r="H76" s="99"/>
      <c r="I76" s="99"/>
      <c r="J76" s="99"/>
    </row>
    <row r="77" spans="4:10" ht="22" x14ac:dyDescent="0.3">
      <c r="D77" s="70"/>
      <c r="E77" s="70"/>
      <c r="G77" s="99"/>
      <c r="H77" s="99"/>
      <c r="I77" s="99"/>
      <c r="J77" s="99"/>
    </row>
    <row r="78" spans="4:10" ht="22" x14ac:dyDescent="0.3">
      <c r="D78" s="70"/>
      <c r="E78" s="70"/>
      <c r="G78" s="99"/>
      <c r="H78" s="99"/>
      <c r="I78" s="99"/>
      <c r="J78" s="99"/>
    </row>
    <row r="79" spans="4:10" ht="22" x14ac:dyDescent="0.3">
      <c r="D79" s="70"/>
      <c r="E79" s="70"/>
      <c r="G79" s="99"/>
      <c r="H79" s="99"/>
      <c r="I79" s="99"/>
      <c r="J79" s="99"/>
    </row>
    <row r="80" spans="4:10" ht="22" x14ac:dyDescent="0.3">
      <c r="D80" s="70"/>
      <c r="E80" s="70"/>
      <c r="G80" s="99"/>
      <c r="H80" s="99"/>
      <c r="I80" s="99"/>
      <c r="J80" s="99"/>
    </row>
    <row r="81" spans="4:10" ht="22" x14ac:dyDescent="0.3">
      <c r="D81" s="70"/>
      <c r="E81" s="70"/>
      <c r="G81" s="99"/>
      <c r="H81" s="99"/>
      <c r="I81" s="99"/>
      <c r="J81" s="99"/>
    </row>
    <row r="82" spans="4:10" ht="22" x14ac:dyDescent="0.3">
      <c r="D82" s="70"/>
      <c r="E82" s="70"/>
      <c r="G82" s="99"/>
      <c r="H82" s="99"/>
      <c r="I82" s="99"/>
      <c r="J82" s="99"/>
    </row>
    <row r="83" spans="4:10" ht="22" x14ac:dyDescent="0.3">
      <c r="D83" s="70"/>
      <c r="E83" s="70"/>
      <c r="G83" s="99"/>
      <c r="H83" s="99"/>
      <c r="I83" s="99"/>
      <c r="J83" s="99"/>
    </row>
    <row r="84" spans="4:10" ht="22" x14ac:dyDescent="0.3">
      <c r="D84" s="70"/>
      <c r="E84" s="70"/>
      <c r="G84" s="99"/>
      <c r="H84" s="99"/>
      <c r="I84" s="99"/>
      <c r="J84" s="99"/>
    </row>
    <row r="85" spans="4:10" ht="22" x14ac:dyDescent="0.3">
      <c r="D85" s="70"/>
      <c r="E85" s="70"/>
      <c r="G85" s="99"/>
      <c r="H85" s="99"/>
      <c r="I85" s="99"/>
      <c r="J85" s="99"/>
    </row>
    <row r="86" spans="4:10" ht="22" x14ac:dyDescent="0.3">
      <c r="D86" s="70"/>
      <c r="E86" s="70"/>
      <c r="G86" s="99"/>
      <c r="H86" s="99"/>
      <c r="I86" s="99"/>
      <c r="J86" s="99"/>
    </row>
    <row r="87" spans="4:10" ht="22" x14ac:dyDescent="0.3">
      <c r="D87" s="70"/>
      <c r="E87" s="70"/>
      <c r="G87" s="99"/>
      <c r="H87" s="99"/>
      <c r="I87" s="99"/>
      <c r="J87" s="99"/>
    </row>
    <row r="88" spans="4:10" ht="22" x14ac:dyDescent="0.3">
      <c r="D88" s="70"/>
      <c r="E88" s="70"/>
      <c r="G88" s="99"/>
      <c r="H88" s="99"/>
      <c r="I88" s="99"/>
      <c r="J88" s="99"/>
    </row>
    <row r="89" spans="4:10" ht="22" x14ac:dyDescent="0.3">
      <c r="D89" s="70"/>
      <c r="E89" s="70"/>
      <c r="G89" s="99"/>
      <c r="H89" s="99"/>
      <c r="I89" s="99"/>
      <c r="J89" s="99"/>
    </row>
    <row r="90" spans="4:10" ht="22" x14ac:dyDescent="0.3">
      <c r="D90" s="70"/>
      <c r="E90" s="70"/>
      <c r="G90" s="99"/>
      <c r="H90" s="99"/>
      <c r="I90" s="99"/>
      <c r="J90" s="99"/>
    </row>
    <row r="91" spans="4:10" ht="22" x14ac:dyDescent="0.3">
      <c r="D91" s="70"/>
      <c r="E91" s="70"/>
      <c r="G91" s="99"/>
      <c r="H91" s="99"/>
      <c r="I91" s="99"/>
      <c r="J91" s="99"/>
    </row>
    <row r="92" spans="4:10" ht="22" x14ac:dyDescent="0.3">
      <c r="D92" s="70"/>
      <c r="E92" s="70"/>
      <c r="G92" s="99"/>
      <c r="H92" s="99"/>
      <c r="I92" s="99"/>
      <c r="J92" s="99"/>
    </row>
    <row r="93" spans="4:10" ht="22" x14ac:dyDescent="0.3">
      <c r="D93" s="70"/>
      <c r="E93" s="70"/>
      <c r="G93" s="99"/>
      <c r="H93" s="99"/>
      <c r="I93" s="99"/>
      <c r="J93" s="99"/>
    </row>
    <row r="94" spans="4:10" ht="22" x14ac:dyDescent="0.3">
      <c r="D94" s="70"/>
      <c r="E94" s="70"/>
      <c r="G94" s="99"/>
      <c r="H94" s="99"/>
      <c r="I94" s="99"/>
      <c r="J94" s="99"/>
    </row>
    <row r="95" spans="4:10" ht="22" x14ac:dyDescent="0.3">
      <c r="D95" s="70"/>
      <c r="E95" s="70"/>
      <c r="G95" s="99"/>
      <c r="H95" s="99"/>
      <c r="I95" s="99"/>
      <c r="J95" s="99"/>
    </row>
    <row r="96" spans="4:10" ht="22" x14ac:dyDescent="0.3">
      <c r="D96" s="70"/>
      <c r="E96" s="70"/>
      <c r="G96" s="99"/>
      <c r="H96" s="99"/>
      <c r="I96" s="99"/>
      <c r="J96" s="99"/>
    </row>
    <row r="97" spans="4:10" ht="22" x14ac:dyDescent="0.3">
      <c r="D97" s="70"/>
      <c r="E97" s="70"/>
      <c r="G97" s="99"/>
      <c r="H97" s="99"/>
      <c r="I97" s="99"/>
      <c r="J97" s="99"/>
    </row>
    <row r="98" spans="4:10" ht="22" x14ac:dyDescent="0.3">
      <c r="D98" s="70"/>
      <c r="E98" s="70"/>
      <c r="G98" s="99"/>
      <c r="H98" s="99"/>
      <c r="I98" s="99"/>
      <c r="J98" s="99"/>
    </row>
    <row r="99" spans="4:10" ht="22" x14ac:dyDescent="0.3">
      <c r="D99" s="70"/>
      <c r="E99" s="70"/>
      <c r="G99" s="99"/>
      <c r="H99" s="99"/>
      <c r="I99" s="99"/>
      <c r="J99" s="99"/>
    </row>
    <row r="100" spans="4:10" ht="22" x14ac:dyDescent="0.3">
      <c r="D100" s="70"/>
      <c r="E100" s="70"/>
      <c r="G100" s="99"/>
      <c r="H100" s="99"/>
      <c r="I100" s="99"/>
      <c r="J100" s="99"/>
    </row>
    <row r="101" spans="4:10" ht="22" x14ac:dyDescent="0.3">
      <c r="D101" s="70"/>
      <c r="E101" s="70"/>
      <c r="G101" s="99"/>
      <c r="H101" s="99"/>
      <c r="I101" s="99"/>
      <c r="J101" s="99"/>
    </row>
    <row r="102" spans="4:10" ht="22" x14ac:dyDescent="0.3">
      <c r="D102" s="70"/>
      <c r="E102" s="70"/>
      <c r="G102" s="99"/>
      <c r="H102" s="99"/>
      <c r="I102" s="99"/>
      <c r="J102" s="99"/>
    </row>
    <row r="103" spans="4:10" ht="22" x14ac:dyDescent="0.3">
      <c r="D103" s="70"/>
      <c r="E103" s="70"/>
      <c r="G103" s="99"/>
      <c r="H103" s="99"/>
      <c r="I103" s="99"/>
      <c r="J103" s="99"/>
    </row>
    <row r="104" spans="4:10" ht="22" x14ac:dyDescent="0.3">
      <c r="D104" s="70"/>
      <c r="E104" s="70"/>
      <c r="G104" s="99"/>
      <c r="H104" s="99"/>
      <c r="I104" s="99"/>
      <c r="J104" s="99"/>
    </row>
    <row r="105" spans="4:10" ht="22" x14ac:dyDescent="0.3">
      <c r="D105" s="70"/>
      <c r="E105" s="70"/>
      <c r="G105" s="99"/>
      <c r="H105" s="99"/>
      <c r="I105" s="99"/>
      <c r="J105" s="99"/>
    </row>
    <row r="106" spans="4:10" ht="22" x14ac:dyDescent="0.3">
      <c r="D106" s="70"/>
      <c r="E106" s="70"/>
      <c r="G106" s="99"/>
      <c r="H106" s="99"/>
      <c r="I106" s="99"/>
      <c r="J106" s="99"/>
    </row>
    <row r="107" spans="4:10" ht="22" x14ac:dyDescent="0.3">
      <c r="D107" s="70"/>
      <c r="E107" s="70"/>
      <c r="G107" s="99"/>
      <c r="H107" s="99"/>
      <c r="I107" s="99"/>
      <c r="J107" s="99"/>
    </row>
    <row r="108" spans="4:10" ht="22" x14ac:dyDescent="0.3">
      <c r="D108" s="70"/>
      <c r="E108" s="70"/>
      <c r="G108" s="99"/>
      <c r="H108" s="99"/>
      <c r="I108" s="99"/>
      <c r="J108" s="99"/>
    </row>
    <row r="109" spans="4:10" ht="22" x14ac:dyDescent="0.3">
      <c r="D109" s="70"/>
      <c r="E109" s="70"/>
      <c r="G109" s="99"/>
      <c r="H109" s="99"/>
      <c r="I109" s="99"/>
      <c r="J109" s="99"/>
    </row>
    <row r="110" spans="4:10" ht="22" x14ac:dyDescent="0.3">
      <c r="D110" s="70"/>
      <c r="E110" s="70"/>
      <c r="G110" s="99"/>
      <c r="H110" s="99"/>
      <c r="I110" s="99"/>
      <c r="J110" s="99"/>
    </row>
    <row r="111" spans="4:10" ht="22" x14ac:dyDescent="0.3">
      <c r="D111" s="70"/>
      <c r="E111" s="70"/>
      <c r="G111" s="99"/>
      <c r="H111" s="99"/>
      <c r="I111" s="99"/>
      <c r="J111" s="99"/>
    </row>
    <row r="112" spans="4:10" ht="22" x14ac:dyDescent="0.3">
      <c r="D112" s="70"/>
      <c r="E112" s="70"/>
      <c r="G112" s="99"/>
      <c r="H112" s="99"/>
      <c r="I112" s="99"/>
      <c r="J112" s="99"/>
    </row>
    <row r="113" spans="4:10" ht="22" x14ac:dyDescent="0.3">
      <c r="D113" s="70"/>
      <c r="E113" s="70"/>
      <c r="G113" s="99"/>
      <c r="H113" s="99"/>
      <c r="I113" s="99"/>
      <c r="J113" s="99"/>
    </row>
    <row r="114" spans="4:10" ht="22" x14ac:dyDescent="0.3">
      <c r="D114" s="70"/>
      <c r="E114" s="70"/>
      <c r="G114" s="99"/>
      <c r="H114" s="99"/>
      <c r="I114" s="99"/>
      <c r="J114" s="99"/>
    </row>
    <row r="115" spans="4:10" ht="22" x14ac:dyDescent="0.3">
      <c r="D115" s="70"/>
      <c r="E115" s="70"/>
      <c r="G115" s="99"/>
      <c r="H115" s="99"/>
      <c r="I115" s="99"/>
      <c r="J115" s="99"/>
    </row>
    <row r="116" spans="4:10" ht="22" x14ac:dyDescent="0.3">
      <c r="D116" s="70"/>
      <c r="E116" s="70"/>
      <c r="G116" s="99"/>
      <c r="H116" s="99"/>
      <c r="I116" s="99"/>
      <c r="J116" s="99"/>
    </row>
    <row r="117" spans="4:10" ht="22" x14ac:dyDescent="0.3">
      <c r="D117" s="70"/>
      <c r="E117" s="70"/>
      <c r="G117" s="99"/>
      <c r="H117" s="99"/>
      <c r="I117" s="99"/>
      <c r="J117" s="99"/>
    </row>
    <row r="118" spans="4:10" ht="22" x14ac:dyDescent="0.3">
      <c r="D118" s="70"/>
      <c r="E118" s="70"/>
      <c r="G118" s="99"/>
      <c r="H118" s="99"/>
      <c r="I118" s="99"/>
      <c r="J118" s="99"/>
    </row>
    <row r="119" spans="4:10" ht="22" x14ac:dyDescent="0.3">
      <c r="D119" s="70"/>
      <c r="E119" s="70"/>
      <c r="G119" s="99"/>
      <c r="H119" s="99"/>
      <c r="I119" s="99"/>
      <c r="J119" s="99"/>
    </row>
    <row r="120" spans="4:10" ht="22" x14ac:dyDescent="0.3">
      <c r="D120" s="70"/>
      <c r="E120" s="70"/>
      <c r="G120" s="99"/>
      <c r="H120" s="99"/>
      <c r="I120" s="99"/>
      <c r="J120" s="99"/>
    </row>
    <row r="121" spans="4:10" ht="22" x14ac:dyDescent="0.3">
      <c r="D121" s="70"/>
      <c r="E121" s="70"/>
      <c r="G121" s="99"/>
      <c r="H121" s="99"/>
      <c r="I121" s="99"/>
      <c r="J121" s="99"/>
    </row>
    <row r="122" spans="4:10" ht="22" x14ac:dyDescent="0.3">
      <c r="D122" s="70"/>
      <c r="E122" s="70"/>
      <c r="G122" s="99"/>
      <c r="H122" s="99"/>
      <c r="I122" s="99"/>
      <c r="J122" s="99"/>
    </row>
    <row r="123" spans="4:10" ht="22" x14ac:dyDescent="0.3">
      <c r="D123" s="70"/>
      <c r="E123" s="70"/>
      <c r="G123" s="99"/>
      <c r="H123" s="99"/>
      <c r="I123" s="99"/>
      <c r="J123" s="99"/>
    </row>
    <row r="124" spans="4:10" ht="22" x14ac:dyDescent="0.3">
      <c r="D124" s="70"/>
      <c r="E124" s="70"/>
      <c r="G124" s="99"/>
      <c r="H124" s="99"/>
      <c r="I124" s="99"/>
      <c r="J124" s="99"/>
    </row>
    <row r="125" spans="4:10" ht="22" x14ac:dyDescent="0.3">
      <c r="D125" s="70"/>
      <c r="E125" s="70"/>
      <c r="G125" s="99"/>
      <c r="H125" s="99"/>
      <c r="I125" s="99"/>
      <c r="J125" s="99"/>
    </row>
    <row r="126" spans="4:10" ht="22" x14ac:dyDescent="0.3">
      <c r="D126" s="70"/>
      <c r="E126" s="70"/>
      <c r="G126" s="99"/>
      <c r="H126" s="99"/>
      <c r="I126" s="99"/>
      <c r="J126" s="99"/>
    </row>
    <row r="127" spans="4:10" ht="22" x14ac:dyDescent="0.3">
      <c r="D127" s="70"/>
      <c r="E127" s="70"/>
      <c r="G127" s="99"/>
      <c r="H127" s="99"/>
      <c r="I127" s="99"/>
      <c r="J127" s="99"/>
    </row>
    <row r="128" spans="4:10" ht="22" x14ac:dyDescent="0.3">
      <c r="D128" s="70"/>
      <c r="E128" s="70"/>
      <c r="G128" s="99"/>
      <c r="H128" s="99"/>
      <c r="I128" s="99"/>
      <c r="J128" s="99"/>
    </row>
    <row r="129" spans="4:10" ht="22" x14ac:dyDescent="0.3">
      <c r="D129" s="70"/>
      <c r="E129" s="70"/>
      <c r="G129" s="99"/>
      <c r="H129" s="99"/>
      <c r="I129" s="99"/>
      <c r="J129" s="99"/>
    </row>
    <row r="130" spans="4:10" ht="22" x14ac:dyDescent="0.3">
      <c r="D130" s="70"/>
      <c r="E130" s="70"/>
      <c r="G130" s="99"/>
      <c r="H130" s="99"/>
      <c r="I130" s="99"/>
      <c r="J130" s="99"/>
    </row>
    <row r="131" spans="4:10" ht="22" x14ac:dyDescent="0.3">
      <c r="D131" s="70"/>
      <c r="E131" s="70"/>
      <c r="G131" s="99"/>
      <c r="H131" s="99"/>
      <c r="I131" s="99"/>
      <c r="J131" s="99"/>
    </row>
    <row r="132" spans="4:10" ht="22" x14ac:dyDescent="0.3">
      <c r="D132" s="70"/>
      <c r="E132" s="70"/>
      <c r="G132" s="99"/>
      <c r="H132" s="99"/>
      <c r="I132" s="99"/>
      <c r="J132" s="99"/>
    </row>
    <row r="133" spans="4:10" ht="22" x14ac:dyDescent="0.3">
      <c r="D133" s="70"/>
      <c r="E133" s="70"/>
      <c r="G133" s="99"/>
      <c r="H133" s="99"/>
      <c r="I133" s="99"/>
      <c r="J133" s="99"/>
    </row>
    <row r="134" spans="4:10" ht="22" x14ac:dyDescent="0.3">
      <c r="D134" s="70"/>
      <c r="E134" s="70"/>
      <c r="G134" s="99"/>
      <c r="H134" s="99"/>
      <c r="I134" s="99"/>
      <c r="J134" s="99"/>
    </row>
    <row r="135" spans="4:10" ht="22" x14ac:dyDescent="0.3">
      <c r="D135" s="70"/>
      <c r="E135" s="70"/>
      <c r="G135" s="99"/>
      <c r="H135" s="99"/>
      <c r="I135" s="99"/>
      <c r="J135" s="99"/>
    </row>
    <row r="136" spans="4:10" ht="22" x14ac:dyDescent="0.3">
      <c r="D136" s="70"/>
      <c r="E136" s="70"/>
      <c r="G136" s="99"/>
      <c r="H136" s="99"/>
      <c r="I136" s="99"/>
      <c r="J136" s="99"/>
    </row>
    <row r="137" spans="4:10" x14ac:dyDescent="0.2">
      <c r="F137" t="s">
        <v>3974</v>
      </c>
    </row>
    <row r="138" spans="4:10" ht="22" x14ac:dyDescent="0.25">
      <c r="D138" s="95" t="s">
        <v>1452</v>
      </c>
      <c r="E138">
        <v>2</v>
      </c>
      <c r="F138" s="95">
        <v>328.82820700000002</v>
      </c>
      <c r="G138" s="95">
        <v>300.44604800000002</v>
      </c>
      <c r="H138" s="95" t="s">
        <v>3952</v>
      </c>
      <c r="I138" s="95">
        <v>300.46857399999999</v>
      </c>
    </row>
    <row r="139" spans="4:10" ht="22" x14ac:dyDescent="0.25">
      <c r="D139" s="95" t="s">
        <v>1452</v>
      </c>
      <c r="E139">
        <v>5</v>
      </c>
      <c r="F139" s="95" t="s">
        <v>3952</v>
      </c>
      <c r="G139" s="95" t="s">
        <v>3952</v>
      </c>
      <c r="H139" s="95" t="s">
        <v>3952</v>
      </c>
      <c r="I139" s="95" t="s">
        <v>3952</v>
      </c>
    </row>
    <row r="140" spans="4:10" ht="22" x14ac:dyDescent="0.25">
      <c r="D140" s="95" t="s">
        <v>1452</v>
      </c>
      <c r="E140">
        <v>8</v>
      </c>
      <c r="F140" s="95" t="s">
        <v>3952</v>
      </c>
      <c r="G140" s="95" t="s">
        <v>3952</v>
      </c>
      <c r="H140" s="95" t="s">
        <v>3952</v>
      </c>
      <c r="I140" s="95" t="s">
        <v>3952</v>
      </c>
    </row>
    <row r="141" spans="4:10" ht="22" x14ac:dyDescent="0.25">
      <c r="D141" s="95" t="s">
        <v>1443</v>
      </c>
      <c r="E141">
        <v>2</v>
      </c>
      <c r="F141" s="95" t="s">
        <v>3952</v>
      </c>
      <c r="G141" s="95" t="s">
        <v>3952</v>
      </c>
      <c r="H141" s="95" t="s">
        <v>3952</v>
      </c>
      <c r="I141" s="95" t="s">
        <v>3952</v>
      </c>
    </row>
    <row r="142" spans="4:10" ht="22" x14ac:dyDescent="0.25">
      <c r="D142" s="95" t="s">
        <v>1443</v>
      </c>
      <c r="E142">
        <v>5</v>
      </c>
      <c r="F142" s="95" t="s">
        <v>3952</v>
      </c>
      <c r="G142" s="95" t="s">
        <v>3952</v>
      </c>
      <c r="H142" s="95" t="s">
        <v>3952</v>
      </c>
      <c r="I142" s="95" t="s">
        <v>3952</v>
      </c>
    </row>
    <row r="143" spans="4:10" ht="22" x14ac:dyDescent="0.25">
      <c r="D143" s="95" t="s">
        <v>1443</v>
      </c>
      <c r="E143">
        <v>8</v>
      </c>
      <c r="F143" s="95" t="s">
        <v>3952</v>
      </c>
      <c r="G143" s="95" t="s">
        <v>3952</v>
      </c>
      <c r="H143" s="95" t="s">
        <v>3952</v>
      </c>
      <c r="I143" s="95" t="s">
        <v>3952</v>
      </c>
    </row>
    <row r="144" spans="4:10" ht="22" x14ac:dyDescent="0.25">
      <c r="D144" s="95" t="s">
        <v>1451</v>
      </c>
      <c r="E144">
        <v>2</v>
      </c>
      <c r="F144" s="95">
        <v>123.934425</v>
      </c>
      <c r="G144" s="95">
        <v>115.199021</v>
      </c>
      <c r="H144" s="95" t="s">
        <v>3952</v>
      </c>
      <c r="I144" s="95">
        <v>118.80665999999999</v>
      </c>
    </row>
    <row r="145" spans="4:9" ht="22" x14ac:dyDescent="0.25">
      <c r="D145" s="95" t="s">
        <v>1451</v>
      </c>
      <c r="E145">
        <v>5</v>
      </c>
      <c r="F145" s="95" t="s">
        <v>3952</v>
      </c>
      <c r="G145" s="95" t="s">
        <v>3952</v>
      </c>
      <c r="H145" s="95" t="s">
        <v>3952</v>
      </c>
      <c r="I145" s="95" t="s">
        <v>3952</v>
      </c>
    </row>
    <row r="146" spans="4:9" ht="22" x14ac:dyDescent="0.25">
      <c r="D146" s="95" t="s">
        <v>1451</v>
      </c>
      <c r="E146">
        <v>8</v>
      </c>
      <c r="F146" s="95" t="s">
        <v>3952</v>
      </c>
      <c r="G146" s="95" t="s">
        <v>3952</v>
      </c>
      <c r="H146" s="95" t="s">
        <v>3952</v>
      </c>
      <c r="I146" s="95" t="s">
        <v>3952</v>
      </c>
    </row>
    <row r="147" spans="4:9" ht="22" x14ac:dyDescent="0.25">
      <c r="D147" s="95" t="s">
        <v>3915</v>
      </c>
      <c r="E147">
        <v>2</v>
      </c>
      <c r="F147" s="95">
        <v>464.43277699999999</v>
      </c>
      <c r="G147" s="95">
        <v>392.82105899999999</v>
      </c>
      <c r="H147" s="95" t="s">
        <v>3952</v>
      </c>
      <c r="I147" s="95">
        <v>392.08662099999998</v>
      </c>
    </row>
    <row r="148" spans="4:9" ht="22" x14ac:dyDescent="0.25">
      <c r="D148" s="95" t="s">
        <v>3915</v>
      </c>
      <c r="E148">
        <v>5</v>
      </c>
      <c r="F148" s="95" t="s">
        <v>3952</v>
      </c>
      <c r="G148" s="95" t="s">
        <v>3952</v>
      </c>
      <c r="H148" s="95" t="s">
        <v>3952</v>
      </c>
      <c r="I148" s="95" t="s">
        <v>3952</v>
      </c>
    </row>
    <row r="149" spans="4:9" ht="22" x14ac:dyDescent="0.25">
      <c r="D149" s="95" t="s">
        <v>3915</v>
      </c>
      <c r="E149">
        <v>8</v>
      </c>
      <c r="F149" s="95" t="s">
        <v>3952</v>
      </c>
      <c r="G149" s="95" t="s">
        <v>3952</v>
      </c>
      <c r="H149" s="95" t="s">
        <v>3952</v>
      </c>
      <c r="I149" s="95" t="s">
        <v>3952</v>
      </c>
    </row>
    <row r="150" spans="4:9" ht="22" x14ac:dyDescent="0.25">
      <c r="D150" s="95" t="s">
        <v>10</v>
      </c>
      <c r="E150">
        <v>2</v>
      </c>
      <c r="F150" s="95">
        <v>13.691794</v>
      </c>
      <c r="G150" s="95">
        <v>15.264336999999999</v>
      </c>
      <c r="H150" s="95" t="s">
        <v>3952</v>
      </c>
      <c r="I150" s="95">
        <v>15.36619</v>
      </c>
    </row>
    <row r="151" spans="4:9" ht="22" x14ac:dyDescent="0.25">
      <c r="D151" s="95" t="s">
        <v>10</v>
      </c>
      <c r="E151">
        <v>5</v>
      </c>
      <c r="F151" s="95" t="s">
        <v>3952</v>
      </c>
      <c r="G151" s="95" t="s">
        <v>3952</v>
      </c>
      <c r="H151" s="95" t="s">
        <v>3952</v>
      </c>
      <c r="I151" s="95" t="s">
        <v>3952</v>
      </c>
    </row>
    <row r="152" spans="4:9" ht="22" x14ac:dyDescent="0.25">
      <c r="D152" s="95" t="s">
        <v>10</v>
      </c>
      <c r="E152">
        <v>8</v>
      </c>
      <c r="F152" s="95" t="s">
        <v>3952</v>
      </c>
      <c r="G152" s="95" t="s">
        <v>3952</v>
      </c>
      <c r="H152" s="95" t="s">
        <v>3952</v>
      </c>
      <c r="I152" s="95" t="s">
        <v>3952</v>
      </c>
    </row>
    <row r="153" spans="4:9" ht="22" x14ac:dyDescent="0.25">
      <c r="D153" s="95" t="s">
        <v>1455</v>
      </c>
      <c r="E153">
        <v>2</v>
      </c>
      <c r="F153" s="95">
        <v>66.658944000000005</v>
      </c>
      <c r="G153" s="95">
        <v>56.069319</v>
      </c>
      <c r="H153" s="95" t="s">
        <v>3952</v>
      </c>
      <c r="I153" s="95">
        <v>124.84438</v>
      </c>
    </row>
    <row r="154" spans="4:9" ht="22" x14ac:dyDescent="0.25">
      <c r="D154" s="95" t="s">
        <v>1455</v>
      </c>
      <c r="E154">
        <v>5</v>
      </c>
      <c r="F154" s="95" t="s">
        <v>3952</v>
      </c>
      <c r="G154" s="95" t="s">
        <v>3952</v>
      </c>
      <c r="H154" s="95" t="s">
        <v>3952</v>
      </c>
      <c r="I154" s="95" t="s">
        <v>3952</v>
      </c>
    </row>
    <row r="155" spans="4:9" ht="22" x14ac:dyDescent="0.25">
      <c r="D155" s="95" t="s">
        <v>1455</v>
      </c>
      <c r="E155">
        <v>8</v>
      </c>
      <c r="F155" s="95" t="s">
        <v>3952</v>
      </c>
      <c r="G155" s="95" t="s">
        <v>3952</v>
      </c>
      <c r="H155" s="95" t="s">
        <v>3952</v>
      </c>
      <c r="I155" s="95" t="s">
        <v>3952</v>
      </c>
    </row>
    <row r="156" spans="4:9" ht="22" x14ac:dyDescent="0.25">
      <c r="D156" s="95" t="s">
        <v>6</v>
      </c>
      <c r="E156">
        <v>2</v>
      </c>
      <c r="F156" s="95">
        <v>4.5171279999999996</v>
      </c>
      <c r="G156" s="95">
        <v>2.9148489999999998</v>
      </c>
      <c r="H156" s="95">
        <v>169.00178299999999</v>
      </c>
      <c r="I156" s="95">
        <v>12.403169</v>
      </c>
    </row>
    <row r="157" spans="4:9" ht="22" x14ac:dyDescent="0.25">
      <c r="D157" s="95" t="s">
        <v>6</v>
      </c>
      <c r="E157">
        <v>5</v>
      </c>
      <c r="F157" s="95">
        <v>62.460476999999997</v>
      </c>
      <c r="G157" s="95">
        <v>68.443736000000001</v>
      </c>
      <c r="H157" s="95" t="s">
        <v>3952</v>
      </c>
      <c r="I157" s="95">
        <v>116.69115600000001</v>
      </c>
    </row>
    <row r="158" spans="4:9" ht="22" x14ac:dyDescent="0.25">
      <c r="D158" s="95" t="s">
        <v>6</v>
      </c>
      <c r="E158">
        <v>8</v>
      </c>
      <c r="F158" s="95">
        <v>195.239598</v>
      </c>
      <c r="G158" s="95" t="s">
        <v>3952</v>
      </c>
      <c r="H158" s="95" t="s">
        <v>3952</v>
      </c>
      <c r="I158" s="95" t="s">
        <v>3952</v>
      </c>
    </row>
    <row r="159" spans="4:9" ht="22" x14ac:dyDescent="0.25">
      <c r="D159" s="95" t="s">
        <v>1442</v>
      </c>
      <c r="E159">
        <v>2</v>
      </c>
      <c r="F159" s="95">
        <v>19.602962000000002</v>
      </c>
      <c r="G159" s="95">
        <v>22.964172999999999</v>
      </c>
      <c r="H159" s="95" t="s">
        <v>3952</v>
      </c>
      <c r="I159" s="95">
        <v>26.913972000000001</v>
      </c>
    </row>
    <row r="160" spans="4:9" ht="22" x14ac:dyDescent="0.25">
      <c r="D160" s="95" t="s">
        <v>1442</v>
      </c>
      <c r="E160">
        <v>5</v>
      </c>
      <c r="F160" s="95" t="s">
        <v>3952</v>
      </c>
      <c r="G160" s="95" t="s">
        <v>3952</v>
      </c>
      <c r="H160" s="95" t="s">
        <v>3952</v>
      </c>
      <c r="I160" s="95" t="s">
        <v>3952</v>
      </c>
    </row>
    <row r="161" spans="4:9" ht="22" x14ac:dyDescent="0.25">
      <c r="D161" s="95" t="s">
        <v>1442</v>
      </c>
      <c r="E161">
        <v>8</v>
      </c>
      <c r="F161" s="95" t="s">
        <v>3952</v>
      </c>
      <c r="G161" s="95" t="s">
        <v>3952</v>
      </c>
      <c r="H161" s="95" t="s">
        <v>3952</v>
      </c>
      <c r="I161" s="95" t="s">
        <v>3952</v>
      </c>
    </row>
    <row r="162" spans="4:9" ht="22" x14ac:dyDescent="0.25">
      <c r="D162" s="95" t="s">
        <v>3</v>
      </c>
      <c r="E162">
        <v>2</v>
      </c>
      <c r="F162" s="95">
        <v>3.823623</v>
      </c>
      <c r="G162" s="95">
        <v>1.807623</v>
      </c>
      <c r="H162" s="95">
        <v>224.57836800000001</v>
      </c>
      <c r="I162" s="95">
        <v>10.541907</v>
      </c>
    </row>
    <row r="163" spans="4:9" ht="22" x14ac:dyDescent="0.25">
      <c r="D163" s="95" t="s">
        <v>3</v>
      </c>
      <c r="E163">
        <v>5</v>
      </c>
      <c r="F163" s="95">
        <v>66.503085999999996</v>
      </c>
      <c r="G163" s="95">
        <v>68.266859999999994</v>
      </c>
      <c r="H163" s="95" t="s">
        <v>3952</v>
      </c>
      <c r="I163" s="95">
        <v>71.882473000000005</v>
      </c>
    </row>
    <row r="164" spans="4:9" ht="22" x14ac:dyDescent="0.25">
      <c r="D164" s="95" t="s">
        <v>3</v>
      </c>
      <c r="E164">
        <v>8</v>
      </c>
      <c r="F164" s="95">
        <v>186.56845999999999</v>
      </c>
      <c r="G164" s="95">
        <v>215.69958099999999</v>
      </c>
      <c r="H164" s="95" t="s">
        <v>3952</v>
      </c>
      <c r="I164" s="95" t="s">
        <v>3952</v>
      </c>
    </row>
    <row r="165" spans="4:9" ht="22" x14ac:dyDescent="0.25">
      <c r="D165" s="95" t="s">
        <v>1456</v>
      </c>
      <c r="E165">
        <v>2</v>
      </c>
      <c r="F165" s="96">
        <v>22.400162999999999</v>
      </c>
      <c r="G165" s="96">
        <v>17.97485</v>
      </c>
      <c r="H165" s="96" t="s">
        <v>3952</v>
      </c>
      <c r="I165" s="96">
        <v>35.708075000000001</v>
      </c>
    </row>
    <row r="166" spans="4:9" ht="22" x14ac:dyDescent="0.25">
      <c r="D166" s="95" t="s">
        <v>1456</v>
      </c>
      <c r="E166">
        <v>5</v>
      </c>
      <c r="F166" s="96" t="s">
        <v>3952</v>
      </c>
      <c r="G166" s="96" t="s">
        <v>3952</v>
      </c>
      <c r="H166" s="96" t="s">
        <v>3952</v>
      </c>
      <c r="I166" s="96" t="s">
        <v>3952</v>
      </c>
    </row>
    <row r="167" spans="4:9" ht="22" x14ac:dyDescent="0.25">
      <c r="D167" s="95" t="s">
        <v>1456</v>
      </c>
      <c r="E167">
        <v>8</v>
      </c>
      <c r="F167" s="96" t="s">
        <v>3952</v>
      </c>
      <c r="G167" s="96" t="s">
        <v>3952</v>
      </c>
      <c r="H167" s="96" t="s">
        <v>3952</v>
      </c>
      <c r="I167" s="96" t="s">
        <v>3952</v>
      </c>
    </row>
    <row r="168" spans="4:9" ht="22" x14ac:dyDescent="0.25">
      <c r="D168" s="95" t="s">
        <v>1446</v>
      </c>
      <c r="E168">
        <v>2</v>
      </c>
      <c r="F168" s="96" t="s">
        <v>3952</v>
      </c>
      <c r="G168" s="96" t="s">
        <v>3952</v>
      </c>
      <c r="H168" s="96" t="s">
        <v>3952</v>
      </c>
      <c r="I168" s="96" t="s">
        <v>3952</v>
      </c>
    </row>
    <row r="169" spans="4:9" ht="22" x14ac:dyDescent="0.25">
      <c r="D169" s="95" t="s">
        <v>1446</v>
      </c>
      <c r="E169">
        <v>5</v>
      </c>
      <c r="F169" s="96" t="s">
        <v>3952</v>
      </c>
      <c r="G169" s="96" t="s">
        <v>3952</v>
      </c>
      <c r="H169" s="96" t="s">
        <v>3952</v>
      </c>
      <c r="I169" s="96" t="s">
        <v>3952</v>
      </c>
    </row>
    <row r="170" spans="4:9" ht="22" x14ac:dyDescent="0.25">
      <c r="D170" s="95" t="s">
        <v>1446</v>
      </c>
      <c r="E170">
        <v>8</v>
      </c>
      <c r="F170" s="96" t="s">
        <v>3952</v>
      </c>
      <c r="G170" s="96" t="s">
        <v>3952</v>
      </c>
      <c r="H170" s="96" t="s">
        <v>3952</v>
      </c>
      <c r="I170" s="96" t="s">
        <v>3952</v>
      </c>
    </row>
    <row r="171" spans="4:9" ht="22" x14ac:dyDescent="0.25">
      <c r="D171" s="95" t="s">
        <v>7</v>
      </c>
      <c r="E171">
        <v>2</v>
      </c>
      <c r="F171" s="96">
        <v>2.799159</v>
      </c>
      <c r="G171" s="96">
        <v>1.030983</v>
      </c>
      <c r="H171" s="96">
        <v>106.161619</v>
      </c>
      <c r="I171" s="96">
        <v>15.615337</v>
      </c>
    </row>
    <row r="172" spans="4:9" ht="22" x14ac:dyDescent="0.25">
      <c r="D172" s="95" t="s">
        <v>7</v>
      </c>
      <c r="E172">
        <v>5</v>
      </c>
      <c r="F172" s="96">
        <v>38.265141999999997</v>
      </c>
      <c r="G172" s="96">
        <v>39.771346999999999</v>
      </c>
      <c r="H172" s="96" t="s">
        <v>3952</v>
      </c>
      <c r="I172" s="96">
        <v>63.677408999999997</v>
      </c>
    </row>
    <row r="173" spans="4:9" ht="22" x14ac:dyDescent="0.25">
      <c r="D173" s="95" t="s">
        <v>7</v>
      </c>
      <c r="E173">
        <v>8</v>
      </c>
      <c r="F173" s="96">
        <v>103.02468500000001</v>
      </c>
      <c r="G173" s="96">
        <v>111.579111</v>
      </c>
      <c r="H173" s="96" t="s">
        <v>3952</v>
      </c>
      <c r="I173" s="96">
        <v>99.285641999999996</v>
      </c>
    </row>
    <row r="174" spans="4:9" ht="22" x14ac:dyDescent="0.25">
      <c r="D174" s="95" t="s">
        <v>3913</v>
      </c>
      <c r="E174">
        <v>2</v>
      </c>
      <c r="F174" s="96">
        <v>5.0296279999999998</v>
      </c>
      <c r="G174" s="96">
        <v>3.4191210000000001</v>
      </c>
      <c r="H174" s="96">
        <v>169.17798400000001</v>
      </c>
      <c r="I174" s="96">
        <v>6.8914200000000001</v>
      </c>
    </row>
    <row r="175" spans="4:9" ht="22" x14ac:dyDescent="0.25">
      <c r="D175" s="95" t="s">
        <v>3913</v>
      </c>
      <c r="E175">
        <v>5</v>
      </c>
      <c r="F175" s="96">
        <v>40.253179000000003</v>
      </c>
      <c r="G175" s="96">
        <v>41.802401000000003</v>
      </c>
      <c r="H175" s="96" t="s">
        <v>3952</v>
      </c>
      <c r="I175" s="96">
        <v>74.037245999999996</v>
      </c>
    </row>
    <row r="176" spans="4:9" ht="22" x14ac:dyDescent="0.25">
      <c r="D176" s="95" t="s">
        <v>3913</v>
      </c>
      <c r="E176">
        <v>8</v>
      </c>
      <c r="F176" s="96">
        <v>103.787575</v>
      </c>
      <c r="G176" s="96">
        <v>120.680751</v>
      </c>
      <c r="H176" s="96" t="s">
        <v>3952</v>
      </c>
      <c r="I176" s="96">
        <v>118.94535</v>
      </c>
    </row>
    <row r="177" spans="4:9" ht="22" x14ac:dyDescent="0.25">
      <c r="D177" s="95" t="s">
        <v>1450</v>
      </c>
      <c r="E177">
        <v>2</v>
      </c>
      <c r="F177" s="96">
        <v>21.122053000000001</v>
      </c>
      <c r="G177" s="96">
        <v>16.624081</v>
      </c>
      <c r="H177" s="96" t="s">
        <v>3952</v>
      </c>
      <c r="I177" s="96">
        <v>38.707056000000001</v>
      </c>
    </row>
    <row r="178" spans="4:9" ht="22" x14ac:dyDescent="0.25">
      <c r="D178" s="95" t="s">
        <v>1450</v>
      </c>
      <c r="E178">
        <v>5</v>
      </c>
      <c r="F178" s="96">
        <v>582.60663599999998</v>
      </c>
      <c r="G178" s="96">
        <v>544.28210000000001</v>
      </c>
      <c r="H178" s="96" t="s">
        <v>3952</v>
      </c>
      <c r="I178" s="96">
        <v>520.41054799999995</v>
      </c>
    </row>
    <row r="179" spans="4:9" ht="22" x14ac:dyDescent="0.25">
      <c r="D179" s="95" t="s">
        <v>1450</v>
      </c>
      <c r="E179">
        <v>8</v>
      </c>
      <c r="F179" s="96" t="s">
        <v>3952</v>
      </c>
      <c r="G179" s="96" t="s">
        <v>3952</v>
      </c>
      <c r="H179" s="96" t="s">
        <v>3952</v>
      </c>
      <c r="I179" s="96" t="s">
        <v>3952</v>
      </c>
    </row>
    <row r="180" spans="4:9" ht="22" x14ac:dyDescent="0.25">
      <c r="D180" s="95" t="s">
        <v>1445</v>
      </c>
      <c r="E180">
        <v>2</v>
      </c>
      <c r="F180" s="96">
        <v>39.624954000000002</v>
      </c>
      <c r="G180" s="96">
        <v>44.250748999999999</v>
      </c>
      <c r="H180" s="96" t="s">
        <v>3952</v>
      </c>
      <c r="I180" s="96">
        <v>56.177602999999998</v>
      </c>
    </row>
    <row r="181" spans="4:9" ht="22" x14ac:dyDescent="0.25">
      <c r="D181" s="95" t="s">
        <v>1445</v>
      </c>
      <c r="E181">
        <v>5</v>
      </c>
      <c r="F181" s="96" t="s">
        <v>3952</v>
      </c>
      <c r="G181" s="96" t="s">
        <v>3952</v>
      </c>
      <c r="H181" s="96" t="s">
        <v>3952</v>
      </c>
      <c r="I181" s="96" t="s">
        <v>3952</v>
      </c>
    </row>
    <row r="182" spans="4:9" ht="22" x14ac:dyDescent="0.25">
      <c r="D182" s="95" t="s">
        <v>1445</v>
      </c>
      <c r="E182">
        <v>8</v>
      </c>
      <c r="F182" s="96" t="s">
        <v>3952</v>
      </c>
      <c r="G182" s="96" t="s">
        <v>3952</v>
      </c>
      <c r="H182" s="96" t="s">
        <v>3952</v>
      </c>
      <c r="I182" s="96" t="s">
        <v>3952</v>
      </c>
    </row>
    <row r="183" spans="4:9" ht="22" x14ac:dyDescent="0.25">
      <c r="D183" s="95" t="s">
        <v>1422</v>
      </c>
      <c r="E183">
        <v>2</v>
      </c>
      <c r="F183" s="96">
        <v>262.99341500000003</v>
      </c>
      <c r="G183" s="96">
        <v>220.18315200000001</v>
      </c>
      <c r="H183" s="96" t="s">
        <v>3952</v>
      </c>
      <c r="I183" s="96">
        <v>218.77787599999999</v>
      </c>
    </row>
    <row r="184" spans="4:9" ht="22" x14ac:dyDescent="0.25">
      <c r="D184" s="95" t="s">
        <v>1422</v>
      </c>
      <c r="E184">
        <v>5</v>
      </c>
      <c r="F184" s="96" t="s">
        <v>3952</v>
      </c>
      <c r="G184" s="96" t="s">
        <v>3952</v>
      </c>
      <c r="H184" s="96" t="s">
        <v>3952</v>
      </c>
      <c r="I184" s="96" t="s">
        <v>3952</v>
      </c>
    </row>
    <row r="185" spans="4:9" ht="22" x14ac:dyDescent="0.25">
      <c r="D185" s="95" t="s">
        <v>1422</v>
      </c>
      <c r="E185">
        <v>8</v>
      </c>
      <c r="F185" s="96" t="s">
        <v>3952</v>
      </c>
      <c r="G185" s="96" t="s">
        <v>3952</v>
      </c>
      <c r="H185" s="96" t="s">
        <v>3952</v>
      </c>
      <c r="I185" s="96" t="s">
        <v>3952</v>
      </c>
    </row>
    <row r="186" spans="4:9" ht="22" x14ac:dyDescent="0.25">
      <c r="D186" s="95" t="s">
        <v>18</v>
      </c>
      <c r="E186">
        <v>2</v>
      </c>
      <c r="F186" s="96">
        <v>65.804128000000006</v>
      </c>
      <c r="G186" s="96">
        <v>54.708874999999999</v>
      </c>
      <c r="H186" s="96" t="s">
        <v>3952</v>
      </c>
      <c r="I186" s="96">
        <v>477.430588</v>
      </c>
    </row>
    <row r="187" spans="4:9" ht="22" x14ac:dyDescent="0.25">
      <c r="D187" s="95" t="s">
        <v>18</v>
      </c>
      <c r="E187">
        <v>5</v>
      </c>
      <c r="F187" s="96">
        <v>547.90130299999998</v>
      </c>
      <c r="G187" s="96">
        <v>512.48145</v>
      </c>
      <c r="H187" s="96" t="s">
        <v>3952</v>
      </c>
      <c r="I187" s="96">
        <v>508.402221</v>
      </c>
    </row>
    <row r="188" spans="4:9" ht="22" x14ac:dyDescent="0.25">
      <c r="D188" s="95" t="s">
        <v>18</v>
      </c>
      <c r="E188">
        <v>8</v>
      </c>
      <c r="F188" s="96" t="s">
        <v>3952</v>
      </c>
      <c r="G188" s="96" t="s">
        <v>3952</v>
      </c>
      <c r="H188" s="96" t="s">
        <v>3952</v>
      </c>
      <c r="I188" s="96" t="s">
        <v>3952</v>
      </c>
    </row>
    <row r="189" spans="4:9" ht="22" x14ac:dyDescent="0.25">
      <c r="D189" s="95" t="s">
        <v>1436</v>
      </c>
      <c r="E189">
        <v>2</v>
      </c>
      <c r="F189" s="96">
        <v>29.259466</v>
      </c>
      <c r="G189" s="96">
        <v>23.602007</v>
      </c>
      <c r="H189" s="96" t="s">
        <v>3952</v>
      </c>
      <c r="I189" s="96">
        <v>63.010843999999999</v>
      </c>
    </row>
    <row r="190" spans="4:9" ht="22" x14ac:dyDescent="0.25">
      <c r="D190" s="95" t="s">
        <v>1436</v>
      </c>
      <c r="E190">
        <v>5</v>
      </c>
      <c r="F190" s="96" t="s">
        <v>3952</v>
      </c>
      <c r="G190" s="96" t="s">
        <v>3952</v>
      </c>
      <c r="H190" s="96" t="s">
        <v>3952</v>
      </c>
      <c r="I190" s="96" t="s">
        <v>3952</v>
      </c>
    </row>
    <row r="191" spans="4:9" ht="22" x14ac:dyDescent="0.25">
      <c r="D191" s="95" t="s">
        <v>1436</v>
      </c>
      <c r="E191">
        <v>8</v>
      </c>
      <c r="F191" s="96" t="s">
        <v>3952</v>
      </c>
      <c r="G191" s="96" t="s">
        <v>3952</v>
      </c>
      <c r="H191" s="96" t="s">
        <v>3952</v>
      </c>
      <c r="I191" s="96" t="s">
        <v>3952</v>
      </c>
    </row>
    <row r="192" spans="4:9" ht="22" x14ac:dyDescent="0.25">
      <c r="D192" s="95" t="s">
        <v>5</v>
      </c>
      <c r="E192">
        <v>2</v>
      </c>
      <c r="F192" s="96">
        <v>15.919128000000001</v>
      </c>
      <c r="G192" s="96">
        <v>13.999134</v>
      </c>
      <c r="H192" s="96">
        <v>479.23556400000001</v>
      </c>
      <c r="I192" s="96">
        <v>20.894245000000002</v>
      </c>
    </row>
    <row r="193" spans="4:9" ht="22" x14ac:dyDescent="0.25">
      <c r="D193" s="95" t="s">
        <v>5</v>
      </c>
      <c r="E193">
        <v>5</v>
      </c>
      <c r="F193" s="96">
        <v>22.741119999999999</v>
      </c>
      <c r="G193" s="96">
        <v>20.800847000000001</v>
      </c>
      <c r="H193" s="96">
        <v>526.96157500000004</v>
      </c>
      <c r="I193" s="96">
        <v>28.699867000000001</v>
      </c>
    </row>
    <row r="194" spans="4:9" ht="22" x14ac:dyDescent="0.25">
      <c r="D194" s="95" t="s">
        <v>5</v>
      </c>
      <c r="E194">
        <v>8</v>
      </c>
      <c r="F194" s="96">
        <v>156.071843</v>
      </c>
      <c r="G194" s="96">
        <v>145.05730700000001</v>
      </c>
      <c r="H194" s="96" t="s">
        <v>3952</v>
      </c>
      <c r="I194" s="96">
        <v>144.508478</v>
      </c>
    </row>
    <row r="195" spans="4:9" ht="22" x14ac:dyDescent="0.25">
      <c r="D195" s="95" t="s">
        <v>1405</v>
      </c>
      <c r="E195">
        <v>2</v>
      </c>
      <c r="F195" s="96">
        <v>43.745860999999998</v>
      </c>
      <c r="G195" s="96">
        <v>42.128233000000002</v>
      </c>
      <c r="H195" s="96" t="s">
        <v>3952</v>
      </c>
      <c r="I195" s="96">
        <v>49.224792000000001</v>
      </c>
    </row>
    <row r="196" spans="4:9" ht="22" x14ac:dyDescent="0.25">
      <c r="D196" s="95" t="s">
        <v>1405</v>
      </c>
      <c r="E196">
        <v>5</v>
      </c>
      <c r="F196" s="96" t="s">
        <v>3952</v>
      </c>
      <c r="G196" s="96" t="s">
        <v>3952</v>
      </c>
      <c r="H196" s="96" t="s">
        <v>3952</v>
      </c>
      <c r="I196" s="96" t="s">
        <v>3952</v>
      </c>
    </row>
    <row r="197" spans="4:9" ht="22" x14ac:dyDescent="0.25">
      <c r="D197" s="95" t="s">
        <v>1405</v>
      </c>
      <c r="E197">
        <v>8</v>
      </c>
      <c r="F197" s="96" t="s">
        <v>3952</v>
      </c>
      <c r="G197" s="96" t="s">
        <v>3952</v>
      </c>
      <c r="H197" s="96" t="s">
        <v>3952</v>
      </c>
      <c r="I197" s="96" t="s">
        <v>3952</v>
      </c>
    </row>
    <row r="198" spans="4:9" ht="22" x14ac:dyDescent="0.25">
      <c r="D198" s="95" t="s">
        <v>2</v>
      </c>
      <c r="E198">
        <v>2</v>
      </c>
      <c r="F198" s="96">
        <v>13.81954</v>
      </c>
      <c r="G198" s="96">
        <v>10.265072999999999</v>
      </c>
      <c r="H198" s="96" t="s">
        <v>3952</v>
      </c>
      <c r="I198" s="96">
        <v>21.199221999999999</v>
      </c>
    </row>
    <row r="199" spans="4:9" ht="22" x14ac:dyDescent="0.25">
      <c r="D199" s="95" t="s">
        <v>2</v>
      </c>
      <c r="E199">
        <v>5</v>
      </c>
      <c r="F199" s="96">
        <v>336.75841400000002</v>
      </c>
      <c r="G199" s="96">
        <v>307.54375700000003</v>
      </c>
      <c r="H199" s="96" t="s">
        <v>3952</v>
      </c>
      <c r="I199" s="96">
        <v>311.32594799999998</v>
      </c>
    </row>
    <row r="200" spans="4:9" ht="22" x14ac:dyDescent="0.25">
      <c r="D200" s="95" t="s">
        <v>2</v>
      </c>
      <c r="E200">
        <v>8</v>
      </c>
      <c r="F200" s="96" t="s">
        <v>3952</v>
      </c>
      <c r="G200" s="96" t="s">
        <v>3952</v>
      </c>
      <c r="H200" s="96" t="s">
        <v>3952</v>
      </c>
      <c r="I200" s="96" t="s">
        <v>3952</v>
      </c>
    </row>
    <row r="201" spans="4:9" ht="22" x14ac:dyDescent="0.25">
      <c r="D201" s="95" t="s">
        <v>1</v>
      </c>
      <c r="E201">
        <v>2</v>
      </c>
      <c r="F201" s="96">
        <v>5.6472629999999997</v>
      </c>
      <c r="G201" s="96">
        <v>3.6229019999999998</v>
      </c>
      <c r="H201" s="96">
        <v>290.598725</v>
      </c>
      <c r="I201" s="96">
        <v>9.3419000000000008</v>
      </c>
    </row>
    <row r="202" spans="4:9" ht="22" x14ac:dyDescent="0.25">
      <c r="D202" s="95" t="s">
        <v>1</v>
      </c>
      <c r="E202">
        <v>5</v>
      </c>
      <c r="F202" s="96">
        <v>57.615180000000002</v>
      </c>
      <c r="G202" s="96">
        <v>65.316587999999996</v>
      </c>
      <c r="H202" s="96" t="s">
        <v>3952</v>
      </c>
      <c r="I202" s="96">
        <v>73.226096999999996</v>
      </c>
    </row>
    <row r="203" spans="4:9" ht="22" x14ac:dyDescent="0.25">
      <c r="D203" s="95" t="s">
        <v>1</v>
      </c>
      <c r="E203">
        <v>8</v>
      </c>
      <c r="F203" s="96">
        <v>208.09928300000001</v>
      </c>
      <c r="G203" s="96">
        <v>245.38578000000001</v>
      </c>
      <c r="H203" s="96" t="s">
        <v>3952</v>
      </c>
      <c r="I203" s="96">
        <v>248.285864</v>
      </c>
    </row>
    <row r="204" spans="4:9" ht="22" x14ac:dyDescent="0.25">
      <c r="D204" s="95" t="s">
        <v>1414</v>
      </c>
      <c r="E204">
        <v>2</v>
      </c>
      <c r="F204" s="96">
        <v>13.734999999999999</v>
      </c>
      <c r="G204" s="96">
        <v>10.115073000000001</v>
      </c>
      <c r="H204" s="96" t="s">
        <v>3952</v>
      </c>
      <c r="I204" s="96">
        <v>16.297464000000002</v>
      </c>
    </row>
    <row r="205" spans="4:9" ht="22" x14ac:dyDescent="0.25">
      <c r="D205" s="95" t="s">
        <v>1414</v>
      </c>
      <c r="E205">
        <v>5</v>
      </c>
      <c r="F205" s="96">
        <v>254.72432599999999</v>
      </c>
      <c r="G205" s="96">
        <v>219.08543499999999</v>
      </c>
      <c r="H205" s="96" t="s">
        <v>3952</v>
      </c>
      <c r="I205" s="96">
        <v>274.33729399999999</v>
      </c>
    </row>
    <row r="206" spans="4:9" ht="22" x14ac:dyDescent="0.25">
      <c r="D206" s="95" t="s">
        <v>1414</v>
      </c>
      <c r="E206">
        <v>8</v>
      </c>
      <c r="F206" s="96" t="s">
        <v>3952</v>
      </c>
      <c r="G206" s="96" t="s">
        <v>3952</v>
      </c>
      <c r="H206" s="96" t="s">
        <v>3952</v>
      </c>
      <c r="I206" s="96" t="s">
        <v>3952</v>
      </c>
    </row>
    <row r="207" spans="4:9" ht="22" x14ac:dyDescent="0.25">
      <c r="D207" s="95" t="s">
        <v>1423</v>
      </c>
      <c r="E207">
        <v>2</v>
      </c>
      <c r="F207" s="96">
        <v>12.437353</v>
      </c>
      <c r="G207" s="96">
        <v>8.7754530000000006</v>
      </c>
      <c r="H207" s="96" t="s">
        <v>3952</v>
      </c>
      <c r="I207" s="96">
        <v>26.516697000000001</v>
      </c>
    </row>
    <row r="208" spans="4:9" ht="22" x14ac:dyDescent="0.25">
      <c r="D208" s="95" t="s">
        <v>1423</v>
      </c>
      <c r="E208">
        <v>5</v>
      </c>
      <c r="F208" s="96">
        <v>170.47756100000001</v>
      </c>
      <c r="G208" s="96">
        <v>154.899764</v>
      </c>
      <c r="H208" s="96" t="s">
        <v>3952</v>
      </c>
      <c r="I208" s="96">
        <v>157.596372</v>
      </c>
    </row>
    <row r="209" spans="4:9" ht="22" x14ac:dyDescent="0.25">
      <c r="D209" s="95" t="s">
        <v>1423</v>
      </c>
      <c r="E209">
        <v>8</v>
      </c>
      <c r="F209" s="96" t="s">
        <v>3952</v>
      </c>
      <c r="G209" s="96" t="s">
        <v>3952</v>
      </c>
      <c r="H209" s="96" t="s">
        <v>3952</v>
      </c>
      <c r="I209" s="96" t="s">
        <v>3952</v>
      </c>
    </row>
    <row r="210" spans="4:9" ht="22" x14ac:dyDescent="0.25">
      <c r="D210" s="95" t="s">
        <v>1438</v>
      </c>
      <c r="E210">
        <v>2</v>
      </c>
      <c r="F210" s="96">
        <v>103.344572</v>
      </c>
      <c r="G210" s="96">
        <v>85.561336999999995</v>
      </c>
      <c r="H210" s="96" t="s">
        <v>3952</v>
      </c>
      <c r="I210" s="96">
        <v>169.211938</v>
      </c>
    </row>
    <row r="211" spans="4:9" ht="22" x14ac:dyDescent="0.25">
      <c r="D211" s="95" t="s">
        <v>1438</v>
      </c>
      <c r="E211">
        <v>5</v>
      </c>
      <c r="F211" s="96" t="s">
        <v>3952</v>
      </c>
      <c r="G211" s="96" t="s">
        <v>3952</v>
      </c>
      <c r="H211" s="96" t="s">
        <v>3952</v>
      </c>
      <c r="I211" s="96" t="s">
        <v>3952</v>
      </c>
    </row>
    <row r="212" spans="4:9" ht="22" x14ac:dyDescent="0.25">
      <c r="D212" s="95" t="s">
        <v>1438</v>
      </c>
      <c r="E212">
        <v>8</v>
      </c>
      <c r="F212" s="96" t="s">
        <v>3952</v>
      </c>
      <c r="G212" s="96" t="s">
        <v>3952</v>
      </c>
      <c r="H212" s="96" t="s">
        <v>3952</v>
      </c>
      <c r="I212" s="96" t="s">
        <v>3952</v>
      </c>
    </row>
    <row r="213" spans="4:9" ht="22" x14ac:dyDescent="0.25">
      <c r="D213" s="95" t="s">
        <v>1449</v>
      </c>
      <c r="E213">
        <v>2</v>
      </c>
      <c r="F213" s="96">
        <v>46.799216999999999</v>
      </c>
      <c r="G213" s="96">
        <v>38.434747000000002</v>
      </c>
      <c r="H213" s="96" t="s">
        <v>3952</v>
      </c>
      <c r="I213" s="96">
        <v>93.861074000000002</v>
      </c>
    </row>
    <row r="214" spans="4:9" ht="22" x14ac:dyDescent="0.25">
      <c r="D214" s="95" t="s">
        <v>1449</v>
      </c>
      <c r="E214">
        <v>5</v>
      </c>
      <c r="F214" s="96" t="s">
        <v>3952</v>
      </c>
      <c r="G214" s="96" t="s">
        <v>3952</v>
      </c>
      <c r="H214" s="96" t="s">
        <v>3952</v>
      </c>
      <c r="I214" s="96" t="s">
        <v>3952</v>
      </c>
    </row>
    <row r="215" spans="4:9" ht="22" x14ac:dyDescent="0.25">
      <c r="D215" s="95" t="s">
        <v>1449</v>
      </c>
      <c r="E215">
        <v>8</v>
      </c>
      <c r="F215" s="96" t="s">
        <v>3952</v>
      </c>
      <c r="G215" s="96" t="s">
        <v>3952</v>
      </c>
      <c r="H215" s="96" t="s">
        <v>3952</v>
      </c>
      <c r="I215" s="96" t="s">
        <v>3952</v>
      </c>
    </row>
    <row r="216" spans="4:9" ht="22" x14ac:dyDescent="0.25">
      <c r="D216" s="95" t="s">
        <v>4</v>
      </c>
      <c r="E216">
        <v>2</v>
      </c>
      <c r="F216" s="96">
        <v>3.3008500000000001</v>
      </c>
      <c r="G216" s="96">
        <v>1.417076</v>
      </c>
      <c r="H216" s="96" t="s">
        <v>3952</v>
      </c>
      <c r="I216" s="96" t="s">
        <v>3952</v>
      </c>
    </row>
    <row r="217" spans="4:9" ht="22" x14ac:dyDescent="0.25">
      <c r="D217" s="95" t="s">
        <v>4</v>
      </c>
      <c r="E217">
        <v>5</v>
      </c>
      <c r="F217" s="96">
        <v>47.521980999999997</v>
      </c>
      <c r="G217" s="96">
        <v>41.778637000000003</v>
      </c>
      <c r="H217" s="96" t="s">
        <v>3952</v>
      </c>
      <c r="I217" s="96" t="s">
        <v>3952</v>
      </c>
    </row>
    <row r="218" spans="4:9" ht="22" x14ac:dyDescent="0.25">
      <c r="D218" s="95" t="s">
        <v>4</v>
      </c>
      <c r="E218">
        <v>8</v>
      </c>
      <c r="F218" s="96">
        <v>141.51192800000001</v>
      </c>
      <c r="G218" s="96">
        <v>162.222567</v>
      </c>
      <c r="H218" s="96" t="s">
        <v>3952</v>
      </c>
      <c r="I218" s="96" t="s">
        <v>3952</v>
      </c>
    </row>
    <row r="219" spans="4:9" ht="22" x14ac:dyDescent="0.25">
      <c r="D219" s="95" t="s">
        <v>1447</v>
      </c>
      <c r="E219">
        <v>2</v>
      </c>
      <c r="F219" s="96">
        <v>19.184100999999998</v>
      </c>
      <c r="G219" s="96">
        <v>15.27746</v>
      </c>
      <c r="H219" s="96" t="s">
        <v>3952</v>
      </c>
      <c r="I219" s="96" t="s">
        <v>3952</v>
      </c>
    </row>
    <row r="220" spans="4:9" ht="22" x14ac:dyDescent="0.25">
      <c r="D220" s="95" t="s">
        <v>1447</v>
      </c>
      <c r="E220">
        <v>5</v>
      </c>
      <c r="F220" s="96">
        <v>303.54281900000001</v>
      </c>
      <c r="G220" s="96">
        <v>278.47405300000003</v>
      </c>
      <c r="H220" s="96" t="s">
        <v>3952</v>
      </c>
      <c r="I220" s="96" t="s">
        <v>3952</v>
      </c>
    </row>
    <row r="221" spans="4:9" ht="22" x14ac:dyDescent="0.25">
      <c r="D221" s="95" t="s">
        <v>1447</v>
      </c>
      <c r="E221">
        <v>8</v>
      </c>
      <c r="F221" s="96" t="s">
        <v>3952</v>
      </c>
      <c r="G221" s="96" t="s">
        <v>3952</v>
      </c>
      <c r="H221" s="96" t="s">
        <v>3952</v>
      </c>
      <c r="I221" s="96" t="s">
        <v>3952</v>
      </c>
    </row>
    <row r="222" spans="4:9" ht="22" x14ac:dyDescent="0.25">
      <c r="D222" s="95" t="s">
        <v>1440</v>
      </c>
      <c r="E222">
        <v>2</v>
      </c>
      <c r="F222" s="96">
        <v>257.65440699999999</v>
      </c>
      <c r="G222" s="96">
        <v>216.72742199999999</v>
      </c>
      <c r="H222" s="96" t="s">
        <v>3952</v>
      </c>
      <c r="I222" s="96" t="s">
        <v>3952</v>
      </c>
    </row>
    <row r="223" spans="4:9" ht="22" x14ac:dyDescent="0.25">
      <c r="D223" s="95" t="s">
        <v>1440</v>
      </c>
      <c r="E223">
        <v>5</v>
      </c>
      <c r="F223" s="96" t="s">
        <v>3952</v>
      </c>
      <c r="G223" s="96" t="s">
        <v>3952</v>
      </c>
      <c r="H223" s="96" t="s">
        <v>3952</v>
      </c>
      <c r="I223" s="96" t="s">
        <v>3952</v>
      </c>
    </row>
    <row r="224" spans="4:9" ht="22" x14ac:dyDescent="0.25">
      <c r="D224" s="95" t="s">
        <v>1440</v>
      </c>
      <c r="E224">
        <v>8</v>
      </c>
      <c r="F224" s="96" t="s">
        <v>3952</v>
      </c>
      <c r="G224" s="96" t="s">
        <v>3952</v>
      </c>
      <c r="H224" s="96" t="s">
        <v>3952</v>
      </c>
      <c r="I224" s="96" t="s">
        <v>3952</v>
      </c>
    </row>
    <row r="225" spans="4:9" ht="22" x14ac:dyDescent="0.25">
      <c r="D225" s="95" t="s">
        <v>1461</v>
      </c>
      <c r="E225">
        <v>2</v>
      </c>
      <c r="F225" s="96">
        <v>7.7065450000000002</v>
      </c>
      <c r="G225" s="96">
        <v>5.4978040000000004</v>
      </c>
      <c r="H225" s="96" t="s">
        <v>3952</v>
      </c>
      <c r="I225" s="96" t="s">
        <v>3952</v>
      </c>
    </row>
    <row r="226" spans="4:9" ht="22" x14ac:dyDescent="0.25">
      <c r="D226" s="95" t="s">
        <v>1461</v>
      </c>
      <c r="E226">
        <v>5</v>
      </c>
      <c r="F226" s="96">
        <v>140.261855</v>
      </c>
      <c r="G226" s="96">
        <v>132.62251599999999</v>
      </c>
      <c r="H226" s="96" t="s">
        <v>3952</v>
      </c>
      <c r="I226" s="96" t="s">
        <v>3952</v>
      </c>
    </row>
    <row r="227" spans="4:9" ht="22" x14ac:dyDescent="0.25">
      <c r="D227" s="95" t="s">
        <v>1461</v>
      </c>
      <c r="E227">
        <v>8</v>
      </c>
      <c r="F227" s="96" t="s">
        <v>3952</v>
      </c>
      <c r="G227" s="96" t="s">
        <v>3952</v>
      </c>
      <c r="H227" s="96" t="s">
        <v>3952</v>
      </c>
      <c r="I227" s="96" t="s">
        <v>3952</v>
      </c>
    </row>
    <row r="228" spans="4:9" ht="22" x14ac:dyDescent="0.25">
      <c r="D228" s="95" t="s">
        <v>1433</v>
      </c>
      <c r="E228">
        <v>2</v>
      </c>
      <c r="F228" s="96">
        <v>28.529733</v>
      </c>
      <c r="G228" s="96">
        <v>22.509125000000001</v>
      </c>
      <c r="H228" s="96" t="s">
        <v>3952</v>
      </c>
      <c r="I228" s="96" t="s">
        <v>3952</v>
      </c>
    </row>
    <row r="229" spans="4:9" ht="22" x14ac:dyDescent="0.25">
      <c r="D229" s="95" t="s">
        <v>1433</v>
      </c>
      <c r="E229">
        <v>5</v>
      </c>
      <c r="F229" s="96" t="s">
        <v>3952</v>
      </c>
      <c r="G229" s="96">
        <v>567.19409700000006</v>
      </c>
      <c r="H229" s="96" t="s">
        <v>3952</v>
      </c>
      <c r="I229" s="96" t="s">
        <v>3952</v>
      </c>
    </row>
    <row r="230" spans="4:9" ht="22" x14ac:dyDescent="0.25">
      <c r="D230" s="95" t="s">
        <v>1433</v>
      </c>
      <c r="E230">
        <v>8</v>
      </c>
      <c r="F230" s="96" t="s">
        <v>3952</v>
      </c>
      <c r="G230" s="96" t="s">
        <v>3952</v>
      </c>
      <c r="H230" s="96" t="s">
        <v>3952</v>
      </c>
      <c r="I230" s="96" t="s">
        <v>3952</v>
      </c>
    </row>
    <row r="231" spans="4:9" ht="22" x14ac:dyDescent="0.25">
      <c r="D231" s="95" t="s">
        <v>1391</v>
      </c>
      <c r="E231">
        <v>2</v>
      </c>
      <c r="F231" s="96">
        <v>0.94670100000000001</v>
      </c>
      <c r="G231" s="96">
        <v>1.8836040000000001</v>
      </c>
      <c r="H231" s="96">
        <v>22.697265999999999</v>
      </c>
      <c r="I231" s="96">
        <v>0.68614200000000003</v>
      </c>
    </row>
    <row r="232" spans="4:9" ht="22" x14ac:dyDescent="0.25">
      <c r="D232" s="95" t="s">
        <v>1391</v>
      </c>
      <c r="E232">
        <v>5</v>
      </c>
      <c r="F232" s="96">
        <v>4.0416489999999996</v>
      </c>
      <c r="G232" s="96">
        <v>4.8162799999999999</v>
      </c>
      <c r="H232" s="96">
        <v>75.350153000000006</v>
      </c>
      <c r="I232" s="96">
        <v>3.6336750000000002</v>
      </c>
    </row>
    <row r="233" spans="4:9" ht="22" x14ac:dyDescent="0.25">
      <c r="D233" s="95" t="s">
        <v>1391</v>
      </c>
      <c r="E233">
        <v>8</v>
      </c>
      <c r="F233" s="96">
        <v>25.276336000000001</v>
      </c>
      <c r="G233" s="96">
        <v>24.973725999999999</v>
      </c>
      <c r="H233" s="96" t="s">
        <v>3952</v>
      </c>
      <c r="I233" s="96">
        <v>25.777509999999999</v>
      </c>
    </row>
    <row r="234" spans="4:9" ht="22" x14ac:dyDescent="0.25">
      <c r="D234" s="95" t="s">
        <v>1448</v>
      </c>
      <c r="E234">
        <v>2</v>
      </c>
      <c r="F234" s="96">
        <v>12.071039000000001</v>
      </c>
      <c r="G234" s="96">
        <v>10.268869</v>
      </c>
      <c r="H234" s="96" t="s">
        <v>3952</v>
      </c>
      <c r="I234" s="96" t="s">
        <v>3952</v>
      </c>
    </row>
    <row r="235" spans="4:9" ht="22" x14ac:dyDescent="0.25">
      <c r="D235" s="95" t="s">
        <v>1448</v>
      </c>
      <c r="E235">
        <v>5</v>
      </c>
      <c r="F235" s="96">
        <v>317.764993</v>
      </c>
      <c r="G235" s="96">
        <v>291.89822400000003</v>
      </c>
      <c r="H235" s="96" t="s">
        <v>3952</v>
      </c>
      <c r="I235" s="96" t="s">
        <v>3952</v>
      </c>
    </row>
    <row r="236" spans="4:9" ht="22" x14ac:dyDescent="0.25">
      <c r="D236" s="95" t="s">
        <v>1448</v>
      </c>
      <c r="E236">
        <v>8</v>
      </c>
      <c r="F236" s="96" t="s">
        <v>3952</v>
      </c>
      <c r="G236" s="96" t="s">
        <v>3952</v>
      </c>
      <c r="H236" s="96" t="s">
        <v>3952</v>
      </c>
      <c r="I236" s="96" t="s">
        <v>3952</v>
      </c>
    </row>
    <row r="237" spans="4:9" ht="22" x14ac:dyDescent="0.25">
      <c r="D237" s="95" t="s">
        <v>11</v>
      </c>
      <c r="E237">
        <v>2</v>
      </c>
      <c r="F237" s="96">
        <v>0.237291</v>
      </c>
      <c r="G237" s="96">
        <v>7.5801999999999994E-2</v>
      </c>
      <c r="H237" s="96" t="s">
        <v>3952</v>
      </c>
      <c r="I237" s="96" t="s">
        <v>3952</v>
      </c>
    </row>
    <row r="238" spans="4:9" ht="22" x14ac:dyDescent="0.25">
      <c r="D238" s="95" t="s">
        <v>11</v>
      </c>
      <c r="E238">
        <v>5</v>
      </c>
      <c r="F238" s="96">
        <v>1.843289</v>
      </c>
      <c r="G238" s="96">
        <v>1.632917</v>
      </c>
      <c r="H238" s="96" t="s">
        <v>3952</v>
      </c>
      <c r="I238" s="96" t="s">
        <v>3952</v>
      </c>
    </row>
    <row r="239" spans="4:9" ht="22" x14ac:dyDescent="0.25">
      <c r="D239" s="95" t="s">
        <v>11</v>
      </c>
      <c r="E239">
        <v>8</v>
      </c>
      <c r="F239" s="96">
        <v>6.008051</v>
      </c>
      <c r="G239" s="96">
        <v>5.1649960000000004</v>
      </c>
      <c r="H239" s="96" t="s">
        <v>3952</v>
      </c>
      <c r="I239" s="96" t="s">
        <v>3952</v>
      </c>
    </row>
    <row r="240" spans="4:9" ht="22" x14ac:dyDescent="0.25">
      <c r="D240" s="95" t="s">
        <v>1434</v>
      </c>
      <c r="E240">
        <v>2</v>
      </c>
      <c r="F240" s="96">
        <v>1.5865089999999999</v>
      </c>
      <c r="G240" s="96">
        <v>1.2898270000000001</v>
      </c>
      <c r="H240" s="96" t="s">
        <v>3952</v>
      </c>
      <c r="I240" s="96" t="s">
        <v>3952</v>
      </c>
    </row>
    <row r="241" spans="4:9" ht="22" x14ac:dyDescent="0.25">
      <c r="D241" s="95" t="s">
        <v>1434</v>
      </c>
      <c r="E241">
        <v>5</v>
      </c>
      <c r="F241" s="96">
        <v>29.008942000000001</v>
      </c>
      <c r="G241" s="96">
        <v>31.477647999999999</v>
      </c>
      <c r="H241" s="96" t="s">
        <v>3952</v>
      </c>
      <c r="I241" s="96" t="s">
        <v>3952</v>
      </c>
    </row>
    <row r="242" spans="4:9" ht="22" x14ac:dyDescent="0.25">
      <c r="D242" s="95" t="s">
        <v>1434</v>
      </c>
      <c r="E242">
        <v>8</v>
      </c>
      <c r="F242" s="96" t="s">
        <v>3952</v>
      </c>
      <c r="G242" s="96" t="s">
        <v>3952</v>
      </c>
      <c r="H242" s="96" t="s">
        <v>3952</v>
      </c>
      <c r="I242" s="96" t="s">
        <v>3952</v>
      </c>
    </row>
    <row r="243" spans="4:9" ht="22" x14ac:dyDescent="0.25">
      <c r="D243" s="95" t="s">
        <v>1462</v>
      </c>
      <c r="E243">
        <v>2</v>
      </c>
      <c r="F243" s="96" t="s">
        <v>3952</v>
      </c>
      <c r="G243" s="96" t="s">
        <v>3952</v>
      </c>
      <c r="H243" s="96" t="s">
        <v>3952</v>
      </c>
      <c r="I243" s="96" t="s">
        <v>3952</v>
      </c>
    </row>
    <row r="244" spans="4:9" ht="22" x14ac:dyDescent="0.25">
      <c r="D244" s="95" t="s">
        <v>1462</v>
      </c>
      <c r="E244">
        <v>5</v>
      </c>
      <c r="F244" s="96" t="s">
        <v>3952</v>
      </c>
      <c r="G244" s="96" t="s">
        <v>3952</v>
      </c>
      <c r="H244" s="96" t="s">
        <v>3952</v>
      </c>
      <c r="I244" s="96" t="s">
        <v>3952</v>
      </c>
    </row>
    <row r="245" spans="4:9" ht="22" x14ac:dyDescent="0.25">
      <c r="D245" s="95" t="s">
        <v>1462</v>
      </c>
      <c r="E245">
        <v>8</v>
      </c>
      <c r="F245" s="96" t="s">
        <v>3952</v>
      </c>
      <c r="G245" s="96" t="s">
        <v>3952</v>
      </c>
      <c r="H245" s="96" t="s">
        <v>3952</v>
      </c>
      <c r="I245" s="96" t="s">
        <v>3952</v>
      </c>
    </row>
    <row r="246" spans="4:9" ht="22" x14ac:dyDescent="0.25">
      <c r="D246" s="95" t="s">
        <v>1431</v>
      </c>
      <c r="E246">
        <v>2</v>
      </c>
      <c r="F246" s="96" t="s">
        <v>3952</v>
      </c>
      <c r="G246" s="96">
        <v>2.023552</v>
      </c>
      <c r="H246" s="96">
        <v>13.386818999999999</v>
      </c>
      <c r="I246" s="96">
        <v>0.59798799999999996</v>
      </c>
    </row>
    <row r="247" spans="4:9" ht="22" x14ac:dyDescent="0.25">
      <c r="D247" s="95" t="s">
        <v>1431</v>
      </c>
      <c r="E247">
        <v>5</v>
      </c>
      <c r="F247" s="96" t="s">
        <v>3952</v>
      </c>
      <c r="G247" s="96">
        <v>2.4282240000000002</v>
      </c>
      <c r="H247" s="96">
        <v>5.5830380000000002</v>
      </c>
      <c r="I247" s="96">
        <v>1.02386</v>
      </c>
    </row>
    <row r="248" spans="4:9" ht="22" x14ac:dyDescent="0.25">
      <c r="D248" s="95" t="s">
        <v>1431</v>
      </c>
      <c r="E248">
        <v>8</v>
      </c>
      <c r="F248" s="96" t="s">
        <v>3952</v>
      </c>
      <c r="G248" s="96">
        <v>21.587534000000002</v>
      </c>
      <c r="H248" s="96" t="s">
        <v>3952</v>
      </c>
      <c r="I248" s="96">
        <v>20.056457999999999</v>
      </c>
    </row>
    <row r="249" spans="4:9" ht="22" x14ac:dyDescent="0.25">
      <c r="D249" s="95" t="s">
        <v>1425</v>
      </c>
      <c r="E249">
        <v>2</v>
      </c>
      <c r="F249" s="96" t="s">
        <v>3952</v>
      </c>
      <c r="G249" s="96" t="s">
        <v>3952</v>
      </c>
      <c r="H249" s="96" t="s">
        <v>3952</v>
      </c>
      <c r="I249" s="96" t="s">
        <v>3952</v>
      </c>
    </row>
    <row r="250" spans="4:9" ht="22" x14ac:dyDescent="0.25">
      <c r="D250" s="95" t="s">
        <v>1425</v>
      </c>
      <c r="E250">
        <v>5</v>
      </c>
      <c r="F250" s="96" t="s">
        <v>3952</v>
      </c>
      <c r="G250" s="96" t="s">
        <v>3952</v>
      </c>
      <c r="H250" s="96" t="s">
        <v>3952</v>
      </c>
      <c r="I250" s="96" t="s">
        <v>3952</v>
      </c>
    </row>
    <row r="251" spans="4:9" ht="22" x14ac:dyDescent="0.25">
      <c r="D251" s="95" t="s">
        <v>1425</v>
      </c>
      <c r="E251">
        <v>8</v>
      </c>
      <c r="F251" s="96" t="s">
        <v>3952</v>
      </c>
      <c r="G251" s="96" t="s">
        <v>3952</v>
      </c>
      <c r="H251" s="96" t="s">
        <v>3952</v>
      </c>
      <c r="I251" s="96" t="s">
        <v>3952</v>
      </c>
    </row>
    <row r="252" spans="4:9" ht="22" x14ac:dyDescent="0.25">
      <c r="D252" s="95" t="s">
        <v>1409</v>
      </c>
      <c r="E252">
        <v>2</v>
      </c>
      <c r="F252" s="96" t="s">
        <v>3952</v>
      </c>
      <c r="G252" s="96" t="s">
        <v>3952</v>
      </c>
      <c r="H252" s="96" t="s">
        <v>3952</v>
      </c>
      <c r="I252" s="96" t="s">
        <v>3952</v>
      </c>
    </row>
    <row r="253" spans="4:9" ht="22" x14ac:dyDescent="0.25">
      <c r="D253" s="95" t="s">
        <v>1409</v>
      </c>
      <c r="E253">
        <v>5</v>
      </c>
      <c r="F253" s="96" t="s">
        <v>3952</v>
      </c>
      <c r="G253" s="96" t="s">
        <v>3952</v>
      </c>
      <c r="H253" s="96" t="s">
        <v>3952</v>
      </c>
      <c r="I253" s="96" t="s">
        <v>3952</v>
      </c>
    </row>
    <row r="254" spans="4:9" ht="22" x14ac:dyDescent="0.25">
      <c r="D254" s="95" t="s">
        <v>1409</v>
      </c>
      <c r="E254">
        <v>8</v>
      </c>
      <c r="F254" s="96" t="s">
        <v>3952</v>
      </c>
      <c r="G254" s="96" t="s">
        <v>3952</v>
      </c>
      <c r="H254" s="96" t="s">
        <v>3952</v>
      </c>
      <c r="I254" s="96" t="s">
        <v>3952</v>
      </c>
    </row>
    <row r="255" spans="4:9" ht="22" x14ac:dyDescent="0.25">
      <c r="D255" s="95" t="s">
        <v>1404</v>
      </c>
      <c r="E255">
        <v>2</v>
      </c>
      <c r="F255" s="96" t="s">
        <v>3952</v>
      </c>
      <c r="G255" s="96" t="s">
        <v>3952</v>
      </c>
      <c r="H255" s="96" t="s">
        <v>3952</v>
      </c>
      <c r="I255" s="96" t="s">
        <v>3952</v>
      </c>
    </row>
    <row r="256" spans="4:9" ht="22" x14ac:dyDescent="0.25">
      <c r="D256" s="95" t="s">
        <v>1404</v>
      </c>
      <c r="E256">
        <v>5</v>
      </c>
      <c r="F256" s="96" t="s">
        <v>3952</v>
      </c>
      <c r="G256" s="96" t="s">
        <v>3952</v>
      </c>
      <c r="H256" s="96" t="s">
        <v>3952</v>
      </c>
      <c r="I256" s="96" t="s">
        <v>3952</v>
      </c>
    </row>
    <row r="257" spans="4:9" ht="22" x14ac:dyDescent="0.25">
      <c r="D257" s="95" t="s">
        <v>1404</v>
      </c>
      <c r="E257">
        <v>8</v>
      </c>
      <c r="F257" s="96" t="s">
        <v>3952</v>
      </c>
      <c r="G257" s="96" t="s">
        <v>3952</v>
      </c>
      <c r="H257" s="96" t="s">
        <v>3952</v>
      </c>
      <c r="I257" s="96" t="s">
        <v>3952</v>
      </c>
    </row>
    <row r="258" spans="4:9" ht="22" x14ac:dyDescent="0.25">
      <c r="D258" s="95" t="s">
        <v>3912</v>
      </c>
      <c r="E258">
        <v>2</v>
      </c>
      <c r="F258" s="96" t="s">
        <v>3952</v>
      </c>
      <c r="G258" s="96">
        <v>0.35821700000000001</v>
      </c>
      <c r="H258" s="96">
        <v>9.2711939999999995</v>
      </c>
      <c r="I258" s="96">
        <v>4.9693860000000001</v>
      </c>
    </row>
    <row r="259" spans="4:9" ht="22" x14ac:dyDescent="0.25">
      <c r="D259" s="95" t="s">
        <v>3912</v>
      </c>
      <c r="E259">
        <v>5</v>
      </c>
      <c r="F259" s="96" t="s">
        <v>3952</v>
      </c>
      <c r="G259" s="96">
        <v>15.158586</v>
      </c>
      <c r="H259" s="96">
        <v>553.91599499999995</v>
      </c>
      <c r="I259" s="96">
        <v>66.946036000000007</v>
      </c>
    </row>
    <row r="260" spans="4:9" ht="22" x14ac:dyDescent="0.25">
      <c r="D260" s="95" t="s">
        <v>3912</v>
      </c>
      <c r="E260">
        <v>8</v>
      </c>
      <c r="F260" s="96" t="s">
        <v>3952</v>
      </c>
      <c r="G260" s="96">
        <v>38.182867999999999</v>
      </c>
      <c r="H260" s="96" t="s">
        <v>3952</v>
      </c>
      <c r="I260" s="96">
        <v>41.812798999999998</v>
      </c>
    </row>
    <row r="261" spans="4:9" ht="22" x14ac:dyDescent="0.25">
      <c r="D261" s="95" t="s">
        <v>1346</v>
      </c>
      <c r="E261">
        <v>2</v>
      </c>
      <c r="F261" s="96" t="s">
        <v>3952</v>
      </c>
      <c r="G261" s="96" t="s">
        <v>3952</v>
      </c>
      <c r="H261" s="96" t="s">
        <v>3952</v>
      </c>
      <c r="I261" s="96" t="s">
        <v>3952</v>
      </c>
    </row>
    <row r="262" spans="4:9" ht="22" x14ac:dyDescent="0.25">
      <c r="D262" s="95" t="s">
        <v>1346</v>
      </c>
      <c r="E262">
        <v>5</v>
      </c>
      <c r="F262" s="96" t="s">
        <v>3952</v>
      </c>
      <c r="G262" s="96" t="s">
        <v>3952</v>
      </c>
      <c r="H262" s="96" t="s">
        <v>3952</v>
      </c>
      <c r="I262" s="96" t="s">
        <v>3952</v>
      </c>
    </row>
    <row r="263" spans="4:9" ht="22" x14ac:dyDescent="0.25">
      <c r="D263" s="95" t="s">
        <v>1346</v>
      </c>
      <c r="E263">
        <v>8</v>
      </c>
      <c r="F263" s="96" t="s">
        <v>3952</v>
      </c>
      <c r="G263" s="96" t="s">
        <v>3952</v>
      </c>
      <c r="H263" s="96" t="s">
        <v>3952</v>
      </c>
      <c r="I263" s="96" t="s">
        <v>3952</v>
      </c>
    </row>
    <row r="264" spans="4:9" ht="22" x14ac:dyDescent="0.25">
      <c r="D264" s="95" t="s">
        <v>1411</v>
      </c>
      <c r="E264">
        <v>2</v>
      </c>
      <c r="F264" s="96" t="s">
        <v>3952</v>
      </c>
      <c r="G264" s="96" t="s">
        <v>3952</v>
      </c>
      <c r="H264" s="96" t="s">
        <v>3952</v>
      </c>
      <c r="I264" s="96" t="s">
        <v>3952</v>
      </c>
    </row>
    <row r="265" spans="4:9" ht="22" x14ac:dyDescent="0.25">
      <c r="D265" s="95" t="s">
        <v>1411</v>
      </c>
      <c r="E265">
        <v>5</v>
      </c>
      <c r="F265" s="96" t="s">
        <v>3952</v>
      </c>
      <c r="G265" s="96" t="s">
        <v>3952</v>
      </c>
      <c r="H265" s="96" t="s">
        <v>3952</v>
      </c>
      <c r="I265" s="96" t="s">
        <v>3952</v>
      </c>
    </row>
    <row r="266" spans="4:9" ht="22" x14ac:dyDescent="0.25">
      <c r="D266" s="95" t="s">
        <v>1411</v>
      </c>
      <c r="E266">
        <v>8</v>
      </c>
      <c r="F266" s="96" t="s">
        <v>3952</v>
      </c>
      <c r="G266" s="96" t="s">
        <v>3952</v>
      </c>
      <c r="H266" s="96" t="s">
        <v>3952</v>
      </c>
      <c r="I266" s="96" t="s">
        <v>3952</v>
      </c>
    </row>
    <row r="267" spans="4:9" ht="22" x14ac:dyDescent="0.25">
      <c r="D267" s="95" t="s">
        <v>3917</v>
      </c>
      <c r="E267">
        <v>2</v>
      </c>
      <c r="F267" s="96" t="s">
        <v>3952</v>
      </c>
      <c r="G267" s="96" t="s">
        <v>3952</v>
      </c>
      <c r="H267" s="96" t="s">
        <v>3952</v>
      </c>
      <c r="I267" s="96" t="s">
        <v>3952</v>
      </c>
    </row>
    <row r="268" spans="4:9" ht="22" x14ac:dyDescent="0.25">
      <c r="D268" s="95" t="s">
        <v>3917</v>
      </c>
      <c r="E268">
        <v>5</v>
      </c>
      <c r="F268" s="96" t="s">
        <v>3952</v>
      </c>
      <c r="G268" s="96" t="s">
        <v>3952</v>
      </c>
      <c r="H268" s="96" t="s">
        <v>3952</v>
      </c>
      <c r="I268" s="96" t="s">
        <v>3952</v>
      </c>
    </row>
    <row r="269" spans="4:9" ht="22" x14ac:dyDescent="0.25">
      <c r="D269" s="95" t="s">
        <v>3917</v>
      </c>
      <c r="E269">
        <v>8</v>
      </c>
      <c r="F269" s="96" t="s">
        <v>3952</v>
      </c>
      <c r="G269" s="96" t="s">
        <v>3952</v>
      </c>
      <c r="H269" s="96" t="s">
        <v>3952</v>
      </c>
      <c r="I269" s="96" t="s">
        <v>3952</v>
      </c>
    </row>
    <row r="270" spans="4:9" ht="22" x14ac:dyDescent="0.25">
      <c r="D270" s="95" t="s">
        <v>1437</v>
      </c>
      <c r="E270">
        <v>2</v>
      </c>
      <c r="F270" s="96" t="s">
        <v>3952</v>
      </c>
      <c r="G270" s="96" t="s">
        <v>3952</v>
      </c>
      <c r="H270" s="96" t="s">
        <v>3952</v>
      </c>
      <c r="I270" s="96" t="s">
        <v>3952</v>
      </c>
    </row>
    <row r="271" spans="4:9" ht="22" x14ac:dyDescent="0.25">
      <c r="D271" s="95" t="s">
        <v>1437</v>
      </c>
      <c r="E271">
        <v>5</v>
      </c>
      <c r="F271" s="96" t="s">
        <v>3952</v>
      </c>
      <c r="G271" s="96" t="s">
        <v>3952</v>
      </c>
      <c r="H271" s="96" t="s">
        <v>3952</v>
      </c>
      <c r="I271" s="96" t="s">
        <v>3952</v>
      </c>
    </row>
    <row r="272" spans="4:9" ht="22" x14ac:dyDescent="0.25">
      <c r="D272" s="95" t="s">
        <v>1437</v>
      </c>
      <c r="E272">
        <v>8</v>
      </c>
      <c r="F272" s="96" t="s">
        <v>3952</v>
      </c>
      <c r="G272" s="96" t="s">
        <v>3952</v>
      </c>
      <c r="H272" s="96" t="s">
        <v>3952</v>
      </c>
      <c r="I272" s="96" t="s">
        <v>3952</v>
      </c>
    </row>
    <row r="273" spans="4:9" ht="22" x14ac:dyDescent="0.25">
      <c r="D273" s="95" t="s">
        <v>1402</v>
      </c>
      <c r="E273">
        <v>2</v>
      </c>
      <c r="F273" s="96" t="s">
        <v>3952</v>
      </c>
      <c r="G273" s="96" t="s">
        <v>3952</v>
      </c>
      <c r="H273" s="96" t="s">
        <v>3952</v>
      </c>
      <c r="I273" s="96" t="s">
        <v>3952</v>
      </c>
    </row>
    <row r="274" spans="4:9" ht="22" x14ac:dyDescent="0.25">
      <c r="D274" s="95" t="s">
        <v>1402</v>
      </c>
      <c r="E274">
        <v>5</v>
      </c>
      <c r="F274" s="96" t="s">
        <v>3952</v>
      </c>
      <c r="G274" s="96" t="s">
        <v>3952</v>
      </c>
      <c r="H274" s="96" t="s">
        <v>3952</v>
      </c>
      <c r="I274" s="96" t="s">
        <v>3952</v>
      </c>
    </row>
    <row r="275" spans="4:9" ht="22" x14ac:dyDescent="0.25">
      <c r="D275" s="95" t="s">
        <v>1402</v>
      </c>
      <c r="E275">
        <v>8</v>
      </c>
      <c r="F275" s="96" t="s">
        <v>3952</v>
      </c>
      <c r="G275" s="96" t="s">
        <v>3952</v>
      </c>
      <c r="H275" s="96" t="s">
        <v>3952</v>
      </c>
      <c r="I275" s="96" t="s">
        <v>3952</v>
      </c>
    </row>
    <row r="276" spans="4:9" ht="22" x14ac:dyDescent="0.25">
      <c r="D276" s="95" t="s">
        <v>1371</v>
      </c>
      <c r="E276">
        <v>2</v>
      </c>
      <c r="F276" s="96" t="s">
        <v>3952</v>
      </c>
      <c r="G276" s="96" t="s">
        <v>3952</v>
      </c>
      <c r="H276" s="96" t="s">
        <v>3952</v>
      </c>
      <c r="I276" s="96" t="s">
        <v>3952</v>
      </c>
    </row>
    <row r="277" spans="4:9" ht="22" x14ac:dyDescent="0.25">
      <c r="D277" s="95" t="s">
        <v>1371</v>
      </c>
      <c r="E277">
        <v>5</v>
      </c>
      <c r="F277" s="96" t="s">
        <v>3952</v>
      </c>
      <c r="G277" s="96" t="s">
        <v>3952</v>
      </c>
      <c r="H277" s="96" t="s">
        <v>3952</v>
      </c>
      <c r="I277" s="96" t="s">
        <v>3952</v>
      </c>
    </row>
    <row r="278" spans="4:9" ht="22" x14ac:dyDescent="0.25">
      <c r="D278" s="95" t="s">
        <v>1371</v>
      </c>
      <c r="E278">
        <v>8</v>
      </c>
      <c r="F278" s="96" t="s">
        <v>3952</v>
      </c>
      <c r="G278" s="96" t="s">
        <v>3952</v>
      </c>
      <c r="H278" s="96" t="s">
        <v>3952</v>
      </c>
      <c r="I278" s="96" t="s">
        <v>3952</v>
      </c>
    </row>
    <row r="279" spans="4:9" ht="22" x14ac:dyDescent="0.25">
      <c r="D279" s="95" t="s">
        <v>3919</v>
      </c>
      <c r="E279">
        <v>2</v>
      </c>
      <c r="F279" s="96" t="s">
        <v>3952</v>
      </c>
      <c r="G279" s="96">
        <v>0.247972</v>
      </c>
      <c r="H279" s="96">
        <v>5.5973269999999999</v>
      </c>
      <c r="I279" s="96">
        <v>0.25170500000000001</v>
      </c>
    </row>
    <row r="280" spans="4:9" ht="22" x14ac:dyDescent="0.25">
      <c r="D280" s="95" t="s">
        <v>3919</v>
      </c>
      <c r="E280">
        <v>5</v>
      </c>
      <c r="F280" s="96" t="s">
        <v>3952</v>
      </c>
      <c r="G280" s="96">
        <v>1.5847869999999999</v>
      </c>
      <c r="H280" s="96">
        <v>35.590407999999996</v>
      </c>
      <c r="I280" s="96">
        <v>1.5885739999999999</v>
      </c>
    </row>
    <row r="281" spans="4:9" ht="22" x14ac:dyDescent="0.25">
      <c r="D281" s="95" t="s">
        <v>3919</v>
      </c>
      <c r="E281">
        <v>8</v>
      </c>
      <c r="F281" s="96" t="s">
        <v>3952</v>
      </c>
      <c r="G281" s="96">
        <v>11.805186000000001</v>
      </c>
      <c r="H281" s="96">
        <v>156.56901400000001</v>
      </c>
      <c r="I281" s="96">
        <v>11.453761</v>
      </c>
    </row>
    <row r="282" spans="4:9" ht="22" x14ac:dyDescent="0.25">
      <c r="D282" s="95" t="s">
        <v>1408</v>
      </c>
      <c r="E282">
        <v>2</v>
      </c>
      <c r="F282" s="96" t="s">
        <v>3952</v>
      </c>
      <c r="G282" s="96">
        <v>1.103539</v>
      </c>
      <c r="H282" s="96">
        <v>8.3141999999999994E-2</v>
      </c>
      <c r="I282" s="96">
        <v>7.4453000000000005E-2</v>
      </c>
    </row>
    <row r="283" spans="4:9" ht="22" x14ac:dyDescent="0.25">
      <c r="D283" s="95" t="s">
        <v>1408</v>
      </c>
      <c r="E283">
        <v>5</v>
      </c>
      <c r="F283" s="96" t="s">
        <v>3952</v>
      </c>
      <c r="G283" s="96">
        <v>1.2022219999999999</v>
      </c>
      <c r="H283" s="96">
        <v>5.5105000000000001E-2</v>
      </c>
      <c r="I283" s="96">
        <v>0.160383</v>
      </c>
    </row>
    <row r="284" spans="4:9" ht="22" x14ac:dyDescent="0.25">
      <c r="D284" s="95" t="s">
        <v>1408</v>
      </c>
      <c r="E284">
        <v>8</v>
      </c>
      <c r="F284" s="96" t="s">
        <v>3952</v>
      </c>
      <c r="G284" s="96">
        <v>1.359286</v>
      </c>
      <c r="H284" s="96">
        <v>142.51957999999999</v>
      </c>
      <c r="I284" s="96">
        <v>0.25954500000000003</v>
      </c>
    </row>
    <row r="285" spans="4:9" ht="22" x14ac:dyDescent="0.25">
      <c r="D285" s="95" t="s">
        <v>3920</v>
      </c>
      <c r="E285">
        <v>2</v>
      </c>
      <c r="F285" s="96" t="s">
        <v>3952</v>
      </c>
      <c r="G285" s="96">
        <v>0.19509899999999999</v>
      </c>
      <c r="H285" s="96">
        <v>2.1407099999999999</v>
      </c>
      <c r="I285" s="96">
        <v>0.28299999999999997</v>
      </c>
    </row>
    <row r="286" spans="4:9" ht="22" x14ac:dyDescent="0.25">
      <c r="D286" s="95" t="s">
        <v>3920</v>
      </c>
      <c r="E286">
        <v>5</v>
      </c>
      <c r="F286" s="96" t="s">
        <v>3952</v>
      </c>
      <c r="G286" s="96">
        <v>0.69525899999999996</v>
      </c>
      <c r="H286" s="96">
        <v>9.6177469999999996</v>
      </c>
      <c r="I286" s="96">
        <v>1.2702150000000001</v>
      </c>
    </row>
    <row r="287" spans="4:9" ht="22" x14ac:dyDescent="0.25">
      <c r="D287" s="95" t="s">
        <v>3920</v>
      </c>
      <c r="E287">
        <v>8</v>
      </c>
      <c r="F287" s="96" t="s">
        <v>3952</v>
      </c>
      <c r="G287" s="96">
        <v>1.593531</v>
      </c>
      <c r="H287" s="96">
        <v>27.051659000000001</v>
      </c>
      <c r="I287" s="96">
        <v>4.7368709999999998</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94" t="s">
        <v>3911</v>
      </c>
      <c r="J4" s="94"/>
      <c r="K4" s="94"/>
      <c r="L4" s="94"/>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4:AF21"/>
  <sheetViews>
    <sheetView workbookViewId="0">
      <selection activeCell="B15" sqref="B15:G21"/>
    </sheetView>
  </sheetViews>
  <sheetFormatPr baseColWidth="10" defaultRowHeight="16" x14ac:dyDescent="0.2"/>
  <cols>
    <col min="2" max="2" width="59.6640625" bestFit="1" customWidth="1"/>
    <col min="3" max="3" width="13" bestFit="1" customWidth="1"/>
    <col min="4" max="4" width="11.83203125" bestFit="1" customWidth="1"/>
    <col min="6" max="6" width="11.83203125" customWidth="1"/>
    <col min="7" max="7" width="14.1640625" customWidth="1"/>
    <col min="8" max="8" width="15.5" customWidth="1"/>
    <col min="9" max="10" width="16.6640625" customWidth="1"/>
    <col min="11" max="11" width="14.5" customWidth="1"/>
    <col min="12" max="12" width="19.33203125" customWidth="1"/>
  </cols>
  <sheetData>
    <row r="4" spans="2:32" ht="22" x14ac:dyDescent="0.3">
      <c r="B4" s="44" t="s">
        <v>25</v>
      </c>
      <c r="C4" s="44" t="s">
        <v>13</v>
      </c>
      <c r="D4" s="44" t="s">
        <v>14</v>
      </c>
      <c r="E4" s="44" t="s">
        <v>3943</v>
      </c>
      <c r="F4" s="44" t="s">
        <v>3942</v>
      </c>
      <c r="G4" s="44" t="s">
        <v>3944</v>
      </c>
      <c r="H4" s="44" t="s">
        <v>3934</v>
      </c>
      <c r="I4" s="44" t="s">
        <v>3937</v>
      </c>
      <c r="J4" s="44" t="s">
        <v>3936</v>
      </c>
      <c r="K4" s="44" t="s">
        <v>3935</v>
      </c>
      <c r="L4" s="44" t="s">
        <v>3945</v>
      </c>
    </row>
    <row r="5" spans="2:32" ht="24" x14ac:dyDescent="0.3">
      <c r="B5" s="43" t="s">
        <v>3938</v>
      </c>
      <c r="C5" s="50">
        <v>26198</v>
      </c>
      <c r="D5" s="49">
        <v>14490</v>
      </c>
      <c r="E5" s="49">
        <v>10</v>
      </c>
      <c r="F5" s="51">
        <v>0.9</v>
      </c>
      <c r="G5" s="49">
        <v>1665</v>
      </c>
      <c r="H5" s="52">
        <v>0.11</v>
      </c>
      <c r="I5" s="52">
        <v>0.1</v>
      </c>
      <c r="J5" s="53">
        <v>0.4</v>
      </c>
      <c r="K5" s="56">
        <v>1.3</v>
      </c>
      <c r="L5" s="55">
        <v>19</v>
      </c>
      <c r="AD5" t="s">
        <v>3975</v>
      </c>
      <c r="AE5">
        <v>10</v>
      </c>
      <c r="AF5">
        <v>0.9</v>
      </c>
    </row>
    <row r="6" spans="2:32" ht="24" x14ac:dyDescent="0.3">
      <c r="B6" s="43" t="s">
        <v>3939</v>
      </c>
      <c r="C6" s="50">
        <v>39577</v>
      </c>
      <c r="D6" s="49">
        <v>175691</v>
      </c>
      <c r="E6" s="49">
        <v>10</v>
      </c>
      <c r="F6" s="51">
        <v>0.9</v>
      </c>
      <c r="G6" s="49">
        <v>7222</v>
      </c>
      <c r="H6" s="52">
        <v>1.17</v>
      </c>
      <c r="I6" s="53">
        <v>0.15</v>
      </c>
      <c r="J6" s="53">
        <v>8.1999999999999993</v>
      </c>
      <c r="K6" s="56">
        <v>2.2000000000000002</v>
      </c>
      <c r="L6" s="55">
        <v>432</v>
      </c>
      <c r="AD6" t="s">
        <v>3976</v>
      </c>
      <c r="AE6">
        <v>10</v>
      </c>
      <c r="AF6">
        <v>0.9</v>
      </c>
    </row>
    <row r="7" spans="2:32" ht="24" x14ac:dyDescent="0.3">
      <c r="B7" s="43" t="s">
        <v>3940</v>
      </c>
      <c r="C7" s="50">
        <v>108301</v>
      </c>
      <c r="D7" s="49">
        <v>93468</v>
      </c>
      <c r="E7" s="49">
        <v>15</v>
      </c>
      <c r="F7" s="51">
        <v>0.8</v>
      </c>
      <c r="G7" s="49">
        <v>4382</v>
      </c>
      <c r="H7" s="52">
        <v>0.16</v>
      </c>
      <c r="I7" s="53">
        <v>0.1</v>
      </c>
      <c r="J7" s="53">
        <v>3.2</v>
      </c>
      <c r="K7" s="56">
        <v>1.5</v>
      </c>
      <c r="L7" s="55" t="s">
        <v>3946</v>
      </c>
      <c r="AD7" t="s">
        <v>1522</v>
      </c>
      <c r="AE7">
        <v>23</v>
      </c>
      <c r="AF7">
        <v>0.9</v>
      </c>
    </row>
    <row r="8" spans="2:32" ht="24" x14ac:dyDescent="0.3">
      <c r="B8" s="43" t="s">
        <v>1166</v>
      </c>
      <c r="C8" s="50">
        <v>36692</v>
      </c>
      <c r="D8" s="49">
        <v>183831</v>
      </c>
      <c r="E8" s="49">
        <v>23</v>
      </c>
      <c r="F8" s="51">
        <v>0.9</v>
      </c>
      <c r="G8" s="49">
        <v>200</v>
      </c>
      <c r="H8" s="52">
        <v>9.6999999999999993</v>
      </c>
      <c r="I8" s="53">
        <v>12.77</v>
      </c>
      <c r="J8" s="53">
        <v>102</v>
      </c>
      <c r="K8" s="56">
        <v>3.3</v>
      </c>
      <c r="L8" s="55" t="s">
        <v>3947</v>
      </c>
      <c r="AD8" t="s">
        <v>1509</v>
      </c>
      <c r="AE8">
        <v>12</v>
      </c>
      <c r="AF8">
        <v>0.9</v>
      </c>
    </row>
    <row r="9" spans="2:32" ht="24" x14ac:dyDescent="0.3">
      <c r="B9" s="43" t="s">
        <v>3941</v>
      </c>
      <c r="C9" s="50">
        <v>4039</v>
      </c>
      <c r="D9" s="49">
        <v>88234</v>
      </c>
      <c r="E9" s="49">
        <v>103</v>
      </c>
      <c r="F9" s="54">
        <v>0.95</v>
      </c>
      <c r="G9" s="49">
        <v>1</v>
      </c>
      <c r="H9" s="52">
        <v>104.2</v>
      </c>
      <c r="I9" s="53">
        <v>282.89999999999998</v>
      </c>
      <c r="J9" s="53">
        <v>352.1</v>
      </c>
      <c r="K9" s="56">
        <v>1.4</v>
      </c>
      <c r="L9" s="55" t="s">
        <v>3948</v>
      </c>
      <c r="AD9" t="s">
        <v>1514</v>
      </c>
      <c r="AE9">
        <v>14</v>
      </c>
      <c r="AF9">
        <v>0.9</v>
      </c>
    </row>
    <row r="10" spans="2:32" ht="24" x14ac:dyDescent="0.3">
      <c r="B10" s="45"/>
      <c r="C10" s="46"/>
      <c r="D10" s="46"/>
      <c r="E10" s="46"/>
      <c r="F10" s="46"/>
      <c r="H10" s="47"/>
      <c r="I10" s="42"/>
      <c r="J10" s="42"/>
      <c r="K10" s="42"/>
      <c r="L10" s="48"/>
      <c r="AD10" t="s">
        <v>3977</v>
      </c>
      <c r="AE10">
        <v>6</v>
      </c>
      <c r="AF10">
        <v>0.9</v>
      </c>
    </row>
    <row r="11" spans="2:32" x14ac:dyDescent="0.2">
      <c r="AD11" t="s">
        <v>1528</v>
      </c>
      <c r="AE11">
        <v>23</v>
      </c>
      <c r="AF11">
        <v>0.9</v>
      </c>
    </row>
    <row r="12" spans="2:32" x14ac:dyDescent="0.2">
      <c r="AD12" t="s">
        <v>3978</v>
      </c>
      <c r="AE12">
        <v>50</v>
      </c>
      <c r="AF12">
        <v>0.96</v>
      </c>
    </row>
    <row r="13" spans="2:32" x14ac:dyDescent="0.2">
      <c r="AD13" t="s">
        <v>1531</v>
      </c>
      <c r="AE13">
        <v>35</v>
      </c>
      <c r="AF13">
        <v>0.96</v>
      </c>
    </row>
    <row r="14" spans="2:32" x14ac:dyDescent="0.2">
      <c r="AD14" t="s">
        <v>78</v>
      </c>
      <c r="AE14">
        <v>32</v>
      </c>
      <c r="AF14">
        <v>0.9</v>
      </c>
    </row>
    <row r="15" spans="2:32" x14ac:dyDescent="0.2">
      <c r="B15" s="97" t="s">
        <v>3994</v>
      </c>
      <c r="C15" s="97" t="s">
        <v>3992</v>
      </c>
      <c r="D15" s="97"/>
      <c r="E15" s="97" t="s">
        <v>3991</v>
      </c>
      <c r="F15" s="97" t="s">
        <v>3936</v>
      </c>
      <c r="G15" s="97" t="s">
        <v>3993</v>
      </c>
      <c r="AD15" t="s">
        <v>3979</v>
      </c>
      <c r="AE15">
        <v>3</v>
      </c>
      <c r="AF15">
        <v>0.51</v>
      </c>
    </row>
    <row r="16" spans="2:32" ht="22" x14ac:dyDescent="0.25">
      <c r="B16" s="98" t="s">
        <v>3985</v>
      </c>
      <c r="C16" s="97">
        <v>360</v>
      </c>
      <c r="D16" s="97"/>
      <c r="E16" s="97">
        <v>0.115312</v>
      </c>
      <c r="F16" s="97">
        <v>16</v>
      </c>
      <c r="G16" s="97">
        <v>0.01</v>
      </c>
      <c r="AD16" t="s">
        <v>3980</v>
      </c>
      <c r="AE16">
        <v>450</v>
      </c>
      <c r="AF16">
        <v>0.96</v>
      </c>
    </row>
    <row r="17" spans="2:7" ht="22" x14ac:dyDescent="0.25">
      <c r="B17" s="98" t="s">
        <v>3986</v>
      </c>
      <c r="C17" s="97">
        <v>6145</v>
      </c>
      <c r="D17" s="97"/>
      <c r="E17" s="97">
        <v>0.97065900000000005</v>
      </c>
      <c r="F17" s="97">
        <v>44</v>
      </c>
      <c r="G17" s="97">
        <v>0.22</v>
      </c>
    </row>
    <row r="18" spans="2:7" ht="22" x14ac:dyDescent="0.25">
      <c r="B18" s="98" t="s">
        <v>3987</v>
      </c>
      <c r="C18" s="97">
        <v>28717</v>
      </c>
      <c r="D18" s="97"/>
      <c r="E18" s="97">
        <v>60.854799999999997</v>
      </c>
      <c r="F18" s="97" t="s">
        <v>3902</v>
      </c>
      <c r="G18" s="97">
        <v>49.23</v>
      </c>
    </row>
    <row r="19" spans="2:7" ht="22" x14ac:dyDescent="0.25">
      <c r="B19" s="98" t="s">
        <v>3988</v>
      </c>
      <c r="C19" s="97">
        <v>2517</v>
      </c>
      <c r="D19" s="97"/>
      <c r="E19" s="97">
        <v>4.77996</v>
      </c>
      <c r="F19" s="97">
        <v>263</v>
      </c>
      <c r="G19" s="97">
        <v>0.49</v>
      </c>
    </row>
    <row r="20" spans="2:7" ht="22" x14ac:dyDescent="0.25">
      <c r="B20" s="98" t="s">
        <v>3989</v>
      </c>
      <c r="C20" s="97">
        <v>24383</v>
      </c>
      <c r="D20" s="97"/>
      <c r="E20" s="97">
        <v>1.1475500000000001</v>
      </c>
      <c r="F20" s="97" t="s">
        <v>3902</v>
      </c>
      <c r="G20" s="97">
        <v>3.05</v>
      </c>
    </row>
    <row r="21" spans="2:7" ht="22" x14ac:dyDescent="0.25">
      <c r="B21" s="98" t="s">
        <v>3990</v>
      </c>
      <c r="C21" s="97">
        <v>8949</v>
      </c>
      <c r="D21" s="97"/>
      <c r="E21" s="97">
        <v>5.9763599999999997</v>
      </c>
      <c r="F21" s="97">
        <v>20.440000000000001</v>
      </c>
      <c r="G21" s="97">
        <v>0.47</v>
      </c>
    </row>
  </sheetData>
  <pageMargins left="0.7" right="0.7" top="0.75" bottom="0.75" header="0.3" footer="0.3"/>
  <pageSetup orientation="portrait" horizontalDpi="0" verticalDpi="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L1326"/>
  <sheetViews>
    <sheetView topLeftCell="D1" workbookViewId="0">
      <selection activeCell="H15" sqref="H15"/>
    </sheetView>
  </sheetViews>
  <sheetFormatPr baseColWidth="10" defaultRowHeight="16" x14ac:dyDescent="0.2"/>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s>
  <sheetData>
    <row r="1" spans="3:12" x14ac:dyDescent="0.2">
      <c r="C1" s="8" t="s">
        <v>19</v>
      </c>
      <c r="D1" s="8" t="s">
        <v>20</v>
      </c>
      <c r="E1" s="8" t="s">
        <v>21</v>
      </c>
      <c r="F1" s="8" t="s">
        <v>22</v>
      </c>
      <c r="G1" s="8" t="s">
        <v>23</v>
      </c>
      <c r="H1" s="8" t="s">
        <v>3899</v>
      </c>
      <c r="I1" s="8" t="s">
        <v>3898</v>
      </c>
      <c r="J1" s="8" t="s">
        <v>24</v>
      </c>
    </row>
    <row r="2" spans="3:12" ht="21" x14ac:dyDescent="0.25">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row>
    <row r="3" spans="3:12" ht="21" x14ac:dyDescent="0.25">
      <c r="C3" s="6" t="s">
        <v>2243</v>
      </c>
      <c r="D3" s="6" t="s">
        <v>31</v>
      </c>
      <c r="E3" s="6" t="s">
        <v>68</v>
      </c>
      <c r="F3" s="7">
        <v>68349466</v>
      </c>
      <c r="G3" s="7">
        <v>2586147869</v>
      </c>
      <c r="H3" s="6">
        <f t="shared" si="0"/>
        <v>37.837133489821269</v>
      </c>
      <c r="I3" s="3" t="s">
        <v>1465</v>
      </c>
      <c r="J3" s="6" t="str">
        <f t="shared" si="1"/>
        <v>http://konect.cc/files/download.tsv.friendster.tar.bz2</v>
      </c>
      <c r="L3" s="5"/>
    </row>
    <row r="4" spans="3:12" ht="21" x14ac:dyDescent="0.25">
      <c r="C4" s="6" t="s">
        <v>3875</v>
      </c>
      <c r="D4" s="6" t="s">
        <v>67</v>
      </c>
      <c r="E4" s="6" t="s">
        <v>68</v>
      </c>
      <c r="F4" s="7">
        <v>52579682</v>
      </c>
      <c r="G4" s="7">
        <v>1963263821</v>
      </c>
      <c r="H4" s="6">
        <f t="shared" si="0"/>
        <v>37.338830253861175</v>
      </c>
      <c r="I4" s="3" t="s">
        <v>1464</v>
      </c>
      <c r="J4" s="6" t="str">
        <f t="shared" si="1"/>
        <v>http://konect.cc/files/download.tsv.twitter_mpi.tar.bz2</v>
      </c>
      <c r="L4" s="5"/>
    </row>
    <row r="5" spans="3:12" ht="21" x14ac:dyDescent="0.25">
      <c r="C5" s="6" t="s">
        <v>3873</v>
      </c>
      <c r="D5" s="6" t="s">
        <v>63</v>
      </c>
      <c r="E5" s="6" t="s">
        <v>64</v>
      </c>
      <c r="F5" s="7">
        <v>50757442</v>
      </c>
      <c r="G5" s="7">
        <v>572591272</v>
      </c>
      <c r="H5" s="6">
        <f t="shared" si="0"/>
        <v>11.280932400021262</v>
      </c>
      <c r="I5" s="3" t="s">
        <v>17</v>
      </c>
      <c r="J5" s="6" t="str">
        <f t="shared" si="1"/>
        <v>http://konect.cc/files/download.tsv.edit-enwiki.tar.bz2</v>
      </c>
      <c r="L5" s="5"/>
    </row>
    <row r="6" spans="3:12" ht="21" x14ac:dyDescent="0.25">
      <c r="C6" s="6" t="s">
        <v>3874</v>
      </c>
      <c r="D6" s="6" t="s">
        <v>65</v>
      </c>
      <c r="E6" s="6" t="s">
        <v>66</v>
      </c>
      <c r="F6" s="7">
        <v>41652230</v>
      </c>
      <c r="G6" s="7">
        <v>1468365182</v>
      </c>
      <c r="H6" s="6">
        <f t="shared" si="0"/>
        <v>35.252978820101589</v>
      </c>
      <c r="I6" s="3" t="s">
        <v>1463</v>
      </c>
      <c r="J6" s="6" t="str">
        <f t="shared" si="1"/>
        <v>http://konect.cc/files/download.tsv.twitter.tar.bz2</v>
      </c>
      <c r="L6" s="5"/>
    </row>
    <row r="7" spans="3:12" ht="21" x14ac:dyDescent="0.25">
      <c r="C7" s="6" t="s">
        <v>3712</v>
      </c>
      <c r="D7" s="3" t="s">
        <v>46</v>
      </c>
      <c r="E7" s="6" t="s">
        <v>36</v>
      </c>
      <c r="F7" s="7">
        <v>40421974</v>
      </c>
      <c r="G7" s="7">
        <v>140613762</v>
      </c>
      <c r="H7" s="6">
        <f t="shared" si="0"/>
        <v>3.4786465896000034</v>
      </c>
      <c r="I7" s="3" t="s">
        <v>1453</v>
      </c>
      <c r="J7" s="6" t="str">
        <f t="shared" si="1"/>
        <v>http://konect.cc/files/download.tsv.trackers-trackers.tar.bz2</v>
      </c>
      <c r="L7" s="5"/>
    </row>
    <row r="8" spans="3:12" ht="21" x14ac:dyDescent="0.25">
      <c r="C8" s="6" t="s">
        <v>3871</v>
      </c>
      <c r="D8" s="6" t="s">
        <v>61</v>
      </c>
      <c r="E8" s="6" t="s">
        <v>60</v>
      </c>
      <c r="F8" s="7">
        <v>38289740</v>
      </c>
      <c r="G8" s="7">
        <v>301183605</v>
      </c>
      <c r="H8" s="6">
        <f t="shared" si="0"/>
        <v>7.8659088570462998</v>
      </c>
      <c r="I8" s="3" t="s">
        <v>1461</v>
      </c>
      <c r="J8" s="6" t="str">
        <f t="shared" si="1"/>
        <v>http://konect.cc/files/download.tsv.delicious-ti.tar.bz2</v>
      </c>
      <c r="L8" s="5"/>
    </row>
    <row r="9" spans="3:12" ht="21" x14ac:dyDescent="0.25">
      <c r="C9" s="6" t="s">
        <v>3872</v>
      </c>
      <c r="D9" s="6" t="s">
        <v>62</v>
      </c>
      <c r="E9" s="6" t="s">
        <v>60</v>
      </c>
      <c r="F9" s="7">
        <v>34611302</v>
      </c>
      <c r="G9" s="7">
        <v>301186579</v>
      </c>
      <c r="H9" s="6">
        <f t="shared" si="0"/>
        <v>8.7019719454645195</v>
      </c>
      <c r="I9" s="3" t="s">
        <v>1462</v>
      </c>
      <c r="J9" s="6" t="str">
        <f t="shared" si="1"/>
        <v>http://konect.cc/files/download.tsv.delicious-ui.tar.bz2</v>
      </c>
      <c r="L9" s="5"/>
    </row>
    <row r="10" spans="3:12" ht="21" x14ac:dyDescent="0.25">
      <c r="C10" s="6" t="s">
        <v>3835</v>
      </c>
      <c r="D10" s="3" t="s">
        <v>164</v>
      </c>
      <c r="E10" s="6" t="s">
        <v>98</v>
      </c>
      <c r="F10" s="7">
        <v>23947347</v>
      </c>
      <c r="G10" s="7">
        <v>57708624</v>
      </c>
      <c r="H10" s="6">
        <f t="shared" si="0"/>
        <v>2.4098128281182882</v>
      </c>
      <c r="I10" s="3" t="s">
        <v>1430</v>
      </c>
      <c r="J10" s="6" t="str">
        <f t="shared" si="1"/>
        <v>http://konect.cc/files/download.tsv.dimacs9-USA.tar.bz2</v>
      </c>
      <c r="L10" s="5"/>
    </row>
    <row r="11" spans="3:12" ht="21" x14ac:dyDescent="0.25">
      <c r="C11" s="6" t="s">
        <v>3866</v>
      </c>
      <c r="D11" s="3" t="s">
        <v>53</v>
      </c>
      <c r="E11" s="6" t="s">
        <v>54</v>
      </c>
      <c r="F11" s="7">
        <v>18483186</v>
      </c>
      <c r="G11" s="7">
        <v>261787258</v>
      </c>
      <c r="H11" s="6">
        <f t="shared" si="0"/>
        <v>14.163535334222141</v>
      </c>
      <c r="I11" s="3" t="s">
        <v>1457</v>
      </c>
      <c r="J11" s="6" t="str">
        <f t="shared" si="1"/>
        <v>http://konect.cc/files/download.tsv.dimacs10-uk-2002.tar.bz2</v>
      </c>
      <c r="L11" s="5"/>
    </row>
    <row r="12" spans="3:12" ht="21" x14ac:dyDescent="0.25">
      <c r="C12" s="6" t="s">
        <v>3863</v>
      </c>
      <c r="D12" s="3" t="s">
        <v>49</v>
      </c>
      <c r="E12" s="6" t="s">
        <v>50</v>
      </c>
      <c r="F12" s="7">
        <v>18268992</v>
      </c>
      <c r="G12" s="7">
        <v>172183984</v>
      </c>
      <c r="H12" s="6">
        <f t="shared" si="0"/>
        <v>9.4249307241472327</v>
      </c>
      <c r="I12" s="3" t="s">
        <v>1</v>
      </c>
      <c r="J12" s="6" t="str">
        <f t="shared" si="1"/>
        <v>http://konect.cc/files/download.tsv.dbpedia-link.tar.bz2</v>
      </c>
      <c r="L12" s="5"/>
    </row>
    <row r="13" spans="3:12" ht="21" x14ac:dyDescent="0.25">
      <c r="C13" s="6" t="s">
        <v>3250</v>
      </c>
      <c r="D13" s="3" t="s">
        <v>142</v>
      </c>
      <c r="E13" s="6" t="s">
        <v>98</v>
      </c>
      <c r="F13" s="7">
        <v>14081816</v>
      </c>
      <c r="G13" s="7">
        <v>33866826</v>
      </c>
      <c r="H13" s="6">
        <f t="shared" si="0"/>
        <v>2.4050041557140074</v>
      </c>
      <c r="I13" s="3" t="s">
        <v>1410</v>
      </c>
      <c r="J13" s="6" t="str">
        <f t="shared" si="1"/>
        <v>http://konect.cc/files/download.tsv.dimacs9-CTR.tar.bz2</v>
      </c>
      <c r="L13" s="5"/>
    </row>
    <row r="14" spans="3:12" ht="21" x14ac:dyDescent="0.25">
      <c r="C14" s="6" t="s">
        <v>3869</v>
      </c>
      <c r="D14" s="3" t="s">
        <v>57</v>
      </c>
      <c r="E14" s="6" t="s">
        <v>33</v>
      </c>
      <c r="F14" s="7">
        <v>13593032</v>
      </c>
      <c r="G14" s="7">
        <v>437217424</v>
      </c>
      <c r="H14" s="6">
        <f t="shared" si="0"/>
        <v>32.164819739996197</v>
      </c>
      <c r="I14" s="3" t="s">
        <v>16</v>
      </c>
      <c r="J14" s="6" t="str">
        <f t="shared" si="1"/>
        <v>http://konect.cc/files/download.tsv.wikipedia_link_en.tar.bz2</v>
      </c>
      <c r="L14" s="5"/>
    </row>
    <row r="15" spans="3:12" ht="21" x14ac:dyDescent="0.25">
      <c r="C15" s="6" t="s">
        <v>3867</v>
      </c>
      <c r="D15" s="6" t="s">
        <v>27</v>
      </c>
      <c r="E15" s="6" t="s">
        <v>36</v>
      </c>
      <c r="F15" s="7">
        <v>11514053</v>
      </c>
      <c r="G15" s="7">
        <v>327037487</v>
      </c>
      <c r="H15" s="6">
        <f t="shared" si="0"/>
        <v>28.403333474320469</v>
      </c>
      <c r="I15" s="3" t="s">
        <v>5</v>
      </c>
      <c r="J15" s="6" t="str">
        <f t="shared" si="1"/>
        <v>http://konect.cc/files/download.tsv.orkut-groupmemberships.tar.bz2</v>
      </c>
      <c r="L15" s="5"/>
    </row>
    <row r="16" spans="3:12" ht="21" x14ac:dyDescent="0.25">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row>
    <row r="17" spans="3:12" ht="21" x14ac:dyDescent="0.25">
      <c r="C17" s="6" t="s">
        <v>3864</v>
      </c>
      <c r="D17" s="6" t="s">
        <v>51</v>
      </c>
      <c r="E17" s="6" t="s">
        <v>38</v>
      </c>
      <c r="F17" s="7">
        <v>9628383</v>
      </c>
      <c r="G17" s="7">
        <v>114683619</v>
      </c>
      <c r="H17" s="6">
        <f t="shared" si="0"/>
        <v>11.910994712196223</v>
      </c>
      <c r="I17" s="3" t="s">
        <v>1455</v>
      </c>
      <c r="J17" s="6" t="str">
        <f t="shared" si="1"/>
        <v>http://konect.cc/files/download.tsv.edit-frwiki.tar.bz2</v>
      </c>
      <c r="L17" s="5"/>
    </row>
    <row r="18" spans="3:12" ht="21" x14ac:dyDescent="0.25">
      <c r="C18" s="6" t="s">
        <v>3791</v>
      </c>
      <c r="D18" s="3" t="s">
        <v>115</v>
      </c>
      <c r="E18" s="6" t="s">
        <v>116</v>
      </c>
      <c r="F18" s="7">
        <v>9374206</v>
      </c>
      <c r="G18" s="7">
        <v>12656613</v>
      </c>
      <c r="H18" s="6">
        <f t="shared" si="0"/>
        <v>1.3501530689639207</v>
      </c>
      <c r="I18" s="3" t="s">
        <v>3894</v>
      </c>
      <c r="J18" s="6" t="str">
        <f t="shared" si="1"/>
        <v>http://konect.cc/files/download.tsv.munmun_twitterex_ui.tar.bz2</v>
      </c>
      <c r="L18" s="5"/>
    </row>
    <row r="19" spans="3:12" ht="21" x14ac:dyDescent="0.25">
      <c r="C19" s="6" t="s">
        <v>3795</v>
      </c>
      <c r="D19" s="3" t="s">
        <v>121</v>
      </c>
      <c r="E19" s="6" t="s">
        <v>38</v>
      </c>
      <c r="F19" s="7">
        <v>8486200</v>
      </c>
      <c r="G19" s="7">
        <v>15072104</v>
      </c>
      <c r="H19" s="6">
        <f t="shared" si="0"/>
        <v>1.7760722113549057</v>
      </c>
      <c r="I19" s="3" t="s">
        <v>1391</v>
      </c>
      <c r="J19" s="6" t="str">
        <f t="shared" si="1"/>
        <v>http://konect.cc/files/download.tsv.edit-cebwiki.tar.bz2</v>
      </c>
      <c r="L19" s="5"/>
    </row>
    <row r="20" spans="3:12" ht="21" x14ac:dyDescent="0.25">
      <c r="C20" s="6" t="s">
        <v>1858</v>
      </c>
      <c r="D20" s="6" t="s">
        <v>30</v>
      </c>
      <c r="E20" s="6" t="s">
        <v>58</v>
      </c>
      <c r="F20" s="7">
        <v>8341043</v>
      </c>
      <c r="G20" s="7">
        <v>737869083</v>
      </c>
      <c r="H20" s="6">
        <f t="shared" si="0"/>
        <v>88.462448041569857</v>
      </c>
      <c r="I20" s="3" t="s">
        <v>1459</v>
      </c>
      <c r="J20" s="6" t="str">
        <f t="shared" si="1"/>
        <v>http://konect.cc/files/download.tsv.bag-pubmed.tar.bz2</v>
      </c>
      <c r="L20" s="5"/>
    </row>
    <row r="21" spans="3:12" ht="21" x14ac:dyDescent="0.25">
      <c r="C21" s="6" t="s">
        <v>3843</v>
      </c>
      <c r="D21" s="3" t="s">
        <v>170</v>
      </c>
      <c r="E21" s="6" t="s">
        <v>33</v>
      </c>
      <c r="F21" s="7">
        <v>7891015</v>
      </c>
      <c r="G21" s="7">
        <v>69540354</v>
      </c>
      <c r="H21" s="6">
        <f t="shared" si="0"/>
        <v>8.8125993931072237</v>
      </c>
      <c r="I21" s="3" t="s">
        <v>1438</v>
      </c>
      <c r="J21" s="6" t="str">
        <f t="shared" si="1"/>
        <v>http://konect.cc/files/download.tsv.wikipedia_link_ceb.tar.bz2</v>
      </c>
      <c r="L21" s="5"/>
    </row>
    <row r="22" spans="3:12" ht="21" x14ac:dyDescent="0.25">
      <c r="C22" s="6" t="s">
        <v>3839</v>
      </c>
      <c r="D22" s="3" t="s">
        <v>80</v>
      </c>
      <c r="E22" s="6" t="s">
        <v>96</v>
      </c>
      <c r="F22" s="7">
        <v>7827192</v>
      </c>
      <c r="G22" s="7">
        <v>65905159</v>
      </c>
      <c r="H22" s="6">
        <f t="shared" si="0"/>
        <v>8.4200258534606025</v>
      </c>
      <c r="I22" s="3" t="s">
        <v>1434</v>
      </c>
      <c r="J22" s="6" t="str">
        <f t="shared" si="1"/>
        <v>http://konect.cc/files/download.tsv.zhishi-all.tar.bz2</v>
      </c>
      <c r="L22" s="5"/>
    </row>
    <row r="23" spans="3:12" ht="21" x14ac:dyDescent="0.25">
      <c r="C23" s="6" t="s">
        <v>3827</v>
      </c>
      <c r="D23" s="3" t="s">
        <v>156</v>
      </c>
      <c r="E23" s="6" t="s">
        <v>38</v>
      </c>
      <c r="F23" s="7">
        <v>7751738</v>
      </c>
      <c r="G23" s="7">
        <v>36357003</v>
      </c>
      <c r="H23" s="6">
        <f t="shared" si="0"/>
        <v>4.6901743841187615</v>
      </c>
      <c r="I23" s="3" t="s">
        <v>1423</v>
      </c>
      <c r="J23" s="6" t="str">
        <f t="shared" si="1"/>
        <v>http://konect.cc/files/download.tsv.edit-svwiki.tar.bz2</v>
      </c>
      <c r="L23" s="5"/>
    </row>
    <row r="24" spans="3:12" ht="21" x14ac:dyDescent="0.25">
      <c r="C24" s="6" t="s">
        <v>3765</v>
      </c>
      <c r="D24" s="3" t="s">
        <v>71</v>
      </c>
      <c r="E24" s="6" t="s">
        <v>36</v>
      </c>
      <c r="F24" s="7">
        <v>7577304</v>
      </c>
      <c r="G24" s="7">
        <v>12282059</v>
      </c>
      <c r="H24" s="6">
        <f t="shared" si="0"/>
        <v>1.6209009167376682</v>
      </c>
      <c r="I24" s="3" t="s">
        <v>1361</v>
      </c>
      <c r="J24" s="6" t="str">
        <f t="shared" si="1"/>
        <v>http://konect.cc/files/download.tsv.dblp-author.tar.bz2</v>
      </c>
      <c r="L24" s="5"/>
    </row>
    <row r="25" spans="3:12" ht="21" x14ac:dyDescent="0.25">
      <c r="C25" s="6" t="s">
        <v>3865</v>
      </c>
      <c r="D25" s="6" t="s">
        <v>52</v>
      </c>
      <c r="E25" s="6" t="s">
        <v>38</v>
      </c>
      <c r="F25" s="7">
        <v>6935516</v>
      </c>
      <c r="G25" s="7">
        <v>129885939</v>
      </c>
      <c r="H25" s="6">
        <f t="shared" si="0"/>
        <v>18.727653284917807</v>
      </c>
      <c r="I25" s="3" t="s">
        <v>1456</v>
      </c>
      <c r="J25" s="6" t="str">
        <f t="shared" si="1"/>
        <v>http://konect.cc/files/download.tsv.edit-dewiki.tar.bz2</v>
      </c>
      <c r="L25" s="5"/>
    </row>
    <row r="26" spans="3:12" ht="21" x14ac:dyDescent="0.25">
      <c r="C26" s="6" t="s">
        <v>3857</v>
      </c>
      <c r="D26" s="3" t="s">
        <v>40</v>
      </c>
      <c r="E26" s="6" t="s">
        <v>38</v>
      </c>
      <c r="F26" s="7">
        <v>6888897</v>
      </c>
      <c r="G26" s="7">
        <v>67426422</v>
      </c>
      <c r="H26" s="6">
        <f t="shared" si="0"/>
        <v>9.7876948951334306</v>
      </c>
      <c r="I26" s="3" t="s">
        <v>1450</v>
      </c>
      <c r="J26" s="6" t="str">
        <f t="shared" si="1"/>
        <v>http://konect.cc/files/download.tsv.edit-eswiki.tar.bz2</v>
      </c>
      <c r="L26" s="5"/>
    </row>
    <row r="27" spans="3:12" ht="21" x14ac:dyDescent="0.25">
      <c r="C27" s="6" t="s">
        <v>3774</v>
      </c>
      <c r="D27" s="3" t="s">
        <v>97</v>
      </c>
      <c r="E27" s="6" t="s">
        <v>98</v>
      </c>
      <c r="F27" s="7">
        <v>6262104</v>
      </c>
      <c r="G27" s="7">
        <v>15119284</v>
      </c>
      <c r="H27" s="6">
        <f t="shared" si="0"/>
        <v>2.4144095977965234</v>
      </c>
      <c r="I27" s="3" t="s">
        <v>1372</v>
      </c>
      <c r="J27" s="6" t="str">
        <f t="shared" si="1"/>
        <v>http://konect.cc/files/download.tsv.dimacs9-W.tar.bz2</v>
      </c>
      <c r="L27" s="5"/>
    </row>
    <row r="28" spans="3:12" ht="21" x14ac:dyDescent="0.25">
      <c r="C28" s="6" t="s">
        <v>3852</v>
      </c>
      <c r="D28" s="3" t="s">
        <v>32</v>
      </c>
      <c r="E28" s="6" t="s">
        <v>33</v>
      </c>
      <c r="F28" s="7">
        <v>6100692</v>
      </c>
      <c r="G28" s="7">
        <v>106749786</v>
      </c>
      <c r="H28" s="6">
        <f t="shared" si="0"/>
        <v>17.497979901296443</v>
      </c>
      <c r="I28" s="3" t="s">
        <v>1446</v>
      </c>
      <c r="J28" s="6" t="str">
        <f t="shared" si="1"/>
        <v>http://konect.cc/files/download.tsv.wikipedia_link_sv.tar.bz2</v>
      </c>
      <c r="L28" s="5"/>
    </row>
    <row r="29" spans="3:12" ht="21" x14ac:dyDescent="0.25">
      <c r="C29" s="6" t="s">
        <v>3845</v>
      </c>
      <c r="D29" s="3" t="s">
        <v>172</v>
      </c>
      <c r="E29" s="6" t="s">
        <v>38</v>
      </c>
      <c r="F29" s="7">
        <v>5892253</v>
      </c>
      <c r="G29" s="7">
        <v>44788448</v>
      </c>
      <c r="H29" s="6">
        <f t="shared" si="0"/>
        <v>7.6012431916959438</v>
      </c>
      <c r="I29" s="3" t="s">
        <v>1440</v>
      </c>
      <c r="J29" s="6" t="str">
        <f t="shared" si="1"/>
        <v>http://konect.cc/files/download.tsv.edit-enwiktionary.tar.bz2</v>
      </c>
      <c r="L29" s="5"/>
    </row>
    <row r="30" spans="3:12" ht="21" x14ac:dyDescent="0.25">
      <c r="C30" s="6" t="s">
        <v>3855</v>
      </c>
      <c r="D30" s="3" t="s">
        <v>37</v>
      </c>
      <c r="E30" s="6" t="s">
        <v>38</v>
      </c>
      <c r="F30" s="7">
        <v>5746517</v>
      </c>
      <c r="G30" s="7">
        <v>65690151</v>
      </c>
      <c r="H30" s="6">
        <f t="shared" si="0"/>
        <v>11.431298471752541</v>
      </c>
      <c r="I30" s="3" t="s">
        <v>1448</v>
      </c>
      <c r="J30" s="6" t="str">
        <f t="shared" si="1"/>
        <v>http://konect.cc/files/download.tsv.edit-ruwiki.tar.bz2</v>
      </c>
      <c r="L30" s="5"/>
    </row>
    <row r="31" spans="3:12" ht="21" x14ac:dyDescent="0.25">
      <c r="C31" s="6" t="s">
        <v>3870</v>
      </c>
      <c r="D31" s="6" t="s">
        <v>59</v>
      </c>
      <c r="E31" s="6" t="s">
        <v>60</v>
      </c>
      <c r="F31" s="7">
        <v>5345180</v>
      </c>
      <c r="G31" s="7">
        <v>301186579</v>
      </c>
      <c r="H31" s="6">
        <f t="shared" si="0"/>
        <v>56.347322073344586</v>
      </c>
      <c r="I31" s="3" t="s">
        <v>1460</v>
      </c>
      <c r="J31" s="6" t="str">
        <f t="shared" si="1"/>
        <v>http://konect.cc/files/download.tsv.delicious-ut.tar.bz2</v>
      </c>
      <c r="L31" s="5"/>
    </row>
    <row r="32" spans="3:12" ht="21" x14ac:dyDescent="0.25">
      <c r="C32" s="6" t="s">
        <v>3829</v>
      </c>
      <c r="D32" s="3" t="s">
        <v>158</v>
      </c>
      <c r="E32" s="6" t="s">
        <v>38</v>
      </c>
      <c r="F32" s="7">
        <v>5339125</v>
      </c>
      <c r="G32" s="7">
        <v>36369331</v>
      </c>
      <c r="H32" s="6">
        <f t="shared" si="0"/>
        <v>6.8118523166249147</v>
      </c>
      <c r="I32" s="3" t="s">
        <v>1425</v>
      </c>
      <c r="J32" s="6" t="str">
        <f t="shared" si="1"/>
        <v>http://konect.cc/files/download.tsv.edit-zhwiki.tar.bz2</v>
      </c>
      <c r="L32" s="5"/>
    </row>
    <row r="33" spans="3:12" ht="21" x14ac:dyDescent="0.25">
      <c r="C33" s="6" t="s">
        <v>3820</v>
      </c>
      <c r="D33" s="3" t="s">
        <v>150</v>
      </c>
      <c r="E33" s="6" t="s">
        <v>88</v>
      </c>
      <c r="F33" s="7">
        <v>5204176</v>
      </c>
      <c r="G33" s="7">
        <v>49174464</v>
      </c>
      <c r="H33" s="6">
        <f t="shared" si="0"/>
        <v>9.4490393868308828</v>
      </c>
      <c r="I33" s="3" t="s">
        <v>1417</v>
      </c>
      <c r="J33" s="6" t="str">
        <f t="shared" si="1"/>
        <v>http://konect.cc/files/download.tsv.livejournal-links.tar.bz2</v>
      </c>
      <c r="L33" s="5"/>
    </row>
    <row r="34" spans="3:12" ht="21" x14ac:dyDescent="0.25">
      <c r="C34" s="6" t="s">
        <v>3856</v>
      </c>
      <c r="D34" s="6" t="s">
        <v>39</v>
      </c>
      <c r="E34" s="6" t="s">
        <v>38</v>
      </c>
      <c r="F34" s="7">
        <v>5200968</v>
      </c>
      <c r="G34" s="7">
        <v>67613396</v>
      </c>
      <c r="H34" s="6">
        <f t="shared" si="0"/>
        <v>13.000156124782926</v>
      </c>
      <c r="I34" s="3" t="s">
        <v>1449</v>
      </c>
      <c r="J34" s="6" t="str">
        <f t="shared" si="1"/>
        <v>http://konect.cc/files/download.tsv.edit-itwiki.tar.bz2</v>
      </c>
      <c r="L34" s="5"/>
    </row>
    <row r="35" spans="3:12" ht="21" x14ac:dyDescent="0.25">
      <c r="C35" s="6" t="s">
        <v>3840</v>
      </c>
      <c r="D35" s="3" t="s">
        <v>26</v>
      </c>
      <c r="E35" s="6" t="s">
        <v>98</v>
      </c>
      <c r="F35" s="7">
        <v>4846609</v>
      </c>
      <c r="G35" s="7">
        <v>68475391</v>
      </c>
      <c r="H35" s="6">
        <f t="shared" si="0"/>
        <v>14.128515628143306</v>
      </c>
      <c r="I35" s="3" t="s">
        <v>1435</v>
      </c>
      <c r="J35" s="6" t="str">
        <f t="shared" si="1"/>
        <v>http://konect.cc/files/download.tsv.soc-LiveJournal1.tar.bz2</v>
      </c>
      <c r="L35" s="5"/>
    </row>
    <row r="36" spans="3:12" ht="21" x14ac:dyDescent="0.25">
      <c r="C36" s="6" t="s">
        <v>3826</v>
      </c>
      <c r="D36" s="6" t="s">
        <v>155</v>
      </c>
      <c r="E36" s="6" t="s">
        <v>38</v>
      </c>
      <c r="F36" s="7">
        <v>4784188</v>
      </c>
      <c r="G36" s="7">
        <v>35846280</v>
      </c>
      <c r="H36" s="6">
        <f t="shared" si="0"/>
        <v>7.4926570611355574</v>
      </c>
      <c r="I36" s="3" t="s">
        <v>2</v>
      </c>
      <c r="J36" s="6" t="str">
        <f t="shared" si="1"/>
        <v>http://konect.cc/files/download.tsv.edit-ptwiki.tar.bz2</v>
      </c>
      <c r="L36" s="5"/>
    </row>
    <row r="37" spans="3:12" ht="21" x14ac:dyDescent="0.25">
      <c r="C37" s="6" t="s">
        <v>3836</v>
      </c>
      <c r="D37" s="3" t="s">
        <v>165</v>
      </c>
      <c r="E37" s="6" t="s">
        <v>38</v>
      </c>
      <c r="F37" s="7">
        <v>4589850</v>
      </c>
      <c r="G37" s="7">
        <v>40578944</v>
      </c>
      <c r="H37" s="6">
        <f t="shared" si="0"/>
        <v>8.8410174624443059</v>
      </c>
      <c r="I37" s="3" t="s">
        <v>1431</v>
      </c>
      <c r="J37" s="6" t="str">
        <f t="shared" si="1"/>
        <v>http://konect.cc/files/download.tsv.edit-shwiki.tar.bz2</v>
      </c>
      <c r="L37" s="5"/>
    </row>
    <row r="38" spans="3:12" ht="21" x14ac:dyDescent="0.25">
      <c r="C38" s="6" t="s">
        <v>3812</v>
      </c>
      <c r="D38" s="3" t="s">
        <v>140</v>
      </c>
      <c r="E38" s="6" t="s">
        <v>38</v>
      </c>
      <c r="F38" s="7">
        <v>4064239</v>
      </c>
      <c r="G38" s="7">
        <v>22720139</v>
      </c>
      <c r="H38" s="6">
        <f t="shared" si="0"/>
        <v>5.5902566261482161</v>
      </c>
      <c r="I38" s="3" t="s">
        <v>1408</v>
      </c>
      <c r="J38" s="6" t="str">
        <f t="shared" si="1"/>
        <v>http://konect.cc/files/download.tsv.edit-mgwiktionary.tar.bz2</v>
      </c>
      <c r="L38" s="5"/>
    </row>
    <row r="39" spans="3:12" ht="21" x14ac:dyDescent="0.25">
      <c r="C39" s="6" t="s">
        <v>3841</v>
      </c>
      <c r="D39" s="3" t="s">
        <v>168</v>
      </c>
      <c r="E39" s="6" t="s">
        <v>38</v>
      </c>
      <c r="F39" s="7">
        <v>4021196</v>
      </c>
      <c r="G39" s="7">
        <v>41592827</v>
      </c>
      <c r="H39" s="6">
        <f t="shared" si="0"/>
        <v>10.343397088826309</v>
      </c>
      <c r="I39" s="3" t="s">
        <v>1436</v>
      </c>
      <c r="J39" s="6" t="str">
        <f t="shared" si="1"/>
        <v>http://konect.cc/files/download.tsv.edit-nlwiki.tar.bz2</v>
      </c>
      <c r="L39" s="5"/>
    </row>
    <row r="40" spans="3:12" ht="21" x14ac:dyDescent="0.25">
      <c r="C40" s="6" t="s">
        <v>2956</v>
      </c>
      <c r="D40" s="3" t="s">
        <v>29</v>
      </c>
      <c r="E40" s="6" t="s">
        <v>50</v>
      </c>
      <c r="F40" s="7">
        <v>3966924</v>
      </c>
      <c r="G40" s="7">
        <v>13820853</v>
      </c>
      <c r="H40" s="6">
        <f t="shared" si="0"/>
        <v>3.4840226331535469</v>
      </c>
      <c r="I40" s="3" t="s">
        <v>1366</v>
      </c>
      <c r="J40" s="6" t="str">
        <f t="shared" si="1"/>
        <v>http://konect.cc/files/download.tsv.dbpedia-all.tar.bz2</v>
      </c>
      <c r="L40" s="5"/>
    </row>
    <row r="41" spans="3:12" ht="21" x14ac:dyDescent="0.25">
      <c r="C41" s="6" t="s">
        <v>3849</v>
      </c>
      <c r="D41" s="3" t="s">
        <v>176</v>
      </c>
      <c r="E41" s="6" t="s">
        <v>33</v>
      </c>
      <c r="F41" s="7">
        <v>3924218</v>
      </c>
      <c r="G41" s="7">
        <v>106265500</v>
      </c>
      <c r="H41" s="6">
        <f t="shared" si="0"/>
        <v>27.079407922801433</v>
      </c>
      <c r="I41" s="3" t="s">
        <v>1443</v>
      </c>
      <c r="J41" s="6" t="str">
        <f t="shared" si="1"/>
        <v>http://konect.cc/files/download.tsv.wikipedia_link_sh.tar.bz2</v>
      </c>
      <c r="L41" s="5"/>
    </row>
    <row r="42" spans="3:12" ht="21" x14ac:dyDescent="0.25">
      <c r="C42" s="6" t="s">
        <v>3776</v>
      </c>
      <c r="D42" s="3" t="s">
        <v>100</v>
      </c>
      <c r="E42" s="6" t="s">
        <v>101</v>
      </c>
      <c r="F42" s="7">
        <v>3774768</v>
      </c>
      <c r="G42" s="7">
        <v>16518947</v>
      </c>
      <c r="H42" s="6">
        <f t="shared" si="0"/>
        <v>4.3761489447828321</v>
      </c>
      <c r="I42" s="3" t="s">
        <v>1374</v>
      </c>
      <c r="J42" s="6" t="str">
        <f t="shared" si="1"/>
        <v>http://konect.cc/files/download.tsv.patentcite.tar.bz2</v>
      </c>
      <c r="L42" s="5"/>
    </row>
    <row r="43" spans="3:12" ht="21" x14ac:dyDescent="0.25">
      <c r="C43" s="6" t="s">
        <v>3801</v>
      </c>
      <c r="D43" s="3" t="s">
        <v>127</v>
      </c>
      <c r="E43" s="6" t="s">
        <v>38</v>
      </c>
      <c r="F43" s="7">
        <v>3732366</v>
      </c>
      <c r="G43" s="7">
        <v>17908113</v>
      </c>
      <c r="H43" s="6">
        <f t="shared" si="0"/>
        <v>4.798059193551758</v>
      </c>
      <c r="I43" s="3" t="s">
        <v>1398</v>
      </c>
      <c r="J43" s="6" t="str">
        <f t="shared" si="1"/>
        <v>http://konect.cc/files/download.tsv.edit-fawiki.tar.bz2</v>
      </c>
      <c r="L43" s="5"/>
    </row>
    <row r="44" spans="3:12" ht="21" x14ac:dyDescent="0.25">
      <c r="C44" s="6" t="s">
        <v>3848</v>
      </c>
      <c r="D44" s="3" t="s">
        <v>175</v>
      </c>
      <c r="E44" s="6" t="s">
        <v>33</v>
      </c>
      <c r="F44" s="7">
        <v>3603726</v>
      </c>
      <c r="G44" s="7">
        <v>96865851</v>
      </c>
      <c r="H44" s="6">
        <f t="shared" si="0"/>
        <v>26.879360695013993</v>
      </c>
      <c r="I44" s="3" t="s">
        <v>10</v>
      </c>
      <c r="J44" s="6" t="str">
        <f t="shared" si="1"/>
        <v>http://konect.cc/files/download.tsv.wikipedia_link_de.tar.bz2</v>
      </c>
      <c r="L44" s="5"/>
    </row>
    <row r="45" spans="3:12" ht="21" x14ac:dyDescent="0.25">
      <c r="C45" s="6" t="s">
        <v>3738</v>
      </c>
      <c r="D45" s="3" t="s">
        <v>3739</v>
      </c>
      <c r="E45" s="6" t="s">
        <v>98</v>
      </c>
      <c r="F45" s="7">
        <v>3598623</v>
      </c>
      <c r="G45" s="7">
        <v>8708058</v>
      </c>
      <c r="H45" s="6">
        <f t="shared" si="0"/>
        <v>2.4198305851988384</v>
      </c>
      <c r="I45" s="3" t="s">
        <v>1342</v>
      </c>
      <c r="J45" s="6" t="str">
        <f t="shared" si="1"/>
        <v>http://konect.cc/files/download.tsv.dimacs9-E.tar.bz2</v>
      </c>
      <c r="L45" s="5"/>
    </row>
    <row r="46" spans="3:12" ht="21" x14ac:dyDescent="0.25">
      <c r="C46" s="6" t="s">
        <v>3814</v>
      </c>
      <c r="D46" s="3" t="s">
        <v>143</v>
      </c>
      <c r="E46" s="6" t="s">
        <v>38</v>
      </c>
      <c r="F46" s="7">
        <v>3585652</v>
      </c>
      <c r="G46" s="7">
        <v>25286492</v>
      </c>
      <c r="H46" s="6">
        <f t="shared" si="0"/>
        <v>7.0521322203047037</v>
      </c>
      <c r="I46" s="3" t="s">
        <v>1411</v>
      </c>
      <c r="J46" s="6" t="str">
        <f t="shared" si="1"/>
        <v>http://konect.cc/files/download.tsv.edit-viwiki.tar.bz2</v>
      </c>
      <c r="L46" s="5"/>
    </row>
    <row r="47" spans="3:12" ht="21" x14ac:dyDescent="0.25">
      <c r="C47" s="6" t="s">
        <v>3842</v>
      </c>
      <c r="D47" s="3" t="s">
        <v>169</v>
      </c>
      <c r="E47" s="6" t="s">
        <v>38</v>
      </c>
      <c r="F47" s="7">
        <v>3570948</v>
      </c>
      <c r="G47" s="7">
        <v>41998340</v>
      </c>
      <c r="H47" s="6">
        <f t="shared" si="0"/>
        <v>11.761117776007939</v>
      </c>
      <c r="I47" s="3" t="s">
        <v>1437</v>
      </c>
      <c r="J47" s="6" t="str">
        <f t="shared" si="1"/>
        <v>http://konect.cc/files/download.tsv.edit-jawiki.tar.bz2</v>
      </c>
      <c r="L47" s="5"/>
    </row>
    <row r="48" spans="3:12" ht="21" x14ac:dyDescent="0.25">
      <c r="C48" s="6" t="s">
        <v>3813</v>
      </c>
      <c r="D48" s="3" t="s">
        <v>141</v>
      </c>
      <c r="E48" s="6" t="s">
        <v>38</v>
      </c>
      <c r="F48" s="7">
        <v>3433145</v>
      </c>
      <c r="G48" s="7">
        <v>23443737</v>
      </c>
      <c r="H48" s="6">
        <f t="shared" si="0"/>
        <v>6.8286474937702897</v>
      </c>
      <c r="I48" s="3" t="s">
        <v>1409</v>
      </c>
      <c r="J48" s="6" t="str">
        <f t="shared" si="1"/>
        <v>http://konect.cc/files/download.tsv.edit-frwiktionary.tar.bz2</v>
      </c>
      <c r="L48" s="5"/>
    </row>
    <row r="49" spans="3:12" ht="21" x14ac:dyDescent="0.25">
      <c r="C49" s="6" t="s">
        <v>3751</v>
      </c>
      <c r="D49" s="3" t="s">
        <v>3752</v>
      </c>
      <c r="E49" s="6" t="s">
        <v>2405</v>
      </c>
      <c r="F49" s="7">
        <v>3376972</v>
      </c>
      <c r="G49" s="7">
        <v>5838041</v>
      </c>
      <c r="H49" s="6">
        <f t="shared" si="0"/>
        <v>1.728779806288</v>
      </c>
      <c r="I49" s="3" t="s">
        <v>1351</v>
      </c>
      <c r="J49" s="6" t="str">
        <f t="shared" si="1"/>
        <v>http://konect.cc/files/download.tsv.amazon-ratings.tar.bz2</v>
      </c>
      <c r="L49" s="5"/>
    </row>
    <row r="50" spans="3:12" ht="21" x14ac:dyDescent="0.25">
      <c r="C50" s="6" t="s">
        <v>3847</v>
      </c>
      <c r="D50" s="3" t="s">
        <v>174</v>
      </c>
      <c r="E50" s="6" t="s">
        <v>33</v>
      </c>
      <c r="F50" s="7">
        <v>3370462</v>
      </c>
      <c r="G50" s="7">
        <v>93373056</v>
      </c>
      <c r="H50" s="6">
        <f t="shared" si="0"/>
        <v>27.70334037292217</v>
      </c>
      <c r="I50" s="3" t="s">
        <v>1442</v>
      </c>
      <c r="J50" s="6" t="str">
        <f t="shared" si="1"/>
        <v>http://konect.cc/files/download.tsv.wikipedia_link_ru.tar.bz2</v>
      </c>
      <c r="L50" s="5"/>
    </row>
    <row r="51" spans="3:12" ht="21" x14ac:dyDescent="0.25">
      <c r="C51" s="6" t="s">
        <v>3859</v>
      </c>
      <c r="D51" s="3" t="s">
        <v>44</v>
      </c>
      <c r="E51" s="6" t="s">
        <v>33</v>
      </c>
      <c r="F51" s="7">
        <v>3333397</v>
      </c>
      <c r="G51" s="7">
        <v>123709902</v>
      </c>
      <c r="H51" s="6">
        <f t="shared" si="0"/>
        <v>37.112261755800468</v>
      </c>
      <c r="I51" s="3" t="s">
        <v>1451</v>
      </c>
      <c r="J51" s="6" t="str">
        <f t="shared" si="1"/>
        <v>http://konect.cc/files/download.tsv.wikipedia_link_fr.tar.bz2</v>
      </c>
      <c r="L51" s="5"/>
    </row>
    <row r="52" spans="3:12" ht="21" x14ac:dyDescent="0.25">
      <c r="C52" s="6" t="s">
        <v>3777</v>
      </c>
      <c r="D52" s="3" t="s">
        <v>74</v>
      </c>
      <c r="E52" s="6" t="s">
        <v>102</v>
      </c>
      <c r="F52" s="7">
        <v>3223589</v>
      </c>
      <c r="G52" s="7">
        <v>9375374</v>
      </c>
      <c r="H52" s="6">
        <f t="shared" si="0"/>
        <v>2.9083651793079079</v>
      </c>
      <c r="I52" s="3" t="s">
        <v>1375</v>
      </c>
      <c r="J52" s="6" t="str">
        <f t="shared" si="1"/>
        <v>http://konect.cc/files/download.tsv.youtube-u-growth.tar.bz2</v>
      </c>
      <c r="L52" s="5"/>
    </row>
    <row r="53" spans="3:12" ht="21" x14ac:dyDescent="0.25">
      <c r="C53" s="6" t="s">
        <v>3860</v>
      </c>
      <c r="D53" s="6" t="s">
        <v>45</v>
      </c>
      <c r="E53" s="6" t="s">
        <v>33</v>
      </c>
      <c r="F53" s="7">
        <v>3175009</v>
      </c>
      <c r="G53" s="7">
        <v>139586199</v>
      </c>
      <c r="H53" s="6">
        <f t="shared" si="0"/>
        <v>43.964032542899879</v>
      </c>
      <c r="I53" s="3" t="s">
        <v>1452</v>
      </c>
      <c r="J53" s="6" t="str">
        <f t="shared" si="1"/>
        <v>http://konect.cc/files/download.tsv.wikipedia_link_sr.tar.bz2</v>
      </c>
      <c r="L53" s="5"/>
    </row>
    <row r="54" spans="3:12" ht="21" x14ac:dyDescent="0.25">
      <c r="C54" s="6" t="s">
        <v>3808</v>
      </c>
      <c r="D54" s="3" t="s">
        <v>136</v>
      </c>
      <c r="E54" s="6" t="s">
        <v>38</v>
      </c>
      <c r="F54" s="7">
        <v>3153084</v>
      </c>
      <c r="G54" s="7">
        <v>19770083</v>
      </c>
      <c r="H54" s="6">
        <f t="shared" si="0"/>
        <v>6.2700781203418625</v>
      </c>
      <c r="I54" s="3" t="s">
        <v>1404</v>
      </c>
      <c r="J54" s="6" t="str">
        <f t="shared" si="1"/>
        <v>http://konect.cc/files/download.tsv.edit-arwiki.tar.bz2</v>
      </c>
      <c r="L54" s="5"/>
    </row>
    <row r="55" spans="3:12" ht="21" x14ac:dyDescent="0.25">
      <c r="C55" s="6" t="s">
        <v>3858</v>
      </c>
      <c r="D55" s="3" t="s">
        <v>27</v>
      </c>
      <c r="E55" s="6" t="s">
        <v>43</v>
      </c>
      <c r="F55" s="7">
        <v>3072441</v>
      </c>
      <c r="G55" s="7">
        <v>117184899</v>
      </c>
      <c r="H55" s="6">
        <f t="shared" si="0"/>
        <v>38.140650707369154</v>
      </c>
      <c r="I55" s="3" t="s">
        <v>6</v>
      </c>
      <c r="J55" s="6" t="str">
        <f t="shared" si="1"/>
        <v>http://konect.cc/files/download.tsv.orkut-links.tar.bz2</v>
      </c>
      <c r="L55" s="5"/>
    </row>
    <row r="56" spans="3:12" ht="21" x14ac:dyDescent="0.25">
      <c r="C56" s="6" t="s">
        <v>3817</v>
      </c>
      <c r="D56" s="3" t="s">
        <v>147</v>
      </c>
      <c r="E56" s="6" t="s">
        <v>33</v>
      </c>
      <c r="F56" s="7">
        <v>3033373</v>
      </c>
      <c r="G56" s="7">
        <v>46656045</v>
      </c>
      <c r="H56" s="6">
        <f t="shared" si="0"/>
        <v>15.380912601252797</v>
      </c>
      <c r="I56" s="3" t="s">
        <v>1414</v>
      </c>
      <c r="J56" s="6" t="str">
        <f t="shared" si="1"/>
        <v>http://konect.cc/files/download.tsv.wikipedia_link_es.tar.bz2</v>
      </c>
      <c r="L56" s="5"/>
    </row>
    <row r="57" spans="3:12" ht="21" x14ac:dyDescent="0.25">
      <c r="C57" s="6" t="s">
        <v>3815</v>
      </c>
      <c r="D57" s="3" t="s">
        <v>144</v>
      </c>
      <c r="E57" s="6" t="s">
        <v>145</v>
      </c>
      <c r="F57" s="7">
        <v>2987535</v>
      </c>
      <c r="G57" s="7">
        <v>24981163</v>
      </c>
      <c r="H57" s="6">
        <f t="shared" si="0"/>
        <v>8.3617976023711851</v>
      </c>
      <c r="I57" s="3" t="s">
        <v>1412</v>
      </c>
      <c r="J57" s="6" t="str">
        <f t="shared" si="1"/>
        <v>http://konect.cc/files/download.tsv.wiki_talk_en.tar.bz2</v>
      </c>
      <c r="L57" s="5"/>
    </row>
    <row r="58" spans="3:12" ht="21" x14ac:dyDescent="0.25">
      <c r="C58" s="6" t="s">
        <v>3792</v>
      </c>
      <c r="D58" s="3" t="s">
        <v>117</v>
      </c>
      <c r="E58" s="6" t="s">
        <v>118</v>
      </c>
      <c r="F58" s="7">
        <v>2919613</v>
      </c>
      <c r="G58" s="7">
        <v>12887063</v>
      </c>
      <c r="H58" s="6">
        <f t="shared" si="0"/>
        <v>4.4139627409523108</v>
      </c>
      <c r="I58" s="3" t="s">
        <v>3895</v>
      </c>
      <c r="J58" s="6" t="str">
        <f t="shared" si="1"/>
        <v>http://konect.cc/files/download.tsv.munmun_twitterex_at.tar.bz2</v>
      </c>
      <c r="L58" s="5"/>
    </row>
    <row r="59" spans="3:12" ht="21" x14ac:dyDescent="0.25">
      <c r="C59" s="6" t="s">
        <v>3744</v>
      </c>
      <c r="D59" s="3" t="s">
        <v>3745</v>
      </c>
      <c r="E59" s="6" t="s">
        <v>38</v>
      </c>
      <c r="F59" s="7">
        <v>2877072</v>
      </c>
      <c r="G59" s="7">
        <v>6145080</v>
      </c>
      <c r="H59" s="6">
        <f t="shared" si="0"/>
        <v>2.1358798111413271</v>
      </c>
      <c r="I59" s="3" t="s">
        <v>1345</v>
      </c>
      <c r="J59" s="6" t="str">
        <f t="shared" si="1"/>
        <v>http://konect.cc/files/download.tsv.edit-warwiki.tar.bz2</v>
      </c>
      <c r="L59" s="5"/>
    </row>
    <row r="60" spans="3:12" ht="21" x14ac:dyDescent="0.25">
      <c r="C60" s="6" t="s">
        <v>3838</v>
      </c>
      <c r="D60" s="3" t="s">
        <v>167</v>
      </c>
      <c r="E60" s="6" t="s">
        <v>38</v>
      </c>
      <c r="F60" s="7">
        <v>2872213</v>
      </c>
      <c r="G60" s="7">
        <v>40744770</v>
      </c>
      <c r="H60" s="6">
        <f t="shared" si="0"/>
        <v>14.185845548362883</v>
      </c>
      <c r="I60" s="3" t="s">
        <v>1433</v>
      </c>
      <c r="J60" s="6" t="str">
        <f t="shared" si="1"/>
        <v>http://konect.cc/files/download.tsv.edit-plwiki.tar.bz2</v>
      </c>
      <c r="L60" s="5"/>
    </row>
    <row r="61" spans="3:12" ht="21" x14ac:dyDescent="0.25">
      <c r="C61" s="6" t="s">
        <v>3690</v>
      </c>
      <c r="D61" s="3" t="s">
        <v>3691</v>
      </c>
      <c r="E61" s="6" t="s">
        <v>38</v>
      </c>
      <c r="F61" s="7">
        <v>2766389</v>
      </c>
      <c r="G61" s="7">
        <v>4035910</v>
      </c>
      <c r="H61" s="6">
        <f t="shared" si="0"/>
        <v>1.4589090688258231</v>
      </c>
      <c r="I61" s="3" t="s">
        <v>1318</v>
      </c>
      <c r="J61" s="6" t="str">
        <f t="shared" si="1"/>
        <v>http://konect.cc/files/download.tsv.edit-enwikinews.tar.bz2</v>
      </c>
      <c r="L61" s="5"/>
    </row>
    <row r="62" spans="3:12" ht="21" x14ac:dyDescent="0.25">
      <c r="C62" s="6" t="s">
        <v>3692</v>
      </c>
      <c r="D62" s="3" t="s">
        <v>3693</v>
      </c>
      <c r="E62" s="6" t="s">
        <v>98</v>
      </c>
      <c r="F62" s="7">
        <v>2758119</v>
      </c>
      <c r="G62" s="7">
        <v>6794808</v>
      </c>
      <c r="H62" s="6">
        <f t="shared" si="0"/>
        <v>2.4635659302589916</v>
      </c>
      <c r="I62" s="3" t="s">
        <v>1319</v>
      </c>
      <c r="J62" s="6" t="str">
        <f t="shared" si="1"/>
        <v>http://konect.cc/files/download.tsv.dimacs9-LKS.tar.bz2</v>
      </c>
      <c r="L62" s="5"/>
    </row>
    <row r="63" spans="3:12" ht="21" x14ac:dyDescent="0.25">
      <c r="C63" s="6" t="s">
        <v>3825</v>
      </c>
      <c r="D63" s="3" t="s">
        <v>154</v>
      </c>
      <c r="E63" s="6" t="s">
        <v>33</v>
      </c>
      <c r="F63" s="7">
        <v>2622756</v>
      </c>
      <c r="G63" s="7">
        <v>59168169</v>
      </c>
      <c r="H63" s="6">
        <f t="shared" si="0"/>
        <v>22.559540041086553</v>
      </c>
      <c r="I63" s="3" t="s">
        <v>1422</v>
      </c>
      <c r="J63" s="6" t="str">
        <f t="shared" si="1"/>
        <v>http://konect.cc/files/download.tsv.wikipedia_link_nl.tar.bz2</v>
      </c>
      <c r="L63" s="5"/>
    </row>
    <row r="64" spans="3:12" ht="21" x14ac:dyDescent="0.25">
      <c r="C64" s="6" t="s">
        <v>2189</v>
      </c>
      <c r="D64" s="3" t="s">
        <v>41</v>
      </c>
      <c r="E64" s="6" t="s">
        <v>42</v>
      </c>
      <c r="F64" s="7">
        <v>2601977</v>
      </c>
      <c r="G64" s="7">
        <v>63497050</v>
      </c>
      <c r="H64" s="6">
        <f t="shared" si="0"/>
        <v>24.403386348149887</v>
      </c>
      <c r="I64" s="3" t="s">
        <v>7</v>
      </c>
      <c r="J64" s="6" t="str">
        <f t="shared" si="1"/>
        <v>http://konect.cc/files/download.tsv.sx-stackoverflow.tar.bz2</v>
      </c>
      <c r="L64" s="5"/>
    </row>
    <row r="65" spans="3:12" ht="21" x14ac:dyDescent="0.25">
      <c r="C65" s="6" t="s">
        <v>3703</v>
      </c>
      <c r="D65" s="3" t="s">
        <v>1531</v>
      </c>
      <c r="E65" s="6" t="s">
        <v>83</v>
      </c>
      <c r="F65" s="7">
        <v>2523386</v>
      </c>
      <c r="G65" s="7">
        <v>7918801</v>
      </c>
      <c r="H65" s="6">
        <f t="shared" si="0"/>
        <v>3.1381647516471913</v>
      </c>
      <c r="I65" s="3" t="s">
        <v>1325</v>
      </c>
      <c r="J65" s="6" t="str">
        <f t="shared" si="1"/>
        <v>http://konect.cc/files/download.tsv.flixster.tar.bz2</v>
      </c>
      <c r="L65" s="5"/>
    </row>
    <row r="66" spans="3:12" ht="21" x14ac:dyDescent="0.25">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row>
    <row r="67" spans="3:12" ht="21" x14ac:dyDescent="0.25">
      <c r="C67" s="6" t="s">
        <v>2959</v>
      </c>
      <c r="D67" s="3" t="s">
        <v>2960</v>
      </c>
      <c r="E67" s="6" t="s">
        <v>38</v>
      </c>
      <c r="F67" s="7">
        <v>2409110</v>
      </c>
      <c r="G67" s="7">
        <v>6523303</v>
      </c>
      <c r="H67" s="6">
        <f t="shared" si="2"/>
        <v>2.7077646931854504</v>
      </c>
      <c r="I67" s="3" t="s">
        <v>1348</v>
      </c>
      <c r="J67" s="6" t="str">
        <f t="shared" si="3"/>
        <v>http://konect.cc/files/download.tsv.edit-frwikisource.tar.bz2</v>
      </c>
      <c r="L67" s="5"/>
    </row>
    <row r="68" spans="3:12" ht="21" x14ac:dyDescent="0.25">
      <c r="C68" s="6" t="s">
        <v>3601</v>
      </c>
      <c r="D68" s="3" t="s">
        <v>3602</v>
      </c>
      <c r="E68" s="6" t="s">
        <v>3603</v>
      </c>
      <c r="F68" s="7">
        <v>2394385</v>
      </c>
      <c r="G68" s="7">
        <v>5021410</v>
      </c>
      <c r="H68" s="6">
        <f t="shared" si="2"/>
        <v>2.0971606487678462</v>
      </c>
      <c r="I68" s="3" t="s">
        <v>11</v>
      </c>
      <c r="J68" s="6" t="str">
        <f t="shared" si="3"/>
        <v>http://konect.cc/files/download.tsv.wiki-Talk.tar.bz2</v>
      </c>
      <c r="L68" s="5"/>
    </row>
    <row r="69" spans="3:12" ht="21" x14ac:dyDescent="0.25">
      <c r="C69" s="6" t="s">
        <v>3780</v>
      </c>
      <c r="D69" s="3" t="s">
        <v>105</v>
      </c>
      <c r="E69" s="6" t="s">
        <v>38</v>
      </c>
      <c r="F69" s="7">
        <v>2308975</v>
      </c>
      <c r="G69" s="7">
        <v>11441391</v>
      </c>
      <c r="H69" s="6">
        <f t="shared" si="2"/>
        <v>4.9551818447579556</v>
      </c>
      <c r="I69" s="3" t="s">
        <v>1378</v>
      </c>
      <c r="J69" s="6" t="str">
        <f t="shared" si="3"/>
        <v>http://konect.cc/files/download.tsv.edit-idwiki.tar.bz2</v>
      </c>
      <c r="L69" s="5"/>
    </row>
    <row r="70" spans="3:12" ht="21" x14ac:dyDescent="0.25">
      <c r="C70" s="6" t="s">
        <v>3828</v>
      </c>
      <c r="D70" s="6" t="s">
        <v>72</v>
      </c>
      <c r="E70" s="6" t="s">
        <v>157</v>
      </c>
      <c r="F70" s="7">
        <v>2302925</v>
      </c>
      <c r="G70" s="7">
        <v>33140017</v>
      </c>
      <c r="H70" s="6">
        <f t="shared" si="2"/>
        <v>14.390402205890336</v>
      </c>
      <c r="I70" s="3" t="s">
        <v>1424</v>
      </c>
      <c r="J70" s="6" t="str">
        <f t="shared" si="3"/>
        <v>http://konect.cc/files/download.tsv.flickr-growth.tar.bz2</v>
      </c>
      <c r="L70" s="5"/>
    </row>
    <row r="71" spans="3:12" ht="21" x14ac:dyDescent="0.25">
      <c r="C71" s="6" t="s">
        <v>3805</v>
      </c>
      <c r="D71" s="3" t="s">
        <v>131</v>
      </c>
      <c r="E71" s="6" t="s">
        <v>38</v>
      </c>
      <c r="F71" s="7">
        <v>2219329</v>
      </c>
      <c r="G71" s="7">
        <v>18633506</v>
      </c>
      <c r="H71" s="6">
        <f t="shared" si="2"/>
        <v>8.3960088837662195</v>
      </c>
      <c r="I71" s="3" t="s">
        <v>1402</v>
      </c>
      <c r="J71" s="6" t="str">
        <f t="shared" si="3"/>
        <v>http://konect.cc/files/download.tsv.edit-ukwiki.tar.bz2</v>
      </c>
      <c r="L71" s="5"/>
    </row>
    <row r="72" spans="3:12" ht="21" x14ac:dyDescent="0.25">
      <c r="C72" s="6" t="s">
        <v>3853</v>
      </c>
      <c r="D72" s="3" t="s">
        <v>34</v>
      </c>
      <c r="E72" s="6" t="s">
        <v>35</v>
      </c>
      <c r="F72" s="7">
        <v>2212682</v>
      </c>
      <c r="G72" s="7">
        <v>59008831</v>
      </c>
      <c r="H72" s="6">
        <f t="shared" si="2"/>
        <v>26.668464334233295</v>
      </c>
      <c r="I72" s="3" t="s">
        <v>3</v>
      </c>
      <c r="J72" s="6" t="str">
        <f t="shared" si="3"/>
        <v>http://konect.cc/files/download.tsv.link-dynamic-frwiki.tar.bz2</v>
      </c>
      <c r="L72" s="5"/>
    </row>
    <row r="73" spans="3:12" ht="21" x14ac:dyDescent="0.25">
      <c r="C73" s="6" t="s">
        <v>3417</v>
      </c>
      <c r="D73" s="3" t="s">
        <v>3418</v>
      </c>
      <c r="E73" s="6" t="s">
        <v>38</v>
      </c>
      <c r="F73" s="7">
        <v>2210887</v>
      </c>
      <c r="G73" s="7">
        <v>6561379</v>
      </c>
      <c r="H73" s="6">
        <f t="shared" si="2"/>
        <v>2.9677586416673489</v>
      </c>
      <c r="I73" s="3" t="s">
        <v>1350</v>
      </c>
      <c r="J73" s="6" t="str">
        <f t="shared" si="3"/>
        <v>http://konect.cc/files/download.tsv.edit-enwikisource.tar.bz2</v>
      </c>
      <c r="L73" s="5"/>
    </row>
    <row r="74" spans="3:12" ht="21" x14ac:dyDescent="0.25">
      <c r="C74" s="6" t="s">
        <v>3861</v>
      </c>
      <c r="D74" s="3" t="s">
        <v>47</v>
      </c>
      <c r="E74" s="6" t="s">
        <v>35</v>
      </c>
      <c r="F74" s="7">
        <v>2166669</v>
      </c>
      <c r="G74" s="7">
        <v>86337879</v>
      </c>
      <c r="H74" s="6">
        <f t="shared" si="2"/>
        <v>39.848208932698071</v>
      </c>
      <c r="I74" s="3" t="s">
        <v>1454</v>
      </c>
      <c r="J74" s="6" t="str">
        <f t="shared" si="3"/>
        <v>http://konect.cc/files/download.tsv.link-dynamic-dewiki.tar.bz2</v>
      </c>
      <c r="L74" s="5"/>
    </row>
    <row r="75" spans="3:12" ht="21" x14ac:dyDescent="0.25">
      <c r="C75" s="6" t="s">
        <v>3851</v>
      </c>
      <c r="D75" s="3" t="s">
        <v>178</v>
      </c>
      <c r="E75" s="6" t="s">
        <v>33</v>
      </c>
      <c r="F75" s="7">
        <v>2148791</v>
      </c>
      <c r="G75" s="7">
        <v>104719994</v>
      </c>
      <c r="H75" s="6">
        <f t="shared" si="2"/>
        <v>48.734378541235515</v>
      </c>
      <c r="I75" s="3" t="s">
        <v>1445</v>
      </c>
      <c r="J75" s="6" t="str">
        <f t="shared" si="3"/>
        <v>http://konect.cc/files/download.tsv.wikipedia_link_it.tar.bz2</v>
      </c>
      <c r="L75" s="5"/>
    </row>
    <row r="76" spans="3:12" ht="21" x14ac:dyDescent="0.25">
      <c r="C76" s="6" t="s">
        <v>3773</v>
      </c>
      <c r="D76" s="3" t="s">
        <v>95</v>
      </c>
      <c r="E76" s="6" t="s">
        <v>96</v>
      </c>
      <c r="F76" s="7">
        <v>2141300</v>
      </c>
      <c r="G76" s="7">
        <v>17794839</v>
      </c>
      <c r="H76" s="6">
        <f t="shared" si="2"/>
        <v>8.3102970158315035</v>
      </c>
      <c r="I76" s="3" t="s">
        <v>1371</v>
      </c>
      <c r="J76" s="6" t="str">
        <f t="shared" si="3"/>
        <v>http://konect.cc/files/download.tsv.zhishi-baidu-internallink.tar.bz2</v>
      </c>
      <c r="L76" s="5"/>
    </row>
    <row r="77" spans="3:12" ht="21" x14ac:dyDescent="0.25">
      <c r="C77" s="6" t="s">
        <v>3832</v>
      </c>
      <c r="D77" s="3" t="s">
        <v>161</v>
      </c>
      <c r="E77" s="6" t="s">
        <v>33</v>
      </c>
      <c r="F77" s="7">
        <v>2105723</v>
      </c>
      <c r="G77" s="7">
        <v>66969531</v>
      </c>
      <c r="H77" s="6">
        <f t="shared" si="2"/>
        <v>31.803580527923188</v>
      </c>
      <c r="I77" s="3" t="s">
        <v>1427</v>
      </c>
      <c r="J77" s="6" t="str">
        <f t="shared" si="3"/>
        <v>http://konect.cc/files/download.tsv.wikipedia_link_fa.tar.bz2</v>
      </c>
      <c r="L77" s="5"/>
    </row>
    <row r="78" spans="3:12" ht="21" x14ac:dyDescent="0.25">
      <c r="C78" s="6" t="s">
        <v>3809</v>
      </c>
      <c r="D78" s="6" t="s">
        <v>137</v>
      </c>
      <c r="E78" s="6" t="s">
        <v>33</v>
      </c>
      <c r="F78" s="7">
        <v>2093450</v>
      </c>
      <c r="G78" s="7">
        <v>38631915</v>
      </c>
      <c r="H78" s="6">
        <f t="shared" si="2"/>
        <v>18.453707993981226</v>
      </c>
      <c r="I78" s="3" t="s">
        <v>1405</v>
      </c>
      <c r="J78" s="6" t="str">
        <f t="shared" si="3"/>
        <v>http://konect.cc/files/download.tsv.wikipedia_link_war.tar.bz2</v>
      </c>
      <c r="L78" s="5"/>
    </row>
    <row r="79" spans="3:12" ht="21" x14ac:dyDescent="0.25">
      <c r="C79" s="6" t="s">
        <v>3531</v>
      </c>
      <c r="D79" s="3" t="s">
        <v>3532</v>
      </c>
      <c r="E79" s="6" t="s">
        <v>36</v>
      </c>
      <c r="F79" s="7">
        <v>2036440</v>
      </c>
      <c r="G79" s="7">
        <v>3795796</v>
      </c>
      <c r="H79" s="6">
        <f t="shared" si="2"/>
        <v>1.8639370666457151</v>
      </c>
      <c r="I79" s="3" t="s">
        <v>1237</v>
      </c>
      <c r="J79" s="6" t="str">
        <f t="shared" si="3"/>
        <v>http://konect.cc/files/download.tsv.wiki-en-cat.tar.bz2</v>
      </c>
      <c r="L79" s="5"/>
    </row>
    <row r="80" spans="3:12" ht="21" x14ac:dyDescent="0.25">
      <c r="C80" s="6" t="s">
        <v>3760</v>
      </c>
      <c r="D80" s="3" t="s">
        <v>75</v>
      </c>
      <c r="E80" s="6" t="s">
        <v>58</v>
      </c>
      <c r="F80" s="7">
        <v>2025594</v>
      </c>
      <c r="G80" s="7">
        <v>14414659</v>
      </c>
      <c r="H80" s="6">
        <f t="shared" si="2"/>
        <v>7.1162626864021119</v>
      </c>
      <c r="I80" s="3" t="s">
        <v>1356</v>
      </c>
      <c r="J80" s="6" t="str">
        <f t="shared" si="3"/>
        <v>http://konect.cc/files/download.tsv.discogs_affiliation.tar.bz2</v>
      </c>
      <c r="L80" s="5"/>
    </row>
    <row r="81" spans="3:12" ht="21" x14ac:dyDescent="0.25">
      <c r="C81" s="6" t="s">
        <v>3769</v>
      </c>
      <c r="D81" s="3" t="s">
        <v>90</v>
      </c>
      <c r="E81" s="6" t="s">
        <v>33</v>
      </c>
      <c r="F81" s="7">
        <v>1984484</v>
      </c>
      <c r="G81" s="7">
        <v>14869484</v>
      </c>
      <c r="H81" s="6">
        <f t="shared" si="2"/>
        <v>7.4928716986380337</v>
      </c>
      <c r="I81" s="3" t="s">
        <v>1365</v>
      </c>
      <c r="J81" s="6" t="str">
        <f t="shared" si="3"/>
        <v>http://konect.cc/files/download.tsv.zhishi-hudong-internallink.tar.bz2</v>
      </c>
      <c r="L81" s="5"/>
    </row>
    <row r="82" spans="3:12" ht="21" x14ac:dyDescent="0.25">
      <c r="C82" s="6" t="s">
        <v>3490</v>
      </c>
      <c r="D82" s="3" t="s">
        <v>1529</v>
      </c>
      <c r="E82" s="6" t="s">
        <v>83</v>
      </c>
      <c r="F82" s="7">
        <v>1965206</v>
      </c>
      <c r="G82" s="7">
        <v>2766607</v>
      </c>
      <c r="H82" s="6">
        <f t="shared" si="2"/>
        <v>1.4077949080147323</v>
      </c>
      <c r="I82" s="3" t="s">
        <v>1218</v>
      </c>
      <c r="J82" s="6" t="str">
        <f t="shared" si="3"/>
        <v>http://konect.cc/files/download.tsv.roadNet-CA.tar.bz2</v>
      </c>
      <c r="L82" s="5"/>
    </row>
    <row r="83" spans="3:12" ht="21" x14ac:dyDescent="0.25">
      <c r="C83" s="6" t="s">
        <v>3250</v>
      </c>
      <c r="D83" s="3" t="s">
        <v>3616</v>
      </c>
      <c r="E83" s="6" t="s">
        <v>98</v>
      </c>
      <c r="F83" s="7">
        <v>1890815</v>
      </c>
      <c r="G83" s="7">
        <v>4630444</v>
      </c>
      <c r="H83" s="6">
        <f t="shared" si="2"/>
        <v>2.4489143570365162</v>
      </c>
      <c r="I83" s="3" t="s">
        <v>1280</v>
      </c>
      <c r="J83" s="6" t="str">
        <f t="shared" si="3"/>
        <v>http://konect.cc/files/download.tsv.dimacs9-CAL.tar.bz2</v>
      </c>
      <c r="L83" s="5"/>
    </row>
    <row r="84" spans="3:12" ht="21" x14ac:dyDescent="0.25">
      <c r="C84" s="6" t="s">
        <v>3844</v>
      </c>
      <c r="D84" s="3" t="s">
        <v>171</v>
      </c>
      <c r="E84" s="6" t="s">
        <v>157</v>
      </c>
      <c r="F84" s="7">
        <v>1870709</v>
      </c>
      <c r="G84" s="7">
        <v>39953145</v>
      </c>
      <c r="H84" s="6">
        <f t="shared" si="2"/>
        <v>21.357220711505637</v>
      </c>
      <c r="I84" s="3" t="s">
        <v>1439</v>
      </c>
      <c r="J84" s="6" t="str">
        <f t="shared" si="3"/>
        <v>http://konect.cc/files/download.tsv.wikipedia-growth.tar.bz2</v>
      </c>
      <c r="L84" s="5"/>
    </row>
    <row r="85" spans="3:12" ht="21" x14ac:dyDescent="0.25">
      <c r="C85" s="6" t="s">
        <v>3821</v>
      </c>
      <c r="D85" s="3" t="s">
        <v>71</v>
      </c>
      <c r="E85" s="6" t="s">
        <v>151</v>
      </c>
      <c r="F85" s="7">
        <v>1824701</v>
      </c>
      <c r="G85" s="7">
        <v>29487744</v>
      </c>
      <c r="H85" s="6">
        <f t="shared" si="2"/>
        <v>16.160315580470446</v>
      </c>
      <c r="I85" s="3" t="s">
        <v>1418</v>
      </c>
      <c r="J85" s="6" t="str">
        <f t="shared" si="3"/>
        <v>http://konect.cc/files/download.tsv.dblp_coauthor.tar.bz2</v>
      </c>
      <c r="L85" s="5"/>
    </row>
    <row r="86" spans="3:12" ht="21" x14ac:dyDescent="0.25">
      <c r="C86" s="6" t="s">
        <v>3772</v>
      </c>
      <c r="D86" s="3" t="s">
        <v>94</v>
      </c>
      <c r="E86" s="6" t="s">
        <v>38</v>
      </c>
      <c r="F86" s="7">
        <v>1798416</v>
      </c>
      <c r="G86" s="7">
        <v>9945745</v>
      </c>
      <c r="H86" s="6">
        <f t="shared" si="2"/>
        <v>5.5302805357603582</v>
      </c>
      <c r="I86" s="3" t="s">
        <v>1370</v>
      </c>
      <c r="J86" s="6" t="str">
        <f t="shared" si="3"/>
        <v>http://konect.cc/files/download.tsv.edit-rowiki.tar.bz2</v>
      </c>
      <c r="L86" s="5"/>
    </row>
    <row r="87" spans="3:12" ht="21" x14ac:dyDescent="0.25">
      <c r="C87" s="6" t="s">
        <v>3837</v>
      </c>
      <c r="D87" s="3" t="s">
        <v>166</v>
      </c>
      <c r="E87" s="6" t="s">
        <v>33</v>
      </c>
      <c r="F87" s="7">
        <v>1786381</v>
      </c>
      <c r="G87" s="7">
        <v>72614837</v>
      </c>
      <c r="H87" s="6">
        <f t="shared" si="2"/>
        <v>40.649131960091381</v>
      </c>
      <c r="I87" s="3" t="s">
        <v>1432</v>
      </c>
      <c r="J87" s="6" t="str">
        <f t="shared" si="3"/>
        <v>http://konect.cc/files/download.tsv.wikipedia_link_zh.tar.bz2</v>
      </c>
      <c r="L87" s="5"/>
    </row>
    <row r="88" spans="3:12" ht="21" x14ac:dyDescent="0.25">
      <c r="C88" s="6" t="s">
        <v>3846</v>
      </c>
      <c r="D88" s="3" t="s">
        <v>173</v>
      </c>
      <c r="E88" s="6" t="s">
        <v>33</v>
      </c>
      <c r="F88" s="7">
        <v>1767268</v>
      </c>
      <c r="G88" s="7">
        <v>83202622</v>
      </c>
      <c r="H88" s="6">
        <f t="shared" si="2"/>
        <v>47.079798876005221</v>
      </c>
      <c r="I88" s="3" t="s">
        <v>1441</v>
      </c>
      <c r="J88" s="6" t="str">
        <f t="shared" si="3"/>
        <v>http://konect.cc/files/download.tsv.wikipedia_link_ja.tar.bz2</v>
      </c>
      <c r="L88" s="5"/>
    </row>
    <row r="89" spans="3:12" ht="21" x14ac:dyDescent="0.25">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12" ht="21" x14ac:dyDescent="0.25">
      <c r="C90" s="6" t="s">
        <v>3822</v>
      </c>
      <c r="D90" s="3" t="s">
        <v>152</v>
      </c>
      <c r="E90" s="6" t="s">
        <v>33</v>
      </c>
      <c r="F90" s="7">
        <v>1744781</v>
      </c>
      <c r="G90" s="7">
        <v>57679728</v>
      </c>
      <c r="H90" s="6">
        <f t="shared" si="2"/>
        <v>33.058434267681733</v>
      </c>
      <c r="I90" s="3" t="s">
        <v>1419</v>
      </c>
      <c r="J90" s="6" t="str">
        <f t="shared" si="3"/>
        <v>http://konect.cc/files/download.tsv.wikipedia_link_pt.tar.bz2</v>
      </c>
      <c r="L90" s="5"/>
    </row>
    <row r="91" spans="3:12" ht="21" x14ac:dyDescent="0.25">
      <c r="C91" s="6" t="s">
        <v>3850</v>
      </c>
      <c r="D91" s="6" t="s">
        <v>177</v>
      </c>
      <c r="E91" s="6" t="s">
        <v>58</v>
      </c>
      <c r="F91" s="7">
        <v>1729302</v>
      </c>
      <c r="G91" s="7">
        <v>151632178</v>
      </c>
      <c r="H91" s="6">
        <f t="shared" si="2"/>
        <v>87.684035524159455</v>
      </c>
      <c r="I91" s="3" t="s">
        <v>1444</v>
      </c>
      <c r="J91" s="6" t="str">
        <f t="shared" si="3"/>
        <v>http://konect.cc/files/download.tsv.gottron-trec.tar.bz2</v>
      </c>
      <c r="L91" s="5"/>
    </row>
    <row r="92" spans="3:12" ht="21" x14ac:dyDescent="0.25">
      <c r="C92" s="6" t="s">
        <v>3767</v>
      </c>
      <c r="D92" s="3" t="s">
        <v>87</v>
      </c>
      <c r="E92" s="6" t="s">
        <v>88</v>
      </c>
      <c r="F92" s="7">
        <v>1715255</v>
      </c>
      <c r="G92" s="7">
        <v>15551250</v>
      </c>
      <c r="H92" s="6">
        <f t="shared" si="2"/>
        <v>9.0664361858732381</v>
      </c>
      <c r="I92" s="3" t="s">
        <v>1363</v>
      </c>
      <c r="J92" s="6" t="str">
        <f t="shared" si="3"/>
        <v>http://konect.cc/files/download.tsv.flickr-links.tar.bz2</v>
      </c>
      <c r="L92" s="5"/>
    </row>
    <row r="93" spans="3:12" ht="21" x14ac:dyDescent="0.25">
      <c r="C93" s="6" t="s">
        <v>3746</v>
      </c>
      <c r="D93" s="3" t="s">
        <v>1532</v>
      </c>
      <c r="E93" s="6" t="s">
        <v>83</v>
      </c>
      <c r="F93" s="7">
        <v>1696415</v>
      </c>
      <c r="G93" s="7">
        <v>11095298</v>
      </c>
      <c r="H93" s="6">
        <f t="shared" si="2"/>
        <v>6.5404385129817877</v>
      </c>
      <c r="I93" s="3" t="s">
        <v>1346</v>
      </c>
      <c r="J93" s="6" t="str">
        <f t="shared" si="3"/>
        <v>http://konect.cc/files/download.tsv.as-skitter.tar.bz2</v>
      </c>
      <c r="L93" s="5"/>
    </row>
    <row r="94" spans="3:12" ht="21" x14ac:dyDescent="0.25">
      <c r="C94" s="6" t="s">
        <v>3834</v>
      </c>
      <c r="D94" s="3" t="s">
        <v>163</v>
      </c>
      <c r="E94" s="6" t="s">
        <v>33</v>
      </c>
      <c r="F94" s="7">
        <v>1688608</v>
      </c>
      <c r="G94" s="7">
        <v>70256468</v>
      </c>
      <c r="H94" s="6">
        <f t="shared" si="2"/>
        <v>41.606144232409179</v>
      </c>
      <c r="I94" s="3" t="s">
        <v>1429</v>
      </c>
      <c r="J94" s="6" t="str">
        <f t="shared" si="3"/>
        <v>http://konect.cc/files/download.tsv.wikipedia_link_pl.tar.bz2</v>
      </c>
      <c r="L94" s="5"/>
    </row>
    <row r="95" spans="3:12" ht="21" x14ac:dyDescent="0.25">
      <c r="C95" s="6" t="s">
        <v>3788</v>
      </c>
      <c r="D95" s="3" t="s">
        <v>113</v>
      </c>
      <c r="E95" s="6" t="s">
        <v>38</v>
      </c>
      <c r="F95" s="7">
        <v>1687395</v>
      </c>
      <c r="G95" s="7">
        <v>13472951</v>
      </c>
      <c r="H95" s="6">
        <f t="shared" si="2"/>
        <v>7.984467774291141</v>
      </c>
      <c r="I95" s="3" t="s">
        <v>1386</v>
      </c>
      <c r="J95" s="6" t="str">
        <f t="shared" si="3"/>
        <v>http://konect.cc/files/download.tsv.edit-trwiki.tar.bz2</v>
      </c>
      <c r="L95" s="5"/>
    </row>
    <row r="96" spans="3:12" ht="21" x14ac:dyDescent="0.25">
      <c r="C96" s="6" t="s">
        <v>3659</v>
      </c>
      <c r="D96" s="3" t="s">
        <v>78</v>
      </c>
      <c r="E96" s="6" t="s">
        <v>98</v>
      </c>
      <c r="F96" s="7">
        <v>1632803</v>
      </c>
      <c r="G96" s="7">
        <v>30622564</v>
      </c>
      <c r="H96" s="6">
        <f t="shared" si="2"/>
        <v>18.754598074599325</v>
      </c>
      <c r="I96" s="3" t="s">
        <v>1396</v>
      </c>
      <c r="J96" s="6" t="str">
        <f t="shared" si="3"/>
        <v>http://konect.cc/files/download.tsv.soc-pokec-relationships.tar.bz2</v>
      </c>
      <c r="L96" s="5"/>
    </row>
    <row r="97" spans="3:12" ht="21" x14ac:dyDescent="0.25">
      <c r="C97" s="6" t="s">
        <v>3868</v>
      </c>
      <c r="D97" s="6" t="s">
        <v>55</v>
      </c>
      <c r="E97" s="6" t="s">
        <v>56</v>
      </c>
      <c r="F97" s="7">
        <v>1625951</v>
      </c>
      <c r="G97" s="7">
        <v>256804235</v>
      </c>
      <c r="H97" s="6">
        <f t="shared" si="2"/>
        <v>157.94094348476676</v>
      </c>
      <c r="I97" s="3" t="s">
        <v>1458</v>
      </c>
      <c r="J97" s="6" t="str">
        <f t="shared" si="3"/>
        <v>http://konect.cc/files/download.tsv.yahoo-song.tar.bz2</v>
      </c>
      <c r="L97" s="5"/>
    </row>
    <row r="98" spans="3:12" ht="21" x14ac:dyDescent="0.25">
      <c r="C98" s="6" t="s">
        <v>3778</v>
      </c>
      <c r="D98" s="3" t="s">
        <v>103</v>
      </c>
      <c r="E98" s="6" t="s">
        <v>58</v>
      </c>
      <c r="F98" s="7">
        <v>1618326</v>
      </c>
      <c r="G98" s="7">
        <v>24085580</v>
      </c>
      <c r="H98" s="6">
        <f t="shared" si="2"/>
        <v>14.883021097108989</v>
      </c>
      <c r="I98" s="3" t="s">
        <v>1376</v>
      </c>
      <c r="J98" s="6" t="str">
        <f t="shared" si="3"/>
        <v>http://konect.cc/files/download.tsv.discogs_style.tar.bz2</v>
      </c>
      <c r="L98" s="5"/>
    </row>
    <row r="99" spans="3:12" ht="21" x14ac:dyDescent="0.25">
      <c r="C99" s="6" t="s">
        <v>3790</v>
      </c>
      <c r="D99" s="3" t="s">
        <v>114</v>
      </c>
      <c r="E99" s="6" t="s">
        <v>38</v>
      </c>
      <c r="F99" s="7">
        <v>1614822</v>
      </c>
      <c r="G99" s="7">
        <v>14237677</v>
      </c>
      <c r="H99" s="6">
        <f t="shared" si="2"/>
        <v>8.8168708377765483</v>
      </c>
      <c r="I99" s="3" t="s">
        <v>1388</v>
      </c>
      <c r="J99" s="6" t="str">
        <f t="shared" si="3"/>
        <v>http://konect.cc/files/download.tsv.edit-kowiki.tar.bz2</v>
      </c>
      <c r="L99" s="5"/>
    </row>
    <row r="100" spans="3:12" ht="21" x14ac:dyDescent="0.25">
      <c r="C100" s="6" t="s">
        <v>3712</v>
      </c>
      <c r="D100" s="3" t="s">
        <v>3713</v>
      </c>
      <c r="E100" s="6" t="s">
        <v>98</v>
      </c>
      <c r="F100" s="7">
        <v>1601787</v>
      </c>
      <c r="G100" s="7">
        <v>8063026</v>
      </c>
      <c r="H100" s="6">
        <f t="shared" si="2"/>
        <v>5.033769159070463</v>
      </c>
      <c r="I100" s="3" t="s">
        <v>1330</v>
      </c>
      <c r="J100" s="6" t="str">
        <f t="shared" si="3"/>
        <v>http://konect.cc/files/download.tsv.trec-wt10g.tar.bz2</v>
      </c>
      <c r="L100" s="5"/>
    </row>
    <row r="101" spans="3:12" ht="21" x14ac:dyDescent="0.25">
      <c r="C101" s="6" t="s">
        <v>3143</v>
      </c>
      <c r="D101" s="3" t="s">
        <v>3566</v>
      </c>
      <c r="E101" s="6" t="s">
        <v>98</v>
      </c>
      <c r="F101" s="7">
        <v>1524453</v>
      </c>
      <c r="G101" s="7">
        <v>3868020</v>
      </c>
      <c r="H101" s="6">
        <f t="shared" si="2"/>
        <v>2.5373166637475868</v>
      </c>
      <c r="I101" s="3" t="s">
        <v>1256</v>
      </c>
      <c r="J101" s="6" t="str">
        <f t="shared" si="3"/>
        <v>http://konect.cc/files/download.tsv.dimacs9-NE.tar.bz2</v>
      </c>
      <c r="L101" s="5"/>
    </row>
    <row r="102" spans="3:12" ht="21" x14ac:dyDescent="0.25">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row>
    <row r="103" spans="3:12" ht="21" x14ac:dyDescent="0.25">
      <c r="C103" s="6" t="s">
        <v>3797</v>
      </c>
      <c r="D103" s="3" t="s">
        <v>123</v>
      </c>
      <c r="E103" s="6" t="s">
        <v>38</v>
      </c>
      <c r="F103" s="7">
        <v>1433726</v>
      </c>
      <c r="G103" s="7">
        <v>17396142</v>
      </c>
      <c r="H103" s="6">
        <f t="shared" si="2"/>
        <v>12.133519235893051</v>
      </c>
      <c r="I103" s="3" t="s">
        <v>1393</v>
      </c>
      <c r="J103" s="6" t="str">
        <f t="shared" si="3"/>
        <v>http://konect.cc/files/download.tsv.edit-cawiki.tar.bz2</v>
      </c>
      <c r="L103" s="5"/>
    </row>
    <row r="104" spans="3:12" ht="21" x14ac:dyDescent="0.25">
      <c r="C104" s="6" t="s">
        <v>3701</v>
      </c>
      <c r="D104" s="3" t="s">
        <v>3702</v>
      </c>
      <c r="E104" s="6" t="s">
        <v>145</v>
      </c>
      <c r="F104" s="7">
        <v>1420367</v>
      </c>
      <c r="G104" s="7">
        <v>4641928</v>
      </c>
      <c r="H104" s="6">
        <f t="shared" si="2"/>
        <v>3.2681187326937335</v>
      </c>
      <c r="I104" s="3" t="s">
        <v>1324</v>
      </c>
      <c r="J104" s="6" t="str">
        <f t="shared" si="3"/>
        <v>http://konect.cc/files/download.tsv.wiki_talk_fr.tar.bz2</v>
      </c>
      <c r="L104" s="5"/>
    </row>
    <row r="105" spans="3:12" ht="21" x14ac:dyDescent="0.25">
      <c r="C105" s="6" t="s">
        <v>3786</v>
      </c>
      <c r="D105" s="3" t="s">
        <v>111</v>
      </c>
      <c r="E105" s="6" t="s">
        <v>38</v>
      </c>
      <c r="F105" s="7">
        <v>1416821</v>
      </c>
      <c r="G105" s="7">
        <v>13611993</v>
      </c>
      <c r="H105" s="6">
        <f t="shared" si="2"/>
        <v>9.6074190035297331</v>
      </c>
      <c r="I105" s="3" t="s">
        <v>1384</v>
      </c>
      <c r="J105" s="6" t="str">
        <f t="shared" si="3"/>
        <v>http://konect.cc/files/download.tsv.edit-srwiki.tar.bz2</v>
      </c>
      <c r="L105" s="5"/>
    </row>
    <row r="106" spans="3:12" ht="21" x14ac:dyDescent="0.25">
      <c r="C106" s="6" t="s">
        <v>2261</v>
      </c>
      <c r="D106" s="3" t="s">
        <v>1528</v>
      </c>
      <c r="E106" s="6" t="s">
        <v>83</v>
      </c>
      <c r="F106" s="7">
        <v>1402673</v>
      </c>
      <c r="G106" s="7">
        <v>2777419</v>
      </c>
      <c r="H106" s="6">
        <f t="shared" si="2"/>
        <v>1.9800901564370312</v>
      </c>
      <c r="I106" s="3" t="s">
        <v>1216</v>
      </c>
      <c r="J106" s="6" t="str">
        <f t="shared" si="3"/>
        <v>http://konect.cc/files/download.tsv.hyves.tar.bz2</v>
      </c>
      <c r="L106" s="5"/>
    </row>
    <row r="107" spans="3:12" ht="21" x14ac:dyDescent="0.25">
      <c r="C107" s="6" t="s">
        <v>3768</v>
      </c>
      <c r="D107" s="3" t="s">
        <v>89</v>
      </c>
      <c r="E107" s="6" t="s">
        <v>54</v>
      </c>
      <c r="F107" s="7">
        <v>1382867</v>
      </c>
      <c r="G107" s="7">
        <v>13591473</v>
      </c>
      <c r="H107" s="6">
        <f t="shared" si="2"/>
        <v>9.8284744664526666</v>
      </c>
      <c r="I107" s="3" t="s">
        <v>1364</v>
      </c>
      <c r="J107" s="6" t="str">
        <f t="shared" si="3"/>
        <v>http://konect.cc/files/download.tsv.dimacs10-in-2004.tar.bz2</v>
      </c>
      <c r="L107" s="5"/>
    </row>
    <row r="108" spans="3:12" ht="21" x14ac:dyDescent="0.25">
      <c r="C108" s="6" t="s">
        <v>3407</v>
      </c>
      <c r="D108" s="3" t="s">
        <v>1524</v>
      </c>
      <c r="E108" s="6" t="s">
        <v>83</v>
      </c>
      <c r="F108" s="7">
        <v>1379917</v>
      </c>
      <c r="G108" s="7">
        <v>1921660</v>
      </c>
      <c r="H108" s="6">
        <f t="shared" si="2"/>
        <v>1.3925910036618145</v>
      </c>
      <c r="I108" s="3" t="s">
        <v>1171</v>
      </c>
      <c r="J108" s="6" t="str">
        <f t="shared" si="3"/>
        <v>http://konect.cc/files/download.tsv.roadNet-TX.tar.bz2</v>
      </c>
      <c r="L108" s="5"/>
    </row>
    <row r="109" spans="3:12" ht="21" x14ac:dyDescent="0.25">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row>
    <row r="110" spans="3:12" ht="21" x14ac:dyDescent="0.25">
      <c r="C110" s="6" t="s">
        <v>2387</v>
      </c>
      <c r="D110" s="3" t="s">
        <v>3714</v>
      </c>
      <c r="E110" s="6" t="s">
        <v>3715</v>
      </c>
      <c r="F110" s="7">
        <v>1369055</v>
      </c>
      <c r="G110" s="7">
        <v>8650089</v>
      </c>
      <c r="H110" s="6">
        <f t="shared" si="2"/>
        <v>6.3182918144267397</v>
      </c>
      <c r="I110" s="3" t="s">
        <v>3893</v>
      </c>
      <c r="J110" s="6" t="str">
        <f t="shared" si="3"/>
        <v>http://konect.cc/files/download.tsv.arnetminer.tar.bz2</v>
      </c>
      <c r="L110" s="5"/>
    </row>
    <row r="111" spans="3:12" ht="21" x14ac:dyDescent="0.25">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row>
    <row r="112" spans="3:12" ht="21" x14ac:dyDescent="0.25">
      <c r="C112" s="6" t="s">
        <v>3794</v>
      </c>
      <c r="D112" s="3" t="s">
        <v>120</v>
      </c>
      <c r="E112" s="6" t="s">
        <v>38</v>
      </c>
      <c r="F112" s="7">
        <v>1340021</v>
      </c>
      <c r="G112" s="7">
        <v>15620508</v>
      </c>
      <c r="H112" s="6">
        <f t="shared" si="2"/>
        <v>11.656912839425651</v>
      </c>
      <c r="I112" s="3" t="s">
        <v>1390</v>
      </c>
      <c r="J112" s="6" t="str">
        <f t="shared" si="3"/>
        <v>http://konect.cc/files/download.tsv.edit-nowiki.tar.bz2</v>
      </c>
      <c r="L112" s="5"/>
    </row>
    <row r="113" spans="3:12" ht="21" x14ac:dyDescent="0.25">
      <c r="C113" s="6" t="s">
        <v>3798</v>
      </c>
      <c r="D113" s="3" t="s">
        <v>124</v>
      </c>
      <c r="E113" s="6" t="s">
        <v>38</v>
      </c>
      <c r="F113" s="7">
        <v>1280637</v>
      </c>
      <c r="G113" s="7">
        <v>16945613</v>
      </c>
      <c r="H113" s="6">
        <f t="shared" si="2"/>
        <v>13.232175081619538</v>
      </c>
      <c r="I113" s="3" t="s">
        <v>1394</v>
      </c>
      <c r="J113" s="6" t="str">
        <f t="shared" si="3"/>
        <v>http://konect.cc/files/download.tsv.edit-huwiki.tar.bz2</v>
      </c>
      <c r="L113" s="5"/>
    </row>
    <row r="114" spans="3:12" ht="21" x14ac:dyDescent="0.25">
      <c r="C114" s="6" t="s">
        <v>3764</v>
      </c>
      <c r="D114" s="3" t="s">
        <v>85</v>
      </c>
      <c r="E114" s="6" t="s">
        <v>38</v>
      </c>
      <c r="F114" s="7">
        <v>1274165</v>
      </c>
      <c r="G114" s="7">
        <v>8349235</v>
      </c>
      <c r="H114" s="6">
        <f t="shared" si="2"/>
        <v>6.5527109911196746</v>
      </c>
      <c r="I114" s="3" t="s">
        <v>1360</v>
      </c>
      <c r="J114" s="6" t="str">
        <f t="shared" si="3"/>
        <v>http://konect.cc/files/download.tsv.edit-ruwiktionary.tar.bz2</v>
      </c>
      <c r="L114" s="5"/>
    </row>
    <row r="115" spans="3:12" ht="21" x14ac:dyDescent="0.25">
      <c r="C115" s="6" t="s">
        <v>3787</v>
      </c>
      <c r="D115" s="6" t="s">
        <v>112</v>
      </c>
      <c r="E115" s="6" t="s">
        <v>38</v>
      </c>
      <c r="F115" s="7">
        <v>1225701</v>
      </c>
      <c r="G115" s="7">
        <v>13557662</v>
      </c>
      <c r="H115" s="6">
        <f t="shared" si="2"/>
        <v>11.061149497308071</v>
      </c>
      <c r="I115" s="3" t="s">
        <v>1385</v>
      </c>
      <c r="J115" s="6" t="str">
        <f t="shared" si="3"/>
        <v>http://konect.cc/files/download.tsv.edit-fiwiki.tar.bz2</v>
      </c>
      <c r="L115" s="5"/>
    </row>
    <row r="116" spans="3:12" ht="21" x14ac:dyDescent="0.25">
      <c r="C116" s="6" t="s">
        <v>3571</v>
      </c>
      <c r="D116" s="3" t="s">
        <v>3572</v>
      </c>
      <c r="E116" s="6" t="s">
        <v>145</v>
      </c>
      <c r="F116" s="7">
        <v>1219241</v>
      </c>
      <c r="G116" s="7">
        <v>2284546</v>
      </c>
      <c r="H116" s="6">
        <f t="shared" si="2"/>
        <v>1.8737444032804016</v>
      </c>
      <c r="I116" s="3" t="s">
        <v>1260</v>
      </c>
      <c r="J116" s="6" t="str">
        <f t="shared" si="3"/>
        <v>http://konect.cc/files/download.tsv.wiki_talk_zh.tar.bz2</v>
      </c>
      <c r="L116" s="5"/>
    </row>
    <row r="117" spans="3:12" ht="21" x14ac:dyDescent="0.25">
      <c r="C117" s="6" t="s">
        <v>3143</v>
      </c>
      <c r="D117" s="3" t="s">
        <v>3485</v>
      </c>
      <c r="E117" s="6" t="s">
        <v>98</v>
      </c>
      <c r="F117" s="7">
        <v>1207945</v>
      </c>
      <c r="G117" s="7">
        <v>2820774</v>
      </c>
      <c r="H117" s="6">
        <f t="shared" si="2"/>
        <v>2.335184135039261</v>
      </c>
      <c r="I117" s="3" t="s">
        <v>1214</v>
      </c>
      <c r="J117" s="6" t="str">
        <f t="shared" si="3"/>
        <v>http://konect.cc/files/download.tsv.dimacs9-NW.tar.bz2</v>
      </c>
      <c r="L117" s="5"/>
    </row>
    <row r="118" spans="3:12" ht="21" x14ac:dyDescent="0.25">
      <c r="C118" s="6" t="s">
        <v>3831</v>
      </c>
      <c r="D118" s="3" t="s">
        <v>160</v>
      </c>
      <c r="E118" s="6" t="s">
        <v>35</v>
      </c>
      <c r="F118" s="7">
        <v>1204009</v>
      </c>
      <c r="G118" s="7">
        <v>34826283</v>
      </c>
      <c r="H118" s="6">
        <f t="shared" si="2"/>
        <v>28.925268000488369</v>
      </c>
      <c r="I118" s="3" t="s">
        <v>4</v>
      </c>
      <c r="J118" s="6" t="str">
        <f t="shared" si="3"/>
        <v>http://konect.cc/files/download.tsv.link-dynamic-itwiki.tar.bz2</v>
      </c>
      <c r="L118" s="5"/>
    </row>
    <row r="119" spans="3:12" ht="21" x14ac:dyDescent="0.25">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row>
    <row r="120" spans="3:12" ht="21" x14ac:dyDescent="0.25">
      <c r="C120" s="6" t="s">
        <v>3470</v>
      </c>
      <c r="D120" s="3" t="s">
        <v>1527</v>
      </c>
      <c r="E120" s="6" t="s">
        <v>36</v>
      </c>
      <c r="F120" s="7">
        <v>1199919</v>
      </c>
      <c r="G120" s="7">
        <v>3782463</v>
      </c>
      <c r="H120" s="6">
        <f t="shared" si="2"/>
        <v>3.1522652779062588</v>
      </c>
      <c r="I120" s="3" t="s">
        <v>1245</v>
      </c>
      <c r="J120" s="6" t="str">
        <f t="shared" si="3"/>
        <v>http://konect.cc/files/download.tsv.actor2.tar.bz2</v>
      </c>
      <c r="L120" s="5"/>
    </row>
    <row r="121" spans="3:12" ht="21" x14ac:dyDescent="0.25">
      <c r="C121" s="6" t="s">
        <v>3614</v>
      </c>
      <c r="D121" s="3" t="s">
        <v>3615</v>
      </c>
      <c r="E121" s="6" t="s">
        <v>1788</v>
      </c>
      <c r="F121" s="7">
        <v>1138499</v>
      </c>
      <c r="G121" s="7">
        <v>4942297</v>
      </c>
      <c r="H121" s="6">
        <f t="shared" si="2"/>
        <v>4.3410639798541766</v>
      </c>
      <c r="I121" s="3" t="s">
        <v>1279</v>
      </c>
      <c r="J121" s="6" t="str">
        <f t="shared" si="3"/>
        <v>http://konect.cc/files/download.tsv.youtube-links.tar.bz2</v>
      </c>
      <c r="L121" s="5"/>
    </row>
    <row r="122" spans="3:12" ht="21" x14ac:dyDescent="0.25">
      <c r="C122" s="6" t="s">
        <v>3476</v>
      </c>
      <c r="D122" s="3" t="s">
        <v>3477</v>
      </c>
      <c r="E122" s="6" t="s">
        <v>83</v>
      </c>
      <c r="F122" s="7">
        <v>1134890</v>
      </c>
      <c r="G122" s="7">
        <v>2987624</v>
      </c>
      <c r="H122" s="6">
        <f t="shared" si="2"/>
        <v>2.6325229757950108</v>
      </c>
      <c r="I122" s="3" t="s">
        <v>1209</v>
      </c>
      <c r="J122" s="6" t="str">
        <f t="shared" si="3"/>
        <v>http://konect.cc/files/download.tsv.com-youtube.tar.bz2</v>
      </c>
      <c r="L122" s="5"/>
    </row>
    <row r="123" spans="3:12" ht="21" x14ac:dyDescent="0.25">
      <c r="C123" s="6" t="s">
        <v>3785</v>
      </c>
      <c r="D123" s="3" t="s">
        <v>110</v>
      </c>
      <c r="E123" s="6" t="s">
        <v>38</v>
      </c>
      <c r="F123" s="7">
        <v>1114389</v>
      </c>
      <c r="G123" s="7">
        <v>12998902</v>
      </c>
      <c r="H123" s="6">
        <f t="shared" si="2"/>
        <v>11.664600063353102</v>
      </c>
      <c r="I123" s="3" t="s">
        <v>1383</v>
      </c>
      <c r="J123" s="6" t="str">
        <f t="shared" si="3"/>
        <v>http://konect.cc/files/download.tsv.edit-cswiki.tar.bz2</v>
      </c>
      <c r="L123" s="5"/>
    </row>
    <row r="124" spans="3:12" ht="21" x14ac:dyDescent="0.25">
      <c r="C124" s="6" t="s">
        <v>3525</v>
      </c>
      <c r="D124" s="3" t="s">
        <v>3526</v>
      </c>
      <c r="E124" s="6" t="s">
        <v>145</v>
      </c>
      <c r="F124" s="7">
        <v>1095799</v>
      </c>
      <c r="G124" s="7">
        <v>1913103</v>
      </c>
      <c r="H124" s="6">
        <f t="shared" si="2"/>
        <v>1.745852113389408</v>
      </c>
      <c r="I124" s="3" t="s">
        <v>1234</v>
      </c>
      <c r="J124" s="6" t="str">
        <f t="shared" si="3"/>
        <v>http://konect.cc/files/download.tsv.wiki_talk_ar.tar.bz2</v>
      </c>
      <c r="L124" s="5"/>
    </row>
    <row r="125" spans="3:12" ht="21" x14ac:dyDescent="0.25">
      <c r="C125" s="6" t="s">
        <v>3363</v>
      </c>
      <c r="D125" s="3" t="s">
        <v>1521</v>
      </c>
      <c r="E125" s="6" t="s">
        <v>83</v>
      </c>
      <c r="F125" s="7">
        <v>1088092</v>
      </c>
      <c r="G125" s="7">
        <v>1541898</v>
      </c>
      <c r="H125" s="6">
        <f t="shared" si="2"/>
        <v>1.4170658363447208</v>
      </c>
      <c r="I125" s="3" t="s">
        <v>1145</v>
      </c>
      <c r="J125" s="6" t="str">
        <f t="shared" si="3"/>
        <v>http://konect.cc/files/download.tsv.roadNet-PA.tar.bz2</v>
      </c>
      <c r="L125" s="5"/>
    </row>
    <row r="126" spans="3:12" ht="21" x14ac:dyDescent="0.25">
      <c r="C126" s="6" t="s">
        <v>3802</v>
      </c>
      <c r="D126" s="3" t="s">
        <v>128</v>
      </c>
      <c r="E126" s="6" t="s">
        <v>38</v>
      </c>
      <c r="F126" s="7">
        <v>1085612</v>
      </c>
      <c r="G126" s="7">
        <v>19150868</v>
      </c>
      <c r="H126" s="6">
        <f t="shared" si="2"/>
        <v>17.640619300449885</v>
      </c>
      <c r="I126" s="3" t="s">
        <v>1399</v>
      </c>
      <c r="J126" s="6" t="str">
        <f t="shared" si="3"/>
        <v>http://konect.cc/files/download.tsv.lastfm_song.tar.bz2</v>
      </c>
      <c r="L126" s="5"/>
    </row>
    <row r="127" spans="3:12" ht="21" x14ac:dyDescent="0.25">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row>
    <row r="128" spans="3:12" ht="21" x14ac:dyDescent="0.25">
      <c r="C128" s="6" t="s">
        <v>3471</v>
      </c>
      <c r="D128" s="3" t="s">
        <v>1485</v>
      </c>
      <c r="E128" s="6" t="s">
        <v>98</v>
      </c>
      <c r="F128" s="7">
        <v>1070376</v>
      </c>
      <c r="G128" s="7">
        <v>2687902</v>
      </c>
      <c r="H128" s="6">
        <f t="shared" si="2"/>
        <v>2.5111755121564761</v>
      </c>
      <c r="I128" s="3" t="s">
        <v>1205</v>
      </c>
      <c r="J128" s="6" t="str">
        <f t="shared" si="3"/>
        <v>http://konect.cc/files/download.tsv.dimacs9-FLA.tar.bz2</v>
      </c>
      <c r="L128" s="5"/>
    </row>
    <row r="129" spans="3:12" ht="21" x14ac:dyDescent="0.25">
      <c r="C129" s="6" t="s">
        <v>3824</v>
      </c>
      <c r="D129" s="3" t="s">
        <v>79</v>
      </c>
      <c r="E129" s="6" t="s">
        <v>58</v>
      </c>
      <c r="F129" s="7">
        <v>1065176</v>
      </c>
      <c r="G129" s="7">
        <v>96903520</v>
      </c>
      <c r="H129" s="6">
        <f t="shared" si="2"/>
        <v>90.97418642552968</v>
      </c>
      <c r="I129" s="3" t="s">
        <v>1421</v>
      </c>
      <c r="J129" s="6" t="str">
        <f t="shared" si="3"/>
        <v>http://konect.cc/files/download.tsv.reuters.tar.bz2</v>
      </c>
      <c r="L129" s="5"/>
    </row>
    <row r="130" spans="3:12" ht="21" x14ac:dyDescent="0.25">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row>
    <row r="131" spans="3:12" ht="21" x14ac:dyDescent="0.25">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row>
    <row r="132" spans="3:12" ht="21" x14ac:dyDescent="0.25">
      <c r="C132" s="6" t="s">
        <v>3800</v>
      </c>
      <c r="D132" s="3" t="s">
        <v>126</v>
      </c>
      <c r="E132" s="6" t="s">
        <v>38</v>
      </c>
      <c r="F132" s="7">
        <v>991424</v>
      </c>
      <c r="G132" s="7">
        <v>17853031</v>
      </c>
      <c r="H132" s="6">
        <f t="shared" si="4"/>
        <v>18.007463002711251</v>
      </c>
      <c r="I132" s="3" t="s">
        <v>1397</v>
      </c>
      <c r="J132" s="6" t="str">
        <f t="shared" si="5"/>
        <v>http://konect.cc/files/download.tsv.edit-hewiki.tar.bz2</v>
      </c>
      <c r="L132" s="5"/>
    </row>
    <row r="133" spans="3:12" ht="21" x14ac:dyDescent="0.25">
      <c r="C133" s="6" t="s">
        <v>3599</v>
      </c>
      <c r="D133" s="3" t="s">
        <v>3600</v>
      </c>
      <c r="E133" s="6" t="s">
        <v>38</v>
      </c>
      <c r="F133" s="7">
        <v>972120</v>
      </c>
      <c r="G133" s="7">
        <v>2555080</v>
      </c>
      <c r="H133" s="6">
        <f t="shared" si="4"/>
        <v>2.6283586388511706</v>
      </c>
      <c r="I133" s="3" t="s">
        <v>1274</v>
      </c>
      <c r="J133" s="6" t="str">
        <f t="shared" si="5"/>
        <v>http://konect.cc/files/download.tsv.bibsonomy-2ti.tar.bz2</v>
      </c>
      <c r="L133" s="5"/>
    </row>
    <row r="134" spans="3:12" ht="21" x14ac:dyDescent="0.25">
      <c r="C134" s="6" t="s">
        <v>3310</v>
      </c>
      <c r="D134" s="3" t="s">
        <v>1520</v>
      </c>
      <c r="E134" s="6" t="s">
        <v>36</v>
      </c>
      <c r="F134" s="7">
        <v>935627</v>
      </c>
      <c r="G134" s="7">
        <v>1366466</v>
      </c>
      <c r="H134" s="6">
        <f t="shared" si="4"/>
        <v>1.4604815808008962</v>
      </c>
      <c r="I134" s="3" t="s">
        <v>1116</v>
      </c>
      <c r="J134" s="6" t="str">
        <f t="shared" si="5"/>
        <v>http://konect.cc/files/download.tsv.dbpedia-team.tar.bz2</v>
      </c>
      <c r="L134" s="5"/>
    </row>
    <row r="135" spans="3:12" ht="21" x14ac:dyDescent="0.25">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row>
    <row r="136" spans="3:12" ht="21" x14ac:dyDescent="0.25">
      <c r="C136" s="6" t="s">
        <v>3438</v>
      </c>
      <c r="D136" s="3" t="s">
        <v>3439</v>
      </c>
      <c r="E136" s="6" t="s">
        <v>38</v>
      </c>
      <c r="F136" s="7">
        <v>916627</v>
      </c>
      <c r="G136" s="7">
        <v>1462476</v>
      </c>
      <c r="H136" s="6">
        <f t="shared" si="4"/>
        <v>1.5954974051604416</v>
      </c>
      <c r="I136" s="3" t="s">
        <v>1186</v>
      </c>
      <c r="J136" s="6" t="str">
        <f t="shared" si="5"/>
        <v>http://konect.cc/files/download.tsv.edit-shwiktionary.tar.bz2</v>
      </c>
      <c r="L136" s="5"/>
    </row>
    <row r="137" spans="3:12" ht="21" x14ac:dyDescent="0.25">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12" ht="21" x14ac:dyDescent="0.25">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12" ht="21" x14ac:dyDescent="0.25">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12" ht="21" x14ac:dyDescent="0.25">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12" ht="21" x14ac:dyDescent="0.25">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12" ht="21" x14ac:dyDescent="0.25">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12" ht="21" x14ac:dyDescent="0.25">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12" ht="21" x14ac:dyDescent="0.25">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ht="21" x14ac:dyDescent="0.25">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ht="21" x14ac:dyDescent="0.25">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ht="21" x14ac:dyDescent="0.25">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ht="21" x14ac:dyDescent="0.25">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ht="21" x14ac:dyDescent="0.25">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ht="21" x14ac:dyDescent="0.25">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ht="21" x14ac:dyDescent="0.25">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ht="21" x14ac:dyDescent="0.25">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ht="21" x14ac:dyDescent="0.25">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ht="21" x14ac:dyDescent="0.25">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ht="21" x14ac:dyDescent="0.25">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ht="21" x14ac:dyDescent="0.25">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ht="21" x14ac:dyDescent="0.25">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ht="21" x14ac:dyDescent="0.25">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ht="21" x14ac:dyDescent="0.25">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ht="21" x14ac:dyDescent="0.25">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ht="21" x14ac:dyDescent="0.25">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ht="21" x14ac:dyDescent="0.25">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ht="21" x14ac:dyDescent="0.25">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ht="21" x14ac:dyDescent="0.25">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ht="21" x14ac:dyDescent="0.25">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ht="21" x14ac:dyDescent="0.25">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ht="21" x14ac:dyDescent="0.25">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ht="21" x14ac:dyDescent="0.25">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ht="21" x14ac:dyDescent="0.25">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ht="21" x14ac:dyDescent="0.25">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ht="21" x14ac:dyDescent="0.25">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ht="21" x14ac:dyDescent="0.25">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ht="21" x14ac:dyDescent="0.25">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ht="21" x14ac:dyDescent="0.25">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ht="21" x14ac:dyDescent="0.25">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ht="21" x14ac:dyDescent="0.25">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ht="21" x14ac:dyDescent="0.25">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ht="21" x14ac:dyDescent="0.25">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ht="21" x14ac:dyDescent="0.25">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ht="21" x14ac:dyDescent="0.25">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ht="21" x14ac:dyDescent="0.25">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ht="21" x14ac:dyDescent="0.25">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ht="21" x14ac:dyDescent="0.25">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ht="21" x14ac:dyDescent="0.25">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ht="21" x14ac:dyDescent="0.25">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ht="21" x14ac:dyDescent="0.25">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ht="21" x14ac:dyDescent="0.25">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ht="21" x14ac:dyDescent="0.25">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ht="21" x14ac:dyDescent="0.25">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ht="21" x14ac:dyDescent="0.25">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ht="21" x14ac:dyDescent="0.25">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ht="21" x14ac:dyDescent="0.25">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ht="21" x14ac:dyDescent="0.25">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ht="21" x14ac:dyDescent="0.25">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ht="21" x14ac:dyDescent="0.25">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ht="21" x14ac:dyDescent="0.25">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ht="21" x14ac:dyDescent="0.25">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ht="21" x14ac:dyDescent="0.25">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ht="21" x14ac:dyDescent="0.25">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ht="21" x14ac:dyDescent="0.25">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ht="21" x14ac:dyDescent="0.25">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ht="21" x14ac:dyDescent="0.25">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ht="21" x14ac:dyDescent="0.25">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ht="21" x14ac:dyDescent="0.25">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ht="21" x14ac:dyDescent="0.25">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ht="21" x14ac:dyDescent="0.25">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ht="21" x14ac:dyDescent="0.25">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ht="21" x14ac:dyDescent="0.25">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ht="21" x14ac:dyDescent="0.25">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ht="21" x14ac:dyDescent="0.25">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ht="21" x14ac:dyDescent="0.25">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ht="21" x14ac:dyDescent="0.25">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ht="21" x14ac:dyDescent="0.25">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ht="21" x14ac:dyDescent="0.25">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ht="21" x14ac:dyDescent="0.25">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ht="21" x14ac:dyDescent="0.25">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ht="21" x14ac:dyDescent="0.25">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ht="21" x14ac:dyDescent="0.25">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ht="21" x14ac:dyDescent="0.25">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ht="21" x14ac:dyDescent="0.25">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ht="21" x14ac:dyDescent="0.25">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ht="21" x14ac:dyDescent="0.25">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ht="21" x14ac:dyDescent="0.25">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ht="21" x14ac:dyDescent="0.25">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ht="21" x14ac:dyDescent="0.25">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ht="21" x14ac:dyDescent="0.25">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ht="21" x14ac:dyDescent="0.25">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ht="21" x14ac:dyDescent="0.25">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ht="21" x14ac:dyDescent="0.25">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ht="21" x14ac:dyDescent="0.25">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ht="21" x14ac:dyDescent="0.25">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ht="21" x14ac:dyDescent="0.25">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ht="21" x14ac:dyDescent="0.25">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ht="21" x14ac:dyDescent="0.25">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ht="21" x14ac:dyDescent="0.25">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ht="21" x14ac:dyDescent="0.25">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ht="21" x14ac:dyDescent="0.25">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ht="21" x14ac:dyDescent="0.25">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ht="21" x14ac:dyDescent="0.25">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ht="21" x14ac:dyDescent="0.25">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ht="21" x14ac:dyDescent="0.25">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ht="21" x14ac:dyDescent="0.25">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ht="21" x14ac:dyDescent="0.25">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ht="21" x14ac:dyDescent="0.25">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ht="21" x14ac:dyDescent="0.25">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ht="21" x14ac:dyDescent="0.25">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ht="21" x14ac:dyDescent="0.25">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ht="21" x14ac:dyDescent="0.25">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ht="21" x14ac:dyDescent="0.25">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ht="21" x14ac:dyDescent="0.25">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ht="21" x14ac:dyDescent="0.25">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ht="21" x14ac:dyDescent="0.25">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ht="21" x14ac:dyDescent="0.25">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ht="21" x14ac:dyDescent="0.25">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ht="21" x14ac:dyDescent="0.25">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ht="21" x14ac:dyDescent="0.25">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ht="21" x14ac:dyDescent="0.25">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ht="21" x14ac:dyDescent="0.25">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ht="21" x14ac:dyDescent="0.25">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ht="21" x14ac:dyDescent="0.25">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ht="21" x14ac:dyDescent="0.25">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ht="21" x14ac:dyDescent="0.25">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ht="21" x14ac:dyDescent="0.25">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ht="21" x14ac:dyDescent="0.25">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ht="21" x14ac:dyDescent="0.25">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ht="21" x14ac:dyDescent="0.25">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ht="21" x14ac:dyDescent="0.25">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ht="21" x14ac:dyDescent="0.25">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ht="21" x14ac:dyDescent="0.25">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ht="21" x14ac:dyDescent="0.25">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ht="21" x14ac:dyDescent="0.25">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ht="21" x14ac:dyDescent="0.25">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ht="21" x14ac:dyDescent="0.25">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ht="21" x14ac:dyDescent="0.25">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ht="21" x14ac:dyDescent="0.25">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ht="21" x14ac:dyDescent="0.25">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ht="21" x14ac:dyDescent="0.25">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ht="21" x14ac:dyDescent="0.25">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ht="21" x14ac:dyDescent="0.25">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ht="21" x14ac:dyDescent="0.25">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ht="21" x14ac:dyDescent="0.25">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ht="21" x14ac:dyDescent="0.25">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ht="21" x14ac:dyDescent="0.25">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ht="21" x14ac:dyDescent="0.25">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ht="21" x14ac:dyDescent="0.25">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ht="21" x14ac:dyDescent="0.25">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ht="21" x14ac:dyDescent="0.25">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ht="21" x14ac:dyDescent="0.25">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ht="21" x14ac:dyDescent="0.25">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ht="21" x14ac:dyDescent="0.25">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ht="21" x14ac:dyDescent="0.25">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ht="21" x14ac:dyDescent="0.25">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ht="21" x14ac:dyDescent="0.25">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ht="21" x14ac:dyDescent="0.25">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ht="21" x14ac:dyDescent="0.25">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ht="21" x14ac:dyDescent="0.25">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ht="21" x14ac:dyDescent="0.25">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ht="21" x14ac:dyDescent="0.25">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ht="21" x14ac:dyDescent="0.25">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ht="21" x14ac:dyDescent="0.25">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ht="21" x14ac:dyDescent="0.25">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ht="21" x14ac:dyDescent="0.25">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ht="21" x14ac:dyDescent="0.25">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ht="21" x14ac:dyDescent="0.25">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ht="21" x14ac:dyDescent="0.25">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ht="21" x14ac:dyDescent="0.25">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ht="21" x14ac:dyDescent="0.25">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ht="21" x14ac:dyDescent="0.25">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ht="21" x14ac:dyDescent="0.25">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ht="21" x14ac:dyDescent="0.25">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ht="21" x14ac:dyDescent="0.25">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ht="21" x14ac:dyDescent="0.25">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ht="21" x14ac:dyDescent="0.25">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ht="21" x14ac:dyDescent="0.25">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ht="21" x14ac:dyDescent="0.25">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ht="21" x14ac:dyDescent="0.25">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ht="21" x14ac:dyDescent="0.25">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ht="21" x14ac:dyDescent="0.25">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ht="21" x14ac:dyDescent="0.25">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ht="21" x14ac:dyDescent="0.25">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ht="21" x14ac:dyDescent="0.25">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ht="21" x14ac:dyDescent="0.25">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ht="21" x14ac:dyDescent="0.25">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ht="21" x14ac:dyDescent="0.25">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ht="21" x14ac:dyDescent="0.25">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ht="21" x14ac:dyDescent="0.25">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ht="21" x14ac:dyDescent="0.25">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ht="21" x14ac:dyDescent="0.25">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ht="21" x14ac:dyDescent="0.25">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ht="21" x14ac:dyDescent="0.25">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ht="21" x14ac:dyDescent="0.25">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ht="21" x14ac:dyDescent="0.25">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ht="21" x14ac:dyDescent="0.25">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ht="21" x14ac:dyDescent="0.25">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ht="21" x14ac:dyDescent="0.25">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ht="21" x14ac:dyDescent="0.25">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ht="21" x14ac:dyDescent="0.25">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ht="21" x14ac:dyDescent="0.25">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ht="21" x14ac:dyDescent="0.25">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ht="21" x14ac:dyDescent="0.25">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ht="21" x14ac:dyDescent="0.25">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ht="21" x14ac:dyDescent="0.25">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ht="21" x14ac:dyDescent="0.25">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ht="21" x14ac:dyDescent="0.25">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ht="21" x14ac:dyDescent="0.25">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ht="21" x14ac:dyDescent="0.25">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ht="21" x14ac:dyDescent="0.25">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ht="21" x14ac:dyDescent="0.25">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ht="21" x14ac:dyDescent="0.25">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ht="21" x14ac:dyDescent="0.25">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ht="21" x14ac:dyDescent="0.25">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ht="21" x14ac:dyDescent="0.25">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ht="21" x14ac:dyDescent="0.25">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ht="21" x14ac:dyDescent="0.25">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ht="21" x14ac:dyDescent="0.25">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ht="21" x14ac:dyDescent="0.25">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ht="21" x14ac:dyDescent="0.25">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ht="21" x14ac:dyDescent="0.25">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ht="21" x14ac:dyDescent="0.25">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ht="21" x14ac:dyDescent="0.25">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ht="21" x14ac:dyDescent="0.25">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ht="21" x14ac:dyDescent="0.25">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ht="21" x14ac:dyDescent="0.25">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ht="21" x14ac:dyDescent="0.25">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ht="21" x14ac:dyDescent="0.25">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ht="21" x14ac:dyDescent="0.25">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ht="21" x14ac:dyDescent="0.25">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ht="21" x14ac:dyDescent="0.25">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ht="21" x14ac:dyDescent="0.25">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ht="21" x14ac:dyDescent="0.25">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ht="21" x14ac:dyDescent="0.25">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ht="21" x14ac:dyDescent="0.25">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ht="21" x14ac:dyDescent="0.25">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ht="21" x14ac:dyDescent="0.25">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ht="21" x14ac:dyDescent="0.25">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ht="21" x14ac:dyDescent="0.25">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ht="21" x14ac:dyDescent="0.25">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ht="21" x14ac:dyDescent="0.25">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ht="21" x14ac:dyDescent="0.25">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ht="21" x14ac:dyDescent="0.25">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ht="21" x14ac:dyDescent="0.25">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ht="21" x14ac:dyDescent="0.25">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ht="21" x14ac:dyDescent="0.25">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ht="21" x14ac:dyDescent="0.25">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ht="21" x14ac:dyDescent="0.25">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ht="21" x14ac:dyDescent="0.25">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ht="21" x14ac:dyDescent="0.25">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ht="21" x14ac:dyDescent="0.25">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ht="21" x14ac:dyDescent="0.25">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ht="21" x14ac:dyDescent="0.25">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ht="21" x14ac:dyDescent="0.25">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ht="21" x14ac:dyDescent="0.25">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ht="21" x14ac:dyDescent="0.25">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ht="21" x14ac:dyDescent="0.25">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ht="21" x14ac:dyDescent="0.25">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ht="21" x14ac:dyDescent="0.25">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ht="21" x14ac:dyDescent="0.25">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ht="21" x14ac:dyDescent="0.25">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ht="21" x14ac:dyDescent="0.25">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ht="21" x14ac:dyDescent="0.25">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ht="21" x14ac:dyDescent="0.25">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ht="21" x14ac:dyDescent="0.25">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ht="21" x14ac:dyDescent="0.25">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ht="21" x14ac:dyDescent="0.25">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ht="21" x14ac:dyDescent="0.25">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ht="21" x14ac:dyDescent="0.25">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ht="21" x14ac:dyDescent="0.25">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ht="21" x14ac:dyDescent="0.25">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ht="21" x14ac:dyDescent="0.25">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ht="21" x14ac:dyDescent="0.25">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ht="21" x14ac:dyDescent="0.25">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ht="21" x14ac:dyDescent="0.25">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ht="21" x14ac:dyDescent="0.25">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ht="21" x14ac:dyDescent="0.25">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ht="21" x14ac:dyDescent="0.25">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ht="21" x14ac:dyDescent="0.25">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ht="21" x14ac:dyDescent="0.25">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ht="21" x14ac:dyDescent="0.25">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ht="21" x14ac:dyDescent="0.25">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ht="21" x14ac:dyDescent="0.25">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ht="21" x14ac:dyDescent="0.25">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ht="21" x14ac:dyDescent="0.25">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ht="21" x14ac:dyDescent="0.25">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ht="21" x14ac:dyDescent="0.25">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ht="21" x14ac:dyDescent="0.25">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ht="21" x14ac:dyDescent="0.25">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ht="21" x14ac:dyDescent="0.25">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ht="21" x14ac:dyDescent="0.25">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ht="21" x14ac:dyDescent="0.25">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ht="21" x14ac:dyDescent="0.25">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ht="21" x14ac:dyDescent="0.25">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ht="21" x14ac:dyDescent="0.25">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ht="21" x14ac:dyDescent="0.25">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ht="21" x14ac:dyDescent="0.25">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ht="21" x14ac:dyDescent="0.25">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ht="21" x14ac:dyDescent="0.25">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ht="21" x14ac:dyDescent="0.25">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ht="21" x14ac:dyDescent="0.25">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ht="21" x14ac:dyDescent="0.25">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ht="21" x14ac:dyDescent="0.25">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ht="21" x14ac:dyDescent="0.25">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ht="21" x14ac:dyDescent="0.25">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ht="21" x14ac:dyDescent="0.25">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ht="21" x14ac:dyDescent="0.25">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ht="21" x14ac:dyDescent="0.25">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ht="21" x14ac:dyDescent="0.25">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ht="21" x14ac:dyDescent="0.25">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ht="21" x14ac:dyDescent="0.25">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ht="21" x14ac:dyDescent="0.25">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ht="21" x14ac:dyDescent="0.25">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ht="21" x14ac:dyDescent="0.25">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ht="21" x14ac:dyDescent="0.25">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ht="21" x14ac:dyDescent="0.25">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ht="21" x14ac:dyDescent="0.25">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ht="21" x14ac:dyDescent="0.25">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ht="21" x14ac:dyDescent="0.25">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ht="21" x14ac:dyDescent="0.25">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ht="21" x14ac:dyDescent="0.25">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ht="21" x14ac:dyDescent="0.25">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ht="21" x14ac:dyDescent="0.25">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ht="21" x14ac:dyDescent="0.25">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ht="21" x14ac:dyDescent="0.25">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ht="21" x14ac:dyDescent="0.25">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ht="21" x14ac:dyDescent="0.25">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ht="21" x14ac:dyDescent="0.25">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ht="21" x14ac:dyDescent="0.25">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ht="21" x14ac:dyDescent="0.25">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ht="21" x14ac:dyDescent="0.25">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ht="21" x14ac:dyDescent="0.25">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ht="21" x14ac:dyDescent="0.25">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ht="21" x14ac:dyDescent="0.25">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ht="21" x14ac:dyDescent="0.25">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ht="21" x14ac:dyDescent="0.25">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ht="21" x14ac:dyDescent="0.25">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ht="21" x14ac:dyDescent="0.25">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ht="21" x14ac:dyDescent="0.25">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ht="21" x14ac:dyDescent="0.25">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ht="21" x14ac:dyDescent="0.25">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ht="21" x14ac:dyDescent="0.25">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ht="21" x14ac:dyDescent="0.25">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ht="21" x14ac:dyDescent="0.25">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ht="21" x14ac:dyDescent="0.25">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ht="21" x14ac:dyDescent="0.25">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ht="21" x14ac:dyDescent="0.25">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ht="21" x14ac:dyDescent="0.25">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ht="21" x14ac:dyDescent="0.25">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ht="21" x14ac:dyDescent="0.25">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ht="21" x14ac:dyDescent="0.25">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ht="21" x14ac:dyDescent="0.25">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ht="21" x14ac:dyDescent="0.25">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ht="21" x14ac:dyDescent="0.25">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ht="21" x14ac:dyDescent="0.25">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ht="21" x14ac:dyDescent="0.25">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ht="21" x14ac:dyDescent="0.25">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ht="21" x14ac:dyDescent="0.25">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ht="21" x14ac:dyDescent="0.25">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ht="21" x14ac:dyDescent="0.25">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ht="21" x14ac:dyDescent="0.25">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ht="21" x14ac:dyDescent="0.25">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ht="21" x14ac:dyDescent="0.25">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ht="21" x14ac:dyDescent="0.25">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ht="21" x14ac:dyDescent="0.25">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ht="21" x14ac:dyDescent="0.25">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ht="21" x14ac:dyDescent="0.25">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ht="21" x14ac:dyDescent="0.25">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ht="21" x14ac:dyDescent="0.25">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ht="21" x14ac:dyDescent="0.25">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ht="21" x14ac:dyDescent="0.25">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ht="21" x14ac:dyDescent="0.25">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ht="21" x14ac:dyDescent="0.25">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ht="21" x14ac:dyDescent="0.25">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ht="21" x14ac:dyDescent="0.25">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ht="21" x14ac:dyDescent="0.25">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ht="21" x14ac:dyDescent="0.25">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ht="21" x14ac:dyDescent="0.25">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ht="21" x14ac:dyDescent="0.25">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ht="21" x14ac:dyDescent="0.25">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ht="21" x14ac:dyDescent="0.25">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ht="21" x14ac:dyDescent="0.25">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ht="21" x14ac:dyDescent="0.25">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ht="21" x14ac:dyDescent="0.25">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ht="21" x14ac:dyDescent="0.25">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ht="21" x14ac:dyDescent="0.25">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ht="21" x14ac:dyDescent="0.25">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ht="21" x14ac:dyDescent="0.25">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ht="21" x14ac:dyDescent="0.25">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ht="21" x14ac:dyDescent="0.25">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ht="21" x14ac:dyDescent="0.25">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ht="21" x14ac:dyDescent="0.25">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ht="21" x14ac:dyDescent="0.25">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ht="21" x14ac:dyDescent="0.25">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ht="21" x14ac:dyDescent="0.25">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ht="21" x14ac:dyDescent="0.25">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ht="21" x14ac:dyDescent="0.25">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ht="21" x14ac:dyDescent="0.25">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ht="21" x14ac:dyDescent="0.25">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ht="21" x14ac:dyDescent="0.25">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ht="21" x14ac:dyDescent="0.25">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ht="21" x14ac:dyDescent="0.25">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ht="21" x14ac:dyDescent="0.25">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ht="21" x14ac:dyDescent="0.25">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ht="21" x14ac:dyDescent="0.25">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ht="21" x14ac:dyDescent="0.25">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ht="21" x14ac:dyDescent="0.25">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ht="21" x14ac:dyDescent="0.25">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ht="21" x14ac:dyDescent="0.25">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ht="21" x14ac:dyDescent="0.25">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ht="21" x14ac:dyDescent="0.25">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ht="21" x14ac:dyDescent="0.25">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ht="21" x14ac:dyDescent="0.25">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ht="21" x14ac:dyDescent="0.25">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ht="21" x14ac:dyDescent="0.25">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ht="21" x14ac:dyDescent="0.25">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ht="21" x14ac:dyDescent="0.25">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ht="21" x14ac:dyDescent="0.25">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ht="21" x14ac:dyDescent="0.25">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ht="21" x14ac:dyDescent="0.25">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ht="21" x14ac:dyDescent="0.25">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ht="21" x14ac:dyDescent="0.25">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ht="21" x14ac:dyDescent="0.25">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ht="21" x14ac:dyDescent="0.25">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ht="21" x14ac:dyDescent="0.25">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ht="21" x14ac:dyDescent="0.25">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ht="21" x14ac:dyDescent="0.25">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ht="21" x14ac:dyDescent="0.25">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ht="21" x14ac:dyDescent="0.25">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ht="21" x14ac:dyDescent="0.25">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ht="21" x14ac:dyDescent="0.25">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ht="21" x14ac:dyDescent="0.25">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ht="21" x14ac:dyDescent="0.25">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ht="21" x14ac:dyDescent="0.25">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ht="21" x14ac:dyDescent="0.25">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ht="21" x14ac:dyDescent="0.25">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ht="21" x14ac:dyDescent="0.25">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ht="21" x14ac:dyDescent="0.25">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ht="21" x14ac:dyDescent="0.25">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ht="21" x14ac:dyDescent="0.25">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ht="21" x14ac:dyDescent="0.25">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ht="21" x14ac:dyDescent="0.25">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ht="21" x14ac:dyDescent="0.25">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ht="21" x14ac:dyDescent="0.25">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ht="21" x14ac:dyDescent="0.25">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ht="21" x14ac:dyDescent="0.25">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ht="21" x14ac:dyDescent="0.25">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ht="21" x14ac:dyDescent="0.25">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ht="21" x14ac:dyDescent="0.25">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ht="21" x14ac:dyDescent="0.25">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ht="21" x14ac:dyDescent="0.25">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ht="21" x14ac:dyDescent="0.25">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ht="21" x14ac:dyDescent="0.25">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ht="21" x14ac:dyDescent="0.25">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ht="21" x14ac:dyDescent="0.25">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ht="21" x14ac:dyDescent="0.25">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ht="21" x14ac:dyDescent="0.25">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ht="21" x14ac:dyDescent="0.25">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ht="21" x14ac:dyDescent="0.25">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ht="21" x14ac:dyDescent="0.25">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ht="21" x14ac:dyDescent="0.25">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ht="21" x14ac:dyDescent="0.25">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ht="21" x14ac:dyDescent="0.25">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ht="21" x14ac:dyDescent="0.25">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ht="21" x14ac:dyDescent="0.25">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ht="21" x14ac:dyDescent="0.25">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ht="21" x14ac:dyDescent="0.25">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ht="21" x14ac:dyDescent="0.25">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ht="21" x14ac:dyDescent="0.25">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ht="21" x14ac:dyDescent="0.25">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ht="21" x14ac:dyDescent="0.25">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ht="21" x14ac:dyDescent="0.25">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ht="21" x14ac:dyDescent="0.25">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ht="21" x14ac:dyDescent="0.25">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ht="21" x14ac:dyDescent="0.25">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ht="21" x14ac:dyDescent="0.25">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ht="21" x14ac:dyDescent="0.25">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ht="21" x14ac:dyDescent="0.25">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ht="21" x14ac:dyDescent="0.25">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ht="21" x14ac:dyDescent="0.25">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ht="21" x14ac:dyDescent="0.25">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ht="21" x14ac:dyDescent="0.25">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ht="21" x14ac:dyDescent="0.25">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ht="21" x14ac:dyDescent="0.25">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ht="21" x14ac:dyDescent="0.25">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ht="21" x14ac:dyDescent="0.25">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ht="21" x14ac:dyDescent="0.25">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ht="21" x14ac:dyDescent="0.25">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ht="21" x14ac:dyDescent="0.25">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ht="21" x14ac:dyDescent="0.25">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ht="21" x14ac:dyDescent="0.25">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ht="21" x14ac:dyDescent="0.25">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ht="21" x14ac:dyDescent="0.25">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ht="21" x14ac:dyDescent="0.25">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ht="21" x14ac:dyDescent="0.25">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ht="21" x14ac:dyDescent="0.25">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ht="21" x14ac:dyDescent="0.25">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ht="21" x14ac:dyDescent="0.25">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ht="21" x14ac:dyDescent="0.25">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ht="21" x14ac:dyDescent="0.25">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ht="21" x14ac:dyDescent="0.25">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ht="21" x14ac:dyDescent="0.25">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ht="21" x14ac:dyDescent="0.25">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ht="21" x14ac:dyDescent="0.25">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ht="21" x14ac:dyDescent="0.25">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ht="21" x14ac:dyDescent="0.25">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ht="21" x14ac:dyDescent="0.25">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ht="21" x14ac:dyDescent="0.25">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ht="21" x14ac:dyDescent="0.25">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ht="21" x14ac:dyDescent="0.25">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ht="21" x14ac:dyDescent="0.25">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ht="21" x14ac:dyDescent="0.25">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ht="21" x14ac:dyDescent="0.25">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ht="21" x14ac:dyDescent="0.25">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ht="21" x14ac:dyDescent="0.25">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ht="21" x14ac:dyDescent="0.25">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ht="21" x14ac:dyDescent="0.25">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ht="21" x14ac:dyDescent="0.25">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ht="21" x14ac:dyDescent="0.25">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ht="21" x14ac:dyDescent="0.25">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ht="21" x14ac:dyDescent="0.25">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ht="21" x14ac:dyDescent="0.25">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ht="21" x14ac:dyDescent="0.25">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ht="21" x14ac:dyDescent="0.25">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ht="21" x14ac:dyDescent="0.25">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ht="21" x14ac:dyDescent="0.25">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ht="21" x14ac:dyDescent="0.25">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ht="21" x14ac:dyDescent="0.25">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ht="21" x14ac:dyDescent="0.25">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ht="21" x14ac:dyDescent="0.25">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ht="21" x14ac:dyDescent="0.25">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ht="21" x14ac:dyDescent="0.25">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ht="21" x14ac:dyDescent="0.25">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ht="21" x14ac:dyDescent="0.25">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ht="21" x14ac:dyDescent="0.25">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ht="21" x14ac:dyDescent="0.25">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ht="21" x14ac:dyDescent="0.25">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ht="21" x14ac:dyDescent="0.25">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ht="21" x14ac:dyDescent="0.25">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ht="21" x14ac:dyDescent="0.25">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ht="21" x14ac:dyDescent="0.25">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ht="21" x14ac:dyDescent="0.25">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ht="21" x14ac:dyDescent="0.25">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ht="21" x14ac:dyDescent="0.25">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ht="21" x14ac:dyDescent="0.25">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ht="21" x14ac:dyDescent="0.25">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ht="21" x14ac:dyDescent="0.25">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ht="21" x14ac:dyDescent="0.25">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ht="21" x14ac:dyDescent="0.25">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ht="21" x14ac:dyDescent="0.25">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ht="21" x14ac:dyDescent="0.25">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ht="21" x14ac:dyDescent="0.25">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ht="21" x14ac:dyDescent="0.25">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ht="21" x14ac:dyDescent="0.25">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ht="21" x14ac:dyDescent="0.25">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ht="21" x14ac:dyDescent="0.25">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ht="21" x14ac:dyDescent="0.25">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ht="21" x14ac:dyDescent="0.25">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ht="21" x14ac:dyDescent="0.25">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ht="21" x14ac:dyDescent="0.25">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ht="21" x14ac:dyDescent="0.25">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ht="21" x14ac:dyDescent="0.25">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ht="21" x14ac:dyDescent="0.25">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ht="21" x14ac:dyDescent="0.25">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ht="21" x14ac:dyDescent="0.25">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ht="21" x14ac:dyDescent="0.25">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ht="21" x14ac:dyDescent="0.25">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ht="21" x14ac:dyDescent="0.25">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ht="21" x14ac:dyDescent="0.25">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ht="21" x14ac:dyDescent="0.25">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ht="21" x14ac:dyDescent="0.25">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ht="21" x14ac:dyDescent="0.25">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ht="21" x14ac:dyDescent="0.25">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ht="21" x14ac:dyDescent="0.25">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ht="21" x14ac:dyDescent="0.25">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ht="21" x14ac:dyDescent="0.25">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ht="21" x14ac:dyDescent="0.25">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ht="21" x14ac:dyDescent="0.25">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ht="21" x14ac:dyDescent="0.25">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ht="21" x14ac:dyDescent="0.25">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ht="21" x14ac:dyDescent="0.25">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ht="21" x14ac:dyDescent="0.25">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ht="21" x14ac:dyDescent="0.25">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ht="21" x14ac:dyDescent="0.25">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ht="21" x14ac:dyDescent="0.25">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ht="21" x14ac:dyDescent="0.25">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ht="21" x14ac:dyDescent="0.25">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ht="21" x14ac:dyDescent="0.25">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ht="21" x14ac:dyDescent="0.25">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ht="21" x14ac:dyDescent="0.25">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ht="21" x14ac:dyDescent="0.25">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ht="21" x14ac:dyDescent="0.25">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ht="21" x14ac:dyDescent="0.25">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ht="21" x14ac:dyDescent="0.25">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ht="21" x14ac:dyDescent="0.25">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ht="21" x14ac:dyDescent="0.25">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ht="21" x14ac:dyDescent="0.25">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ht="21" x14ac:dyDescent="0.25">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ht="21" x14ac:dyDescent="0.25">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ht="21" x14ac:dyDescent="0.25">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ht="21" x14ac:dyDescent="0.25">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ht="21" x14ac:dyDescent="0.25">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ht="21" x14ac:dyDescent="0.25">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ht="21" x14ac:dyDescent="0.25">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ht="21" x14ac:dyDescent="0.25">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ht="21" x14ac:dyDescent="0.25">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ht="21" x14ac:dyDescent="0.25">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ht="21" x14ac:dyDescent="0.25">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ht="21" x14ac:dyDescent="0.25">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ht="21" x14ac:dyDescent="0.25">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ht="21" x14ac:dyDescent="0.25">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ht="21" x14ac:dyDescent="0.25">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ht="21" x14ac:dyDescent="0.25">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ht="21" x14ac:dyDescent="0.25">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ht="21" x14ac:dyDescent="0.25">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ht="21" x14ac:dyDescent="0.25">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ht="21" x14ac:dyDescent="0.25">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ht="21" x14ac:dyDescent="0.25">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ht="21" x14ac:dyDescent="0.25">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ht="21" x14ac:dyDescent="0.25">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ht="21" x14ac:dyDescent="0.25">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ht="21" x14ac:dyDescent="0.25">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ht="21" x14ac:dyDescent="0.25">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ht="21" x14ac:dyDescent="0.25">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ht="21" x14ac:dyDescent="0.25">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ht="21" x14ac:dyDescent="0.25">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ht="21" x14ac:dyDescent="0.25">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ht="21" x14ac:dyDescent="0.25">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ht="21" x14ac:dyDescent="0.25">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ht="21" x14ac:dyDescent="0.25">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ht="21" x14ac:dyDescent="0.25">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ht="21" x14ac:dyDescent="0.25">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ht="21" x14ac:dyDescent="0.25">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ht="21" x14ac:dyDescent="0.25">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ht="21" x14ac:dyDescent="0.25">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ht="21" x14ac:dyDescent="0.25">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ht="21" x14ac:dyDescent="0.25">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ht="21" x14ac:dyDescent="0.25">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ht="21" x14ac:dyDescent="0.25">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ht="21" x14ac:dyDescent="0.25">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ht="21" x14ac:dyDescent="0.25">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ht="21" x14ac:dyDescent="0.25">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ht="21" x14ac:dyDescent="0.25">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ht="21" x14ac:dyDescent="0.25">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ht="21" x14ac:dyDescent="0.25">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ht="21" x14ac:dyDescent="0.25">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ht="21" x14ac:dyDescent="0.25">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ht="21" x14ac:dyDescent="0.25">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ht="21" x14ac:dyDescent="0.25">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ht="21" x14ac:dyDescent="0.25">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ht="21" x14ac:dyDescent="0.25">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ht="21" x14ac:dyDescent="0.25">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ht="21" x14ac:dyDescent="0.25">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ht="21" x14ac:dyDescent="0.25">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ht="21" x14ac:dyDescent="0.25">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ht="21" x14ac:dyDescent="0.25">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ht="21" x14ac:dyDescent="0.25">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ht="21" x14ac:dyDescent="0.25">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ht="21" x14ac:dyDescent="0.25">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ht="21" x14ac:dyDescent="0.25">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ht="21" x14ac:dyDescent="0.25">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ht="21" x14ac:dyDescent="0.25">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ht="21" x14ac:dyDescent="0.25">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ht="21" x14ac:dyDescent="0.25">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ht="21" x14ac:dyDescent="0.25">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ht="21" x14ac:dyDescent="0.25">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ht="21" x14ac:dyDescent="0.25">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ht="21" x14ac:dyDescent="0.25">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ht="21" x14ac:dyDescent="0.25">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ht="21" x14ac:dyDescent="0.25">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ht="21" x14ac:dyDescent="0.25">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ht="21" x14ac:dyDescent="0.25">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ht="21" x14ac:dyDescent="0.25">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ht="21" x14ac:dyDescent="0.25">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ht="21" x14ac:dyDescent="0.25">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ht="21" x14ac:dyDescent="0.25">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ht="21" x14ac:dyDescent="0.25">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ht="21" x14ac:dyDescent="0.25">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ht="21" x14ac:dyDescent="0.25">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ht="21" x14ac:dyDescent="0.25">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ht="21" x14ac:dyDescent="0.25">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ht="21" x14ac:dyDescent="0.25">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ht="21" x14ac:dyDescent="0.25">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ht="21" x14ac:dyDescent="0.25">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ht="21" x14ac:dyDescent="0.25">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ht="21" x14ac:dyDescent="0.25">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ht="21" x14ac:dyDescent="0.25">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ht="21" x14ac:dyDescent="0.25">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ht="21" x14ac:dyDescent="0.25">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ht="21" x14ac:dyDescent="0.25">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ht="21" x14ac:dyDescent="0.25">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ht="21" x14ac:dyDescent="0.25">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ht="21" x14ac:dyDescent="0.25">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ht="21" x14ac:dyDescent="0.25">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ht="21" x14ac:dyDescent="0.25">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ht="21" x14ac:dyDescent="0.25">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ht="21" x14ac:dyDescent="0.25">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ht="21" x14ac:dyDescent="0.25">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ht="21" x14ac:dyDescent="0.25">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ht="21" x14ac:dyDescent="0.25">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ht="21" x14ac:dyDescent="0.25">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ht="21" x14ac:dyDescent="0.25">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ht="21" x14ac:dyDescent="0.25">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ht="21" x14ac:dyDescent="0.25">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ht="21" x14ac:dyDescent="0.25">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ht="21" x14ac:dyDescent="0.25">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ht="21" x14ac:dyDescent="0.25">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ht="21" x14ac:dyDescent="0.25">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ht="21" x14ac:dyDescent="0.25">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ht="21" x14ac:dyDescent="0.25">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ht="21" x14ac:dyDescent="0.25">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ht="21" x14ac:dyDescent="0.25">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ht="21" x14ac:dyDescent="0.25">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ht="21" x14ac:dyDescent="0.25">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ht="21" x14ac:dyDescent="0.25">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ht="21" x14ac:dyDescent="0.25">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ht="21" x14ac:dyDescent="0.25">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ht="21" x14ac:dyDescent="0.25">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ht="21" x14ac:dyDescent="0.25">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ht="21" x14ac:dyDescent="0.25">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ht="21" x14ac:dyDescent="0.25">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ht="21" x14ac:dyDescent="0.25">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ht="21" x14ac:dyDescent="0.25">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ht="21" x14ac:dyDescent="0.25">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ht="21" x14ac:dyDescent="0.25">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ht="21" x14ac:dyDescent="0.25">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ht="21" x14ac:dyDescent="0.25">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ht="21" x14ac:dyDescent="0.25">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ht="21" x14ac:dyDescent="0.25">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ht="21" x14ac:dyDescent="0.25">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ht="21" x14ac:dyDescent="0.25">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ht="21" x14ac:dyDescent="0.25">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ht="21" x14ac:dyDescent="0.25">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ht="21" x14ac:dyDescent="0.25">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ht="21" x14ac:dyDescent="0.25">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ht="21" x14ac:dyDescent="0.25">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ht="21" x14ac:dyDescent="0.25">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ht="21" x14ac:dyDescent="0.25">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ht="21" x14ac:dyDescent="0.25">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ht="21" x14ac:dyDescent="0.25">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ht="21" x14ac:dyDescent="0.25">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ht="21" x14ac:dyDescent="0.25">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ht="21" x14ac:dyDescent="0.25">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ht="21" x14ac:dyDescent="0.25">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ht="21" x14ac:dyDescent="0.25">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ht="21" x14ac:dyDescent="0.25">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ht="21" x14ac:dyDescent="0.25">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ht="21" x14ac:dyDescent="0.25">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ht="21" x14ac:dyDescent="0.25">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ht="21" x14ac:dyDescent="0.25">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ht="21" x14ac:dyDescent="0.25">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ht="21" x14ac:dyDescent="0.25">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ht="21" x14ac:dyDescent="0.25">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ht="21" x14ac:dyDescent="0.25">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ht="21" x14ac:dyDescent="0.25">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ht="21" x14ac:dyDescent="0.25">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ht="21" x14ac:dyDescent="0.25">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ht="21" x14ac:dyDescent="0.25">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ht="21" x14ac:dyDescent="0.25">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ht="21" x14ac:dyDescent="0.25">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ht="21" x14ac:dyDescent="0.25">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ht="21" x14ac:dyDescent="0.25">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ht="21" x14ac:dyDescent="0.25">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ht="21" x14ac:dyDescent="0.25">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ht="21" x14ac:dyDescent="0.25">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ht="21" x14ac:dyDescent="0.25">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ht="21" x14ac:dyDescent="0.25">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ht="21" x14ac:dyDescent="0.25">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ht="21" x14ac:dyDescent="0.25">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ht="21" x14ac:dyDescent="0.25">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ht="21" x14ac:dyDescent="0.25">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ht="21" x14ac:dyDescent="0.25">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ht="21" x14ac:dyDescent="0.25">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ht="21" x14ac:dyDescent="0.25">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ht="21" x14ac:dyDescent="0.25">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ht="21" x14ac:dyDescent="0.25">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ht="21" x14ac:dyDescent="0.25">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ht="21" x14ac:dyDescent="0.25">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ht="21" x14ac:dyDescent="0.25">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ht="21" x14ac:dyDescent="0.25">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ht="21" x14ac:dyDescent="0.25">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ht="21" x14ac:dyDescent="0.25">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ht="21" x14ac:dyDescent="0.25">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ht="21" x14ac:dyDescent="0.25">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ht="21" x14ac:dyDescent="0.25">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ht="21" x14ac:dyDescent="0.25">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ht="21" x14ac:dyDescent="0.25">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ht="21" x14ac:dyDescent="0.25">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ht="21" x14ac:dyDescent="0.25">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ht="21" x14ac:dyDescent="0.25">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ht="21" x14ac:dyDescent="0.25">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ht="21" x14ac:dyDescent="0.25">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ht="21" x14ac:dyDescent="0.25">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ht="21" x14ac:dyDescent="0.25">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ht="21" x14ac:dyDescent="0.25">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ht="21" x14ac:dyDescent="0.25">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ht="21" x14ac:dyDescent="0.25">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ht="21" x14ac:dyDescent="0.25">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ht="21" x14ac:dyDescent="0.25">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ht="21" x14ac:dyDescent="0.25">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ht="21" x14ac:dyDescent="0.25">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ht="21" x14ac:dyDescent="0.25">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ht="21" x14ac:dyDescent="0.25">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ht="21" x14ac:dyDescent="0.25">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ht="21" x14ac:dyDescent="0.25">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ht="21" x14ac:dyDescent="0.25">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ht="21" x14ac:dyDescent="0.25">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ht="21" x14ac:dyDescent="0.25">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ht="21" x14ac:dyDescent="0.25">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ht="21" x14ac:dyDescent="0.25">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ht="21" x14ac:dyDescent="0.25">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ht="21" x14ac:dyDescent="0.25">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ht="21" x14ac:dyDescent="0.25">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ht="21" x14ac:dyDescent="0.25">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ht="21" x14ac:dyDescent="0.25">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ht="21" x14ac:dyDescent="0.25">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ht="21" x14ac:dyDescent="0.25">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ht="21" x14ac:dyDescent="0.25">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ht="21" x14ac:dyDescent="0.25">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ht="21" x14ac:dyDescent="0.25">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ht="21" x14ac:dyDescent="0.25">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ht="21" x14ac:dyDescent="0.25">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ht="21" x14ac:dyDescent="0.25">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ht="21" x14ac:dyDescent="0.25">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ht="21" x14ac:dyDescent="0.25">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ht="21" x14ac:dyDescent="0.25">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ht="21" x14ac:dyDescent="0.25">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ht="21" x14ac:dyDescent="0.25">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ht="21" x14ac:dyDescent="0.25">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ht="21" x14ac:dyDescent="0.25">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ht="21" x14ac:dyDescent="0.25">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ht="21" x14ac:dyDescent="0.25">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ht="21" x14ac:dyDescent="0.25">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ht="21" x14ac:dyDescent="0.25">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ht="21" x14ac:dyDescent="0.25">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ht="21" x14ac:dyDescent="0.25">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ht="21" x14ac:dyDescent="0.25">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ht="21" x14ac:dyDescent="0.25">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ht="21" x14ac:dyDescent="0.25">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ht="21" x14ac:dyDescent="0.25">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ht="21" x14ac:dyDescent="0.25">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ht="21" x14ac:dyDescent="0.25">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ht="21" x14ac:dyDescent="0.25">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ht="21" x14ac:dyDescent="0.25">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ht="21" x14ac:dyDescent="0.25">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ht="21" x14ac:dyDescent="0.25">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ht="21" x14ac:dyDescent="0.25">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ht="21" x14ac:dyDescent="0.25">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ht="21" x14ac:dyDescent="0.25">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ht="21" x14ac:dyDescent="0.25">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ht="21" x14ac:dyDescent="0.25">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ht="21" x14ac:dyDescent="0.25">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ht="21" x14ac:dyDescent="0.25">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ht="21" x14ac:dyDescent="0.25">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ht="21" x14ac:dyDescent="0.25">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ht="21" x14ac:dyDescent="0.25">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ht="21" x14ac:dyDescent="0.25">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ht="21" x14ac:dyDescent="0.25">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ht="21" x14ac:dyDescent="0.25">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ht="21" x14ac:dyDescent="0.25">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ht="21" x14ac:dyDescent="0.25">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ht="21" x14ac:dyDescent="0.25">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ht="21" x14ac:dyDescent="0.25">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ht="21" x14ac:dyDescent="0.25">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ht="21" x14ac:dyDescent="0.25">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ht="21" x14ac:dyDescent="0.25">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ht="21" x14ac:dyDescent="0.25">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ht="21" x14ac:dyDescent="0.25">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ht="21" x14ac:dyDescent="0.25">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ht="21" x14ac:dyDescent="0.25">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ht="21" x14ac:dyDescent="0.25">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ht="21" x14ac:dyDescent="0.25">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ht="21" x14ac:dyDescent="0.25">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ht="21" x14ac:dyDescent="0.25">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ht="21" x14ac:dyDescent="0.25">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ht="21" x14ac:dyDescent="0.25">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ht="21" x14ac:dyDescent="0.25">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ht="21" x14ac:dyDescent="0.25">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ht="21" x14ac:dyDescent="0.25">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ht="21" x14ac:dyDescent="0.25">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ht="21" x14ac:dyDescent="0.25">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ht="21" x14ac:dyDescent="0.25">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ht="21" x14ac:dyDescent="0.25">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ht="21" x14ac:dyDescent="0.25">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ht="21" x14ac:dyDescent="0.25">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ht="21" x14ac:dyDescent="0.25">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ht="21" x14ac:dyDescent="0.25">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ht="21" x14ac:dyDescent="0.25">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ht="21" x14ac:dyDescent="0.25">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ht="21" x14ac:dyDescent="0.25">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ht="21" x14ac:dyDescent="0.25">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ht="21" x14ac:dyDescent="0.25">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ht="21" x14ac:dyDescent="0.25">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ht="21" x14ac:dyDescent="0.25">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ht="21" x14ac:dyDescent="0.25">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ht="21" x14ac:dyDescent="0.25">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ht="21" x14ac:dyDescent="0.25">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ht="21" x14ac:dyDescent="0.25">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ht="21" x14ac:dyDescent="0.25">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ht="21" x14ac:dyDescent="0.25">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ht="21" x14ac:dyDescent="0.25">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ht="21" x14ac:dyDescent="0.25">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ht="21" x14ac:dyDescent="0.25">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ht="21" x14ac:dyDescent="0.25">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ht="21" x14ac:dyDescent="0.25">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ht="21" x14ac:dyDescent="0.25">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ht="21" x14ac:dyDescent="0.25">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ht="21" x14ac:dyDescent="0.25">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ht="21" x14ac:dyDescent="0.25">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ht="21" x14ac:dyDescent="0.25">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ht="21" x14ac:dyDescent="0.25">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ht="21" x14ac:dyDescent="0.25">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ht="21" x14ac:dyDescent="0.25">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ht="21" x14ac:dyDescent="0.25">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ht="21" x14ac:dyDescent="0.25">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ht="21" x14ac:dyDescent="0.25">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ht="21" x14ac:dyDescent="0.25">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ht="21" x14ac:dyDescent="0.25">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ht="21" x14ac:dyDescent="0.25">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ht="21" x14ac:dyDescent="0.25">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ht="21" x14ac:dyDescent="0.25">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ht="21" x14ac:dyDescent="0.25">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ht="21" x14ac:dyDescent="0.25">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ht="21" x14ac:dyDescent="0.25">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ht="21" x14ac:dyDescent="0.25">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ht="21" x14ac:dyDescent="0.25">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ht="21" x14ac:dyDescent="0.25">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ht="21" x14ac:dyDescent="0.25">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ht="21" x14ac:dyDescent="0.25">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ht="21" x14ac:dyDescent="0.25">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ht="21" x14ac:dyDescent="0.25">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ht="21" x14ac:dyDescent="0.25">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ht="21" x14ac:dyDescent="0.25">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ht="21" x14ac:dyDescent="0.25">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ht="21" x14ac:dyDescent="0.25">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ht="21" x14ac:dyDescent="0.25">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ht="21" x14ac:dyDescent="0.25">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ht="21" x14ac:dyDescent="0.25">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ht="21" x14ac:dyDescent="0.25">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ht="21" x14ac:dyDescent="0.25">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ht="21" x14ac:dyDescent="0.25">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ht="21" x14ac:dyDescent="0.25">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ht="21" x14ac:dyDescent="0.25">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ht="21" x14ac:dyDescent="0.25">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ht="21" x14ac:dyDescent="0.25">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ht="21" x14ac:dyDescent="0.25">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ht="21" x14ac:dyDescent="0.25">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ht="21" x14ac:dyDescent="0.25">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ht="21" x14ac:dyDescent="0.25">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ht="21" x14ac:dyDescent="0.25">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ht="21" x14ac:dyDescent="0.25">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ht="21" x14ac:dyDescent="0.25">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ht="21" x14ac:dyDescent="0.25">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ht="21" x14ac:dyDescent="0.25">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ht="21" x14ac:dyDescent="0.25">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ht="21" x14ac:dyDescent="0.25">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ht="21" x14ac:dyDescent="0.25">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ht="21" x14ac:dyDescent="0.25">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ht="21" x14ac:dyDescent="0.25">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ht="21" x14ac:dyDescent="0.25">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ht="21" x14ac:dyDescent="0.25">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ht="21" x14ac:dyDescent="0.25">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ht="21" x14ac:dyDescent="0.25">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ht="21" x14ac:dyDescent="0.25">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ht="21" x14ac:dyDescent="0.25">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ht="21" x14ac:dyDescent="0.25">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ht="21" x14ac:dyDescent="0.25">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ht="21" x14ac:dyDescent="0.25">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ht="21" x14ac:dyDescent="0.25">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ht="21" x14ac:dyDescent="0.25">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ht="21" x14ac:dyDescent="0.25">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ht="21" x14ac:dyDescent="0.25">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ht="21" x14ac:dyDescent="0.25">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ht="21" x14ac:dyDescent="0.25">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ht="21" x14ac:dyDescent="0.25">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ht="21" x14ac:dyDescent="0.25">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ht="21" x14ac:dyDescent="0.25">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ht="21" x14ac:dyDescent="0.25">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ht="21" x14ac:dyDescent="0.25">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ht="21" x14ac:dyDescent="0.25">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ht="21" x14ac:dyDescent="0.25">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ht="21" x14ac:dyDescent="0.25">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ht="21" x14ac:dyDescent="0.25">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ht="21" x14ac:dyDescent="0.25">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ht="21" x14ac:dyDescent="0.25">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ht="21" x14ac:dyDescent="0.25">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ht="21" x14ac:dyDescent="0.25">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ht="21" x14ac:dyDescent="0.25">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ht="21" x14ac:dyDescent="0.25">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ht="21" x14ac:dyDescent="0.25">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ht="21" x14ac:dyDescent="0.25">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ht="21" x14ac:dyDescent="0.25">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ht="21" x14ac:dyDescent="0.25">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ht="21" x14ac:dyDescent="0.25">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ht="21" x14ac:dyDescent="0.25">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ht="21" x14ac:dyDescent="0.25">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ht="21" x14ac:dyDescent="0.25">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ht="21" x14ac:dyDescent="0.25">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ht="21" x14ac:dyDescent="0.25">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ht="21" x14ac:dyDescent="0.25">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ht="21" x14ac:dyDescent="0.25">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ht="21" x14ac:dyDescent="0.25">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ht="21" x14ac:dyDescent="0.25">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ht="21" x14ac:dyDescent="0.25">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ht="21" x14ac:dyDescent="0.25">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ht="21" x14ac:dyDescent="0.25">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ht="21" x14ac:dyDescent="0.25">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ht="21" x14ac:dyDescent="0.25">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ht="21" x14ac:dyDescent="0.25">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ht="21" x14ac:dyDescent="0.25">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ht="21" x14ac:dyDescent="0.25">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ht="21" x14ac:dyDescent="0.25">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ht="21" x14ac:dyDescent="0.25">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ht="21" x14ac:dyDescent="0.25">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ht="21" x14ac:dyDescent="0.25">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ht="21" x14ac:dyDescent="0.25">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ht="21" x14ac:dyDescent="0.25">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ht="21" x14ac:dyDescent="0.25">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ht="21" x14ac:dyDescent="0.25">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ht="21" x14ac:dyDescent="0.25">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ht="21" x14ac:dyDescent="0.25">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ht="21" x14ac:dyDescent="0.25">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ht="21" x14ac:dyDescent="0.25">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ht="21" x14ac:dyDescent="0.25">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ht="21" x14ac:dyDescent="0.25">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ht="21" x14ac:dyDescent="0.25">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ht="21" x14ac:dyDescent="0.25">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ht="21" x14ac:dyDescent="0.25">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ht="21" x14ac:dyDescent="0.25">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ht="21" x14ac:dyDescent="0.25">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ht="21" x14ac:dyDescent="0.25">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ht="21" x14ac:dyDescent="0.25">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ht="21" x14ac:dyDescent="0.25">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ht="21" x14ac:dyDescent="0.25">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ht="21" x14ac:dyDescent="0.25">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ht="21" x14ac:dyDescent="0.25">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ht="21" x14ac:dyDescent="0.25">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ht="21" x14ac:dyDescent="0.25">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ht="21" x14ac:dyDescent="0.25">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ht="21" x14ac:dyDescent="0.25">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ht="21" x14ac:dyDescent="0.25">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ht="21" x14ac:dyDescent="0.25">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ht="21" x14ac:dyDescent="0.25">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ht="21" x14ac:dyDescent="0.25">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ht="21" x14ac:dyDescent="0.25">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ht="21" x14ac:dyDescent="0.25">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ht="21" x14ac:dyDescent="0.25">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ht="21" x14ac:dyDescent="0.25">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ht="21" x14ac:dyDescent="0.25">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ht="21" x14ac:dyDescent="0.25">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ht="21" x14ac:dyDescent="0.25">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ht="21" x14ac:dyDescent="0.25">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ht="21" x14ac:dyDescent="0.25">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ht="21" x14ac:dyDescent="0.25">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ht="21" x14ac:dyDescent="0.25">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ht="21" x14ac:dyDescent="0.25">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ht="21" x14ac:dyDescent="0.25">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ht="21" x14ac:dyDescent="0.25">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ht="21" x14ac:dyDescent="0.25">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ht="21" x14ac:dyDescent="0.25">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ht="21" x14ac:dyDescent="0.25">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ht="21" x14ac:dyDescent="0.25">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ht="21" x14ac:dyDescent="0.25">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ht="21" x14ac:dyDescent="0.25">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ht="21" x14ac:dyDescent="0.25">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ht="21" x14ac:dyDescent="0.25">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ht="21" x14ac:dyDescent="0.25">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ht="21" x14ac:dyDescent="0.25">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ht="21" x14ac:dyDescent="0.25">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ht="21" x14ac:dyDescent="0.25">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ht="21" x14ac:dyDescent="0.25">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ht="21" x14ac:dyDescent="0.25">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ht="21" x14ac:dyDescent="0.25">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ht="21" x14ac:dyDescent="0.25">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ht="21" x14ac:dyDescent="0.25">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ht="21" x14ac:dyDescent="0.25">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ht="21" x14ac:dyDescent="0.25">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ht="21" x14ac:dyDescent="0.25">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ht="21" x14ac:dyDescent="0.25">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ht="21" x14ac:dyDescent="0.25">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ht="21" x14ac:dyDescent="0.25">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ht="21" x14ac:dyDescent="0.25">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ht="21" x14ac:dyDescent="0.25">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ht="21" x14ac:dyDescent="0.25">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ht="21" x14ac:dyDescent="0.25">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ht="21" x14ac:dyDescent="0.25">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ht="21" x14ac:dyDescent="0.25">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ht="21" x14ac:dyDescent="0.25">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ht="21" x14ac:dyDescent="0.25">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ht="21" x14ac:dyDescent="0.25">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ht="21" x14ac:dyDescent="0.25">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ht="21" x14ac:dyDescent="0.25">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ht="21" x14ac:dyDescent="0.25">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ht="21" x14ac:dyDescent="0.25">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ht="21" x14ac:dyDescent="0.25">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ht="21" x14ac:dyDescent="0.25">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ht="21" x14ac:dyDescent="0.25">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ht="21" x14ac:dyDescent="0.25">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ht="21" x14ac:dyDescent="0.25">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ht="21" x14ac:dyDescent="0.25">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ht="21" x14ac:dyDescent="0.25">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ht="21" x14ac:dyDescent="0.25">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ht="21" x14ac:dyDescent="0.25">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ht="21" x14ac:dyDescent="0.25">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ht="21" x14ac:dyDescent="0.25">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ht="21" x14ac:dyDescent="0.25">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ht="21" x14ac:dyDescent="0.25">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ht="21" x14ac:dyDescent="0.25">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ht="21" x14ac:dyDescent="0.25">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ht="21" x14ac:dyDescent="0.25">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ht="21" x14ac:dyDescent="0.25">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ht="21" x14ac:dyDescent="0.25">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ht="21" x14ac:dyDescent="0.25">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ht="21" x14ac:dyDescent="0.25">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ht="21" x14ac:dyDescent="0.25">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ht="21" x14ac:dyDescent="0.25">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ht="21" x14ac:dyDescent="0.25">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ht="21" x14ac:dyDescent="0.25">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ht="21" x14ac:dyDescent="0.25">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ht="21" x14ac:dyDescent="0.25">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ht="21" x14ac:dyDescent="0.25">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ht="21" x14ac:dyDescent="0.25">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ht="21" x14ac:dyDescent="0.25">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ht="21" x14ac:dyDescent="0.25">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ht="21" x14ac:dyDescent="0.25">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ht="21" x14ac:dyDescent="0.25">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ht="21" x14ac:dyDescent="0.25">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ht="21" x14ac:dyDescent="0.25">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ht="21" x14ac:dyDescent="0.25">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ht="21" x14ac:dyDescent="0.25">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ht="21" x14ac:dyDescent="0.25">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ht="21" x14ac:dyDescent="0.25">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ht="21" x14ac:dyDescent="0.25">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ht="21" x14ac:dyDescent="0.25">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ht="21" x14ac:dyDescent="0.25">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ht="21" x14ac:dyDescent="0.25">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ht="21" x14ac:dyDescent="0.25">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ht="21" x14ac:dyDescent="0.25">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ht="21" x14ac:dyDescent="0.25">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ht="21" x14ac:dyDescent="0.25">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ht="21" x14ac:dyDescent="0.25">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ht="21" x14ac:dyDescent="0.25">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ht="21" x14ac:dyDescent="0.25">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ht="21" x14ac:dyDescent="0.25">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ht="21" x14ac:dyDescent="0.25">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ht="21" x14ac:dyDescent="0.25">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ht="21" x14ac:dyDescent="0.25">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ht="21" x14ac:dyDescent="0.25">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ht="21" x14ac:dyDescent="0.25">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ht="21" x14ac:dyDescent="0.25">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ht="21" x14ac:dyDescent="0.25">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ht="21" x14ac:dyDescent="0.25">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ht="21" x14ac:dyDescent="0.25">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ht="21" x14ac:dyDescent="0.25">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ht="21" x14ac:dyDescent="0.25">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ht="21" x14ac:dyDescent="0.25">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ht="21" x14ac:dyDescent="0.25">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ht="21" x14ac:dyDescent="0.25">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ht="21" x14ac:dyDescent="0.25">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ht="21" x14ac:dyDescent="0.25">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ht="21" x14ac:dyDescent="0.25">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ht="21" x14ac:dyDescent="0.25">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ht="21" x14ac:dyDescent="0.25">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ht="21" x14ac:dyDescent="0.25">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ht="21" x14ac:dyDescent="0.25">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ht="21" x14ac:dyDescent="0.25">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ht="21" x14ac:dyDescent="0.25">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ht="21" x14ac:dyDescent="0.25">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ht="21" x14ac:dyDescent="0.25">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ht="21" x14ac:dyDescent="0.25">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ht="21" x14ac:dyDescent="0.25">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ht="21" x14ac:dyDescent="0.25">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ht="21" x14ac:dyDescent="0.25">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ht="21" x14ac:dyDescent="0.25">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ht="21" x14ac:dyDescent="0.25">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ht="21" x14ac:dyDescent="0.25">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ht="21" x14ac:dyDescent="0.25">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ht="21" x14ac:dyDescent="0.25">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ht="21" x14ac:dyDescent="0.25">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ht="21" x14ac:dyDescent="0.25">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ht="21" x14ac:dyDescent="0.25">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ht="21" x14ac:dyDescent="0.25">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ht="21" x14ac:dyDescent="0.25">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ht="21" x14ac:dyDescent="0.25">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ht="21" x14ac:dyDescent="0.25">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ht="21" x14ac:dyDescent="0.25">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ht="21" x14ac:dyDescent="0.25">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ht="21" x14ac:dyDescent="0.25">
      <c r="C1325" s="6" t="s">
        <v>3876</v>
      </c>
      <c r="F1325" s="7"/>
      <c r="G1325" s="7"/>
      <c r="H1325" s="6" t="e">
        <f t="shared" si="40"/>
        <v>#DIV/0!</v>
      </c>
      <c r="I1325" s="3"/>
      <c r="J1325" s="6" t="str">
        <f t="shared" si="41"/>
        <v>http://konect.cc/files/download.tsv..tar.bz2</v>
      </c>
    </row>
    <row r="1326" spans="3:12" x14ac:dyDescent="0.2">
      <c r="C1326" s="6" t="s">
        <v>3876</v>
      </c>
      <c r="F1326" s="7"/>
      <c r="G1326" s="7"/>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QC</vt:lpstr>
      <vt:lpstr>MC - para</vt:lpstr>
      <vt:lpstr>MC</vt:lpstr>
      <vt:lpstr>SM</vt:lpstr>
      <vt:lpstr>AIMD-ampere</vt:lpstr>
      <vt:lpstr>mce-gpu</vt:lpstr>
      <vt:lpstr>MQC</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2026-05-07T21:14:18Z</dcterms:modified>
</cp:coreProperties>
</file>