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A1D81873-7AB7-F64C-BF51-BC09D4C25720}" xr6:coauthVersionLast="47" xr6:coauthVersionMax="47" xr10:uidLastSave="{00000000-0000-0000-0000-000000000000}"/>
  <bookViews>
    <workbookView xWindow="0" yWindow="760" windowWidth="30240" windowHeight="18880" xr2:uid="{93E1CCD5-64A0-5F4C-A5F1-EE4B217F183B}"/>
  </bookViews>
  <sheets>
    <sheet name="SM2" sheetId="32" r:id="rId1"/>
    <sheet name="MC" sheetId="28" r:id="rId2"/>
    <sheet name="MQC" sheetId="27" r:id="rId3"/>
    <sheet name="SM" sheetId="30" r:id="rId4"/>
    <sheet name="AIMD-ampere" sheetId="11" r:id="rId5"/>
    <sheet name="mce-gpu" sheetId="9" r:id="rId6"/>
    <sheet name="MC - para" sheetId="29" r:id="rId7"/>
    <sheet name="QC" sheetId="31" r:id="rId8"/>
    <sheet name="SM-datasets" sheetId="33"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32" l="1"/>
  <c r="M4" i="32"/>
  <c r="M5" i="32"/>
  <c r="M6" i="32"/>
  <c r="M7" i="32"/>
  <c r="M8" i="32"/>
  <c r="M9" i="32"/>
  <c r="M10" i="32"/>
  <c r="M11" i="32"/>
  <c r="M12" i="32"/>
  <c r="M13" i="32"/>
  <c r="M14" i="32"/>
  <c r="M15" i="32"/>
  <c r="M16" i="32"/>
  <c r="M17" i="32"/>
  <c r="M18" i="32"/>
  <c r="M19" i="32"/>
  <c r="M20" i="32"/>
  <c r="M21" i="32"/>
  <c r="M22" i="32"/>
  <c r="M23" i="32"/>
  <c r="M24" i="32"/>
  <c r="M25" i="32"/>
  <c r="M26" i="32"/>
  <c r="M27" i="32"/>
  <c r="M28" i="32"/>
  <c r="M29" i="32"/>
  <c r="M30" i="32"/>
  <c r="M31" i="32"/>
  <c r="M32" i="32"/>
  <c r="M33" i="32"/>
  <c r="M34" i="32"/>
  <c r="M35" i="32"/>
  <c r="M36" i="32"/>
  <c r="M37" i="32"/>
  <c r="M38" i="32"/>
  <c r="M39" i="32"/>
  <c r="M40" i="32"/>
  <c r="M41" i="32"/>
  <c r="M42" i="32"/>
  <c r="M43" i="32"/>
  <c r="M44" i="32"/>
  <c r="M45" i="32"/>
  <c r="M54" i="32"/>
  <c r="M47" i="32"/>
  <c r="M55" i="32"/>
  <c r="M57" i="32"/>
  <c r="M58" i="32"/>
  <c r="M64" i="32"/>
  <c r="M62" i="32"/>
  <c r="M60" i="32"/>
  <c r="M66" i="32"/>
  <c r="M67" i="32"/>
  <c r="M68" i="32"/>
  <c r="M63" i="32"/>
  <c r="M70" i="32"/>
  <c r="M71" i="32"/>
  <c r="M69" i="32"/>
  <c r="M49" i="32"/>
  <c r="M50" i="32"/>
  <c r="M51" i="32"/>
  <c r="M75" i="32"/>
  <c r="M61" i="32"/>
  <c r="M73" i="32"/>
  <c r="M74" i="32"/>
  <c r="M77" i="32"/>
  <c r="M72" i="32"/>
  <c r="M76" i="32"/>
  <c r="M78" i="32"/>
  <c r="M81" i="32"/>
  <c r="M79" i="32"/>
  <c r="M59" i="32"/>
  <c r="M82" i="32"/>
  <c r="M48" i="32"/>
  <c r="M53" i="32"/>
  <c r="M65" i="32"/>
  <c r="M56" i="32"/>
  <c r="M80" i="32"/>
  <c r="M46" i="32"/>
  <c r="M52" i="32"/>
  <c r="M83" i="32"/>
  <c r="M84" i="32"/>
  <c r="M85" i="32"/>
  <c r="M86" i="32"/>
  <c r="M87" i="32"/>
  <c r="M88" i="32"/>
  <c r="M89" i="32"/>
  <c r="M90" i="32"/>
  <c r="M91" i="32"/>
  <c r="M92" i="32"/>
  <c r="M93" i="32"/>
  <c r="M94" i="32"/>
  <c r="M95" i="32"/>
  <c r="M96" i="32"/>
  <c r="M97" i="32"/>
  <c r="M98" i="32"/>
  <c r="M99" i="32"/>
  <c r="M100" i="32"/>
  <c r="M101" i="32"/>
  <c r="M102" i="32"/>
  <c r="M103" i="32"/>
  <c r="M104" i="32"/>
  <c r="M105" i="32"/>
  <c r="M106" i="32"/>
  <c r="M107" i="32"/>
  <c r="M108" i="32"/>
  <c r="M109" i="32"/>
  <c r="M110" i="32"/>
  <c r="M111" i="32"/>
  <c r="M112" i="32"/>
  <c r="M113" i="32"/>
  <c r="M114" i="32"/>
  <c r="M115" i="32"/>
  <c r="M116" i="32"/>
  <c r="M117" i="32"/>
  <c r="M118" i="32"/>
  <c r="M119" i="32"/>
  <c r="M120" i="32"/>
  <c r="M121" i="32"/>
  <c r="M122" i="32"/>
  <c r="M123" i="32"/>
  <c r="M124" i="32"/>
  <c r="M125" i="32"/>
  <c r="M126" i="32"/>
  <c r="M127" i="32"/>
  <c r="M128" i="32"/>
  <c r="M129" i="32"/>
  <c r="M130" i="32"/>
  <c r="M131" i="32"/>
  <c r="M132" i="32"/>
  <c r="M133" i="32"/>
  <c r="M134" i="32"/>
  <c r="M135" i="32"/>
  <c r="M136" i="32"/>
  <c r="M137" i="32"/>
  <c r="M138" i="32"/>
  <c r="M139" i="32"/>
  <c r="M140" i="32"/>
  <c r="M141" i="32"/>
  <c r="M142" i="32"/>
  <c r="M143" i="32"/>
  <c r="M144" i="32"/>
  <c r="M145" i="32"/>
  <c r="M146" i="32"/>
  <c r="N3" i="32"/>
  <c r="N4" i="32"/>
  <c r="N5" i="32"/>
  <c r="N6" i="32"/>
  <c r="N7" i="32"/>
  <c r="N8" i="32"/>
  <c r="N9" i="32"/>
  <c r="N10" i="32"/>
  <c r="N11" i="32"/>
  <c r="N12" i="32"/>
  <c r="N13" i="32"/>
  <c r="N14" i="32"/>
  <c r="N15" i="32"/>
  <c r="N16" i="32"/>
  <c r="N17" i="32"/>
  <c r="N18" i="32"/>
  <c r="N19" i="32"/>
  <c r="N20" i="32"/>
  <c r="N21" i="32"/>
  <c r="N22" i="32"/>
  <c r="N23" i="32"/>
  <c r="N24" i="32"/>
  <c r="N25" i="32"/>
  <c r="N26" i="32"/>
  <c r="N27" i="32"/>
  <c r="N28" i="32"/>
  <c r="N29" i="32"/>
  <c r="N30" i="32"/>
  <c r="N31" i="32"/>
  <c r="N32" i="32"/>
  <c r="N33" i="32"/>
  <c r="N34" i="32"/>
  <c r="N35" i="32"/>
  <c r="N36" i="32"/>
  <c r="N37" i="32"/>
  <c r="N38" i="32"/>
  <c r="N39" i="32"/>
  <c r="N40" i="32"/>
  <c r="N41" i="32"/>
  <c r="N42" i="32"/>
  <c r="N43" i="32"/>
  <c r="N44" i="32"/>
  <c r="N45" i="32"/>
  <c r="N54" i="32"/>
  <c r="N47" i="32"/>
  <c r="N55" i="32"/>
  <c r="N57" i="32"/>
  <c r="N58" i="32"/>
  <c r="N64" i="32"/>
  <c r="N62" i="32"/>
  <c r="N60" i="32"/>
  <c r="N66" i="32"/>
  <c r="N67" i="32"/>
  <c r="N68" i="32"/>
  <c r="N63" i="32"/>
  <c r="N70" i="32"/>
  <c r="N71" i="32"/>
  <c r="N69" i="32"/>
  <c r="N49" i="32"/>
  <c r="N50" i="32"/>
  <c r="N51" i="32"/>
  <c r="N75" i="32"/>
  <c r="N61" i="32"/>
  <c r="N73" i="32"/>
  <c r="N74" i="32"/>
  <c r="N77" i="32"/>
  <c r="N72" i="32"/>
  <c r="N76" i="32"/>
  <c r="N78" i="32"/>
  <c r="N81" i="32"/>
  <c r="N79" i="32"/>
  <c r="N59" i="32"/>
  <c r="N82" i="32"/>
  <c r="N48" i="32"/>
  <c r="N53" i="32"/>
  <c r="N65" i="32"/>
  <c r="N56" i="32"/>
  <c r="N80" i="32"/>
  <c r="N46" i="32"/>
  <c r="N52" i="32"/>
  <c r="N83" i="32"/>
  <c r="N84" i="32"/>
  <c r="N85" i="32"/>
  <c r="N86" i="32"/>
  <c r="N87" i="32"/>
  <c r="N88" i="32"/>
  <c r="N89" i="32"/>
  <c r="N90" i="32"/>
  <c r="N91" i="32"/>
  <c r="N92" i="32"/>
  <c r="N93" i="32"/>
  <c r="N94" i="32"/>
  <c r="N95" i="32"/>
  <c r="N96" i="32"/>
  <c r="N97" i="32"/>
  <c r="N98" i="32"/>
  <c r="N99" i="32"/>
  <c r="N100" i="32"/>
  <c r="N101" i="32"/>
  <c r="N102" i="32"/>
  <c r="N103" i="32"/>
  <c r="N104" i="32"/>
  <c r="N105" i="32"/>
  <c r="N106" i="32"/>
  <c r="N107" i="32"/>
  <c r="N108" i="32"/>
  <c r="N109" i="32"/>
  <c r="N110" i="32"/>
  <c r="N111" i="32"/>
  <c r="N112" i="32"/>
  <c r="N113" i="32"/>
  <c r="N114" i="32"/>
  <c r="N115" i="32"/>
  <c r="N116" i="32"/>
  <c r="N117" i="32"/>
  <c r="N118" i="32"/>
  <c r="N119" i="32"/>
  <c r="N120" i="32"/>
  <c r="N121" i="32"/>
  <c r="N122" i="32"/>
  <c r="N123" i="32"/>
  <c r="N124" i="32"/>
  <c r="N125" i="32"/>
  <c r="N126" i="32"/>
  <c r="N127" i="32"/>
  <c r="N128" i="32"/>
  <c r="N129" i="32"/>
  <c r="N130" i="32"/>
  <c r="N131" i="32"/>
  <c r="N132" i="32"/>
  <c r="N133" i="32"/>
  <c r="N134" i="32"/>
  <c r="N135" i="32"/>
  <c r="N136" i="32"/>
  <c r="N137" i="32"/>
  <c r="N138" i="32"/>
  <c r="N139" i="32"/>
  <c r="N140" i="32"/>
  <c r="N141" i="32"/>
  <c r="N142" i="32"/>
  <c r="N143" i="32"/>
  <c r="N144" i="32"/>
  <c r="N145" i="32"/>
  <c r="N146" i="32"/>
  <c r="L3" i="32"/>
  <c r="L4" i="32"/>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60" i="32"/>
  <c r="L64" i="32"/>
  <c r="L63" i="32"/>
  <c r="L72" i="32"/>
  <c r="L70" i="32"/>
  <c r="L79" i="32"/>
  <c r="L75" i="32"/>
  <c r="L51" i="32"/>
  <c r="L67" i="32"/>
  <c r="L73" i="32"/>
  <c r="L61" i="32"/>
  <c r="L77" i="32"/>
  <c r="L71" i="32"/>
  <c r="L78" i="32"/>
  <c r="L59" i="32"/>
  <c r="L74" i="32"/>
  <c r="L81" i="32"/>
  <c r="L53" i="32"/>
  <c r="L54" i="32"/>
  <c r="L69" i="32"/>
  <c r="L57" i="32"/>
  <c r="L68" i="32"/>
  <c r="L82" i="32"/>
  <c r="L52" i="32"/>
  <c r="L47" i="32"/>
  <c r="L50" i="32"/>
  <c r="L49" i="32"/>
  <c r="L62" i="32"/>
  <c r="L58" i="32"/>
  <c r="L65" i="32"/>
  <c r="L45" i="32"/>
  <c r="L48" i="32"/>
  <c r="L55" i="32"/>
  <c r="L56" i="32"/>
  <c r="L46" i="32"/>
  <c r="L80" i="32"/>
  <c r="L66" i="32"/>
  <c r="L76" i="32"/>
  <c r="L83" i="32"/>
  <c r="L84" i="32"/>
  <c r="L85" i="32"/>
  <c r="L86" i="32"/>
  <c r="L87" i="32"/>
  <c r="L88" i="32"/>
  <c r="L89" i="32"/>
  <c r="L90" i="32"/>
  <c r="L91" i="32"/>
  <c r="L92" i="32"/>
  <c r="L93" i="32"/>
  <c r="L94" i="32"/>
  <c r="L95" i="32"/>
  <c r="L96" i="32"/>
  <c r="L97" i="32"/>
  <c r="L98" i="32"/>
  <c r="L99" i="32"/>
  <c r="L100" i="32"/>
  <c r="L101" i="32"/>
  <c r="L102" i="32"/>
  <c r="L103" i="32"/>
  <c r="L104" i="32"/>
  <c r="L105" i="32"/>
  <c r="L106" i="32"/>
  <c r="L107" i="32"/>
  <c r="L108" i="32"/>
  <c r="L109" i="32"/>
  <c r="L110" i="32"/>
  <c r="L111" i="32"/>
  <c r="L112" i="32"/>
  <c r="L113" i="32"/>
  <c r="L114" i="32"/>
  <c r="L115" i="32"/>
  <c r="L116" i="32"/>
  <c r="L117" i="32"/>
  <c r="L118" i="32"/>
  <c r="L119" i="32"/>
  <c r="L120" i="32"/>
  <c r="L121" i="32"/>
  <c r="L122" i="32"/>
  <c r="L123" i="32"/>
  <c r="L124" i="32"/>
  <c r="L125" i="32"/>
  <c r="L126" i="32"/>
  <c r="L127" i="32"/>
  <c r="L128" i="32"/>
  <c r="L129" i="32"/>
  <c r="L130" i="32"/>
  <c r="L131" i="32"/>
  <c r="L132" i="32"/>
  <c r="L133" i="32"/>
  <c r="L134" i="32"/>
  <c r="L135" i="32"/>
  <c r="L136" i="32"/>
  <c r="L137" i="32"/>
  <c r="L138" i="32"/>
  <c r="L139" i="32"/>
  <c r="L140" i="32"/>
  <c r="L141" i="32"/>
  <c r="L142" i="32"/>
  <c r="L143" i="32"/>
  <c r="L144" i="32"/>
  <c r="L145" i="32"/>
  <c r="L146"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60" i="32"/>
  <c r="K64" i="32"/>
  <c r="K63" i="32"/>
  <c r="K72" i="32"/>
  <c r="K70" i="32"/>
  <c r="K79" i="32"/>
  <c r="K75" i="32"/>
  <c r="K51" i="32"/>
  <c r="K67" i="32"/>
  <c r="K73" i="32"/>
  <c r="K61" i="32"/>
  <c r="K77" i="32"/>
  <c r="K71" i="32"/>
  <c r="K78" i="32"/>
  <c r="K59" i="32"/>
  <c r="K74" i="32"/>
  <c r="K81" i="32"/>
  <c r="K53" i="32"/>
  <c r="K54" i="32"/>
  <c r="K69" i="32"/>
  <c r="K57" i="32"/>
  <c r="K68" i="32"/>
  <c r="K82" i="32"/>
  <c r="K52" i="32"/>
  <c r="K47" i="32"/>
  <c r="K50" i="32"/>
  <c r="K49" i="32"/>
  <c r="K62" i="32"/>
  <c r="K58" i="32"/>
  <c r="K65" i="32"/>
  <c r="K45" i="32"/>
  <c r="K48" i="32"/>
  <c r="K55" i="32"/>
  <c r="K56" i="32"/>
  <c r="K46" i="32"/>
  <c r="K80" i="32"/>
  <c r="K66" i="32"/>
  <c r="K76"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K130" i="32"/>
  <c r="K131" i="32"/>
  <c r="K132" i="32"/>
  <c r="K133" i="32"/>
  <c r="K134" i="32"/>
  <c r="K135" i="32"/>
  <c r="K136" i="32"/>
  <c r="K137" i="32"/>
  <c r="K138" i="32"/>
  <c r="K139" i="32"/>
  <c r="K140" i="32"/>
  <c r="K141" i="32"/>
  <c r="K142" i="32"/>
  <c r="K143" i="32"/>
  <c r="K144" i="32"/>
  <c r="K145" i="32"/>
  <c r="K146" i="32"/>
  <c r="R6" i="28"/>
  <c r="R7" i="28"/>
  <c r="R8" i="28"/>
  <c r="R9" i="28"/>
  <c r="R10" i="28"/>
  <c r="R11" i="28"/>
  <c r="R12" i="28"/>
  <c r="R13" i="28"/>
  <c r="R14" i="28"/>
  <c r="R15" i="28"/>
  <c r="R58" i="28"/>
  <c r="R61" i="28"/>
  <c r="R62" i="28"/>
  <c r="R53" i="28"/>
  <c r="R59" i="28"/>
  <c r="R36" i="28"/>
  <c r="R60" i="28"/>
  <c r="R63" i="28"/>
  <c r="R64" i="28"/>
  <c r="R52" i="28"/>
  <c r="R18" i="28"/>
  <c r="R20" i="28"/>
  <c r="R21" i="28"/>
  <c r="R39" i="28"/>
  <c r="R44" i="28"/>
  <c r="R50" i="28"/>
  <c r="R30" i="28"/>
  <c r="R43" i="28"/>
  <c r="R24" i="28"/>
  <c r="R19" i="28"/>
  <c r="R28" i="28"/>
  <c r="R22" i="28"/>
  <c r="R27" i="28"/>
  <c r="R54" i="28"/>
  <c r="R55" i="28"/>
  <c r="R65" i="28"/>
  <c r="R51" i="28"/>
  <c r="R26" i="28"/>
  <c r="R16" i="28"/>
  <c r="R25" i="28"/>
  <c r="R45" i="28"/>
  <c r="R23" i="28"/>
  <c r="R37" i="28"/>
  <c r="R38" i="28"/>
  <c r="R17" i="28"/>
  <c r="R57" i="28"/>
  <c r="R29" i="28"/>
  <c r="R41" i="28"/>
  <c r="R31" i="28"/>
  <c r="R42" i="28"/>
  <c r="R40" i="28"/>
  <c r="R48" i="28"/>
  <c r="R35" i="28"/>
  <c r="R46" i="28"/>
  <c r="R32" i="28"/>
  <c r="R34" i="28"/>
  <c r="R47" i="28"/>
  <c r="R49" i="28"/>
  <c r="R56" i="28"/>
  <c r="R33" i="28"/>
  <c r="Q6" i="28"/>
  <c r="Q7" i="28"/>
  <c r="Q8" i="28"/>
  <c r="Q9" i="28"/>
  <c r="Q10" i="28"/>
  <c r="Q11" i="28"/>
  <c r="Q12" i="28"/>
  <c r="Q13" i="28"/>
  <c r="Q14" i="28"/>
  <c r="Q15" i="28"/>
  <c r="Q49" i="28"/>
  <c r="Q34" i="28"/>
  <c r="Q42" i="28"/>
  <c r="Q57" i="28"/>
  <c r="Q33" i="28"/>
  <c r="Q35" i="28"/>
  <c r="Q22" i="28"/>
  <c r="Q37" i="28"/>
  <c r="Q48" i="28"/>
  <c r="Q26" i="28"/>
  <c r="Q56" i="28"/>
  <c r="Q58" i="28"/>
  <c r="Q29" i="28"/>
  <c r="Q19" i="28"/>
  <c r="Q64" i="28"/>
  <c r="Q43" i="28"/>
  <c r="Q30" i="28"/>
  <c r="Q47" i="28"/>
  <c r="Q60" i="28"/>
  <c r="Q44" i="28"/>
  <c r="Q51" i="28"/>
  <c r="Q46" i="28"/>
  <c r="Q38" i="28"/>
  <c r="Q32" i="28"/>
  <c r="Q40" i="28"/>
  <c r="Q41" i="28"/>
  <c r="Q18" i="28"/>
  <c r="Q39" i="28"/>
  <c r="Q24" i="28"/>
  <c r="Q62" i="28"/>
  <c r="Q17" i="28"/>
  <c r="Q25" i="28"/>
  <c r="Q61" i="28"/>
  <c r="Q45" i="28"/>
  <c r="Q59" i="28"/>
  <c r="Q53" i="28"/>
  <c r="Q55" i="28"/>
  <c r="Q31" i="28"/>
  <c r="Q21" i="28"/>
  <c r="Q27" i="28"/>
  <c r="Q54" i="28"/>
  <c r="Q28" i="28"/>
  <c r="Q65" i="28"/>
  <c r="Q50" i="28"/>
  <c r="Q52" i="28"/>
  <c r="Q36" i="28"/>
  <c r="Q23" i="28"/>
  <c r="Q63" i="28"/>
  <c r="Q20" i="28"/>
  <c r="Q16" i="28"/>
  <c r="P6" i="28"/>
  <c r="P7" i="28"/>
  <c r="P8" i="28"/>
  <c r="P9" i="28"/>
  <c r="P10" i="28"/>
  <c r="P11" i="28"/>
  <c r="P12" i="28"/>
  <c r="P13" i="28"/>
  <c r="P14" i="28"/>
  <c r="P15" i="28"/>
  <c r="P49" i="28"/>
  <c r="P34" i="28"/>
  <c r="P42" i="28"/>
  <c r="P57" i="28"/>
  <c r="P33" i="28"/>
  <c r="P35" i="28"/>
  <c r="P22" i="28"/>
  <c r="P37" i="28"/>
  <c r="P48" i="28"/>
  <c r="P26" i="28"/>
  <c r="P56" i="28"/>
  <c r="P58" i="28"/>
  <c r="P29" i="28"/>
  <c r="P19" i="28"/>
  <c r="P64" i="28"/>
  <c r="P43" i="28"/>
  <c r="P30" i="28"/>
  <c r="P47" i="28"/>
  <c r="P60" i="28"/>
  <c r="P44" i="28"/>
  <c r="P51" i="28"/>
  <c r="P46" i="28"/>
  <c r="P38" i="28"/>
  <c r="P32" i="28"/>
  <c r="P40" i="28"/>
  <c r="P41" i="28"/>
  <c r="P18" i="28"/>
  <c r="P39" i="28"/>
  <c r="P24" i="28"/>
  <c r="P62" i="28"/>
  <c r="P17" i="28"/>
  <c r="P25" i="28"/>
  <c r="P61" i="28"/>
  <c r="P45" i="28"/>
  <c r="P59" i="28"/>
  <c r="P53" i="28"/>
  <c r="P55" i="28"/>
  <c r="P31" i="28"/>
  <c r="P21" i="28"/>
  <c r="P27" i="28"/>
  <c r="P54" i="28"/>
  <c r="P28" i="28"/>
  <c r="P65" i="28"/>
  <c r="P50" i="28"/>
  <c r="P52" i="28"/>
  <c r="P36" i="28"/>
  <c r="P23" i="28"/>
  <c r="P63" i="28"/>
  <c r="P20" i="28"/>
  <c r="P16" i="28"/>
  <c r="O6" i="28"/>
  <c r="O7" i="28"/>
  <c r="O8" i="28"/>
  <c r="O9" i="28"/>
  <c r="O10" i="28"/>
  <c r="O11" i="28"/>
  <c r="O12" i="28"/>
  <c r="O13" i="28"/>
  <c r="O14" i="28"/>
  <c r="O15" i="28"/>
  <c r="O33" i="28"/>
  <c r="O31" i="28"/>
  <c r="O35" i="28"/>
  <c r="O50" i="28"/>
  <c r="O46" i="28"/>
  <c r="O29" i="28"/>
  <c r="O47" i="28"/>
  <c r="O32" i="28"/>
  <c r="O56" i="28"/>
  <c r="O17" i="28"/>
  <c r="O45" i="28"/>
  <c r="O34" i="28"/>
  <c r="O37" i="28"/>
  <c r="O41" i="28"/>
  <c r="O38" i="28"/>
  <c r="O49" i="28"/>
  <c r="O40" i="28"/>
  <c r="O42" i="28"/>
  <c r="O54" i="28"/>
  <c r="O25" i="28"/>
  <c r="O28" i="28"/>
  <c r="O30" i="28"/>
  <c r="O22" i="28"/>
  <c r="O51" i="28"/>
  <c r="O23" i="28"/>
  <c r="O24" i="28"/>
  <c r="O48" i="28"/>
  <c r="O36" i="28"/>
  <c r="O39" i="28"/>
  <c r="O44" i="28"/>
  <c r="O57" i="28"/>
  <c r="O59" i="28"/>
  <c r="O65" i="28"/>
  <c r="O18" i="28"/>
  <c r="O53" i="28"/>
  <c r="O64" i="28"/>
  <c r="O26" i="28"/>
  <c r="O62" i="28"/>
  <c r="O52" i="28"/>
  <c r="O63" i="28"/>
  <c r="O60" i="28"/>
  <c r="O61" i="28"/>
  <c r="O27" i="28"/>
  <c r="O55" i="28"/>
  <c r="O20" i="28"/>
  <c r="O58" i="28"/>
  <c r="O19" i="28"/>
  <c r="O21" i="28"/>
  <c r="O43" i="28"/>
  <c r="O16" i="28"/>
  <c r="D26" i="33"/>
  <c r="D17" i="33"/>
  <c r="D27" i="33"/>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F6" i="28"/>
  <c r="F7" i="28"/>
  <c r="F8" i="28"/>
  <c r="F9" i="28"/>
  <c r="F10" i="28"/>
  <c r="F11" i="28"/>
  <c r="F12" i="28"/>
  <c r="F13" i="28"/>
  <c r="F14" i="28"/>
  <c r="F15" i="28"/>
  <c r="F63" i="28"/>
  <c r="F61" i="28"/>
  <c r="F53" i="28"/>
  <c r="F50" i="28"/>
  <c r="F58" i="28"/>
  <c r="F62" i="28"/>
  <c r="F59" i="28"/>
  <c r="F39" i="28"/>
  <c r="F65" i="28"/>
  <c r="F60" i="28"/>
  <c r="F64" i="28"/>
  <c r="F20" i="28"/>
  <c r="F51" i="28"/>
  <c r="F55" i="28"/>
  <c r="F41" i="28"/>
  <c r="F47" i="28"/>
  <c r="F17" i="28"/>
  <c r="F21" i="28"/>
  <c r="F44" i="28"/>
  <c r="F54" i="28"/>
  <c r="F23" i="28"/>
  <c r="F38" i="28"/>
  <c r="F19" i="28"/>
  <c r="F25" i="28"/>
  <c r="F31" i="28"/>
  <c r="F40" i="28"/>
  <c r="F43" i="28"/>
  <c r="F27" i="28"/>
  <c r="F48" i="28"/>
  <c r="F36" i="28"/>
  <c r="F16" i="28"/>
  <c r="F57" i="28"/>
  <c r="F28" i="28"/>
  <c r="F30" i="28"/>
  <c r="F26" i="28"/>
  <c r="F45" i="28"/>
  <c r="F52" i="28"/>
  <c r="F37" i="28"/>
  <c r="F46" i="28"/>
  <c r="F18" i="28"/>
  <c r="F29" i="28"/>
  <c r="F42" i="28"/>
  <c r="F32" i="28"/>
  <c r="F22" i="28"/>
  <c r="F35" i="28"/>
  <c r="F24" i="28"/>
  <c r="F33" i="28"/>
  <c r="F49" i="28"/>
  <c r="F34" i="28"/>
  <c r="F56" i="28"/>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T6" i="28"/>
  <c r="T7" i="28"/>
  <c r="T8" i="28"/>
  <c r="T9" i="28"/>
  <c r="T10" i="28"/>
  <c r="T11" i="28"/>
  <c r="T12" i="28"/>
  <c r="T13" i="28"/>
  <c r="T14" i="28"/>
  <c r="T15" i="28"/>
  <c r="S6" i="28"/>
  <c r="S7" i="28"/>
  <c r="S8" i="28"/>
  <c r="S9" i="28"/>
  <c r="S10" i="28"/>
  <c r="S11" i="28"/>
  <c r="S12" i="28"/>
  <c r="S13" i="28"/>
  <c r="S14" i="28"/>
  <c r="S15" i="28"/>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Q125" i="32"/>
  <c r="AN142" i="32"/>
  <c r="AQ142" i="32"/>
  <c r="AQ112" i="32"/>
  <c r="AQ119" i="32"/>
  <c r="AQ9" i="32"/>
  <c r="AN9" i="32"/>
  <c r="AN72" i="32"/>
  <c r="AQ72" i="32"/>
  <c r="AQ68" i="32"/>
  <c r="AN68" i="32"/>
  <c r="AQ133" i="32"/>
  <c r="AQ15" i="32"/>
  <c r="AN15" i="32"/>
  <c r="AN137" i="32"/>
  <c r="AQ137" i="32"/>
  <c r="AQ134" i="32"/>
  <c r="AN134" i="32"/>
  <c r="AQ74" i="32"/>
  <c r="AN74" i="32"/>
  <c r="AQ52" i="32"/>
  <c r="AN52" i="32"/>
  <c r="AQ35" i="32"/>
  <c r="AN35" i="32"/>
  <c r="AQ17" i="32"/>
  <c r="AN17" i="32"/>
  <c r="AQ113" i="32"/>
  <c r="AQ104" i="32"/>
  <c r="AQ130" i="32"/>
  <c r="AN44" i="32"/>
  <c r="AQ44" i="32"/>
  <c r="AQ117" i="32"/>
  <c r="AQ103" i="32"/>
  <c r="AQ95" i="32"/>
  <c r="AQ25" i="32"/>
  <c r="AN25" i="32"/>
  <c r="AN55" i="32"/>
  <c r="AQ55" i="32"/>
  <c r="AN73" i="32"/>
  <c r="AQ73" i="32"/>
  <c r="AQ132" i="32"/>
  <c r="AN61" i="32"/>
  <c r="AQ61" i="32"/>
  <c r="AQ18" i="32"/>
  <c r="AN18" i="32"/>
  <c r="AQ96" i="32"/>
  <c r="AQ120" i="32"/>
  <c r="AQ116" i="32"/>
  <c r="AQ101" i="32"/>
  <c r="AQ93" i="32"/>
  <c r="AQ128" i="32"/>
  <c r="AN5" i="32"/>
  <c r="AQ5" i="32"/>
  <c r="AQ99" i="32"/>
  <c r="AN56" i="32"/>
  <c r="AQ56" i="32"/>
  <c r="AQ38" i="32"/>
  <c r="AN38" i="32"/>
  <c r="AN50" i="32"/>
  <c r="AQ50" i="32"/>
  <c r="AN79" i="32"/>
  <c r="AQ79" i="32"/>
  <c r="AQ60" i="32"/>
  <c r="AN60" i="32"/>
  <c r="AQ97" i="32"/>
  <c r="AN31" i="32"/>
  <c r="AQ31" i="32"/>
  <c r="AQ58" i="32"/>
  <c r="AN58" i="32"/>
  <c r="AN62" i="32"/>
  <c r="AQ62" i="32"/>
  <c r="AN140" i="32"/>
  <c r="AQ140" i="32"/>
  <c r="AQ100" i="32"/>
  <c r="AQ106" i="32"/>
  <c r="AQ6" i="32"/>
  <c r="AN6" i="32"/>
  <c r="AQ121" i="32"/>
  <c r="AQ111" i="32"/>
  <c r="AQ145" i="32"/>
  <c r="AN145" i="32"/>
  <c r="AN22" i="32"/>
  <c r="AQ22" i="32"/>
  <c r="AQ49" i="32"/>
  <c r="AN49" i="32"/>
  <c r="AQ98" i="32"/>
  <c r="AQ122" i="32"/>
  <c r="AQ139" i="32"/>
  <c r="AN139" i="32"/>
  <c r="AQ43" i="32"/>
  <c r="AN43" i="32"/>
  <c r="AN146" i="32"/>
  <c r="AQ146" i="32"/>
  <c r="AQ91" i="32"/>
  <c r="AQ37" i="32"/>
  <c r="AN37" i="32"/>
  <c r="AQ84" i="32"/>
  <c r="AN84" i="32"/>
  <c r="AQ33" i="32"/>
  <c r="AN33" i="32"/>
  <c r="AQ21" i="32"/>
  <c r="AN21" i="32"/>
  <c r="AQ26" i="32"/>
  <c r="AN26" i="32"/>
  <c r="AN67" i="32"/>
  <c r="AQ67" i="32"/>
  <c r="AN14" i="32"/>
  <c r="AQ14" i="32"/>
  <c r="AN64" i="32"/>
  <c r="AQ64" i="32"/>
  <c r="AQ126" i="32"/>
  <c r="AQ108" i="32"/>
  <c r="AQ54" i="32"/>
  <c r="AN54" i="32"/>
  <c r="AQ30" i="32"/>
  <c r="AN30" i="32"/>
  <c r="AQ107" i="32"/>
  <c r="AN78" i="32"/>
  <c r="AQ78" i="32"/>
  <c r="AQ7" i="32"/>
  <c r="AN7" i="32"/>
  <c r="AQ83" i="32"/>
  <c r="AN83" i="32"/>
  <c r="AN42" i="32"/>
  <c r="AQ42" i="32"/>
  <c r="AN86" i="32"/>
  <c r="AQ86" i="32"/>
  <c r="AN11" i="32"/>
  <c r="AQ11" i="32"/>
  <c r="AN89" i="32"/>
  <c r="AQ89" i="32"/>
  <c r="AQ138" i="32"/>
  <c r="AN138" i="32"/>
  <c r="AQ110" i="32"/>
  <c r="AQ65" i="32"/>
  <c r="AN65" i="32"/>
  <c r="AN76" i="32"/>
  <c r="AQ76" i="32"/>
  <c r="AN85" i="32"/>
  <c r="AQ85" i="32"/>
  <c r="AN51" i="32"/>
  <c r="AQ51" i="32"/>
  <c r="AQ70" i="32"/>
  <c r="AN70" i="32"/>
  <c r="AQ53" i="32"/>
  <c r="AN53" i="32"/>
  <c r="AQ48" i="32"/>
  <c r="AN48" i="32"/>
  <c r="AQ3" i="32"/>
  <c r="AN3" i="32"/>
  <c r="AN80" i="32"/>
  <c r="AQ80" i="32"/>
  <c r="AN69" i="32"/>
  <c r="AQ69" i="32"/>
  <c r="AN40" i="32"/>
  <c r="AQ40" i="32"/>
  <c r="AN47" i="32"/>
  <c r="AQ47" i="32"/>
  <c r="AN59" i="32"/>
  <c r="AQ59" i="32"/>
  <c r="AQ141" i="32"/>
  <c r="AN141" i="32"/>
  <c r="AN87" i="32"/>
  <c r="AQ87" i="32"/>
  <c r="AN13" i="32"/>
  <c r="AQ13" i="32"/>
  <c r="AQ29" i="32"/>
  <c r="AN29" i="32"/>
  <c r="AQ10" i="32"/>
  <c r="AN10" i="32"/>
  <c r="AQ4" i="32"/>
  <c r="AN4" i="32"/>
  <c r="AN81" i="32"/>
  <c r="AQ81" i="32"/>
  <c r="AQ115" i="32"/>
  <c r="AQ57" i="32"/>
  <c r="AN57" i="32"/>
  <c r="AN19" i="32"/>
  <c r="AQ19" i="32"/>
  <c r="AN28" i="32"/>
  <c r="AQ28" i="32"/>
  <c r="AQ46" i="32"/>
  <c r="AN46" i="32"/>
  <c r="AN20" i="32"/>
  <c r="AQ20" i="32"/>
  <c r="AQ118" i="32"/>
  <c r="AQ114" i="32"/>
  <c r="AQ75" i="32"/>
  <c r="AN75" i="32"/>
  <c r="AQ39" i="32"/>
  <c r="AN39" i="32"/>
  <c r="AQ102" i="32"/>
  <c r="AQ90" i="32"/>
  <c r="AN90" i="32"/>
  <c r="AQ127" i="32"/>
  <c r="AQ131" i="32"/>
  <c r="AN77" i="32"/>
  <c r="AQ77" i="32"/>
  <c r="AQ41" i="32"/>
  <c r="AN41" i="32"/>
  <c r="AN32" i="32"/>
  <c r="AQ32" i="32"/>
  <c r="AQ144" i="32"/>
  <c r="AN144" i="32"/>
  <c r="AQ124" i="32"/>
  <c r="AN45" i="32"/>
  <c r="AQ45" i="32"/>
  <c r="AN23" i="32"/>
  <c r="AQ23" i="32"/>
  <c r="AQ8" i="32"/>
  <c r="AN8" i="32"/>
  <c r="AN34" i="32"/>
  <c r="AQ34" i="32"/>
  <c r="AN12" i="32"/>
  <c r="AQ12" i="32"/>
  <c r="AN36" i="32"/>
  <c r="AQ36" i="32"/>
  <c r="AN71" i="32"/>
  <c r="AQ71" i="32"/>
  <c r="AN135" i="32"/>
  <c r="AQ135" i="32"/>
  <c r="AN66" i="32"/>
  <c r="AQ66" i="32"/>
  <c r="AQ94" i="32"/>
  <c r="AN143" i="32"/>
  <c r="AQ143" i="32"/>
  <c r="AQ105" i="32"/>
  <c r="AN63" i="32"/>
  <c r="AQ63" i="32"/>
  <c r="AQ136" i="32"/>
  <c r="AN136" i="32"/>
  <c r="AQ27" i="32"/>
  <c r="AN27" i="32"/>
  <c r="AQ109" i="32"/>
  <c r="AN16" i="32"/>
  <c r="AQ16" i="32"/>
  <c r="AQ92" i="32"/>
  <c r="AQ24" i="32"/>
  <c r="AN24" i="32"/>
  <c r="AQ123" i="32"/>
  <c r="AN82" i="32"/>
  <c r="AQ82" i="32"/>
  <c r="AQ88" i="32"/>
  <c r="AN88" i="32"/>
  <c r="AQ129" i="32"/>
</calcChain>
</file>

<file path=xl/sharedStrings.xml><?xml version="1.0" encoding="utf-8"?>
<sst xmlns="http://schemas.openxmlformats.org/spreadsheetml/2006/main" count="7293" uniqueCount="4044">
  <si>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</si>
  <si>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</si>
  <si>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</si>
  <si>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</si>
  <si>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</si>
  <si>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</si>
  <si>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</si>
  <si>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</si>
  <si>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</si>
  <si>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</si>
  <si>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</si>
  <si>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</si>
  <si>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</si>
  <si>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</si>
  <si>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</si>
  <si>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</si>
  <si>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</si>
  <si>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</si>
  <si>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</si>
  <si>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</si>
  <si>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</si>
  <si>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</si>
  <si>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</si>
  <si>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</si>
  <si>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</si>
  <si>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</si>
  <si>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</si>
  <si>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</si>
  <si>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</si>
  <si>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</si>
  <si>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</si>
  <si>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</si>
  <si>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</si>
  <si>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</si>
  <si>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</si>
  <si>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</si>
  <si>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</si>
  <si>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</si>
  <si>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</si>
  <si>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</si>
  <si>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</si>
  <si>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</si>
  <si>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</si>
  <si>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</si>
  <si>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</si>
  <si>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</si>
  <si>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</si>
  <si>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</si>
  <si>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</si>
  <si>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</si>
  <si>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</si>
  <si>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</si>
  <si>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</si>
  <si>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</si>
  <si>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</si>
  <si>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</si>
  <si>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</si>
  <si>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</si>
  <si>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</si>
  <si>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</si>
  <si>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</si>
  <si>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</si>
  <si>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</si>
  <si>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</si>
  <si>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</si>
  <si>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</si>
  <si>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</si>
  <si>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</si>
  <si>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</si>
  <si>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</si>
  <si>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</si>
  <si>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</si>
  <si>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</si>
  <si>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</si>
  <si>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</si>
  <si>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</si>
  <si>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</si>
  <si>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</si>
  <si>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</si>
  <si>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</si>
  <si>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</si>
  <si>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</si>
  <si>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</si>
  <si>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</si>
  <si>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</si>
  <si>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</si>
  <si>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</si>
  <si>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</si>
  <si>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</si>
  <si>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</si>
  <si>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</si>
  <si>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</si>
  <si>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</si>
  <si>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</si>
  <si>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</si>
  <si>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</si>
  <si>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</si>
  <si>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</si>
  <si>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</si>
  <si>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</si>
  <si>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</si>
  <si>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</si>
  <si>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</si>
  <si>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</si>
  <si>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</si>
  <si>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</si>
  <si>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</si>
  <si>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</si>
  <si>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</si>
  <si>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</si>
  <si>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</si>
  <si>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</si>
  <si>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</si>
  <si>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</si>
  <si>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</si>
  <si>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</si>
  <si>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</si>
  <si>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</si>
  <si>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</si>
  <si>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</si>
  <si>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</si>
  <si>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</si>
  <si>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</si>
  <si>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</si>
  <si>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</si>
  <si>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</si>
  <si>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</si>
  <si>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</si>
  <si>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</si>
  <si>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</si>
  <si>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</si>
  <si>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</si>
  <si>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</si>
  <si>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</si>
  <si>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</si>
  <si>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</si>
  <si>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</si>
  <si>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</si>
  <si>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</si>
  <si>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</si>
  <si>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</si>
  <si>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</si>
  <si>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</si>
  <si>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</si>
  <si>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</si>
  <si>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</si>
  <si>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</si>
  <si>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</si>
  <si>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</si>
  <si>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</si>
  <si>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</si>
  <si>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</si>
  <si>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</si>
  <si>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</si>
  <si>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</si>
  <si>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</si>
  <si>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</si>
  <si>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</si>
  <si>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</si>
  <si>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</si>
  <si>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</si>
  <si>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</si>
  <si>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</si>
  <si>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</si>
  <si>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</si>
  <si>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</si>
  <si>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</si>
  <si>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</si>
  <si>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</si>
  <si>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</si>
  <si>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</si>
  <si>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</si>
  <si>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</si>
  <si>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</si>
  <si>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</si>
  <si>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</si>
  <si>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</si>
  <si>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</si>
  <si>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</si>
  <si>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</si>
  <si>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</si>
  <si>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</si>
  <si>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</si>
  <si>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</si>
  <si>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</si>
  <si>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</si>
  <si>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</si>
  <si>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</si>
  <si>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</si>
  <si>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</si>
  <si>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</si>
  <si>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</si>
  <si>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</si>
  <si>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</si>
  <si>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</si>
  <si>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</si>
  <si>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</si>
  <si>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</si>
  <si>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</si>
  <si>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</si>
  <si>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</si>
  <si>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</si>
  <si>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</si>
  <si>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</si>
  <si>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</si>
  <si>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</si>
  <si>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</si>
  <si>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</si>
  <si>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</si>
  <si>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</si>
  <si>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</si>
  <si>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</si>
  <si>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</si>
  <si>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</si>
  <si>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</si>
  <si>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</si>
  <si>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</si>
  <si>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</si>
  <si>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</si>
  <si>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</si>
  <si>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</si>
  <si>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</si>
  <si>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</si>
  <si>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</si>
  <si>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</si>
  <si>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</si>
  <si>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</si>
  <si>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</si>
  <si>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</si>
  <si>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</si>
  <si>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</si>
  <si>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</si>
  <si>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</si>
  <si>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</si>
  <si>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</si>
  <si>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</si>
  <si>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</si>
  <si>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</si>
  <si>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</si>
  <si>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</si>
  <si>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</si>
  <si>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</si>
  <si>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</si>
  <si>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</si>
  <si>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</si>
  <si>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</si>
  <si>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</si>
  <si>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</si>
  <si>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</si>
  <si>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</si>
  <si>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</si>
  <si>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</si>
  <si>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</si>
  <si>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</si>
  <si>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</si>
  <si>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</si>
  <si>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</si>
  <si>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</si>
  <si>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</si>
  <si>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</si>
  <si>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</si>
  <si>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</si>
  <si>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</si>
  <si>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</si>
  <si>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</si>
  <si>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</si>
  <si>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</si>
  <si>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</si>
  <si>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</si>
  <si>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</si>
  <si>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</si>
  <si>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</si>
  <si>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</si>
  <si>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</si>
  <si>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</si>
  <si>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</si>
  <si>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</si>
  <si>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</si>
  <si>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</si>
  <si>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</si>
  <si>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</si>
  <si>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</si>
  <si>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</si>
  <si>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</si>
  <si>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</si>
  <si>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</si>
  <si>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</si>
  <si>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</si>
  <si>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</si>
  <si>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</si>
  <si>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</si>
  <si>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</si>
  <si>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</si>
  <si>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</si>
  <si>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</si>
  <si>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</si>
  <si>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</si>
  <si>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</si>
  <si>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</si>
  <si>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</si>
  <si>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</si>
  <si>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</si>
  <si>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</si>
  <si>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</si>
  <si>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</si>
  <si>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</si>
  <si>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</si>
  <si>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</si>
  <si>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</si>
  <si>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</si>
  <si>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</si>
  <si>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</si>
  <si>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</si>
  <si>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</si>
  <si>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</si>
  <si>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</si>
  <si>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</si>
  <si>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</si>
  <si>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</si>
  <si>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</si>
  <si>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</si>
  <si>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</si>
  <si>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</si>
  <si>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</si>
  <si>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</si>
  <si>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</si>
  <si>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</si>
  <si>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</si>
  <si>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</si>
  <si>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</si>
  <si>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</si>
  <si>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</si>
  <si>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</si>
  <si>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</si>
  <si>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</si>
  <si>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</si>
  <si>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</si>
  <si>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</si>
  <si>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</si>
  <si>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</si>
  <si>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</si>
  <si>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</si>
  <si>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</si>
  <si>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</si>
  <si>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</si>
  <si>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</si>
  <si>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</si>
  <si>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</si>
  <si>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</si>
  <si>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</si>
  <si>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</si>
  <si>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</si>
  <si>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</si>
  <si>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</si>
  <si>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</si>
  <si>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</si>
  <si>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</si>
  <si>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</si>
  <si>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</si>
  <si>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</si>
  <si>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</si>
  <si>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</si>
  <si>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</si>
  <si>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</si>
  <si>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</si>
  <si>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</si>
  <si>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</si>
  <si>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</si>
  <si>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</si>
  <si>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</si>
  <si>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</si>
  <si>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</si>
  <si>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</si>
  <si>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</si>
  <si>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</si>
  <si>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</si>
  <si>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</si>
  <si>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</si>
  <si>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</si>
  <si>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</si>
  <si>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</si>
  <si>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</si>
  <si>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</si>
  <si>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</si>
  <si>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</si>
  <si>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</si>
  <si>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</si>
  <si>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</si>
  <si>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</si>
  <si>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</si>
  <si>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</si>
  <si>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</si>
  <si>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</si>
  <si>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</si>
  <si>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</si>
  <si>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</si>
  <si>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</si>
  <si>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</si>
  <si>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</si>
  <si>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</si>
  <si>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</si>
  <si>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</si>
  <si>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</si>
  <si>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</si>
  <si>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</si>
  <si>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</si>
  <si>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</si>
  <si>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</si>
  <si>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</si>
  <si>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</si>
  <si>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</si>
  <si>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</si>
  <si>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</si>
  <si>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</si>
  <si>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</si>
  <si>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</si>
  <si>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</si>
  <si>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</si>
  <si>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</si>
  <si>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</si>
  <si>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</si>
  <si>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</si>
  <si>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</si>
  <si>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</si>
  <si>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</si>
  <si>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</si>
  <si>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</si>
  <si>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</si>
  <si>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</si>
  <si>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</si>
  <si>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</si>
  <si>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</si>
  <si>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</si>
  <si>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</si>
  <si>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</si>
  <si>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</si>
  <si>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</si>
  <si>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</si>
  <si>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</si>
  <si>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</si>
  <si>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</si>
  <si>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</si>
  <si>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</si>
  <si>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</si>
  <si>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</si>
  <si>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</si>
  <si>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</si>
  <si>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</si>
  <si>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</si>
  <si>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</si>
  <si>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</si>
  <si>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</si>
  <si>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</si>
  <si>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</si>
  <si>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</si>
  <si>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</si>
  <si>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</si>
  <si>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</si>
  <si>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</si>
  <si>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</si>
  <si>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</si>
  <si>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</si>
  <si>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</si>
  <si>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</si>
  <si>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</si>
  <si>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</si>
  <si>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</si>
  <si>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</si>
  <si>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</si>
  <si>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</si>
  <si>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</si>
  <si>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</si>
  <si>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</si>
  <si>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</si>
  <si>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</si>
  <si>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</si>
  <si>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</si>
  <si>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</si>
  <si>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</si>
  <si>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</si>
  <si>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</si>
  <si>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</si>
  <si>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</si>
  <si>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</si>
  <si>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</si>
  <si>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</si>
  <si>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</si>
  <si>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</si>
  <si>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</si>
  <si>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</si>
  <si>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</si>
  <si>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</si>
  <si>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</si>
  <si>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</si>
  <si>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</si>
  <si>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</si>
  <si>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</si>
  <si>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</si>
  <si>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</si>
  <si>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</si>
  <si>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</si>
  <si>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</si>
  <si>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</si>
  <si>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</si>
  <si>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</si>
  <si>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</si>
  <si>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</si>
  <si>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</si>
  <si>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</si>
  <si>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</si>
  <si>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</si>
  <si>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</si>
  <si>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</si>
  <si>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</si>
  <si>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</si>
  <si>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</si>
  <si>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</si>
  <si>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</si>
  <si>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</si>
  <si>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</si>
  <si>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</si>
  <si>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</si>
  <si>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</si>
  <si>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</si>
  <si>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</si>
  <si>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</si>
  <si>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</si>
  <si>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</si>
  <si>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</si>
  <si>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</si>
  <si>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</si>
  <si>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</si>
  <si>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</si>
  <si>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</si>
  <si>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</si>
  <si>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</si>
  <si>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</si>
  <si>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</si>
  <si>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</si>
  <si>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</si>
  <si>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</si>
  <si>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</si>
  <si>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</si>
  <si>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</si>
  <si>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</si>
  <si>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</si>
  <si>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</si>
  <si>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</si>
  <si>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</si>
  <si>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</si>
  <si>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</si>
  <si>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</si>
  <si>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</si>
  <si>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</si>
  <si>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</si>
  <si>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</si>
  <si>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</si>
  <si>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</si>
  <si>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</si>
  <si>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</si>
  <si>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</si>
  <si>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</si>
  <si>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</si>
  <si>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</si>
  <si>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</si>
  <si>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</si>
  <si>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</si>
  <si>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</si>
  <si>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</si>
  <si>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</si>
  <si>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</si>
  <si>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</si>
  <si>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</si>
  <si>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</si>
  <si>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</si>
  <si>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</si>
  <si>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</si>
  <si>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</si>
  <si>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</si>
  <si>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</si>
  <si>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</si>
  <si>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</si>
  <si>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</si>
  <si>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</si>
  <si>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</si>
  <si>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</si>
  <si>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</si>
  <si>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</si>
  <si>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</si>
  <si>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</si>
  <si>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</si>
  <si>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</si>
  <si>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</si>
  <si>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</si>
  <si>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</si>
  <si>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</si>
  <si>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</si>
  <si>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</si>
  <si>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</si>
  <si>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</si>
  <si>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</si>
  <si>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</si>
  <si>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</si>
  <si>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</si>
  <si>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</si>
  <si>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</si>
  <si>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</si>
  <si>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</si>
  <si>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</si>
  <si>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</si>
  <si>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</si>
  <si>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</si>
  <si>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</si>
  <si>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</si>
  <si>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</si>
  <si>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</si>
  <si>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</si>
  <si>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</si>
  <si>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</si>
  <si>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</si>
  <si>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</si>
  <si>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</si>
  <si>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</si>
  <si>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</si>
  <si>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</si>
  <si>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</si>
  <si>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</si>
  <si>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</si>
  <si>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</si>
  <si>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</si>
  <si>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</si>
  <si>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</si>
  <si>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</si>
  <si>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</si>
  <si>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</si>
  <si>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</si>
  <si>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</si>
  <si>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</si>
  <si>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</si>
  <si>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</si>
  <si>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</si>
  <si>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</si>
  <si>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</si>
  <si>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</si>
  <si>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</si>
  <si>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</si>
  <si>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</si>
  <si>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</si>
  <si>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</si>
  <si>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</si>
  <si>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</si>
  <si>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</si>
  <si>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</si>
  <si>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</si>
  <si>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</si>
  <si>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</si>
  <si>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</si>
  <si>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</si>
  <si>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</si>
  <si>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</si>
  <si>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</si>
  <si>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</si>
  <si>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</si>
  <si>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</si>
  <si>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</si>
  <si>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</si>
  <si>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</si>
  <si>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</si>
  <si>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</si>
  <si>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</si>
  <si>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</si>
  <si>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</si>
  <si>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</si>
  <si>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</si>
  <si>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</si>
  <si>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</si>
  <si>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</si>
  <si>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</si>
  <si>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</si>
  <si>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</si>
  <si>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</si>
  <si>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</si>
  <si>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</si>
  <si>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</si>
  <si>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</si>
  <si>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</si>
  <si>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</si>
  <si>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</si>
  <si>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</si>
  <si>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</si>
  <si>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</si>
  <si>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</si>
  <si>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</si>
  <si>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</si>
  <si>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</si>
  <si>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</si>
  <si>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</si>
  <si>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</si>
  <si>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</si>
  <si>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</si>
  <si>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</si>
  <si>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</si>
  <si>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</si>
  <si>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</si>
  <si>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</si>
  <si>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</si>
  <si>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</si>
  <si>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</si>
  <si>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</si>
  <si>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</si>
  <si>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</si>
  <si>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</si>
  <si>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</si>
  <si>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</si>
  <si>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</si>
  <si>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</si>
  <si>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</si>
  <si>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</si>
  <si>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</si>
  <si>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</si>
  <si>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</si>
  <si>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</si>
  <si>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</si>
  <si>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</si>
  <si>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</si>
  <si>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</si>
  <si>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</si>
  <si>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</si>
  <si>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</si>
  <si>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</si>
  <si>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</si>
  <si>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</si>
  <si>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</si>
  <si>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</si>
  <si>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</si>
  <si>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</si>
  <si>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</si>
  <si>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</si>
  <si>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</si>
  <si>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</si>
  <si>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</si>
  <si>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</si>
  <si>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</si>
  <si>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</si>
  <si>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</si>
  <si>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</si>
  <si>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</si>
  <si>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</si>
  <si>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</si>
  <si>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</si>
  <si>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</si>
  <si>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</si>
  <si>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</si>
  <si>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</si>
  <si>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</si>
  <si>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</si>
  <si>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</si>
  <si>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</si>
  <si>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</si>
  <si>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</si>
  <si>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</si>
  <si>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</si>
  <si>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</si>
  <si>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</si>
  <si>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</si>
  <si>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</si>
  <si>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</si>
  <si>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</si>
  <si>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</si>
  <si>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</si>
  <si>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</si>
  <si>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</si>
  <si>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</si>
  <si>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</si>
  <si>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</si>
  <si>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</si>
  <si>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</si>
  <si>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</si>
  <si>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</si>
  <si>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</si>
  <si>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</si>
  <si>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</si>
  <si>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</si>
  <si>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</si>
  <si>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</si>
  <si>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</si>
  <si>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</si>
  <si>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</si>
  <si>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</si>
  <si>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</si>
  <si>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</si>
  <si>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</si>
  <si>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</si>
  <si>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</si>
  <si>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</si>
  <si>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</si>
  <si>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</si>
  <si>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</si>
  <si>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</si>
  <si>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</si>
  <si>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</si>
  <si>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</si>
  <si>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</si>
  <si>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</si>
  <si>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</si>
  <si>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</si>
  <si>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</si>
  <si>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</si>
  <si>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</si>
  <si>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</si>
  <si>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</si>
  <si>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</si>
  <si>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</si>
  <si>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</si>
  <si>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</si>
  <si>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</si>
  <si>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</si>
  <si>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</si>
  <si>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</si>
  <si>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</si>
  <si>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</si>
  <si>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</si>
  <si>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</si>
  <si>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</si>
  <si>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</si>
  <si>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</si>
  <si>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</si>
  <si>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</si>
  <si>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</si>
  <si>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</si>
  <si>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</si>
  <si>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</si>
  <si>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</si>
  <si>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</si>
  <si>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</si>
  <si>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</si>
  <si>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</si>
  <si>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</si>
  <si>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</si>
  <si>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</si>
  <si>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</si>
  <si>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</si>
  <si>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</si>
  <si>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</si>
  <si>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</si>
  <si>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</si>
  <si>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</si>
  <si>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</si>
  <si>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</si>
  <si>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</si>
  <si>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</si>
  <si>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</si>
  <si>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</si>
  <si>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</si>
  <si>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</si>
  <si>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</si>
  <si>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</si>
  <si>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</si>
  <si>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</si>
  <si>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</si>
  <si>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</si>
  <si>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</si>
  <si>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</si>
  <si>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</si>
  <si>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</si>
  <si>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</si>
  <si>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</si>
  <si>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</si>
  <si>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</si>
  <si>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</si>
  <si>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</si>
  <si>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</si>
  <si>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</si>
  <si>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</si>
  <si>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</si>
  <si>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</si>
  <si>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</si>
  <si>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</si>
  <si>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</si>
  <si>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</si>
  <si>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</si>
  <si>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</si>
  <si>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</si>
  <si>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</si>
  <si>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</si>
  <si>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</si>
  <si>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</si>
  <si>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</si>
  <si>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</si>
  <si>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</si>
  <si>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</si>
  <si>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</si>
  <si>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</si>
  <si>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</si>
  <si>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</si>
  <si>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</si>
  <si>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</si>
  <si>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</si>
  <si>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</si>
  <si>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</si>
  <si>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</si>
  <si>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</si>
  <si>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</si>
  <si>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</si>
  <si>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</si>
  <si>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</si>
  <si>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</si>
  <si>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</si>
  <si>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</si>
  <si>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</si>
  <si>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</si>
  <si>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</si>
  <si>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</si>
  <si>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</si>
  <si>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</si>
  <si>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</si>
  <si>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</si>
  <si>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</si>
  <si>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</si>
  <si>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</si>
  <si>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</si>
  <si>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</si>
  <si>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</si>
  <si>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</si>
  <si>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</si>
  <si>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</si>
  <si>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</si>
  <si>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</si>
  <si>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</si>
  <si>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</si>
  <si>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</si>
  <si>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</si>
  <si>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</si>
  <si>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</si>
  <si>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</si>
  <si>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</si>
  <si>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</si>
  <si>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</si>
  <si>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</si>
  <si>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</si>
  <si>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</si>
  <si>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</si>
  <si>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</si>
  <si>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</si>
  <si>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</si>
  <si>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</si>
  <si>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</si>
  <si>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</si>
  <si>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</si>
  <si>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</si>
  <si>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</si>
  <si>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</si>
  <si>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</si>
  <si>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</si>
  <si>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</si>
  <si>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</si>
  <si>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</si>
  <si>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</si>
  <si>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</si>
  <si>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</si>
  <si>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</si>
  <si>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</si>
  <si>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</si>
  <si>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</si>
  <si>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</si>
  <si>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</si>
  <si>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</si>
  <si>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</si>
  <si>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</si>
  <si>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</si>
  <si>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</si>
  <si>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</si>
  <si>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</si>
  <si>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</si>
  <si>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</si>
  <si>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</si>
  <si>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</si>
  <si>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</si>
  <si>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</si>
  <si>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</si>
  <si>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</si>
  <si>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</si>
  <si>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</si>
  <si>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</si>
  <si>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</si>
  <si>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</si>
  <si>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</si>
  <si>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</si>
  <si>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</si>
  <si>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</si>
  <si>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</si>
  <si>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</si>
  <si>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</si>
  <si>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</si>
  <si>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</si>
  <si>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</si>
  <si>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</si>
  <si>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</si>
  <si>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</si>
  <si>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</si>
  <si>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</si>
  <si>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</si>
  <si>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</si>
  <si>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</si>
  <si>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</si>
  <si>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</si>
  <si>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</si>
  <si>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</si>
  <si>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</si>
  <si>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</si>
  <si>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</si>
  <si>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</si>
  <si>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</si>
  <si>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</si>
  <si>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</si>
  <si>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</si>
  <si>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</si>
  <si>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</si>
  <si>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</si>
  <si>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</si>
  <si>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</si>
  <si>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</si>
  <si>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</si>
  <si>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</si>
  <si>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</si>
  <si>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</si>
  <si>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</si>
  <si>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</si>
  <si>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</si>
  <si>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</si>
  <si>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</si>
  <si>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</si>
  <si>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</si>
  <si>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</si>
  <si>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</si>
  <si>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</si>
  <si>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</si>
  <si>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</si>
  <si>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</si>
  <si>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</si>
  <si>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</si>
  <si>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</si>
  <si>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</si>
  <si>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</si>
  <si>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</si>
  <si>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</si>
  <si>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</si>
  <si>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</si>
  <si>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</si>
  <si>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</si>
  <si>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</si>
  <si>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</si>
  <si>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</si>
  <si>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</si>
  <si>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</si>
  <si>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</si>
  <si>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</si>
  <si>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</si>
  <si>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</si>
  <si>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</si>
  <si>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</si>
  <si>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</si>
  <si>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</si>
  <si>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</si>
  <si>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</si>
  <si>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</si>
  <si>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</si>
  <si>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</si>
  <si>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</si>
  <si>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</si>
  <si>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</si>
  <si>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</si>
  <si>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</si>
  <si>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</si>
  <si>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</si>
  <si>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</si>
  <si>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</si>
  <si>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</si>
  <si>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</si>
  <si>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</si>
  <si>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</si>
  <si>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</si>
  <si>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</si>
  <si>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</si>
  <si>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</si>
  <si>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</si>
  <si>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</si>
  <si>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</si>
  <si>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</si>
  <si>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</si>
  <si>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</si>
  <si>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</si>
  <si>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</si>
  <si>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</si>
  <si>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</si>
  <si>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</si>
  <si>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</si>
  <si>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</si>
  <si>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</si>
  <si>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</si>
  <si>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</si>
  <si>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</si>
  <si>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</si>
  <si>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</si>
  <si>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</si>
  <si>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</si>
  <si>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</si>
  <si>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</si>
  <si>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</si>
  <si>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</si>
  <si>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</si>
  <si>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</si>
  <si>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</si>
  <si>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</si>
  <si>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</si>
  <si>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</si>
  <si>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</si>
  <si>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</si>
  <si>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</si>
  <si>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</si>
  <si>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</si>
  <si>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</si>
  <si>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</si>
  <si>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</si>
  <si>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</si>
  <si>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</si>
  <si>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</si>
  <si>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</si>
  <si>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</si>
  <si>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</si>
  <si>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</si>
  <si>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</si>
  <si>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</si>
  <si>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</si>
  <si>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</si>
  <si>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</si>
  <si>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</si>
  <si>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</si>
  <si>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</si>
  <si>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</si>
  <si>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</si>
  <si>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</si>
  <si>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</si>
  <si>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</si>
  <si>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</si>
  <si>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</si>
  <si>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</si>
  <si>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</si>
  <si>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</si>
  <si>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</si>
  <si>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</si>
  <si>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</si>
  <si>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</si>
  <si>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</si>
  <si>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</si>
  <si>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</si>
  <si>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</si>
  <si>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</si>
  <si>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</si>
  <si>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</si>
  <si>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</si>
  <si>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</si>
  <si>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</si>
  <si>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</si>
  <si>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</si>
  <si>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</si>
  <si>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</si>
  <si>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</si>
  <si>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</si>
  <si>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</si>
  <si>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</si>
  <si>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</si>
  <si>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</si>
  <si>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</si>
  <si>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</si>
  <si>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</si>
  <si>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</si>
  <si>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</si>
  <si>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</si>
  <si>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</si>
  <si>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</si>
  <si>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</si>
  <si>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</si>
  <si>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</si>
  <si>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</si>
  <si>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</si>
  <si>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</si>
  <si>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</si>
  <si>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</si>
  <si>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</si>
  <si>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</si>
  <si>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</si>
  <si>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</si>
  <si>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</si>
  <si>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</si>
  <si>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</si>
  <si>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</si>
  <si>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</si>
  <si>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</si>
  <si>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</si>
  <si>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</si>
  <si>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</si>
  <si>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</si>
  <si>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</si>
  <si>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</si>
  <si>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</si>
  <si>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</si>
  <si>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</si>
  <si>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</si>
  <si>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</si>
  <si>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</si>
  <si>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</si>
  <si>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</si>
  <si>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</si>
  <si>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</si>
  <si>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</si>
  <si>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</si>
  <si>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</si>
  <si>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</si>
  <si>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</si>
  <si>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</si>
  <si>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</si>
  <si>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</si>
  <si>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</si>
  <si>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</si>
  <si>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</si>
  <si>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</si>
  <si>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</si>
  <si>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</si>
  <si>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</si>
  <si>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</si>
  <si>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</si>
  <si>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</si>
  <si>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</si>
  <si>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</si>
  <si>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</si>
  <si>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</si>
  <si>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</si>
  <si>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</si>
  <si>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</si>
  <si>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</si>
  <si>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</si>
  <si>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</si>
  <si>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</si>
  <si>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</si>
  <si>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</si>
  <si>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</si>
  <si>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</si>
  <si>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</si>
  <si>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</si>
  <si>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</si>
  <si>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</si>
  <si>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</si>
  <si>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</si>
  <si>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</si>
  <si>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</si>
  <si>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</si>
  <si>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</si>
  <si>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</si>
  <si>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</si>
  <si>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</si>
  <si>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</si>
  <si>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</si>
  <si>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</si>
  <si>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</si>
  <si>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</si>
  <si>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</si>
  <si>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</si>
  <si>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</si>
  <si>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</si>
  <si>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</si>
  <si>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</si>
  <si>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</si>
  <si>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</si>
  <si>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</si>
  <si>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</si>
  <si>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</si>
  <si>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</si>
  <si>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</si>
  <si>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</si>
  <si>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</si>
  <si>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</si>
  <si>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</si>
  <si>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</si>
  <si>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</si>
  <si>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</si>
  <si>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</si>
  <si>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</si>
  <si>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</si>
  <si>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</si>
  <si>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</si>
  <si>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</si>
  <si>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</si>
  <si>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</si>
  <si>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</si>
  <si>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</si>
  <si>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</si>
  <si>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</si>
  <si>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</si>
  <si>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</si>
  <si>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</si>
  <si>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</si>
  <si>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</si>
  <si>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</si>
  <si>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</si>
  <si>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</si>
  <si>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</si>
  <si>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</si>
  <si>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</si>
  <si>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</si>
  <si>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</si>
  <si>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</si>
  <si>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</si>
  <si>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</si>
  <si>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</si>
  <si>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</si>
  <si>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</si>
  <si>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</si>
  <si>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</si>
  <si>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</si>
  <si>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</si>
  <si>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</si>
  <si>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</si>
  <si>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</si>
  <si>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</si>
  <si>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</si>
  <si>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</si>
  <si>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</si>
  <si>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</si>
  <si>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</si>
  <si>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</si>
  <si>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</si>
  <si>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</si>
  <si>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</si>
  <si>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</si>
  <si>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</si>
  <si>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</si>
  <si>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</si>
  <si>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</si>
  <si>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</si>
  <si>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</si>
  <si>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</si>
  <si>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</si>
  <si>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</si>
  <si>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</si>
  <si>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</si>
  <si>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</si>
  <si>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</si>
  <si>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</si>
  <si>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</si>
  <si>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</si>
  <si>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</si>
  <si>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</si>
  <si>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</si>
  <si>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</si>
  <si>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</si>
  <si>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</si>
  <si>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</si>
  <si>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</si>
  <si>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</si>
  <si>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</si>
  <si>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</si>
  <si>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</si>
  <si>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</si>
  <si>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</si>
  <si>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</si>
  <si>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</si>
  <si>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</si>
  <si>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</si>
  <si>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</si>
  <si>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</si>
  <si>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</si>
  <si>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</si>
  <si>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</si>
  <si>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</si>
  <si>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</si>
  <si>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</si>
  <si>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</si>
  <si>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</si>
  <si>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</si>
  <si>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</si>
  <si>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</si>
  <si>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</si>
  <si>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</si>
  <si>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</si>
  <si>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</si>
  <si>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</si>
  <si>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</si>
  <si>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</si>
  <si>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</si>
  <si>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</si>
  <si>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</si>
  <si>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</si>
  <si>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</si>
  <si>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</si>
  <si>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</si>
  <si>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</si>
  <si>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</si>
  <si>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</si>
  <si>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</si>
  <si>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</si>
  <si>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</si>
  <si>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</si>
  <si>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</si>
  <si>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</si>
  <si>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</si>
  <si>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</si>
  <si>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</si>
  <si>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</si>
  <si>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</si>
  <si>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</si>
  <si>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</si>
  <si>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</si>
  <si>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</si>
  <si>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</si>
  <si>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</si>
  <si>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</si>
  <si>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</si>
  <si>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</si>
  <si>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</si>
  <si>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</si>
  <si>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</si>
  <si>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</si>
  <si>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</si>
  <si>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</si>
  <si>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</si>
  <si>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</si>
  <si>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</si>
  <si>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</si>
  <si>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</si>
  <si>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</si>
  <si>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</si>
  <si>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</si>
  <si>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</si>
  <si>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</si>
  <si>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</si>
  <si>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</si>
  <si>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</si>
  <si>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</si>
  <si>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</si>
  <si>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</si>
  <si>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</si>
  <si>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</si>
  <si>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</si>
  <si>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</si>
  <si>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</si>
  <si>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</si>
  <si>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</si>
  <si>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</si>
  <si>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</si>
  <si>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</si>
  <si>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</si>
  <si>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</si>
  <si>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</si>
  <si>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</si>
  <si>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</si>
  <si>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</si>
  <si>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</si>
  <si>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</si>
  <si>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</si>
  <si>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</si>
  <si>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</si>
  <si>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</si>
  <si>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</si>
  <si>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</si>
  <si>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</si>
  <si>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</si>
  <si>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</si>
  <si>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</si>
  <si>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</si>
  <si>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</si>
  <si>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</si>
  <si>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</si>
  <si>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</si>
  <si>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</si>
  <si>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</si>
  <si>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</si>
  <si>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</si>
  <si>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</si>
  <si>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</si>
  <si>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</si>
  <si>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</si>
  <si>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</si>
  <si>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</si>
  <si>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</si>
  <si>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</si>
  <si>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</si>
  <si>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</si>
  <si>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</si>
  <si>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</si>
  <si>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</si>
  <si>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</si>
  <si>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</si>
  <si>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</si>
  <si>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</si>
  <si>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</si>
  <si>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</si>
  <si>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</si>
  <si>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</si>
  <si>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</si>
  <si>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</si>
  <si>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</si>
  <si>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</si>
  <si>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</si>
  <si>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</si>
  <si>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</si>
  <si>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</si>
  <si>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</si>
  <si>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</si>
  <si>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</si>
  <si>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</si>
  <si>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</si>
  <si>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</si>
  <si>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</si>
  <si>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</si>
  <si>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</si>
  <si>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</si>
  <si>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</si>
  <si>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</si>
  <si>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</si>
  <si>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</si>
  <si>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</si>
  <si>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</si>
  <si>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</si>
  <si>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</si>
  <si>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</si>
  <si>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</si>
  <si>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</si>
  <si>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</si>
  <si>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</si>
  <si>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</si>
  <si>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</si>
  <si>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</si>
  <si>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</si>
  <si>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</si>
  <si>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</si>
  <si>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</si>
  <si>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</si>
  <si>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</si>
  <si>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</si>
  <si>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</si>
  <si>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</si>
  <si>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</si>
  <si>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</si>
  <si>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</si>
  <si>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</si>
  <si>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</si>
  <si>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</si>
  <si>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</si>
  <si>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</si>
  <si>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</si>
  <si>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</si>
  <si>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</si>
  <si>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</si>
  <si>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</si>
  <si>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</si>
  <si>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</si>
  <si>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</si>
  <si>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</si>
  <si>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</si>
  <si>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</si>
  <si>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</si>
  <si>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</si>
  <si>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</si>
  <si>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</si>
  <si>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</si>
  <si>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</si>
  <si>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</si>
  <si>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</si>
  <si>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</si>
  <si>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</si>
  <si>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</si>
  <si>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</si>
  <si>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</si>
  <si>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</si>
  <si>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</si>
  <si>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</si>
  <si>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</si>
  <si>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</si>
  <si>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</si>
  <si>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</si>
  <si>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</si>
  <si>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</si>
  <si>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</si>
  <si>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</si>
  <si>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</si>
  <si>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</si>
  <si>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</si>
  <si>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</si>
  <si>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</si>
  <si>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</si>
  <si>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</si>
  <si>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</si>
  <si>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</si>
  <si>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</si>
  <si>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</si>
  <si>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</si>
  <si>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</si>
  <si>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</si>
  <si>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</si>
  <si>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</si>
  <si>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</si>
  <si>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</si>
  <si>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</si>
  <si>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</si>
  <si>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</si>
  <si>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</si>
  <si>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</si>
  <si>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</si>
  <si>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</si>
  <si>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</si>
  <si>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</si>
  <si>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</si>
  <si>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</si>
  <si>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</si>
  <si>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</si>
  <si>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</si>
  <si>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</si>
  <si>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</si>
  <si>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</si>
  <si>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</si>
  <si>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</si>
  <si>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</si>
  <si>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</si>
  <si>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</si>
  <si>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</si>
  <si>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</si>
  <si>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</si>
  <si>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</si>
  <si>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</si>
  <si>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</si>
  <si>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</si>
  <si>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</si>
  <si>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</si>
  <si>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</si>
  <si>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</si>
  <si>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</si>
  <si>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</si>
  <si>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</si>
  <si>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</si>
  <si>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</si>
  <si>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</si>
  <si>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</si>
  <si>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</si>
  <si>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</si>
  <si>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</si>
  <si>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</si>
  <si>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</si>
  <si>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</si>
  <si>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</si>
  <si>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</si>
  <si>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</si>
  <si>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</si>
  <si>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</si>
  <si>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</si>
  <si>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</si>
  <si>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</si>
  <si>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</si>
  <si>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</si>
  <si>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</si>
  <si>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</si>
  <si>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</si>
  <si>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</si>
  <si>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</si>
  <si>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</si>
  <si>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</si>
  <si>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</si>
  <si>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</si>
  <si>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</si>
  <si>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</si>
  <si>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</si>
  <si>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</si>
  <si>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</si>
  <si>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</si>
  <si>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</si>
  <si>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</si>
  <si>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</si>
  <si>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</si>
  <si>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</si>
  <si>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</si>
  <si>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</si>
  <si>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</si>
  <si>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</si>
  <si>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</si>
  <si>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</si>
  <si>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</si>
  <si>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</si>
  <si>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</si>
  <si>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</si>
  <si>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</si>
  <si>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</si>
  <si>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</si>
  <si>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</si>
  <si>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</si>
  <si>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</si>
  <si>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</si>
  <si>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</si>
  <si>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</si>
  <si>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</si>
  <si>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</si>
  <si>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</si>
  <si>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</si>
  <si>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</si>
  <si>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</si>
  <si>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</si>
  <si>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</si>
  <si>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</si>
  <si>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</si>
  <si>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</si>
  <si>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</si>
  <si>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</si>
  <si>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</si>
  <si>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</si>
  <si>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</si>
  <si>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</si>
  <si>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</si>
  <si>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</si>
  <si>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</si>
  <si>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</si>
  <si>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</si>
  <si>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</si>
  <si>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</si>
  <si>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</si>
  <si>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</si>
  <si>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</si>
  <si>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</si>
  <si>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</si>
  <si>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</si>
  <si>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</si>
  <si>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</si>
  <si>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</si>
  <si>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</si>
  <si>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</si>
  <si>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</si>
  <si>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</si>
  <si>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</si>
  <si>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</si>
  <si>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</si>
  <si>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</si>
  <si>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</si>
  <si>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</si>
  <si>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</si>
  <si>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</si>
  <si>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</si>
  <si>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</si>
  <si>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</si>
  <si>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</si>
  <si>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</si>
  <si>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</si>
  <si>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</si>
  <si>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</si>
  <si>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</si>
  <si>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</si>
  <si>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</si>
  <si>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</si>
  <si>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</si>
  <si>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</si>
  <si>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</si>
  <si>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</si>
  <si>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</si>
  <si>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</si>
  <si>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</si>
  <si>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</si>
  <si>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</si>
  <si>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</si>
  <si>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</si>
  <si>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</si>
  <si>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</si>
  <si>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</si>
  <si>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</si>
  <si>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</si>
  <si>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</si>
  <si>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</si>
  <si>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</si>
  <si>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</si>
  <si>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</si>
  <si>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</si>
  <si>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</si>
  <si>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</si>
  <si>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</si>
  <si>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</si>
  <si>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</si>
  <si>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</si>
  <si>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</si>
  <si>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</si>
  <si>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</si>
  <si>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</si>
  <si>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</si>
  <si>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</si>
  <si>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</si>
  <si>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</si>
  <si>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</si>
  <si>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</si>
  <si>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</si>
  <si>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</si>
  <si>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</si>
  <si>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</si>
  <si>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</si>
  <si>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</si>
  <si>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</si>
  <si>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</si>
  <si>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</si>
  <si>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</si>
  <si>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</si>
  <si>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</si>
  <si>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</si>
  <si>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</si>
  <si>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</si>
  <si>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</si>
  <si>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</si>
  <si>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</si>
  <si>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</si>
  <si>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</si>
  <si>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</si>
  <si>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</si>
  <si>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</si>
  <si>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</si>
  <si>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</si>
  <si>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</si>
  <si>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</si>
  <si>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</si>
  <si>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</si>
  <si>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</si>
  <si>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</si>
  <si>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</si>
  <si>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</si>
  <si>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</si>
  <si>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</si>
  <si>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</si>
  <si>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</si>
  <si>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</si>
  <si>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</si>
  <si>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</si>
  <si>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</si>
  <si>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</si>
  <si>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</si>
  <si>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</si>
  <si>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</si>
  <si>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</si>
  <si>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</si>
  <si>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</si>
  <si>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</si>
  <si>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</si>
  <si>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</si>
  <si>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</si>
  <si>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</si>
  <si>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</si>
  <si>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</si>
  <si>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</si>
  <si>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</si>
  <si>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</si>
  <si>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</si>
  <si>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</si>
  <si>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</si>
  <si>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</si>
  <si>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</si>
  <si>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</si>
  <si>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</si>
  <si>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</si>
  <si>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</si>
  <si>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</si>
  <si>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</si>
  <si>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</si>
  <si>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</si>
  <si>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</si>
  <si>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</si>
  <si>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</si>
  <si>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</si>
  <si>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</si>
  <si>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</si>
  <si>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</si>
  <si>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</si>
  <si>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</si>
  <si>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</si>
  <si>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</si>
  <si>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</si>
  <si>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</si>
  <si>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</si>
  <si>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</si>
  <si>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</si>
  <si>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</si>
  <si>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</si>
  <si>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</si>
  <si>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</si>
  <si>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</si>
  <si>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</si>
  <si>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</si>
  <si>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</si>
  <si>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</si>
  <si>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</si>
  <si>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</si>
  <si>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</si>
  <si>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</si>
  <si>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</si>
  <si>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</si>
  <si>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</si>
  <si>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</si>
  <si>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</si>
  <si>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</si>
  <si>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</si>
  <si>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</si>
  <si>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</si>
  <si>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</si>
  <si>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</si>
  <si>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</si>
  <si>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</si>
  <si>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</si>
  <si>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</si>
  <si>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</si>
  <si>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</si>
  <si>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</si>
  <si>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</si>
  <si>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</si>
  <si>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</si>
  <si>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</si>
  <si>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</si>
  <si>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</si>
  <si>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</si>
  <si>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</si>
  <si>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</si>
  <si>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</si>
  <si>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</si>
  <si>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</si>
  <si>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</si>
  <si>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</si>
  <si>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</si>
  <si>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</si>
  <si>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</si>
  <si>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</si>
  <si>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</si>
  <si>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</si>
  <si>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</si>
  <si>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</si>
  <si>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</si>
  <si>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</si>
  <si>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</si>
  <si>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</si>
  <si>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</si>
  <si>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</si>
  <si>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</si>
  <si>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</si>
  <si>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</si>
  <si>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</si>
  <si>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</si>
  <si>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</si>
  <si>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</si>
  <si>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</si>
  <si>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</si>
  <si>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</si>
  <si>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</si>
  <si>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</si>
  <si>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</si>
  <si>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</si>
  <si>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</si>
  <si>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</si>
  <si>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</si>
  <si>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</si>
  <si>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</si>
  <si>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</si>
  <si>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</si>
  <si>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</si>
  <si>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</si>
  <si>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</si>
  <si>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</si>
  <si>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</si>
  <si>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</si>
  <si>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</si>
  <si>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</si>
  <si>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</si>
  <si>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</si>
  <si>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</si>
  <si>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</si>
  <si>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</si>
  <si>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</si>
  <si>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</si>
  <si>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</si>
  <si>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</si>
  <si>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</si>
  <si>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</si>
  <si>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</si>
  <si>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</si>
  <si>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</si>
  <si>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</si>
  <si>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</si>
  <si>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</si>
  <si>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</si>
  <si>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</si>
  <si>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</si>
  <si>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</si>
  <si>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</si>
  <si>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</si>
  <si>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</si>
  <si>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</si>
  <si>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</si>
  <si>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</si>
  <si>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</si>
  <si>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</si>
  <si>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</si>
  <si>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</si>
  <si>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</si>
  <si>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</si>
  <si>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</si>
  <si>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</si>
  <si>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</si>
  <si>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</si>
  <si>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</si>
  <si>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</si>
  <si>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</si>
  <si>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</si>
  <si>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</si>
  <si>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</si>
  <si>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</si>
  <si>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</si>
  <si>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</si>
  <si>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</si>
  <si>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</si>
  <si>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</si>
  <si>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</si>
  <si>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</si>
  <si>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</si>
  <si>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</si>
  <si>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</si>
  <si>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</si>
  <si>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</si>
  <si>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</si>
  <si>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</si>
  <si>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</si>
  <si>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</si>
  <si>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</si>
  <si>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</si>
  <si>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</si>
  <si>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</si>
  <si>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</si>
  <si>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</si>
  <si>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</si>
  <si>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</si>
  <si>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</si>
  <si>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</si>
  <si>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</si>
  <si>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</si>
  <si>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</si>
  <si>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</si>
  <si>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</si>
  <si>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</si>
  <si>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</si>
  <si>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</si>
  <si>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</si>
  <si>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</si>
  <si>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</si>
  <si>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</si>
  <si>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</si>
  <si>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</si>
  <si>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</si>
  <si>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</si>
  <si>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</si>
  <si>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</si>
  <si>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</si>
  <si>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</si>
  <si>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</si>
  <si>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</si>
  <si>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</si>
  <si>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</si>
  <si>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</si>
  <si>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</si>
  <si>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</si>
  <si>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</si>
  <si>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</si>
  <si>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</si>
  <si>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</si>
  <si>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</si>
  <si>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</si>
  <si>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</si>
  <si>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</si>
  <si>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</si>
  <si>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</si>
  <si>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</si>
  <si>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</si>
  <si>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</si>
  <si>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</si>
  <si>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</si>
  <si>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</si>
  <si>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</si>
  <si>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</si>
  <si>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</si>
  <si>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</si>
  <si>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</si>
  <si>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</si>
  <si>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</si>
  <si>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</si>
  <si>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</si>
  <si>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</si>
  <si>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</si>
  <si>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</si>
  <si>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</si>
  <si>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</si>
  <si>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</si>
  <si>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</si>
  <si>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</si>
  <si>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</si>
  <si>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</si>
  <si>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</si>
  <si>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</si>
  <si>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</si>
  <si>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</si>
  <si>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</si>
  <si>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</si>
  <si>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</si>
  <si>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</si>
  <si>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</si>
  <si>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</si>
  <si>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</si>
  <si>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</si>
  <si>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</si>
  <si>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</si>
  <si>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</si>
  <si>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</si>
  <si>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</si>
  <si>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</si>
  <si>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</si>
  <si>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</si>
  <si>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</si>
  <si>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</si>
  <si>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</si>
  <si>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</si>
  <si>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</si>
  <si>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</si>
  <si>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</si>
  <si>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</si>
  <si>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</si>
  <si>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</si>
  <si>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</si>
  <si>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</si>
  <si>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</si>
  <si>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</si>
  <si>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</si>
  <si>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</si>
  <si>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</si>
  <si>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</si>
  <si>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</si>
  <si>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</si>
  <si>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</si>
  <si>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</si>
  <si>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</si>
  <si>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</si>
  <si>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</si>
  <si>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</si>
  <si>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</si>
  <si>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</si>
  <si>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</si>
  <si>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</si>
  <si>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</si>
  <si>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</si>
  <si>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</si>
  <si>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</si>
  <si>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</si>
  <si>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</si>
  <si>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</si>
  <si>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</si>
  <si>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</si>
  <si>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</si>
  <si>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</si>
  <si>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</si>
  <si>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</si>
  <si>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</si>
  <si>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</si>
  <si>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</si>
  <si>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</si>
  <si>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</si>
  <si>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</si>
  <si>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</si>
  <si>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</si>
  <si>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</si>
  <si>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</si>
  <si>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</si>
  <si>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</si>
  <si>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</si>
  <si>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</si>
  <si>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</si>
  <si>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</si>
  <si>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</si>
  <si>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</si>
  <si>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</si>
  <si>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</si>
  <si>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</si>
  <si>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</si>
  <si>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</si>
  <si>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</si>
  <si>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</si>
  <si>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</si>
  <si>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</si>
  <si>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</si>
  <si>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</si>
  <si>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</si>
  <si>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</si>
  <si>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</si>
  <si>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</si>
  <si>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</si>
  <si>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</si>
  <si>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</si>
  <si>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</si>
  <si>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</si>
  <si>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</si>
  <si>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</si>
  <si>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</si>
  <si>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</si>
  <si>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</si>
  <si>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</si>
  <si>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</si>
  <si>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</si>
  <si>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</si>
  <si>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</si>
  <si>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</si>
  <si>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</si>
  <si>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</si>
  <si>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</si>
  <si>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</si>
  <si>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</si>
  <si>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</si>
  <si>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</si>
  <si>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</si>
  <si>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</si>
  <si>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</si>
  <si>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</si>
  <si>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</si>
  <si>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</si>
  <si>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</si>
  <si>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</si>
  <si>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</si>
  <si>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</si>
  <si>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</si>
  <si>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</si>
  <si>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</si>
  <si>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</si>
  <si>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</si>
  <si>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</si>
  <si>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</si>
  <si>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</si>
  <si>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</si>
  <si>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</si>
  <si>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</si>
  <si>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</si>
  <si>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</si>
  <si>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</si>
  <si>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</si>
  <si>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</si>
  <si>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</si>
  <si>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</si>
  <si>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</si>
  <si>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</si>
  <si>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</si>
  <si>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</si>
  <si>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</si>
  <si>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</si>
  <si>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</si>
  <si>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</si>
  <si>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</si>
  <si>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</si>
  <si>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</si>
  <si>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</si>
  <si>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</si>
  <si>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</si>
  <si>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</si>
  <si>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</si>
  <si>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</si>
  <si>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</si>
  <si>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</si>
  <si>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</si>
  <si>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</si>
  <si>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</si>
  <si>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</si>
  <si>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</si>
  <si>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</si>
  <si>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</si>
  <si>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</si>
  <si>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</si>
  <si>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</si>
  <si>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</si>
  <si>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</si>
  <si>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</si>
  <si>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</si>
  <si>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</si>
  <si>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</si>
  <si>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</si>
  <si>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</si>
  <si>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</si>
  <si>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</si>
  <si>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</si>
  <si>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</si>
  <si>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</si>
  <si>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</si>
  <si>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</si>
  <si>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</si>
  <si>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</si>
  <si>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</si>
  <si>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</si>
  <si>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</si>
  <si>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</si>
  <si>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</si>
  <si>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</si>
  <si>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</si>
  <si>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</si>
  <si>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</si>
  <si>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</si>
  <si>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</si>
  <si>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</si>
  <si>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</si>
  <si>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</si>
  <si>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</si>
  <si>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</si>
  <si>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</si>
  <si>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</si>
  <si>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</si>
  <si>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</si>
  <si>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</si>
  <si>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</si>
  <si>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</si>
  <si>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</si>
  <si>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</si>
  <si>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</si>
  <si>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</si>
  <si>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</si>
  <si>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</si>
  <si>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</si>
  <si>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</si>
  <si>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</si>
  <si>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</si>
  <si>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</si>
  <si>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</si>
  <si>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</si>
  <si>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</si>
  <si>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</si>
  <si>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</si>
  <si>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</si>
  <si>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</si>
  <si>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</si>
  <si>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</si>
  <si>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</si>
  <si>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</si>
  <si>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</si>
  <si>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</si>
  <si>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</si>
  <si>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</si>
  <si>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</si>
  <si>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</si>
  <si>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</si>
  <si>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</si>
  <si>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</si>
  <si>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</si>
  <si>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</si>
  <si>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</si>
  <si>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</si>
  <si>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</si>
  <si>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</si>
  <si>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</si>
  <si>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</si>
  <si>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</si>
  <si>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</si>
  <si>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</si>
  <si>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</si>
  <si>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</si>
  <si>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</si>
  <si>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</si>
  <si>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</si>
  <si>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</si>
  <si>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</si>
  <si>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</si>
  <si>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</si>
  <si>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</si>
  <si>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</si>
  <si>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</si>
  <si>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</si>
  <si>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</si>
  <si>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</si>
  <si>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</si>
  <si>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</si>
  <si>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</si>
  <si>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</si>
  <si>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</si>
  <si>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</si>
  <si>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</si>
  <si>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</si>
  <si>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</si>
  <si>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</si>
  <si>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</si>
  <si>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</si>
  <si>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</si>
  <si>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</si>
  <si>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</si>
  <si>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</si>
  <si>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</si>
  <si>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</si>
  <si>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</si>
  <si>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</si>
  <si>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</si>
  <si>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</si>
  <si>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</si>
  <si>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</si>
  <si>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</si>
  <si>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</si>
  <si>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</si>
  <si>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</si>
  <si>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</si>
  <si>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</si>
  <si>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</si>
  <si>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</si>
  <si>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</si>
  <si>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</si>
  <si>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</si>
  <si>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</si>
  <si>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</si>
  <si>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</si>
  <si>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</si>
  <si>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</si>
  <si>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</si>
  <si>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</si>
  <si>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</si>
  <si>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</si>
  <si>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</si>
  <si>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</si>
  <si>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</si>
  <si>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</si>
  <si>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</si>
  <si>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</si>
  <si>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</si>
  <si>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</si>
  <si>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</si>
  <si>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</si>
  <si>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</si>
  <si>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</si>
  <si>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</si>
  <si>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</si>
  <si>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</si>
  <si>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</si>
  <si>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</si>
  <si>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</si>
  <si>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</si>
  <si>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</si>
  <si>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</si>
  <si>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</si>
  <si>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</si>
  <si>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</si>
  <si>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</si>
  <si>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</si>
  <si>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</si>
  <si>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</si>
  <si>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</si>
  <si>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</si>
  <si>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</si>
  <si>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</si>
  <si>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</si>
  <si>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</si>
  <si>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</si>
  <si>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</si>
  <si>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</si>
  <si>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</si>
  <si>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</si>
  <si>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</si>
  <si>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</si>
  <si>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</si>
  <si>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</si>
  <si>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</si>
  <si>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</si>
  <si>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</si>
  <si>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</si>
  <si>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</si>
  <si>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</si>
  <si>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</si>
  <si>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</si>
  <si>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</si>
  <si>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</si>
  <si>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</si>
  <si>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</si>
  <si>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</si>
  <si>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</si>
  <si>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</si>
  <si>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</si>
  <si>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</si>
  <si>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</si>
  <si>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</si>
  <si>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</si>
  <si>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</si>
  <si>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</si>
  <si>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</si>
  <si>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</si>
  <si>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</si>
  <si>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</si>
  <si>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</si>
  <si>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</si>
  <si>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</si>
  <si>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</si>
  <si>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</si>
  <si>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</si>
  <si>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</si>
  <si>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</si>
  <si>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</si>
  <si>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</si>
  <si>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</si>
  <si>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</si>
  <si>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</si>
  <si>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</si>
  <si>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</si>
  <si>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</si>
  <si>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</si>
  <si>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</si>
  <si>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</si>
  <si>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</si>
  <si>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</si>
  <si>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</si>
  <si>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</si>
  <si>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</si>
  <si>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</si>
  <si>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</si>
  <si>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</si>
  <si>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</si>
  <si>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</si>
  <si>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</si>
  <si>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</si>
  <si>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</si>
  <si>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</si>
  <si>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</si>
  <si>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</si>
  <si>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</si>
  <si>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</si>
  <si>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</si>
  <si>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</si>
  <si>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</si>
  <si>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</si>
  <si>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</si>
  <si>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</si>
  <si>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</si>
  <si>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</si>
  <si>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</si>
  <si>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</si>
  <si>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</si>
  <si>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</si>
  <si>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</si>
  <si>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</si>
  <si>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</si>
  <si>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</si>
  <si>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</si>
  <si>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</si>
  <si>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</si>
  <si>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</si>
  <si>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</si>
  <si>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</si>
  <si>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</si>
  <si>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</si>
  <si>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</si>
  <si>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</si>
  <si>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</si>
  <si>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</si>
  <si>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</si>
  <si>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</si>
  <si>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</si>
  <si>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</si>
  <si>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</si>
  <si>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</si>
  <si>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</si>
  <si>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</si>
  <si>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</si>
  <si>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</si>
  <si>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</si>
  <si>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</si>
  <si>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</si>
  <si>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</si>
  <si>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</si>
  <si>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</si>
  <si>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</si>
  <si>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</si>
  <si>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</si>
  <si>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</si>
  <si>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</si>
  <si>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</si>
  <si>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</si>
  <si>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</si>
  <si>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</si>
  <si>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</si>
  <si>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</si>
  <si>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</si>
  <si>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</si>
  <si>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</si>
  <si>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</si>
  <si>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</si>
  <si>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</si>
  <si>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</si>
  <si>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</si>
  <si>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</si>
  <si>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</si>
  <si>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</si>
  <si>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</si>
  <si>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</si>
  <si>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</si>
  <si>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</si>
  <si>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</si>
  <si>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</si>
  <si>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</si>
  <si>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</si>
  <si>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</si>
  <si>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</si>
  <si>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</si>
  <si>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</si>
  <si>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</si>
  <si>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</si>
  <si>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</si>
  <si>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</si>
  <si>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</si>
  <si>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</si>
  <si>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</si>
  <si>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</si>
  <si>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</si>
  <si>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</si>
  <si>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</si>
  <si>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</si>
  <si>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</si>
  <si>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</si>
  <si>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</si>
  <si>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</si>
  <si>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</si>
  <si>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</si>
  <si>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</si>
  <si>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</si>
  <si>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</si>
  <si>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</si>
  <si>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</si>
  <si>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</si>
  <si>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</si>
  <si>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</si>
  <si>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</si>
  <si>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</si>
  <si>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</si>
  <si>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</si>
  <si>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</si>
  <si>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</si>
  <si>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</si>
  <si>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</si>
  <si>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</si>
  <si>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</si>
  <si>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</si>
  <si>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</si>
  <si>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</si>
  <si>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</si>
  <si>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</si>
  <si>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</si>
  <si>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</si>
  <si>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</si>
  <si>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</si>
  <si>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</si>
  <si>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</si>
  <si>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</si>
  <si>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</si>
  <si>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</si>
  <si>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</si>
  <si>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</si>
  <si>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</si>
  <si>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</si>
  <si>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</si>
  <si>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</si>
  <si>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</si>
  <si>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</si>
  <si>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</si>
  <si>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</si>
  <si>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</si>
  <si>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</si>
  <si>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</si>
  <si>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</si>
  <si>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</si>
  <si>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</si>
  <si>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</si>
  <si>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</si>
  <si>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</si>
  <si>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</si>
  <si>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</si>
  <si>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</si>
  <si>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</si>
  <si>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</si>
  <si>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</si>
  <si>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</si>
  <si>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</si>
  <si>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</si>
  <si>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</si>
  <si>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</si>
  <si>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</si>
  <si>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</si>
  <si>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</si>
  <si>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</si>
  <si>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</si>
  <si>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</si>
  <si>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</si>
  <si>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</si>
  <si>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</si>
  <si>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</si>
  <si>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</si>
  <si>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</si>
  <si>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</si>
  <si>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</si>
  <si>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</si>
  <si>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</si>
  <si>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</si>
  <si>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</si>
  <si>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</si>
  <si>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</si>
  <si>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</si>
  <si>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</si>
  <si>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</si>
  <si>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</si>
  <si>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</si>
  <si>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</si>
  <si>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</si>
  <si>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</si>
  <si>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</si>
  <si>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</si>
  <si>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</si>
  <si>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</si>
  <si>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</si>
  <si>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</si>
  <si>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</si>
  <si>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</si>
  <si>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</si>
  <si>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</si>
  <si>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</si>
  <si>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</si>
  <si>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</si>
  <si>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</si>
  <si>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</si>
  <si>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</si>
  <si>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</si>
  <si>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</si>
  <si>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</si>
  <si>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</si>
  <si>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</si>
  <si>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</si>
  <si>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</si>
  <si>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</si>
  <si>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</si>
  <si>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</si>
  <si>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</si>
  <si>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</si>
  <si>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</si>
  <si>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</si>
  <si>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</si>
  <si>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</si>
  <si>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</si>
  <si>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</si>
  <si>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</si>
  <si>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</si>
  <si>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</si>
  <si>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</si>
  <si>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</si>
  <si>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</si>
  <si>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</si>
  <si>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</si>
  <si>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</si>
  <si>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</si>
  <si>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</si>
  <si>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</si>
  <si>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</si>
  <si>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</si>
  <si>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</si>
  <si>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</si>
  <si>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</si>
  <si>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</si>
  <si>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</si>
  <si>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</si>
  <si>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</si>
  <si>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</si>
  <si>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</si>
  <si>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</si>
  <si>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</si>
  <si>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</si>
  <si>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</si>
  <si>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</si>
  <si>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</si>
  <si>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</si>
  <si>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</si>
  <si>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</si>
  <si>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</si>
  <si>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</si>
  <si>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</si>
  <si>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</si>
  <si>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</si>
  <si>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</si>
  <si>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</si>
  <si>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</si>
  <si>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</si>
  <si>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</si>
  <si>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</si>
  <si>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</si>
  <si>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</si>
  <si>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</si>
  <si>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</si>
  <si>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</si>
  <si>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</si>
  <si>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</si>
  <si>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</si>
  <si>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</si>
  <si>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</si>
  <si>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</si>
  <si>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</si>
  <si>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</si>
  <si>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</si>
  <si>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</si>
  <si>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</si>
  <si>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</si>
  <si>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</si>
  <si>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</si>
  <si>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</si>
  <si>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</si>
  <si>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</si>
  <si>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</si>
  <si>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</si>
  <si>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</si>
  <si>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</si>
  <si>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</si>
  <si>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</si>
  <si>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</si>
  <si>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</si>
  <si>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</si>
  <si>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</si>
  <si>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</si>
  <si>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</si>
  <si>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</si>
  <si>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</si>
  <si>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</si>
  <si>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</si>
  <si>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</si>
  <si>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</si>
  <si>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</si>
  <si>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</si>
  <si>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</si>
  <si>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</si>
  <si>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</si>
  <si>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</si>
  <si>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</si>
  <si>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</si>
  <si>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</si>
  <si>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</si>
  <si>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</si>
  <si>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</si>
  <si>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</si>
  <si>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</si>
  <si>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</si>
  <si>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</si>
  <si>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</si>
  <si>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</si>
  <si>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</si>
  <si>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</si>
  <si>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</si>
  <si>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</si>
  <si>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</si>
  <si>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</si>
  <si>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</si>
  <si>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</si>
  <si>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</si>
  <si>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</si>
  <si>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</si>
  <si>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</si>
  <si>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</si>
  <si>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</si>
  <si>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</si>
  <si>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</si>
  <si>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</si>
  <si>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</si>
  <si>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</si>
  <si>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</si>
  <si>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</si>
  <si>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</si>
  <si>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</si>
  <si>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</si>
  <si>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</si>
  <si>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</si>
  <si>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</si>
  <si>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</si>
  <si>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</si>
  <si>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</si>
  <si>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</si>
  <si>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</si>
  <si>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</si>
  <si>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</si>
  <si>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</si>
  <si>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</si>
  <si>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</si>
  <si>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</si>
  <si>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</si>
  <si>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</si>
  <si>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</si>
  <si>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</si>
  <si>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</si>
  <si>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</si>
  <si>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</si>
  <si>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</si>
  <si>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</si>
  <si>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</si>
  <si>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</si>
  <si>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</si>
  <si>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</si>
  <si>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</si>
  <si>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</si>
  <si>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</si>
  <si>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</si>
  <si>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</si>
  <si>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</si>
  <si>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</si>
  <si>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</si>
  <si>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</si>
  <si>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</si>
  <si>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</si>
  <si>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</si>
  <si>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</si>
  <si>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</si>
  <si>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</si>
  <si>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</si>
  <si>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</si>
  <si>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</si>
  <si>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</si>
  <si>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</si>
  <si>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</si>
  <si>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</si>
  <si>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</si>
  <si>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</si>
  <si>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</si>
  <si>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</si>
  <si>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</si>
  <si>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</si>
  <si>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</si>
  <si>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</si>
  <si>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</si>
  <si>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</si>
  <si>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</si>
  <si>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</si>
  <si>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</si>
  <si>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</si>
  <si>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</si>
  <si>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</si>
  <si>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</si>
  <si>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</si>
  <si>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</si>
  <si>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</si>
  <si>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</si>
  <si>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</si>
  <si>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</si>
  <si>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</si>
  <si>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</si>
  <si>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</si>
  <si>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</si>
  <si>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</si>
  <si>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</si>
  <si>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</si>
  <si>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</si>
  <si>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</si>
  <si>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</si>
  <si>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</si>
  <si>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</si>
  <si>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</si>
  <si>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</si>
  <si>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</si>
  <si>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</si>
  <si>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</si>
  <si>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</si>
  <si>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</si>
  <si>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</si>
  <si>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</si>
  <si>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</si>
  <si>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</si>
  <si>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</si>
  <si>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</si>
  <si>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</si>
  <si>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</si>
  <si>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</si>
  <si>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</si>
  <si>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</si>
  <si>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</si>
  <si>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</si>
  <si>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</si>
  <si>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</si>
  <si>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</si>
  <si>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</si>
  <si>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</si>
  <si>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</si>
  <si>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</si>
  <si>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</si>
  <si>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</si>
  <si>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</si>
  <si>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</si>
  <si>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</si>
  <si>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</si>
  <si>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</si>
  <si>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</si>
  <si>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</si>
  <si>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</si>
  <si>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</si>
  <si>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</si>
  <si>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</si>
  <si>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</si>
  <si>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</si>
  <si>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</si>
  <si>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</si>
  <si>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</si>
  <si>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</si>
  <si>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</si>
  <si>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</si>
  <si>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</si>
  <si>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</si>
  <si>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</si>
  <si>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</si>
  <si>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</si>
  <si>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</si>
  <si>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</si>
  <si>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</si>
  <si>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</si>
  <si>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</si>
  <si>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</si>
  <si>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</si>
  <si>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</si>
  <si>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</si>
  <si>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</si>
  <si>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</si>
  <si>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</si>
  <si>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</si>
  <si>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</si>
  <si>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</si>
  <si>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</si>
  <si>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</si>
  <si>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</si>
  <si>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</si>
  <si>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</si>
  <si>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</si>
  <si>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</si>
  <si>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</si>
  <si>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</si>
  <si>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</si>
  <si>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</si>
  <si>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</si>
  <si>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</si>
  <si>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</si>
  <si>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</si>
  <si>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</si>
  <si>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</si>
  <si>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</si>
  <si>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</si>
  <si>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</si>
  <si>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</si>
  <si>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</si>
  <si>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</si>
  <si>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</si>
  <si>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</si>
  <si>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</si>
  <si>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</si>
  <si>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</si>
  <si>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</si>
  <si>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</si>
  <si>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</si>
  <si>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</si>
  <si>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</si>
  <si>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</si>
  <si>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</si>
  <si>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</si>
  <si>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</si>
  <si>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</si>
  <si>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</si>
  <si>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</si>
  <si>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</si>
  <si>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</si>
  <si>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</si>
  <si>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</si>
  <si>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</si>
  <si>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</si>
  <si>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</si>
  <si>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</si>
  <si>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</si>
  <si>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</si>
  <si>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</si>
  <si>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</si>
  <si>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</si>
  <si>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</si>
  <si>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</si>
  <si>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</si>
  <si>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</si>
  <si>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</si>
  <si>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</si>
  <si>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</si>
  <si>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</si>
  <si>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</si>
  <si>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</si>
  <si>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</si>
  <si>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</si>
  <si>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</si>
  <si>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</si>
  <si>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</si>
  <si>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</si>
  <si>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</si>
  <si>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</si>
  <si>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</si>
  <si>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</si>
  <si>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</si>
  <si>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</si>
  <si>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</si>
  <si>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</si>
  <si>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</si>
  <si>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</si>
  <si>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</si>
  <si>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</si>
  <si>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</si>
  <si>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</si>
  <si>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</si>
  <si>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</si>
  <si>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</si>
  <si>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</si>
  <si>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</si>
  <si>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</si>
  <si>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</si>
  <si>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</si>
  <si>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</si>
  <si>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</si>
  <si>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</si>
  <si>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</si>
  <si>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</si>
  <si>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</si>
  <si>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</si>
  <si>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</si>
  <si>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</si>
  <si>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</si>
  <si>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</si>
  <si>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</si>
  <si>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</si>
  <si>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</si>
  <si>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</si>
  <si>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</si>
  <si>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</si>
  <si>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</si>
  <si>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</si>
  <si>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</si>
  <si>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</si>
  <si>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</si>
  <si>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</si>
  <si>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</si>
  <si>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</si>
  <si>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</si>
  <si>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</si>
  <si>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</si>
  <si>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</si>
  <si>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</si>
  <si>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</si>
  <si>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</si>
  <si>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</si>
  <si>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</si>
  <si>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</si>
  <si>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</si>
  <si>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</si>
  <si>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</si>
  <si>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</si>
  <si>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</si>
  <si>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</si>
  <si>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</si>
  <si>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</si>
  <si>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</si>
  <si>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</si>
  <si>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</si>
  <si>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</si>
  <si>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</si>
  <si>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</si>
  <si>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</si>
  <si>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</si>
  <si>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</si>
  <si>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</si>
  <si>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</si>
  <si>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</si>
  <si>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</si>
  <si>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</si>
  <si>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</si>
  <si>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</si>
  <si>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</si>
  <si>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</si>
  <si>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</si>
  <si>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</si>
  <si>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</si>
  <si>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</si>
  <si>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</si>
  <si>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</si>
  <si>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</si>
  <si>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</si>
  <si>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</si>
  <si>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</si>
  <si>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</si>
  <si>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</si>
  <si>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</si>
  <si>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</si>
  <si>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</si>
  <si>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</si>
  <si>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</si>
  <si>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</si>
  <si>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</si>
  <si>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</si>
  <si>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</si>
  <si>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</si>
  <si>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</si>
  <si>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</si>
  <si>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</si>
  <si>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</si>
  <si>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</si>
  <si>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</si>
  <si>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</si>
  <si>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</si>
  <si>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</si>
  <si>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</si>
  <si>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</si>
  <si>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</si>
  <si>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</si>
  <si>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</si>
  <si>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</si>
  <si>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</si>
  <si>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</si>
  <si>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</si>
  <si>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</si>
  <si>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</si>
  <si>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</si>
  <si>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</si>
  <si>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</si>
  <si>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</si>
  <si>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</si>
  <si>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</si>
  <si>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</si>
  <si>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</si>
  <si>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</si>
  <si>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</si>
  <si>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</si>
  <si>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</si>
  <si>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</si>
  <si>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</si>
  <si>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</si>
  <si>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</si>
  <si>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</si>
  <si>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</si>
  <si>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</si>
  <si>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</si>
  <si>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</si>
  <si>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</si>
  <si>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</si>
  <si>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</si>
  <si>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</si>
  <si>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</si>
  <si>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</si>
  <si>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</si>
  <si>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</si>
  <si>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</si>
  <si>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</si>
  <si>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</si>
  <si>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</si>
  <si>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</si>
  <si>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</si>
  <si>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</si>
  <si>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</si>
  <si>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</si>
  <si>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</si>
  <si>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</si>
  <si>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</si>
  <si>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</si>
  <si>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</si>
  <si>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</si>
  <si>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</si>
  <si>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</si>
  <si>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</si>
  <si>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</si>
  <si>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</si>
  <si>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</si>
  <si>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</si>
  <si>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</si>
  <si>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</si>
  <si>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</si>
  <si>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</si>
  <si>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</si>
  <si>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</si>
  <si>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</si>
  <si>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</si>
  <si>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</si>
  <si>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</si>
  <si>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</si>
  <si>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</si>
  <si>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</si>
  <si>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</si>
  <si>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</si>
  <si>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</si>
  <si>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</si>
  <si>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</si>
  <si>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</si>
  <si>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</si>
  <si>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</si>
  <si>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</si>
  <si>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</si>
  <si>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</si>
  <si>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</si>
  <si>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</si>
  <si>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</si>
  <si>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</si>
  <si>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</si>
  <si>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</si>
  <si>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</si>
  <si>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</si>
  <si>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</si>
  <si>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</si>
  <si>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</si>
  <si>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</si>
  <si>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</si>
  <si>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</si>
  <si>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</si>
  <si>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</si>
  <si>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</si>
  <si>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</si>
  <si>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</si>
  <si>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</si>
  <si>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</si>
  <si>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</si>
  <si>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</si>
  <si>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</si>
  <si>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</si>
  <si>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</si>
  <si>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</si>
  <si>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</si>
  <si>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</si>
  <si>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</si>
  <si>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</si>
  <si>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</si>
  <si>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</si>
  <si>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</si>
  <si>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</si>
  <si>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</si>
  <si>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</si>
  <si>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</si>
  <si>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</si>
  <si>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</si>
  <si>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</si>
  <si>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</si>
  <si>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</si>
  <si>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</si>
  <si>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</si>
  <si>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</si>
  <si>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</si>
  <si>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</si>
  <si>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</si>
  <si>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</si>
  <si>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</si>
  <si>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</si>
  <si>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</si>
  <si>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</si>
  <si>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</si>
  <si>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</si>
  <si>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</si>
  <si>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</si>
  <si>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</si>
  <si>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</si>
  <si>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</si>
  <si>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</si>
  <si>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</si>
  <si>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</si>
  <si>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</si>
  <si>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</si>
  <si>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</si>
  <si>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</si>
  <si>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</si>
  <si>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</si>
  <si>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</si>
  <si>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</si>
  <si>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</si>
  <si>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</si>
  <si>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</si>
  <si>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</si>
  <si>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</si>
  <si>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</si>
  <si>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</si>
  <si>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</si>
  <si>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</si>
  <si>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</si>
  <si>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</si>
  <si>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</si>
  <si>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</si>
  <si>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</si>
  <si>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</si>
  <si>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</si>
  <si>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</si>
  <si>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</si>
  <si>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</si>
  <si>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</si>
  <si>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</si>
  <si>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</si>
  <si>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</si>
  <si>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</si>
  <si>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</si>
  <si>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</si>
  <si>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</si>
  <si>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</si>
  <si>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</si>
  <si>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</si>
  <si>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</si>
  <si>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</si>
  <si>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</si>
  <si>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</si>
  <si>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</si>
  <si>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</si>
  <si>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</si>
  <si>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</si>
  <si>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</si>
  <si>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</si>
  <si>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</si>
  <si>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</si>
  <si>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</si>
  <si>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</si>
  <si>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</si>
  <si>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</si>
  <si>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</si>
  <si>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</si>
  <si>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</si>
  <si>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</si>
  <si>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</si>
  <si>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</si>
  <si>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</si>
  <si>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</si>
  <si>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</si>
  <si>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</si>
  <si>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</si>
  <si>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</si>
  <si>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</si>
  <si>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</si>
  <si>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</si>
  <si>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</si>
  <si>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</si>
  <si>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</si>
  <si>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</si>
  <si>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</si>
  <si>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</si>
  <si>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</si>
  <si>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</si>
  <si>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</si>
  <si>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</si>
  <si>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</si>
  <si>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</si>
  <si>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</si>
  <si>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</si>
  <si>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</si>
  <si>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</si>
  <si>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</si>
  <si>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</si>
  <si>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</si>
  <si>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</si>
  <si>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</si>
  <si>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</si>
  <si>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</si>
  <si>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</si>
  <si>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</si>
  <si>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</si>
  <si>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</si>
  <si>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</si>
  <si>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</si>
  <si>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</si>
  <si>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</si>
  <si>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</si>
  <si>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</si>
  <si>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</si>
  <si>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</si>
  <si>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</si>
  <si>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</si>
  <si>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</si>
  <si>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</si>
  <si>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</si>
  <si>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</si>
  <si>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</si>
  <si>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</si>
  <si>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</si>
  <si>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</si>
  <si>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</si>
  <si>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</si>
  <si>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</si>
  <si>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</si>
  <si>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</si>
  <si>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</si>
  <si>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</si>
  <si>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</si>
  <si>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</si>
  <si>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</si>
  <si>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</si>
  <si>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</si>
  <si>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</si>
  <si>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</si>
  <si>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</si>
  <si>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</si>
  <si>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</si>
  <si>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</si>
  <si>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</si>
  <si>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</si>
  <si>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</si>
  <si>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</si>
  <si>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</si>
  <si>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</si>
  <si>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</si>
  <si>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</si>
  <si>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</si>
  <si>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</si>
  <si>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</si>
  <si>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</si>
  <si>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</si>
  <si>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</si>
  <si>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</si>
  <si>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</si>
  <si>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</si>
  <si>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</si>
  <si>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</si>
  <si>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</si>
  <si>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</si>
  <si>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</si>
  <si>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</si>
  <si>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</si>
  <si>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</si>
  <si>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</si>
  <si>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</si>
  <si>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</si>
  <si>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</si>
  <si>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</si>
  <si>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</si>
  <si>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</si>
  <si>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</si>
  <si>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</si>
  <si>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</si>
  <si>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</si>
  <si>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</si>
  <si>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</si>
  <si>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</si>
  <si>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</si>
  <si>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</si>
  <si>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</si>
  <si>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</si>
  <si>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</si>
  <si>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</si>
  <si>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</si>
  <si>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</si>
  <si>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</si>
  <si>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</si>
  <si>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</si>
  <si>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</si>
  <si>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</si>
  <si>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</si>
  <si>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</si>
  <si>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</si>
  <si>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</si>
  <si>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</si>
  <si>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</si>
  <si>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</si>
  <si>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</si>
  <si>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</si>
  <si>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</si>
  <si>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</si>
  <si>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</si>
  <si>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</si>
  <si>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</si>
  <si>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</si>
  <si>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</si>
  <si>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</si>
  <si>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</si>
  <si>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</si>
  <si>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</si>
  <si>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</si>
  <si>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</si>
  <si>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</si>
  <si>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</si>
  <si>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</si>
  <si>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</si>
  <si>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</si>
  <si>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</si>
  <si>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</si>
  <si>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</si>
  <si>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</si>
  <si>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</si>
  <si>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</si>
  <si>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</si>
  <si>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</si>
  <si>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</si>
  <si>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</si>
  <si>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</si>
  <si>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</si>
  <si>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</si>
  <si>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</si>
  <si>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</si>
  <si>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</si>
  <si>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</si>
  <si>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</si>
  <si>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</si>
  <si>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</si>
  <si>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</si>
  <si>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</si>
  <si>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</si>
  <si>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</si>
  <si>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</si>
  <si>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</si>
  <si>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</si>
  <si>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</si>
  <si>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</si>
  <si>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</si>
  <si>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</si>
  <si>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</si>
  <si>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</si>
  <si>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</si>
  <si>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</si>
  <si>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</si>
  <si>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</si>
  <si>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</si>
  <si>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</si>
  <si>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</si>
  <si>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</si>
  <si>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</si>
  <si>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</si>
  <si>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</si>
  <si>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</si>
  <si>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</si>
  <si>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</si>
  <si>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</si>
  <si>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</si>
  <si>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</si>
  <si>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</si>
  <si>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</si>
  <si>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</si>
  <si>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</si>
  <si>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</si>
  <si>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</si>
  <si>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</si>
  <si>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</si>
  <si>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</si>
  <si>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</si>
  <si>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</si>
  <si>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</si>
  <si>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</si>
  <si>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</si>
  <si>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</si>
  <si>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</si>
  <si>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</si>
  <si>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</si>
  <si>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</si>
  <si>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</si>
  <si>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</si>
  <si>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</si>
  <si>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</si>
  <si>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</si>
  <si>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</si>
  <si>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</si>
  <si>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</si>
  <si>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</si>
  <si>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</si>
  <si>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</si>
  <si>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</si>
  <si>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</si>
  <si>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</si>
  <si>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</si>
  <si>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</si>
  <si>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</si>
  <si>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</si>
  <si>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</si>
  <si>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</si>
  <si>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</si>
  <si>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</si>
  <si>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</si>
  <si>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</si>
  <si>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</si>
  <si>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</si>
  <si>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</si>
  <si>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</si>
  <si>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</si>
  <si>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</si>
  <si>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</si>
  <si>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</si>
  <si>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</si>
  <si>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</si>
  <si>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</si>
  <si>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</si>
  <si>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</si>
  <si>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</si>
  <si>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</si>
  <si>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</si>
  <si>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</si>
  <si>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</si>
  <si>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</si>
  <si>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</si>
  <si>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</si>
  <si>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</si>
  <si>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</si>
  <si>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</si>
  <si>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</si>
  <si>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</si>
  <si>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</si>
  <si>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</si>
  <si>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</si>
  <si>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</si>
  <si>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</si>
  <si>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</si>
  <si>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</si>
  <si>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</si>
  <si>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</si>
  <si>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</si>
  <si>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</si>
  <si>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</si>
  <si>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</si>
  <si>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</si>
  <si>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</si>
  <si>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</si>
  <si>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</si>
  <si>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</si>
  <si>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</si>
  <si>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</si>
  <si>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</si>
  <si>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</si>
  <si>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</si>
  <si>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</si>
  <si>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</si>
  <si>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</si>
  <si>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</si>
  <si>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</si>
  <si>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</si>
  <si>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</si>
  <si>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</si>
  <si>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</si>
  <si>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</si>
  <si>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</si>
  <si>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</si>
  <si>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</si>
  <si>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</si>
  <si>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</si>
  <si>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</si>
  <si>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</si>
  <si>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</si>
  <si>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</si>
  <si>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</si>
  <si>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</si>
  <si>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</si>
  <si>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</si>
  <si>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</si>
  <si>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</si>
  <si>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</si>
  <si>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</si>
  <si>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</si>
  <si>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</si>
  <si>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</si>
  <si>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</si>
  <si>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</si>
  <si>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</si>
  <si>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</si>
  <si>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</si>
  <si>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</si>
  <si>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</si>
  <si>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</si>
  <si>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</si>
  <si>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</si>
  <si>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</si>
  <si>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</si>
  <si>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</si>
  <si>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</si>
  <si>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</si>
  <si>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</si>
  <si>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</si>
  <si>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</si>
  <si>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</si>
  <si>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</si>
  <si>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</si>
  <si>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</si>
  <si>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</si>
  <si>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</si>
  <si>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</si>
  <si>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</si>
  <si>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</si>
  <si>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</si>
  <si>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</si>
  <si>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</si>
  <si>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</si>
  <si>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</si>
  <si>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</si>
  <si>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</si>
  <si>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</si>
  <si>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</si>
  <si>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</si>
  <si>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</si>
  <si>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</si>
  <si>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</si>
  <si>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</si>
  <si>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</si>
  <si>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</si>
  <si>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</si>
  <si>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</si>
  <si>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</si>
  <si>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</si>
  <si>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</si>
  <si>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</si>
  <si>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</si>
  <si>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</si>
  <si>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</si>
  <si>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</si>
  <si>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</si>
  <si>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</si>
  <si>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</si>
  <si>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</si>
  <si>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</si>
  <si>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</si>
  <si>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</si>
  <si>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</si>
  <si>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</si>
  <si>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</si>
  <si>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</si>
  <si>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</si>
  <si>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</si>
  <si>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</si>
  <si>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</si>
  <si>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</si>
  <si>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</si>
  <si>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</si>
  <si>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</si>
  <si>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</si>
  <si>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</si>
  <si>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</si>
  <si>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</si>
  <si>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</si>
  <si>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</si>
  <si>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</si>
  <si>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</si>
  <si>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</si>
  <si>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</si>
  <si>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</si>
  <si>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</si>
  <si>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</si>
  <si>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</si>
  <si>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</si>
  <si>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</si>
  <si>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</si>
  <si>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</si>
  <si>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</si>
  <si>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</si>
  <si>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</si>
  <si>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</si>
  <si>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</si>
  <si>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</si>
  <si>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</si>
  <si>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</si>
  <si>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</si>
  <si>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</si>
  <si>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</si>
  <si>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</si>
  <si>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</si>
  <si>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</si>
  <si>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</si>
  <si>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</si>
  <si>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</si>
  <si>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</si>
  <si>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</si>
  <si>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</si>
  <si>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</si>
  <si>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</si>
  <si>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</si>
  <si>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</si>
  <si>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</si>
  <si>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</si>
  <si>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</si>
  <si>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</si>
  <si>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</si>
  <si>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</si>
  <si>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</si>
  <si>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</si>
  <si>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</si>
  <si>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</si>
  <si>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</si>
  <si>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</si>
  <si>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</si>
  <si>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</si>
  <si>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</si>
  <si>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</si>
  <si>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</si>
  <si>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</si>
  <si>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</si>
  <si>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</si>
  <si>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</si>
  <si>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</si>
  <si>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</si>
  <si>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</si>
  <si>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</si>
  <si>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</si>
  <si>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</si>
  <si>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</si>
  <si>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</si>
  <si>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</si>
  <si>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</si>
  <si>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</si>
  <si>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</si>
  <si>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</si>
  <si>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</si>
  <si>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</si>
  <si>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</si>
  <si>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</si>
  <si>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</si>
  <si>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</si>
  <si>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</si>
  <si>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</si>
  <si>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</si>
  <si>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</si>
  <si>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</si>
  <si>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</si>
  <si>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</si>
  <si>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</si>
  <si>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</si>
  <si>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</si>
  <si>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</si>
  <si>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</si>
  <si>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</si>
  <si>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</si>
  <si>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</si>
  <si>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</si>
  <si>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</si>
  <si>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</si>
  <si>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</si>
  <si>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</si>
  <si>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</si>
  <si>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</si>
  <si>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</si>
  <si>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</si>
  <si>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</si>
  <si>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</si>
  <si>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</si>
  <si>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</si>
  <si>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</si>
  <si>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</si>
  <si>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</si>
  <si>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</si>
  <si>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</si>
  <si>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</si>
  <si>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</si>
  <si>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</si>
  <si>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</si>
  <si>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</si>
  <si>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</si>
  <si>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</si>
  <si>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</si>
  <si>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</si>
  <si>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</si>
  <si>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</si>
  <si>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</si>
  <si>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</si>
  <si>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</si>
  <si>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</si>
  <si>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</si>
  <si>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</si>
  <si>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</si>
  <si>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</si>
  <si>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</si>
  <si>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</si>
  <si>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</si>
  <si>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</si>
  <si>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</si>
  <si>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</si>
  <si>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</si>
  <si>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</si>
  <si>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</si>
  <si>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</si>
  <si>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</si>
  <si>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</si>
  <si>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</si>
  <si>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</si>
  <si>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</si>
  <si>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</si>
  <si>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</si>
  <si>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</si>
  <si>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</si>
  <si>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</si>
  <si>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</si>
  <si>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</si>
  <si>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</si>
  <si>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</si>
  <si>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</si>
  <si>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</si>
  <si>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</si>
  <si>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</si>
  <si>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</si>
  <si>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</si>
  <si>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</si>
  <si>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</si>
  <si>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</si>
  <si>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</si>
  <si>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</si>
  <si>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</si>
  <si>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</si>
  <si>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</si>
  <si>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Serial</t>
  </si>
  <si>
    <t>min_size</t>
  </si>
  <si>
    <t>gamma</t>
  </si>
  <si>
    <t>Flixter</t>
  </si>
  <si>
    <t>top level tasks</t>
  </si>
  <si>
    <t>Time</t>
  </si>
  <si>
    <t>X</t>
  </si>
  <si>
    <t>g2-aimd</t>
  </si>
  <si>
    <t>X: &gt;=10m</t>
  </si>
  <si>
    <t>GPU_H_ratio</t>
  </si>
  <si>
    <t>CPU_H_ratio</t>
  </si>
  <si>
    <t>add experiments with 1 task to CPU</t>
  </si>
  <si>
    <t>select more a</t>
  </si>
  <si>
    <t>Memory overflow</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</si>
  <si>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</si>
  <si>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</si>
  <si>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</si>
  <si>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</si>
  <si>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</si>
  <si>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</si>
  <si>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</si>
  <si>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</si>
  <si>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</si>
  <si>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</si>
  <si>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</si>
  <si>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</si>
  <si>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cpuchunk=200, tau=1000, gpuchunk=100000</t>
  </si>
  <si>
    <t>CPU Only (30m X)</t>
  </si>
  <si>
    <t>gpu-hybrid-copy</t>
  </si>
  <si>
    <t>gpu-hybrid-drop</t>
  </si>
  <si>
    <t>x</t>
  </si>
  <si>
    <t>CPU Only (X &gt; 30m)</t>
  </si>
  <si>
    <t>CPU -&gt;GPU steal</t>
  </si>
  <si>
    <t>10 million tasks</t>
  </si>
  <si>
    <t>tau</t>
  </si>
  <si>
    <t>100 ms</t>
  </si>
  <si>
    <t>100,000 vertices</t>
  </si>
  <si>
    <t xml:space="preserve">gpuchunk </t>
  </si>
  <si>
    <t>10 vertices</t>
  </si>
  <si>
    <t>ratio_G2L</t>
  </si>
  <si>
    <t>ratio_L2CG</t>
  </si>
  <si>
    <t>ratio_G2C</t>
  </si>
  <si>
    <t>why the outlier is so slow on hybrid?</t>
  </si>
  <si>
    <t>eta values</t>
  </si>
  <si>
    <t>183.09 </t>
  </si>
  <si>
    <t>180.02 </t>
  </si>
  <si>
    <t>182.85 </t>
  </si>
  <si>
    <t>476.47 </t>
  </si>
  <si>
    <t>479.54 </t>
  </si>
  <si>
    <t># top level tasks</t>
  </si>
  <si>
    <t>|V|</t>
  </si>
  <si>
    <t>|E|</t>
  </si>
  <si>
    <t>gpuchunk = 1m</t>
  </si>
  <si>
    <t>gpuchunk = 10k</t>
  </si>
  <si>
    <t xml:space="preserve">run more experiments with larger values of eta </t>
  </si>
  <si>
    <t>ratio_C2CG</t>
  </si>
  <si>
    <t xml:space="preserve">ratio abbr. </t>
  </si>
  <si>
    <t>G: G2AIMD</t>
  </si>
  <si>
    <t>CG: CPU+GPU</t>
  </si>
  <si>
    <t>L: hybrid-layered</t>
  </si>
  <si>
    <t>C: hybrid-copy</t>
  </si>
  <si>
    <t>CP: CPU</t>
  </si>
  <si>
    <t>ratio_CP2CG</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</si>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</sst>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61"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20"/>
      <name val="Aptos Narrow"/>
      <family val="2"/>
      <scheme val="minor"/>
    </font>
    <font>
      <b/>
      <sz val="22"/>
      <color theme="1"/>
      <name val="Aptos Narrow"/>
      <scheme val="minor"/>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s>
  <borders count="2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s>
  <cellStyleXfs count="2">
    <xf numFmtId="0" fontId="0" fillId="0" borderId="0"/>
    <xf numFmtId="43" fontId="1" fillId="0" borderId="0" applyFont="0" applyFill="0" applyBorder="0" applyAlignment="0" applyProtection="0"/>
  </cellStyleXfs>
  <cellXfs count="199">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164" fontId="35" fillId="0" borderId="0" xfId="0" applyNumberFormat="1" applyFont="1"/>
    <xf numFmtId="0" fontId="36" fillId="0" borderId="0" xfId="0" applyFont="1"/>
    <xf numFmtId="164" fontId="36" fillId="0" borderId="0" xfId="0" applyNumberFormat="1" applyFont="1"/>
    <xf numFmtId="164" fontId="37" fillId="0" borderId="0" xfId="0" applyNumberFormat="1" applyFont="1"/>
    <xf numFmtId="164" fontId="28"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8" borderId="0" xfId="0" applyNumberFormat="1" applyFont="1" applyFill="1" applyAlignment="1">
      <alignment horizontal="center"/>
    </xf>
    <xf numFmtId="2" fontId="32" fillId="0" borderId="0" xfId="0" applyNumberFormat="1" applyFont="1"/>
    <xf numFmtId="0" fontId="42" fillId="7" borderId="1" xfId="0" applyFont="1" applyFill="1" applyBorder="1"/>
    <xf numFmtId="0" fontId="42" fillId="7" borderId="0" xfId="0" applyFont="1" applyFill="1"/>
    <xf numFmtId="0" fontId="42"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3" fontId="44"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11" borderId="0" xfId="0" applyNumberFormat="1" applyFont="1" applyFill="1"/>
    <xf numFmtId="164" fontId="48" fillId="10" borderId="0" xfId="0" applyNumberFormat="1" applyFont="1" applyFill="1"/>
    <xf numFmtId="0" fontId="18" fillId="0" borderId="12" xfId="0" applyFont="1" applyBorder="1"/>
    <xf numFmtId="167" fontId="27" fillId="0" borderId="0" xfId="0" applyNumberFormat="1" applyFont="1"/>
    <xf numFmtId="0" fontId="45" fillId="0" borderId="0" xfId="0" applyFont="1"/>
    <xf numFmtId="0" fontId="50" fillId="0" borderId="0" xfId="0" applyFont="1"/>
    <xf numFmtId="164" fontId="50"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0" fontId="32" fillId="0" borderId="0" xfId="0" applyFont="1"/>
    <xf numFmtId="0" fontId="51" fillId="0" borderId="0" xfId="0" applyFont="1"/>
    <xf numFmtId="165" fontId="18" fillId="0" borderId="0" xfId="1" applyNumberFormat="1" applyFont="1" applyFill="1" applyBorder="1"/>
    <xf numFmtId="0" fontId="52" fillId="0" borderId="0" xfId="0" applyFont="1"/>
    <xf numFmtId="164" fontId="27" fillId="2" borderId="0" xfId="0" applyNumberFormat="1" applyFont="1" applyFill="1"/>
    <xf numFmtId="164" fontId="53" fillId="0" borderId="0" xfId="0" applyNumberFormat="1" applyFont="1"/>
    <xf numFmtId="0" fontId="54" fillId="0" borderId="0" xfId="0" applyFont="1"/>
    <xf numFmtId="0" fontId="38" fillId="0" borderId="1" xfId="0" applyFont="1" applyBorder="1"/>
    <xf numFmtId="1" fontId="35" fillId="0" borderId="0" xfId="0" applyNumberFormat="1" applyFont="1"/>
    <xf numFmtId="1" fontId="55"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0" fontId="33" fillId="0" borderId="0" xfId="0" applyFont="1" applyAlignment="1">
      <alignment horizontal="center"/>
    </xf>
    <xf numFmtId="0" fontId="32"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8" fillId="0" borderId="7" xfId="0" applyFont="1" applyBorder="1" applyAlignment="1">
      <alignment horizontal="center"/>
    </xf>
    <xf numFmtId="165" fontId="32" fillId="0" borderId="0" xfId="1" applyNumberFormat="1" applyFont="1"/>
    <xf numFmtId="164" fontId="32" fillId="0" borderId="0" xfId="0" applyNumberFormat="1" applyFont="1"/>
    <xf numFmtId="164" fontId="56" fillId="0" borderId="0" xfId="0" applyNumberFormat="1" applyFont="1"/>
    <xf numFmtId="0" fontId="57" fillId="0" borderId="0" xfId="0" applyFont="1"/>
    <xf numFmtId="165" fontId="6" fillId="0" borderId="0" xfId="1" applyNumberFormat="1" applyFont="1"/>
    <xf numFmtId="164" fontId="27" fillId="0" borderId="0" xfId="0" applyNumberFormat="1" applyFont="1" applyFill="1"/>
    <xf numFmtId="164" fontId="38" fillId="0" borderId="0" xfId="0" applyNumberFormat="1" applyFont="1" applyFill="1"/>
    <xf numFmtId="164" fontId="38" fillId="2" borderId="0" xfId="0" applyNumberFormat="1" applyFont="1" applyFill="1"/>
    <xf numFmtId="2" fontId="38" fillId="0" borderId="0" xfId="0" applyNumberFormat="1" applyFont="1"/>
    <xf numFmtId="2" fontId="47" fillId="8" borderId="0" xfId="0" applyNumberFormat="1" applyFont="1" applyFill="1"/>
    <xf numFmtId="164" fontId="47" fillId="8" borderId="0" xfId="0" applyNumberFormat="1" applyFont="1" applyFill="1"/>
    <xf numFmtId="164" fontId="21" fillId="2" borderId="17" xfId="0" applyNumberFormat="1" applyFont="1" applyFill="1" applyBorder="1" applyAlignment="1">
      <alignment horizontal="center"/>
    </xf>
    <xf numFmtId="164" fontId="22" fillId="2" borderId="17" xfId="0" applyNumberFormat="1" applyFont="1" applyFill="1" applyBorder="1" applyAlignment="1">
      <alignment horizontal="center"/>
    </xf>
    <xf numFmtId="164" fontId="22" fillId="2" borderId="20" xfId="0" applyNumberFormat="1" applyFont="1" applyFill="1" applyBorder="1" applyAlignment="1">
      <alignment horizontal="center"/>
    </xf>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164" fontId="22" fillId="0" borderId="15" xfId="0" applyNumberFormat="1" applyFont="1" applyFill="1" applyBorder="1" applyAlignment="1">
      <alignment horizontal="center"/>
    </xf>
    <xf numFmtId="164" fontId="22" fillId="0" borderId="0" xfId="0" applyNumberFormat="1" applyFont="1" applyFill="1"/>
    <xf numFmtId="164" fontId="22" fillId="0" borderId="16" xfId="0" applyNumberFormat="1" applyFont="1" applyFill="1" applyBorder="1" applyAlignment="1">
      <alignment horizontal="center"/>
    </xf>
    <xf numFmtId="2" fontId="27" fillId="0" borderId="0" xfId="0" applyNumberFormat="1" applyFont="1" applyFill="1" applyBorder="1"/>
    <xf numFmtId="164" fontId="21" fillId="0" borderId="17" xfId="0" applyNumberFormat="1" applyFont="1" applyFill="1" applyBorder="1" applyAlignment="1">
      <alignment horizontal="center"/>
    </xf>
    <xf numFmtId="164" fontId="22" fillId="0" borderId="17" xfId="0" applyNumberFormat="1" applyFont="1" applyFill="1" applyBorder="1" applyAlignment="1">
      <alignment horizontal="center"/>
    </xf>
    <xf numFmtId="164" fontId="21" fillId="0" borderId="0" xfId="0" applyNumberFormat="1" applyFont="1" applyFill="1"/>
    <xf numFmtId="164" fontId="22" fillId="0" borderId="0" xfId="0" applyNumberFormat="1" applyFont="1" applyFill="1" applyAlignment="1">
      <alignment vertical="center"/>
    </xf>
    <xf numFmtId="164" fontId="22" fillId="0" borderId="18" xfId="0" applyNumberFormat="1" applyFont="1" applyFill="1" applyBorder="1" applyAlignment="1">
      <alignment horizontal="center"/>
    </xf>
    <xf numFmtId="2" fontId="27" fillId="0" borderId="19" xfId="0" applyNumberFormat="1" applyFont="1" applyFill="1" applyBorder="1"/>
    <xf numFmtId="164" fontId="22" fillId="0" borderId="0" xfId="0" applyNumberFormat="1" applyFont="1" applyFill="1" applyAlignment="1">
      <alignment horizontal="center"/>
    </xf>
    <xf numFmtId="164" fontId="22" fillId="2" borderId="16" xfId="0" applyNumberFormat="1" applyFont="1" applyFill="1" applyBorder="1" applyAlignment="1">
      <alignment horizontal="center"/>
    </xf>
    <xf numFmtId="2" fontId="27" fillId="2" borderId="0" xfId="0" applyNumberFormat="1" applyFont="1" applyFill="1" applyBorder="1"/>
    <xf numFmtId="0" fontId="20" fillId="0" borderId="0" xfId="0" applyFont="1" applyAlignment="1">
      <alignment vertical="center"/>
    </xf>
    <xf numFmtId="0" fontId="58" fillId="0" borderId="0" xfId="0" applyFont="1" applyAlignment="1">
      <alignment vertical="center"/>
    </xf>
    <xf numFmtId="2" fontId="27" fillId="2" borderId="13" xfId="0" applyNumberFormat="1" applyFont="1" applyFill="1" applyBorder="1"/>
    <xf numFmtId="164" fontId="22" fillId="0" borderId="14" xfId="0" applyNumberFormat="1" applyFont="1" applyFill="1" applyBorder="1" applyAlignment="1">
      <alignment horizontal="center"/>
    </xf>
    <xf numFmtId="2" fontId="59" fillId="3" borderId="0" xfId="0" applyNumberFormat="1" applyFont="1" applyFill="1"/>
    <xf numFmtId="2" fontId="59" fillId="3" borderId="0" xfId="0" applyNumberFormat="1" applyFont="1" applyFill="1" applyAlignment="1">
      <alignment horizontal="center"/>
    </xf>
    <xf numFmtId="0" fontId="60" fillId="12" borderId="22" xfId="0" applyFont="1" applyFill="1" applyBorder="1"/>
  </cellXfs>
  <cellStyles count="2">
    <cellStyle name="Comma" xfId="1" builtinId="3"/>
    <cellStyle name="Normal" xfId="0" builtinId="0"/>
  </cellStyles>
  <dxfs count="137">
    <dxf>
      <font>
        <b val="0"/>
        <i val="0"/>
        <strike val="0"/>
        <condense val="0"/>
        <extend val="0"/>
        <outline val="0"/>
        <shadow val="0"/>
        <u val="none"/>
        <vertAlign val="baseline"/>
        <sz val="18"/>
        <color theme="1"/>
        <name val="Monaco"/>
        <family val="2"/>
        <scheme val="none"/>
      </font>
      <numFmt numFmtId="164" formatCode="0.0"/>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b val="0"/>
        <i val="0"/>
        <strike val="0"/>
        <condense val="0"/>
        <extend val="0"/>
        <outline val="0"/>
        <shadow val="0"/>
        <u val="none"/>
        <vertAlign val="baseline"/>
        <sz val="14"/>
        <color theme="0" tint="-0.249977111117893"/>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J2:AT218" totalsRowShown="0">
  <autoFilter ref="AJ2:AT218" xr:uid="{F593F397-1FE6-BC4C-A81D-C0A20A850E1F}"/>
  <sortState xmlns:xlrd2="http://schemas.microsoft.com/office/spreadsheetml/2017/richdata2" ref="AJ91:AR133">
    <sortCondition ref="AN2:AN218"/>
  </sortState>
  <tableColumns count="11">
    <tableColumn id="6" xr3:uid="{5DB0FBB3-0BB3-024E-AB88-924AC4951DC2}" name="dataset"/>
    <tableColumn id="1" xr3:uid="{8468715E-A000-8A47-8E4B-9D2CACED6CEA}" name="query" dataDxfId="136"/>
    <tableColumn id="2" xr3:uid="{1803BC41-BEC8-E544-92BD-C663EA966AB2}" name="g2aimd"/>
    <tableColumn id="10" xr3:uid="{217652BF-A5E4-D54B-AB8E-21AEB3DED3A0}" name="GPU"/>
    <tableColumn id="3" xr3:uid="{4CBACDEA-BF51-954F-8944-FC4AE07D8CE8}" name="cpuchunk=1" dataDxfId="135"/>
    <tableColumn id="5" xr3:uid="{6C5CEFD7-4CFC-F246-A6B3-B98EF3B01C6D}" name="cpuchunk=10" dataDxfId="134">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33">
      <calculatedColumnFormula>Table7[[#This Row],[cpuchunk=1]]/Table7[[#This Row],[GPU_chunk10_ratio]]</calculatedColumnFormula>
    </tableColumn>
    <tableColumn id="4" xr3:uid="{191AE9E6-20B3-0846-A2BC-4F940320D63B}" name="CPU Only (30m X)" dataDxfId="132"/>
    <tableColumn id="11" xr3:uid="{46591BF7-69A0-8B4F-8A46-B687B6F03373}"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N146" totalsRowShown="0" dataDxfId="131">
  <autoFilter ref="B2:N146" xr:uid="{775A73A0-4C5B-1643-B670-C6D2F38A31E6}">
    <filterColumn colId="4">
      <customFilters>
        <customFilter operator="greaterThan" val="10"/>
      </customFilters>
    </filterColumn>
  </autoFilter>
  <sortState xmlns:xlrd2="http://schemas.microsoft.com/office/spreadsheetml/2017/richdata2" ref="B43:N82">
    <sortCondition descending="1" ref="L2:L146"/>
  </sortState>
  <tableColumns count="13">
    <tableColumn id="6" xr3:uid="{035602A2-C078-8B48-907C-31F22E05D12D}" name="selected" dataDxfId="130"/>
    <tableColumn id="1" xr3:uid="{D424175F-3477-4B41-B05D-FC01FF18A9A1}" name="dataset" dataDxfId="129"/>
    <tableColumn id="2" xr3:uid="{C5A1CFE8-8313-124B-B259-B171F20526E8}" name="query" dataDxfId="128"/>
    <tableColumn id="10" xr3:uid="{A004886C-70F9-CF4E-BE5B-3AFFCAD459F9}" name="G2AIMD (pingpong)" dataDxfId="127"/>
    <tableColumn id="3" xr3:uid="{DCCAC3F0-FAED-084E-BE08-E1FE91F55051}" name="gpu-layered" dataDxfId="7"/>
    <tableColumn id="17" xr3:uid="{F94BC6BD-3BF2-6147-B367-E4E4C24D22C6}" name="gpu-hybrid-drop" dataDxfId="126"/>
    <tableColumn id="5" xr3:uid="{CDCB45D3-67D8-7D4A-8490-CD3EDE2AC56B}" name="gpu-hybrid-copy" dataDxfId="125"/>
    <tableColumn id="11" xr3:uid="{6A36B7AE-76AE-4D49-BF74-711E150755B6}" name="CPU Only (X &gt; 30m)" dataDxfId="124"/>
    <tableColumn id="7" xr3:uid="{92121CCF-D064-0749-82B0-474024F905C9}" name="CPU+GPU" dataDxfId="123"/>
    <tableColumn id="16" xr3:uid="{AE560744-0FD7-6947-A320-D0C0B4AE6E69}" name="ratio_G2C" dataDxfId="3">
      <calculatedColumnFormula>Table711[[#This Row],[G2AIMD (pingpong)]]/Table711[[#This Row],[gpu-hybrid-copy]]</calculatedColumnFormula>
    </tableColumn>
    <tableColumn id="12" xr3:uid="{4DC16C13-C4B9-E544-9472-D456DEE924DF}" name="ratio_G2L" dataDxfId="2">
      <calculatedColumnFormula>Table711[[#This Row],[G2AIMD (pingpong)]]/Table711[[#This Row],[gpu-layered]]</calculatedColumnFormula>
    </tableColumn>
    <tableColumn id="9" xr3:uid="{C9AA3EF3-427A-A54A-9DD8-2FE7F4B5889C}" name="ratio_L2CG" dataDxfId="0">
      <calculatedColumnFormula>Table711[[#This Row],[gpu-layered]]/Table711[[#This Row],[CPU+GPU]]</calculatedColumnFormula>
    </tableColumn>
    <tableColumn id="15" xr3:uid="{544C33AC-C081-7346-A98E-F9836779AB4F}" name="ratio_CP2CG" dataDxfId="1">
      <calculatedColumnFormula>Table711[[#This Row],[CPU Only (X &gt; 30m)]]/Table711[[#This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U65" totalsRowShown="0" headerRowDxfId="122" dataDxfId="121">
  <autoFilter ref="C5:U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U65">
    <sortCondition descending="1" ref="R5:R65"/>
  </sortState>
  <tableColumns count="19">
    <tableColumn id="1" xr3:uid="{DCD9EDEC-8AF2-E44B-9035-1BD484B62FE1}" name="dataset" dataDxfId="120"/>
    <tableColumn id="2" xr3:uid="{571D0713-F0AE-744B-82A9-0647E85B70E4}" name="V" dataDxfId="119"/>
    <tableColumn id="3" xr3:uid="{ABD0A75D-6045-B043-A337-828FF3957B09}" name="E" dataDxfId="118"/>
    <tableColumn id="16" xr3:uid="{DB68AF15-4883-A048-BD25-976C5665D354}" name="avg_degree" dataDxfId="117">
      <calculatedColumnFormula>Table2123242526[[#This Row],[E]]/Table2123242526[[#This Row],[V]]</calculatedColumnFormula>
    </tableColumn>
    <tableColumn id="4" xr3:uid="{EDC46D59-3A43-FB4C-A363-665D3D09EB05}" name="d_max" dataDxfId="116"/>
    <tableColumn id="5" xr3:uid="{551C0AA0-56D8-3A41-B323-883BB3F745E7}" name="#MC" dataDxfId="115"/>
    <tableColumn id="13" xr3:uid="{17828130-93AE-BE4F-B56D-398C6624F065}" name="G2AIMD (pingpong)" dataDxfId="114"/>
    <tableColumn id="11" xr3:uid="{C7BED3EB-3028-664A-84CC-DEF09092CD49}" name="gpu-layered" dataDxfId="113"/>
    <tableColumn id="19" xr3:uid="{8CC5E279-42F6-0C43-A0B6-56B8DF7232A8}" name="gpu-hybrid-drop" dataDxfId="112"/>
    <tableColumn id="12" xr3:uid="{1DC67553-F60B-924D-B26A-702DAE3E2FF5}" name="gpu-hybrid-copy" dataDxfId="111"/>
    <tableColumn id="22" xr3:uid="{27638D44-5B8B-8F45-8E46-FBF02105E8B2}" name="CPU Only" dataDxfId="110"/>
    <tableColumn id="6" xr3:uid="{0EF7B805-A81A-8940-BA19-BE4CF8ED9743}" name="CPU+GPU" dataDxfId="109"/>
    <tableColumn id="18" xr3:uid="{5F152D57-9049-4C4D-820F-CF7ED3FC1AB9}" name="ratio_G2C" dataDxfId="108">
      <calculatedColumnFormula>Table2123242526[[#This Row],[G2AIMD (pingpong)]]/Table2123242526[[#This Row],[gpu-hybrid-copy]]</calculatedColumnFormula>
    </tableColumn>
    <tableColumn id="17" xr3:uid="{A982461B-5C18-B24B-81EC-EA70D205666C}" name="ratio_G2L" dataDxfId="6">
      <calculatedColumnFormula>Table2123242526[[#This Row],[G2AIMD (pingpong)]]/Table2123242526[[#This Row],[gpu-layered]]</calculatedColumnFormula>
    </tableColumn>
    <tableColumn id="8" xr3:uid="{D21CD819-32CC-D84C-A64E-F3C22D69ECB4}" name="ratio_C2CG" dataDxfId="5">
      <calculatedColumnFormula>Table2123242526[[#This Row],[gpu-hybrid-copy]]/Table2123242526[[#This Row],[CPU+GPU]]</calculatedColumnFormula>
    </tableColumn>
    <tableColumn id="10" xr3:uid="{7C22635A-6F19-0A4E-969C-BB2F24A517F2}" name="ratio_CP2CG" dataDxfId="4">
      <calculatedColumnFormula>Table2123242526[[#This Row],[CPU Only]]/Table2123242526[[#This Row],[CPU+GPU]]</calculatedColumnFormula>
    </tableColumn>
    <tableColumn id="14" xr3:uid="{95929B9E-5DA5-0E43-9465-9B1D5425C82D}" name="Column1" dataDxfId="107"/>
    <tableColumn id="15" xr3:uid="{17D0CDA3-5847-894F-A062-711FB2BC3839}" name="Column2" dataDxfId="106"/>
    <tableColumn id="9" xr3:uid="{46255FCB-1EC0-D248-B678-F09A3FC1F276}" name="Column3" dataDxfId="105"/>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104" dataDxfId="103">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102"/>
    <tableColumn id="2" xr3:uid="{2D6E112E-7CED-794B-A963-88CDDD134190}" name="Query" dataDxfId="101"/>
    <tableColumn id="3" xr3:uid="{7CC32F26-E406-8C4C-AB92-6D186B86B7F6}" name="g2-aimd" dataDxfId="100"/>
    <tableColumn id="4" xr3:uid="{9CD7BFC7-E69D-2C40-8B35-76176ABBF416}" name="GPU Only" dataDxfId="99"/>
    <tableColumn id="5" xr3:uid="{D4F9648C-69C9-7243-AB3C-AD5466BF1E73}" name="CPU Only" dataDxfId="98"/>
    <tableColumn id="6" xr3:uid="{D31C1305-B659-8F44-9ACD-255D60A3463F}" name="CPU+GPU" dataDxfId="97"/>
    <tableColumn id="7" xr3:uid="{366D41A4-3291-0845-BB8A-CEFD6C1F999D}" name="GPU_H_ratio" dataDxfId="96">
      <calculatedColumnFormula>Table2[[#This Row],[CPU+GPU]]/Table2[[#This Row],[GPU Only]]</calculatedColumnFormula>
    </tableColumn>
    <tableColumn id="8" xr3:uid="{064F1274-B98C-2F4F-BC52-B5DFBEBD8C3D}" name="CPU_H_ratio" dataDxfId="95">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94" dataDxfId="93">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92"/>
    <tableColumn id="2" xr3:uid="{99F57411-E357-6146-AD2F-944EA3B99F22}" name="V" dataDxfId="91"/>
    <tableColumn id="3" xr3:uid="{5DA3F50F-6683-4740-8275-FC8B2AEBA335}" name="E" dataDxfId="90"/>
    <tableColumn id="4" xr3:uid="{927D83F2-F8F5-B542-B08E-3F1134B07F82}" name="d_max" dataDxfId="89"/>
    <tableColumn id="5" xr3:uid="{8E95BA4C-9028-0E4D-9185-262920783C20}" name="Column3" dataDxfId="88"/>
    <tableColumn id="13" xr3:uid="{318AFBDF-EF22-1E4A-85CD-495CB3CF3C71}" name="AIMD" dataDxfId="87"/>
    <tableColumn id="8" xr3:uid="{5C230B4E-7E1D-A645-B48D-91815A51AEE6}" name="Column4" dataDxfId="86"/>
    <tableColumn id="18" xr3:uid="{9C400945-3C78-F840-9780-8447CB0FA306}" name="Ours-One-warp" dataDxfId="85"/>
    <tableColumn id="21" xr3:uid="{D30286C1-C814-674F-AAC3-2D0BB6091E4C}" name="Ours" dataDxfId="84"/>
    <tableColumn id="9" xr3:uid="{165FB5C8-A66B-6B4F-855C-F795F8373EC6}" name="Column5" dataDxfId="83"/>
    <tableColumn id="10" xr3:uid="{BDEF5DE0-0613-924A-A15D-0D8027906427}" name="Imp. One Warp" dataDxfId="82">
      <calculatedColumnFormula>IFERROR(Table21232425[[#This Row],[AIMD]]/Table21232425[[#This Row],[Ours-One-warp]], "NONE")</calculatedColumnFormula>
    </tableColumn>
    <tableColumn id="11" xr3:uid="{F9DF35F2-8695-BF48-8954-6D40FC01ED76}" name="Impr. Ours" dataDxfId="81">
      <calculatedColumnFormula>IFERROR(Table21232425[[#This Row],[AIMD]]/Table21232425[[#This Row],[Ours]], "NONE")</calculatedColumnFormula>
    </tableColumn>
    <tableColumn id="12" xr3:uid="{757CB4BA-7334-0E43-BB3B-4096363E8DCD}" name="Column54" dataDxfId="80"/>
    <tableColumn id="22" xr3:uid="{BDD89152-D598-A741-AB88-00948177B5F5}" name="Column14" dataDxfId="79"/>
    <tableColumn id="6" xr3:uid="{552442CE-C2A8-A144-A063-3B1AE4C1A620}" name="P100" dataDxfId="78"/>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77" dataDxfId="76">
  <autoFilter ref="C5:N68" xr:uid="{C2D1855A-F6DE-F647-932C-7E457E008762}"/>
  <sortState xmlns:xlrd2="http://schemas.microsoft.com/office/spreadsheetml/2017/richdata2" ref="C6:N68">
    <sortCondition ref="E5:E68"/>
  </sortState>
  <tableColumns count="12">
    <tableColumn id="7" xr3:uid="{BF239966-238E-AA44-B939-6E5FDC5F71B0}" name="Column2" dataDxfId="75"/>
    <tableColumn id="1" xr3:uid="{07A3267A-F3CC-4549-8CF2-689C95F4D970}" name="Column1" dataDxfId="74"/>
    <tableColumn id="2" xr3:uid="{5888CD12-EF96-DC47-B986-D3BEE536C817}" name="V" dataDxfId="73"/>
    <tableColumn id="3" xr3:uid="{E88B6B80-2EC0-B643-8B7D-095946923F1D}" name="E" dataDxfId="72"/>
    <tableColumn id="4" xr3:uid="{87770781-C48A-7241-901E-9BB9E192477A}" name="d_max" dataDxfId="71"/>
    <tableColumn id="5" xr3:uid="{0F006EB6-C45E-2342-94F3-1EEE253AEDDF}" name="Column3" dataDxfId="70"/>
    <tableColumn id="6" xr3:uid="{45ACA3DD-1024-154B-99F8-E8731884AA56}" name="degen" dataDxfId="69"/>
    <tableColumn id="9" xr3:uid="{C8F5D7A0-26AC-5B4B-A5BF-ECBA904E8B5F}" name="L1+IP" dataDxfId="68"/>
    <tableColumn id="10" xr3:uid="{148621AF-82D1-754C-8A17-F205D10E7546}" name="L1+IPX" dataDxfId="67"/>
    <tableColumn id="11" xr3:uid="{CF2EDA69-7981-DA4B-BC59-275E2B7DD8FF}" name="L2+IP" dataDxfId="66"/>
    <tableColumn id="12" xr3:uid="{A44BD5E2-6546-F946-9DAB-F0E75D944E17}" name="L2+IPX" dataDxfId="65"/>
    <tableColumn id="13" xr3:uid="{41C9E2A0-948C-0449-9519-4FD1DD7303F3}" name="Column6" dataDxfId="64"/>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63" dataDxfId="62">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descending="1" ref="H5:H65"/>
  </sortState>
  <tableColumns count="12">
    <tableColumn id="1" xr3:uid="{45FBE749-E1E4-164F-A352-F1B4961F1774}" name="dataset" dataDxfId="61"/>
    <tableColumn id="2" xr3:uid="{02357CAC-0BD3-9E4B-A9E0-917B12066564}" name="V" dataDxfId="60"/>
    <tableColumn id="3" xr3:uid="{5219B515-C0A3-4547-ACA9-47BBABAF72D3}" name="E" dataDxfId="59"/>
    <tableColumn id="4" xr3:uid="{2AE1DABE-8B06-1046-BCBE-1F40336F2F8D}" name="d_max" dataDxfId="58"/>
    <tableColumn id="5" xr3:uid="{C86C8D6B-3195-3F4F-96F4-F708FE6B00BC}" name="#MC" dataDxfId="57"/>
    <tableColumn id="13" xr3:uid="{509970CF-BF55-9444-B9C2-72DD611171C6}" name="G2AIMD" dataDxfId="56"/>
    <tableColumn id="8" xr3:uid="{C77600D2-A754-234A-9C56-EA9994B7275F}" name="CPU Only" dataDxfId="55"/>
    <tableColumn id="11" xr3:uid="{AC9D9F95-859B-354D-B20B-C85B8310D54A}" name="No pingpong" dataDxfId="54"/>
    <tableColumn id="6" xr3:uid="{00BE533A-C453-454B-956C-207F1D177DD9}" name="Column1" dataDxfId="53"/>
    <tableColumn id="7" xr3:uid="{DD735CFC-5929-E243-AB53-B4DFD67E3788}" name="CPU+GPU" dataDxfId="52"/>
    <tableColumn id="9" xr3:uid="{CD0D6AF1-B07D-174C-8489-ADE055FDC18D}" name="Column3" dataDxfId="51"/>
    <tableColumn id="10" xr3:uid="{83EA63C7-27BC-B04E-BFA6-C8ED05A7434C}" name="Column5" dataDxfId="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9" dataDxfId="48">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47"/>
    <tableColumn id="2" xr3:uid="{4CA00932-10CB-7242-9605-49C2DA3903A7}" name="V" dataDxfId="46"/>
    <tableColumn id="3" xr3:uid="{21570761-C185-8A43-A5B5-40064CE0EB46}" name="E" dataDxfId="45"/>
    <tableColumn id="4" xr3:uid="{DE0EE7AB-FF9F-9444-A3CE-ED0CE1C6F973}" name="d_max" dataDxfId="44"/>
    <tableColumn id="5" xr3:uid="{E5AC7CCD-B087-B94F-B6E3-D6BB8C84612A}" name="#MC" dataDxfId="43"/>
    <tableColumn id="13" xr3:uid="{D63975A4-7A47-B14E-B1F3-45D05D7759C5}" name="k" dataDxfId="42"/>
    <tableColumn id="8" xr3:uid="{A05DC304-EB27-FB42-A647-BE3A4AC04A40}" name="g" dataDxfId="41"/>
    <tableColumn id="11" xr3:uid="{B6F311BE-FEB9-1E41-80C7-77BC3AE1CC38}" name="Column4" dataDxfId="40"/>
    <tableColumn id="12" xr3:uid="{5F3B423D-E39D-A54A-8E40-5B0FF4A51DB7}" name="Column5" dataDxfId="39"/>
    <tableColumn id="22" xr3:uid="{B28C92C6-3B5F-3D4F-AE63-FA7C5A773801}" name="Column6" dataDxfId="38"/>
    <tableColumn id="6" xr3:uid="{0808855D-658E-A045-8C1C-56022CE500C1}" name="Column7" dataDxfId="37"/>
    <tableColumn id="7" xr3:uid="{23D665A5-EE7E-5B4E-9964-48FA5C9F438F}" name="Column8" dataDxfId="36"/>
    <tableColumn id="9" xr3:uid="{1B24FDF3-D187-D64C-A634-DA395DE6E3A6}" name="Column3" dataDxfId="35"/>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34" dataDxfId="33" tableBorderDxfId="32">
  <autoFilter ref="A4:E27" xr:uid="{E4CEF186-5E4D-F74F-8481-B0DCDC51754D}"/>
  <sortState xmlns:xlrd2="http://schemas.microsoft.com/office/spreadsheetml/2017/richdata2" ref="A5:E30">
    <sortCondition ref="A4:A30"/>
  </sortState>
  <tableColumns count="5">
    <tableColumn id="1" xr3:uid="{0DF62002-2402-DC45-B774-8359050BA5AB}" name="dataset" dataDxfId="31"/>
    <tableColumn id="2" xr3:uid="{E6188E17-A10C-4545-B48B-A53661D320DB}" name="V" dataDxfId="30"/>
    <tableColumn id="3" xr3:uid="{EE354D71-5480-4C47-A193-930664907DD0}" name="E" dataDxfId="29"/>
    <tableColumn id="4" xr3:uid="{FBBA7B48-2044-F64D-B80B-230FDC7E1AB3}" name="avg_degree" dataDxfId="28"/>
    <tableColumn id="5" xr3:uid="{E7CAFF0E-6D25-364B-81E9-70125D1ED7FE}" name="d_max" dataDxfId="27"/>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6" dataDxfId="25">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4"/>
    <tableColumn id="2" xr3:uid="{B6BA1FB8-7E1D-C042-AA80-EB33EEF07489}" name="Column2" dataDxfId="23"/>
    <tableColumn id="3" xr3:uid="{3D672021-12CF-7E44-B929-F19CA72D60EC}" name="Column3" dataDxfId="22"/>
    <tableColumn id="4" xr3:uid="{E67ACF71-76CE-354C-BC0B-A74B8388BAB6}" name="Column4" dataDxfId="21"/>
    <tableColumn id="5" xr3:uid="{7230C838-1B3B-0B48-95A0-052BC39D44C0}" name="Column5" dataDxfId="20"/>
    <tableColumn id="6" xr3:uid="{AE57CC59-63EA-7B49-A644-2CB81B9D0778}" name="Avg" dataDxfId="19">
      <calculatedColumnFormula>G2/F2</calculatedColumnFormula>
    </tableColumn>
    <tableColumn id="7" xr3:uid="{6EEE6663-215D-4A4B-BD28-E520BA613AB9}" name="DS" dataDxfId="18"/>
    <tableColumn id="8" xr3:uid="{B4275871-ABC6-FF4E-BBC0-2DFB27420938}" name="Column6" dataDxfId="17">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16" dataDxfId="15" tableBorderDxfId="14">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13"/>
    <tableColumn id="2" xr3:uid="{6CAE8E08-8011-8645-8C1D-572AD42A255C}" name="V" dataDxfId="12"/>
    <tableColumn id="3" xr3:uid="{061E8B13-2CA6-A441-9C80-F42E2F090D03}" name="E" dataDxfId="11"/>
    <tableColumn id="4" xr3:uid="{20CDF773-C4D3-974A-9358-6905826D00BD}" name="avg_degree" dataDxfId="10">
      <calculatedColumnFormula>Table4[[#This Row],[E]]/Table4[[#This Row],[V]]</calculatedColumnFormula>
    </tableColumn>
    <tableColumn id="5" xr3:uid="{941262D5-9BF7-A44F-9261-04A432C92C2E}" name="d_max" dataDxfId="9"/>
    <tableColumn id="6" xr3:uid="{E90FCA38-7D9E-0248-B762-0A09964B4AB4}" name="selected" dataDxfId="8"/>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T218"/>
  <sheetViews>
    <sheetView tabSelected="1" topLeftCell="A58" zoomScale="87" workbookViewId="0">
      <selection activeCell="L45" sqref="L45"/>
    </sheetView>
  </sheetViews>
  <sheetFormatPr baseColWidth="10" defaultRowHeight="16" x14ac:dyDescent="0.2"/>
  <cols>
    <col min="3" max="3" width="51.1640625" bestFit="1" customWidth="1"/>
    <col min="4" max="9" width="26.6640625" customWidth="1"/>
    <col min="10" max="10" width="18" customWidth="1"/>
    <col min="11" max="13" width="18.5" customWidth="1"/>
    <col min="14" max="14" width="26.6640625" customWidth="1"/>
    <col min="15" max="16" width="22.83203125" customWidth="1"/>
    <col min="19" max="19" width="23.1640625" bestFit="1" customWidth="1"/>
    <col min="40" max="40" width="32.33203125" customWidth="1"/>
    <col min="43" max="43" width="14.5" customWidth="1"/>
    <col min="44" max="44" width="19.6640625" bestFit="1" customWidth="1"/>
    <col min="45" max="47" width="22.83203125" customWidth="1"/>
    <col min="48" max="48" width="28.5" bestFit="1" customWidth="1"/>
    <col min="49" max="49" width="22.83203125" customWidth="1"/>
    <col min="51" max="51" width="23.1640625" bestFit="1" customWidth="1"/>
  </cols>
  <sheetData>
    <row r="1" spans="2:46" ht="33" thickBot="1" x14ac:dyDescent="0.45">
      <c r="J1" s="122"/>
      <c r="K1" s="133"/>
      <c r="L1" s="133"/>
      <c r="M1" s="133"/>
      <c r="AN1" s="122"/>
      <c r="AO1" s="122" t="s">
        <v>3935</v>
      </c>
      <c r="AP1" s="122"/>
      <c r="AQ1" s="123"/>
      <c r="AR1" s="124"/>
    </row>
    <row r="2" spans="2:46" ht="29" x14ac:dyDescent="0.35">
      <c r="B2" t="s">
        <v>3998</v>
      </c>
      <c r="C2" s="99" t="s">
        <v>25</v>
      </c>
      <c r="D2" s="99" t="s">
        <v>3999</v>
      </c>
      <c r="E2" s="13" t="s">
        <v>3974</v>
      </c>
      <c r="F2" s="13" t="s">
        <v>3975</v>
      </c>
      <c r="G2" s="13" t="s">
        <v>4009</v>
      </c>
      <c r="H2" s="13" t="s">
        <v>4008</v>
      </c>
      <c r="I2" s="80" t="s">
        <v>4011</v>
      </c>
      <c r="J2" s="99" t="s">
        <v>3935</v>
      </c>
      <c r="K2" s="198" t="s">
        <v>4021</v>
      </c>
      <c r="L2" s="198" t="s">
        <v>4019</v>
      </c>
      <c r="M2" s="198" t="s">
        <v>4020</v>
      </c>
      <c r="N2" s="198" t="s">
        <v>4042</v>
      </c>
      <c r="O2" s="13"/>
      <c r="P2" s="13" t="s">
        <v>4042</v>
      </c>
      <c r="AI2" t="s">
        <v>3998</v>
      </c>
      <c r="AJ2" s="99" t="s">
        <v>25</v>
      </c>
      <c r="AK2" s="99" t="s">
        <v>3999</v>
      </c>
      <c r="AL2" t="s">
        <v>3959</v>
      </c>
      <c r="AM2" s="127" t="s">
        <v>4000</v>
      </c>
      <c r="AN2" s="99" t="s">
        <v>4001</v>
      </c>
      <c r="AO2" s="99" t="s">
        <v>4002</v>
      </c>
      <c r="AP2" s="99" t="s">
        <v>4003</v>
      </c>
      <c r="AQ2" s="99" t="s">
        <v>4004</v>
      </c>
      <c r="AR2" s="99" t="s">
        <v>4005</v>
      </c>
      <c r="AS2" s="80" t="s">
        <v>4007</v>
      </c>
      <c r="AT2" t="s">
        <v>19</v>
      </c>
    </row>
    <row r="3" spans="2:46" ht="26" hidden="1" x14ac:dyDescent="0.35">
      <c r="B3" s="98"/>
      <c r="C3" s="94" t="s">
        <v>1408</v>
      </c>
      <c r="D3" s="98">
        <v>9</v>
      </c>
      <c r="E3" s="137">
        <v>0.29519200000000001</v>
      </c>
      <c r="F3" s="137">
        <v>0.117589</v>
      </c>
      <c r="G3" s="137"/>
      <c r="H3" s="137">
        <v>0.88711899999999999</v>
      </c>
      <c r="I3" s="135">
        <v>0.135495</v>
      </c>
      <c r="J3" s="137">
        <v>0.80822000000000005</v>
      </c>
      <c r="K3" s="137">
        <f>Table711[[#This Row],[G2AIMD (pingpong)]]/Table711[[#This Row],[gpu-hybrid-copy]]</f>
        <v>0.33275355392004907</v>
      </c>
      <c r="L3" s="137">
        <f>Table711[[#This Row],[G2AIMD (pingpong)]]/Table711[[#This Row],[gpu-layered]]</f>
        <v>2.5103708680233696</v>
      </c>
      <c r="M3" s="137">
        <f>Table711[[#This Row],[gpu-layered]]/Table711[[#This Row],[CPU+GPU]]</f>
        <v>0.14549132661898986</v>
      </c>
      <c r="N3" s="169">
        <f>Table711[[#This Row],[CPU Only (X &gt; 30m)]]/Table711[[#This Row],[CPU+GPU]]</f>
        <v>0.16764618544455717</v>
      </c>
      <c r="AJ3" s="77" t="s">
        <v>1408</v>
      </c>
      <c r="AK3">
        <v>9</v>
      </c>
      <c r="AM3" s="2">
        <v>0.117589</v>
      </c>
      <c r="AN3" s="105">
        <f ca="1">Table7[[#This Row],[cpuchunk=1]]/Table7[[#This Row],[CPU Only (30m X)]]</f>
        <v>2.184897526895706</v>
      </c>
      <c r="AQ3" s="105" t="e">
        <f ca="1">Table7[[#This Row],[cpuchunk=1]]/Table7[[#This Row],[GPU_chunk10_ratio]]</f>
        <v>#DIV/0!</v>
      </c>
      <c r="AR3" s="2">
        <v>5.3818999999999999E-2</v>
      </c>
    </row>
    <row r="4" spans="2:46" ht="26" hidden="1" x14ac:dyDescent="0.35">
      <c r="B4" s="98"/>
      <c r="C4" s="94" t="s">
        <v>1408</v>
      </c>
      <c r="D4" s="98">
        <v>7</v>
      </c>
      <c r="E4" s="137">
        <v>0.47237400000000002</v>
      </c>
      <c r="F4" s="137">
        <v>0.25453300000000001</v>
      </c>
      <c r="G4" s="137"/>
      <c r="H4" s="137">
        <v>1.179624</v>
      </c>
      <c r="I4" s="135">
        <v>95.055833000000007</v>
      </c>
      <c r="J4" s="137">
        <v>3.66</v>
      </c>
      <c r="K4" s="137">
        <f>Table711[[#This Row],[G2AIMD (pingpong)]]/Table711[[#This Row],[gpu-hybrid-copy]]</f>
        <v>0.40044454843238186</v>
      </c>
      <c r="L4" s="137">
        <f>Table711[[#This Row],[G2AIMD (pingpong)]]/Table711[[#This Row],[gpu-layered]]</f>
        <v>1.8558458038839758</v>
      </c>
      <c r="M4" s="137">
        <f>Table711[[#This Row],[gpu-layered]]/Table711[[#This Row],[CPU+GPU]]</f>
        <v>6.9544535519125678E-2</v>
      </c>
      <c r="N4" s="169">
        <f>Table711[[#This Row],[CPU Only (X &gt; 30m)]]/Table711[[#This Row],[CPU+GPU]]</f>
        <v>25.971539071038251</v>
      </c>
      <c r="AJ4" s="77" t="s">
        <v>1346</v>
      </c>
      <c r="AK4">
        <v>24</v>
      </c>
      <c r="AM4" s="2">
        <v>0.170796</v>
      </c>
      <c r="AN4" s="105">
        <f ca="1">Table7[[#This Row],[cpuchunk=1]]/Table7[[#This Row],[CPU Only (30m X)]]</f>
        <v>0.50613570562837273</v>
      </c>
      <c r="AQ4" s="105" t="e">
        <f ca="1">Table7[[#This Row],[cpuchunk=1]]/Table7[[#This Row],[GPU_chunk10_ratio]]</f>
        <v>#DIV/0!</v>
      </c>
      <c r="AR4" s="2">
        <v>0.337451</v>
      </c>
    </row>
    <row r="5" spans="2:46" ht="26" hidden="1" x14ac:dyDescent="0.35">
      <c r="B5" s="98"/>
      <c r="C5" s="94" t="s">
        <v>3919</v>
      </c>
      <c r="D5" s="98">
        <v>2</v>
      </c>
      <c r="E5" s="137">
        <v>2.1774770000000001</v>
      </c>
      <c r="F5" s="137">
        <v>0.35126800000000002</v>
      </c>
      <c r="G5" s="137"/>
      <c r="H5" s="137">
        <v>0.26249400000000001</v>
      </c>
      <c r="I5" s="135">
        <v>5.7128509999999997</v>
      </c>
      <c r="J5" s="137">
        <v>1.1177680000000001</v>
      </c>
      <c r="K5" s="137">
        <f>Table711[[#This Row],[G2AIMD (pingpong)]]/Table711[[#This Row],[gpu-hybrid-copy]]</f>
        <v>8.2953400839638238</v>
      </c>
      <c r="L5" s="137">
        <f>Table711[[#This Row],[G2AIMD (pingpong)]]/Table711[[#This Row],[gpu-layered]]</f>
        <v>6.1989051094890506</v>
      </c>
      <c r="M5" s="137">
        <f>Table711[[#This Row],[gpu-layered]]/Table711[[#This Row],[CPU+GPU]]</f>
        <v>0.31425841498414697</v>
      </c>
      <c r="N5" s="169">
        <f>Table711[[#This Row],[CPU Only (X &gt; 30m)]]/Table711[[#This Row],[CPU+GPU]]</f>
        <v>5.1109452050872806</v>
      </c>
      <c r="Q5" t="s">
        <v>3994</v>
      </c>
      <c r="AJ5" s="77" t="s">
        <v>1371</v>
      </c>
      <c r="AK5">
        <v>24</v>
      </c>
      <c r="AM5" s="2">
        <v>0.18123400000000001</v>
      </c>
      <c r="AN5" s="105">
        <f ca="1">Table7[[#This Row],[cpuchunk=1]]/Table7[[#This Row],[CPU Only (30m X)]]</f>
        <v>0.82478064586594835</v>
      </c>
      <c r="AQ5" s="105" t="e">
        <f ca="1">Table7[[#This Row],[cpuchunk=1]]/Table7[[#This Row],[GPU_chunk10_ratio]]</f>
        <v>#DIV/0!</v>
      </c>
      <c r="AR5" s="2">
        <v>0.21973599999999999</v>
      </c>
    </row>
    <row r="6" spans="2:46" ht="26" hidden="1" x14ac:dyDescent="0.35">
      <c r="B6" s="98"/>
      <c r="C6" s="94" t="s">
        <v>1371</v>
      </c>
      <c r="D6" s="98">
        <v>2</v>
      </c>
      <c r="E6" s="137">
        <v>2.2413180000000001</v>
      </c>
      <c r="F6" s="137">
        <v>0.39108199999999999</v>
      </c>
      <c r="G6" s="137"/>
      <c r="H6" s="137">
        <v>0.35967500000000002</v>
      </c>
      <c r="I6" s="135">
        <v>18.897711999999999</v>
      </c>
      <c r="J6" s="137">
        <v>3.5</v>
      </c>
      <c r="K6" s="137">
        <f>Table711[[#This Row],[G2AIMD (pingpong)]]/Table711[[#This Row],[gpu-hybrid-copy]]</f>
        <v>6.2315090011816219</v>
      </c>
      <c r="L6" s="137">
        <f>Table711[[#This Row],[G2AIMD (pingpong)]]/Table711[[#This Row],[gpu-layered]]</f>
        <v>5.7310691875361179</v>
      </c>
      <c r="M6" s="137">
        <f>Table711[[#This Row],[gpu-layered]]/Table711[[#This Row],[CPU+GPU]]</f>
        <v>0.11173771428571429</v>
      </c>
      <c r="N6" s="169">
        <f>Table711[[#This Row],[CPU Only (X &gt; 30m)]]/Table711[[#This Row],[CPU+GPU]]</f>
        <v>5.3993462857142855</v>
      </c>
      <c r="Q6" t="s">
        <v>3995</v>
      </c>
      <c r="AJ6" s="77" t="s">
        <v>1408</v>
      </c>
      <c r="AK6">
        <v>7</v>
      </c>
      <c r="AM6" s="2">
        <v>0.25453300000000001</v>
      </c>
      <c r="AN6" s="105">
        <f ca="1">Table7[[#This Row],[cpuchunk=1]]/Table7[[#This Row],[CPU Only (30m X)]]</f>
        <v>0.24474326923076922</v>
      </c>
      <c r="AQ6" s="105" t="e">
        <f ca="1">Table7[[#This Row],[cpuchunk=1]]/Table7[[#This Row],[GPU_chunk10_ratio]]</f>
        <v>#DIV/0!</v>
      </c>
      <c r="AR6" s="2">
        <v>1.04</v>
      </c>
    </row>
    <row r="7" spans="2:46" ht="26" hidden="1" x14ac:dyDescent="0.35">
      <c r="B7" s="98"/>
      <c r="C7" s="94" t="s">
        <v>1391</v>
      </c>
      <c r="D7" s="98">
        <v>9</v>
      </c>
      <c r="E7" s="137">
        <v>0.66364400000000001</v>
      </c>
      <c r="F7" s="137">
        <v>0.40964400000000001</v>
      </c>
      <c r="G7" s="137"/>
      <c r="H7" s="137">
        <v>1.7647679999999999</v>
      </c>
      <c r="I7" s="135">
        <v>15.837813000000001</v>
      </c>
      <c r="J7" s="137">
        <v>1.7730490000000001</v>
      </c>
      <c r="K7" s="137">
        <f>Table711[[#This Row],[G2AIMD (pingpong)]]/Table711[[#This Row],[gpu-hybrid-copy]]</f>
        <v>0.37605169631362312</v>
      </c>
      <c r="L7" s="137">
        <f>Table711[[#This Row],[G2AIMD (pingpong)]]/Table711[[#This Row],[gpu-layered]]</f>
        <v>1.6200505805040475</v>
      </c>
      <c r="M7" s="137">
        <f>Table711[[#This Row],[gpu-layered]]/Table711[[#This Row],[CPU+GPU]]</f>
        <v>0.23103930009830523</v>
      </c>
      <c r="N7" s="169">
        <f>Table711[[#This Row],[CPU Only (X &gt; 30m)]]/Table711[[#This Row],[CPU+GPU]]</f>
        <v>8.9325297834408417</v>
      </c>
      <c r="AJ7" s="77" t="s">
        <v>3919</v>
      </c>
      <c r="AK7">
        <v>24</v>
      </c>
      <c r="AM7" s="2">
        <v>0.27111200000000002</v>
      </c>
      <c r="AN7" s="105">
        <f ca="1">Table7[[#This Row],[cpuchunk=1]]/Table7[[#This Row],[CPU Only (30m X)]]</f>
        <v>1.0106277095813405</v>
      </c>
      <c r="AQ7" s="105" t="e">
        <f ca="1">Table7[[#This Row],[cpuchunk=1]]/Table7[[#This Row],[GPU_chunk10_ratio]]</f>
        <v>#DIV/0!</v>
      </c>
      <c r="AR7" s="2">
        <v>0.26826100000000003</v>
      </c>
    </row>
    <row r="8" spans="2:46" ht="26" hidden="1" x14ac:dyDescent="0.35">
      <c r="B8" s="98"/>
      <c r="C8" s="94" t="s">
        <v>3912</v>
      </c>
      <c r="D8" s="98">
        <v>2</v>
      </c>
      <c r="E8" s="137">
        <v>0.51276999999999995</v>
      </c>
      <c r="F8" s="137">
        <v>0.57725099999999996</v>
      </c>
      <c r="G8" s="137"/>
      <c r="H8" s="137">
        <v>0.68419399999999997</v>
      </c>
      <c r="I8" s="135">
        <v>9.4467379999999999</v>
      </c>
      <c r="J8" s="137">
        <v>2.1800000000000002</v>
      </c>
      <c r="K8" s="137">
        <f>Table711[[#This Row],[G2AIMD (pingpong)]]/Table711[[#This Row],[gpu-hybrid-copy]]</f>
        <v>0.74945117905155556</v>
      </c>
      <c r="L8" s="137">
        <f>Table711[[#This Row],[G2AIMD (pingpong)]]/Table711[[#This Row],[gpu-layered]]</f>
        <v>0.88829642564499667</v>
      </c>
      <c r="M8" s="137">
        <f>Table711[[#This Row],[gpu-layered]]/Table711[[#This Row],[CPU+GPU]]</f>
        <v>0.26479403669724766</v>
      </c>
      <c r="N8" s="169">
        <f>Table711[[#This Row],[CPU Only (X &gt; 30m)]]/Table711[[#This Row],[CPU+GPU]]</f>
        <v>4.3333660550458708</v>
      </c>
      <c r="Q8" t="s">
        <v>3996</v>
      </c>
      <c r="AJ8" s="77" t="s">
        <v>1425</v>
      </c>
      <c r="AK8">
        <v>24</v>
      </c>
      <c r="AM8" s="2">
        <v>0.27822200000000002</v>
      </c>
      <c r="AN8" s="105">
        <f ca="1">Table7[[#This Row],[cpuchunk=1]]/Table7[[#This Row],[CPU Only (30m X)]]</f>
        <v>0.6852302925667505</v>
      </c>
      <c r="AQ8" s="105" t="e">
        <f ca="1">Table7[[#This Row],[cpuchunk=1]]/Table7[[#This Row],[GPU_chunk10_ratio]]</f>
        <v>#DIV/0!</v>
      </c>
      <c r="AR8" s="2">
        <v>0.40602700000000003</v>
      </c>
    </row>
    <row r="9" spans="2:46" ht="26" hidden="1" x14ac:dyDescent="0.35">
      <c r="B9" s="98"/>
      <c r="C9" s="94" t="s">
        <v>1371</v>
      </c>
      <c r="D9" s="98">
        <v>9</v>
      </c>
      <c r="E9" s="137">
        <v>2.5862780000000001</v>
      </c>
      <c r="F9" s="137">
        <v>0.67302200000000001</v>
      </c>
      <c r="G9" s="137"/>
      <c r="H9" s="137">
        <v>0.51527199999999995</v>
      </c>
      <c r="I9" s="135">
        <v>22.9221</v>
      </c>
      <c r="J9" s="137">
        <v>4.04</v>
      </c>
      <c r="K9" s="137">
        <f>Table711[[#This Row],[G2AIMD (pingpong)]]/Table711[[#This Row],[gpu-hybrid-copy]]</f>
        <v>5.0192480864475471</v>
      </c>
      <c r="L9" s="137">
        <f>Table711[[#This Row],[G2AIMD (pingpong)]]/Table711[[#This Row],[gpu-layered]]</f>
        <v>3.842783742581966</v>
      </c>
      <c r="M9" s="137">
        <f>Table711[[#This Row],[gpu-layered]]/Table711[[#This Row],[CPU+GPU]]</f>
        <v>0.16658960396039604</v>
      </c>
      <c r="N9" s="169">
        <f>Table711[[#This Row],[CPU Only (X &gt; 30m)]]/Table711[[#This Row],[CPU+GPU]]</f>
        <v>5.6737871287128714</v>
      </c>
      <c r="AJ9" s="77" t="s">
        <v>1371</v>
      </c>
      <c r="AK9">
        <v>25</v>
      </c>
      <c r="AM9" s="2">
        <v>0.29469600000000001</v>
      </c>
      <c r="AN9" s="105">
        <f ca="1">Table7[[#This Row],[cpuchunk=1]]/Table7[[#This Row],[CPU Only (30m X)]]</f>
        <v>0.68562973165386287</v>
      </c>
      <c r="AQ9" s="105" t="e">
        <f ca="1">Table7[[#This Row],[cpuchunk=1]]/Table7[[#This Row],[GPU_chunk10_ratio]]</f>
        <v>#DIV/0!</v>
      </c>
      <c r="AR9" s="2">
        <v>0.42981799999999998</v>
      </c>
    </row>
    <row r="10" spans="2:46" ht="26" hidden="1" x14ac:dyDescent="0.35">
      <c r="B10" s="98"/>
      <c r="C10" s="94" t="s">
        <v>1346</v>
      </c>
      <c r="D10" s="98">
        <v>2</v>
      </c>
      <c r="E10" s="137">
        <v>2.4068320000000001</v>
      </c>
      <c r="F10" s="137">
        <v>0.71216500000000005</v>
      </c>
      <c r="G10" s="137"/>
      <c r="H10" s="137">
        <v>0.87592300000000001</v>
      </c>
      <c r="I10" s="135">
        <v>22.320332000000001</v>
      </c>
      <c r="J10" s="137">
        <v>4.82</v>
      </c>
      <c r="K10" s="137">
        <f>Table711[[#This Row],[G2AIMD (pingpong)]]/Table711[[#This Row],[gpu-hybrid-copy]]</f>
        <v>2.7477666415883588</v>
      </c>
      <c r="L10" s="137">
        <f>Table711[[#This Row],[G2AIMD (pingpong)]]/Table711[[#This Row],[gpu-layered]]</f>
        <v>3.3795988289230725</v>
      </c>
      <c r="M10" s="137">
        <f>Table711[[#This Row],[gpu-layered]]/Table711[[#This Row],[CPU+GPU]]</f>
        <v>0.14775207468879667</v>
      </c>
      <c r="N10" s="169">
        <f>Table711[[#This Row],[CPU Only (X &gt; 30m)]]/Table711[[#This Row],[CPU+GPU]]</f>
        <v>4.630774273858921</v>
      </c>
      <c r="AJ10" s="77" t="s">
        <v>1437</v>
      </c>
      <c r="AK10">
        <v>24</v>
      </c>
      <c r="AM10" s="2">
        <v>0.29792999999999997</v>
      </c>
      <c r="AN10" s="105">
        <f ca="1">Table7[[#This Row],[cpuchunk=1]]/Table7[[#This Row],[CPU Only (30m X)]]</f>
        <v>0.71661198610696852</v>
      </c>
      <c r="AQ10" s="105" t="e">
        <f ca="1">Table7[[#This Row],[cpuchunk=1]]/Table7[[#This Row],[GPU_chunk10_ratio]]</f>
        <v>#DIV/0!</v>
      </c>
      <c r="AR10" s="2">
        <v>0.41574800000000001</v>
      </c>
    </row>
    <row r="11" spans="2:46" ht="26" hidden="1" x14ac:dyDescent="0.35">
      <c r="B11" s="98"/>
      <c r="C11" s="94" t="s">
        <v>3919</v>
      </c>
      <c r="D11" s="98">
        <v>9</v>
      </c>
      <c r="E11" s="137">
        <v>2.8009819999999999</v>
      </c>
      <c r="F11" s="137">
        <v>0.948967</v>
      </c>
      <c r="G11" s="137"/>
      <c r="H11" s="137">
        <v>0.70522399999999996</v>
      </c>
      <c r="I11" s="135">
        <v>18.058859000000002</v>
      </c>
      <c r="J11" s="137">
        <v>2.3128129999999998</v>
      </c>
      <c r="K11" s="137">
        <f>Table711[[#This Row],[G2AIMD (pingpong)]]/Table711[[#This Row],[gpu-hybrid-copy]]</f>
        <v>3.9717621635111682</v>
      </c>
      <c r="L11" s="137">
        <f>Table711[[#This Row],[G2AIMD (pingpong)]]/Table711[[#This Row],[gpu-layered]]</f>
        <v>2.9516115945022321</v>
      </c>
      <c r="M11" s="137">
        <f>Table711[[#This Row],[gpu-layered]]/Table711[[#This Row],[CPU+GPU]]</f>
        <v>0.41030857228837786</v>
      </c>
      <c r="N11" s="169">
        <f>Table711[[#This Row],[CPU Only (X &gt; 30m)]]/Table711[[#This Row],[CPU+GPU]]</f>
        <v>7.8081794766805634</v>
      </c>
      <c r="AJ11" s="77" t="s">
        <v>1411</v>
      </c>
      <c r="AK11">
        <v>25</v>
      </c>
      <c r="AM11" s="2">
        <v>0.30438700000000002</v>
      </c>
      <c r="AN11" s="105">
        <f ca="1">Table7[[#This Row],[cpuchunk=1]]/Table7[[#This Row],[CPU Only (30m X)]]</f>
        <v>0.91364157546869651</v>
      </c>
      <c r="AP11" s="120"/>
      <c r="AQ11" s="105" t="e">
        <f ca="1">Table7[[#This Row],[cpuchunk=1]]/Table7[[#This Row],[GPU_chunk10_ratio]]</f>
        <v>#DIV/0!</v>
      </c>
      <c r="AR11" s="2">
        <v>0.33315800000000001</v>
      </c>
    </row>
    <row r="12" spans="2:46" ht="26" hidden="1" x14ac:dyDescent="0.35">
      <c r="B12" s="98"/>
      <c r="C12" s="94" t="s">
        <v>1408</v>
      </c>
      <c r="D12" s="98">
        <v>2</v>
      </c>
      <c r="E12" s="137">
        <v>0.29532700000000001</v>
      </c>
      <c r="F12" s="137">
        <v>1.103539</v>
      </c>
      <c r="G12" s="137"/>
      <c r="H12" s="137">
        <v>0.89108399999999999</v>
      </c>
      <c r="I12" s="135">
        <v>8.3141999999999994E-2</v>
      </c>
      <c r="J12" s="137">
        <v>1.030009</v>
      </c>
      <c r="K12" s="137">
        <f>Table711[[#This Row],[G2AIMD (pingpong)]]/Table711[[#This Row],[gpu-hybrid-copy]]</f>
        <v>0.33142442238891062</v>
      </c>
      <c r="L12" s="137">
        <f>Table711[[#This Row],[G2AIMD (pingpong)]]/Table711[[#This Row],[gpu-layered]]</f>
        <v>0.26761809052511965</v>
      </c>
      <c r="M12" s="137">
        <f>Table711[[#This Row],[gpu-layered]]/Table711[[#This Row],[CPU+GPU]]</f>
        <v>1.0713877257383189</v>
      </c>
      <c r="N12" s="169">
        <f>Table711[[#This Row],[CPU Only (X &gt; 30m)]]/Table711[[#This Row],[CPU+GPU]]</f>
        <v>8.0719683031895834E-2</v>
      </c>
      <c r="AJ12" s="77" t="s">
        <v>3919</v>
      </c>
      <c r="AK12">
        <v>2</v>
      </c>
      <c r="AM12" s="2">
        <v>0.35126800000000002</v>
      </c>
      <c r="AN12" s="105">
        <f ca="1">Table7[[#This Row],[cpuchunk=1]]/Table7[[#This Row],[CPU Only (30m X)]]</f>
        <v>0.9148295053532689</v>
      </c>
      <c r="AQ12" s="105" t="e">
        <f ca="1">Table7[[#This Row],[cpuchunk=1]]/Table7[[#This Row],[GPU_chunk10_ratio]]</f>
        <v>#DIV/0!</v>
      </c>
      <c r="AR12" s="2">
        <v>0.38397100000000001</v>
      </c>
    </row>
    <row r="13" spans="2:46" ht="26" hidden="1" x14ac:dyDescent="0.35">
      <c r="B13" s="98"/>
      <c r="C13" s="94" t="s">
        <v>1408</v>
      </c>
      <c r="D13" s="98">
        <v>5</v>
      </c>
      <c r="E13" s="137">
        <v>2.1705930000000002</v>
      </c>
      <c r="F13" s="137">
        <v>1.2022219999999999</v>
      </c>
      <c r="G13" s="137"/>
      <c r="H13" s="137">
        <v>1.159494</v>
      </c>
      <c r="I13" s="135">
        <v>5.5105000000000001E-2</v>
      </c>
      <c r="J13" s="137">
        <v>0.80837800000000004</v>
      </c>
      <c r="K13" s="137">
        <f>Table711[[#This Row],[G2AIMD (pingpong)]]/Table711[[#This Row],[gpu-hybrid-copy]]</f>
        <v>1.8720174489906805</v>
      </c>
      <c r="L13" s="137">
        <f>Table711[[#This Row],[G2AIMD (pingpong)]]/Table711[[#This Row],[gpu-layered]]</f>
        <v>1.8054843448215059</v>
      </c>
      <c r="M13" s="137">
        <f>Table711[[#This Row],[gpu-layered]]/Table711[[#This Row],[CPU+GPU]]</f>
        <v>1.4872027690016303</v>
      </c>
      <c r="N13" s="169">
        <f>Table711[[#This Row],[CPU Only (X &gt; 30m)]]/Table711[[#This Row],[CPU+GPU]]</f>
        <v>6.8167367246510915E-2</v>
      </c>
      <c r="AJ13" s="77" t="s">
        <v>1371</v>
      </c>
      <c r="AK13">
        <v>2</v>
      </c>
      <c r="AM13" s="2">
        <v>0.39108199999999999</v>
      </c>
      <c r="AN13" s="105">
        <f ca="1">Table7[[#This Row],[cpuchunk=1]]/Table7[[#This Row],[CPU Only (30m X)]]</f>
        <v>0.49504050632911389</v>
      </c>
      <c r="AQ13" s="105" t="e">
        <f ca="1">Table7[[#This Row],[cpuchunk=1]]/Table7[[#This Row],[GPU_chunk10_ratio]]</f>
        <v>#DIV/0!</v>
      </c>
      <c r="AR13" s="2">
        <v>0.79</v>
      </c>
    </row>
    <row r="14" spans="2:46" ht="26" hidden="1" x14ac:dyDescent="0.35">
      <c r="B14" s="98"/>
      <c r="C14" s="94" t="s">
        <v>1408</v>
      </c>
      <c r="D14" s="98">
        <v>8</v>
      </c>
      <c r="E14" s="137">
        <v>0.46597300000000003</v>
      </c>
      <c r="F14" s="137">
        <v>1.359286</v>
      </c>
      <c r="G14" s="137"/>
      <c r="H14" s="137">
        <v>0.94250100000000003</v>
      </c>
      <c r="I14" s="135">
        <v>142.51957999999999</v>
      </c>
      <c r="J14" s="137">
        <v>3.41</v>
      </c>
      <c r="K14" s="137">
        <f>Table711[[#This Row],[G2AIMD (pingpong)]]/Table711[[#This Row],[gpu-hybrid-copy]]</f>
        <v>0.49440053644505416</v>
      </c>
      <c r="L14" s="137">
        <f>Table711[[#This Row],[G2AIMD (pingpong)]]/Table711[[#This Row],[gpu-layered]]</f>
        <v>0.34280717965167007</v>
      </c>
      <c r="M14" s="137">
        <f>Table711[[#This Row],[gpu-layered]]/Table711[[#This Row],[CPU+GPU]]</f>
        <v>0.39861759530791785</v>
      </c>
      <c r="N14" s="169">
        <f>Table711[[#This Row],[CPU Only (X &gt; 30m)]]/Table711[[#This Row],[CPU+GPU]]</f>
        <v>41.794598240469206</v>
      </c>
      <c r="AJ14" s="77" t="s">
        <v>1433</v>
      </c>
      <c r="AK14">
        <v>24</v>
      </c>
      <c r="AM14" s="2">
        <v>0.39257300000000001</v>
      </c>
      <c r="AN14" s="105">
        <f ca="1">Table7[[#This Row],[cpuchunk=1]]/Table7[[#This Row],[CPU Only (30m X)]]</f>
        <v>0.8352617021276596</v>
      </c>
      <c r="AQ14" s="105" t="e">
        <f ca="1">Table7[[#This Row],[cpuchunk=1]]/Table7[[#This Row],[GPU_chunk10_ratio]]</f>
        <v>#DIV/0!</v>
      </c>
      <c r="AR14" s="2">
        <v>0.47</v>
      </c>
    </row>
    <row r="15" spans="2:46" ht="26" hidden="1" x14ac:dyDescent="0.35">
      <c r="B15" s="98"/>
      <c r="C15" s="94" t="s">
        <v>1431</v>
      </c>
      <c r="D15" s="98">
        <v>7</v>
      </c>
      <c r="E15" s="137">
        <v>1.663343</v>
      </c>
      <c r="F15" s="137">
        <v>1.4923439999999999</v>
      </c>
      <c r="G15" s="137"/>
      <c r="H15" s="137">
        <v>2.4612229999999999</v>
      </c>
      <c r="I15" s="135">
        <v>40.757514</v>
      </c>
      <c r="J15" s="137">
        <v>3.64</v>
      </c>
      <c r="K15" s="137">
        <f>Table711[[#This Row],[G2AIMD (pingpong)]]/Table711[[#This Row],[gpu-hybrid-copy]]</f>
        <v>0.6758197042689752</v>
      </c>
      <c r="L15" s="137">
        <f>Table711[[#This Row],[G2AIMD (pingpong)]]/Table711[[#This Row],[gpu-layered]]</f>
        <v>1.1145841709418205</v>
      </c>
      <c r="M15" s="137">
        <f>Table711[[#This Row],[gpu-layered]]/Table711[[#This Row],[CPU+GPU]]</f>
        <v>0.40998461538461534</v>
      </c>
      <c r="N15" s="169">
        <f>Table711[[#This Row],[CPU Only (X &gt; 30m)]]/Table711[[#This Row],[CPU+GPU]]</f>
        <v>11.19711923076923</v>
      </c>
      <c r="O15" t="s">
        <v>4012</v>
      </c>
      <c r="P15" t="s">
        <v>4013</v>
      </c>
      <c r="AJ15" s="77" t="s">
        <v>1411</v>
      </c>
      <c r="AK15">
        <v>24</v>
      </c>
      <c r="AM15" s="2">
        <v>0.40340599999999999</v>
      </c>
      <c r="AN15" s="105">
        <f ca="1">Table7[[#This Row],[cpuchunk=1]]/Table7[[#This Row],[CPU Only (30m X)]]</f>
        <v>0.53038352969327884</v>
      </c>
      <c r="AQ15" s="105" t="e">
        <f ca="1">Table7[[#This Row],[cpuchunk=1]]/Table7[[#This Row],[GPU_chunk10_ratio]]</f>
        <v>#DIV/0!</v>
      </c>
      <c r="AR15" s="2">
        <v>0.76059299999999996</v>
      </c>
    </row>
    <row r="16" spans="2:46" ht="26" hidden="1" x14ac:dyDescent="0.35">
      <c r="B16" s="98"/>
      <c r="C16" s="94" t="s">
        <v>1431</v>
      </c>
      <c r="D16" s="98">
        <v>9</v>
      </c>
      <c r="E16" s="137">
        <v>0.31252000000000002</v>
      </c>
      <c r="F16" s="137">
        <v>1.5036099999999999</v>
      </c>
      <c r="G16" s="137"/>
      <c r="H16" s="137">
        <v>1.138563</v>
      </c>
      <c r="I16" s="135">
        <v>0.237675</v>
      </c>
      <c r="J16" s="137">
        <v>1.26372</v>
      </c>
      <c r="K16" s="137">
        <f>Table711[[#This Row],[G2AIMD (pingpong)]]/Table711[[#This Row],[gpu-hybrid-copy]]</f>
        <v>0.2744863481423514</v>
      </c>
      <c r="L16" s="137">
        <f>Table711[[#This Row],[G2AIMD (pingpong)]]/Table711[[#This Row],[gpu-layered]]</f>
        <v>0.20784644954476231</v>
      </c>
      <c r="M16" s="137">
        <f>Table711[[#This Row],[gpu-layered]]/Table711[[#This Row],[CPU+GPU]]</f>
        <v>1.1898284430095274</v>
      </c>
      <c r="N16" s="169">
        <f>Table711[[#This Row],[CPU Only (X &gt; 30m)]]/Table711[[#This Row],[CPU+GPU]]</f>
        <v>0.18807568132181179</v>
      </c>
      <c r="O16" t="s">
        <v>4014</v>
      </c>
      <c r="P16" t="s">
        <v>4015</v>
      </c>
      <c r="AJ16" s="77" t="s">
        <v>1391</v>
      </c>
      <c r="AK16">
        <v>9</v>
      </c>
      <c r="AM16" s="2">
        <v>0.40964400000000001</v>
      </c>
      <c r="AN16" s="105">
        <f ca="1">Table7[[#This Row],[cpuchunk=1]]/Table7[[#This Row],[CPU Only (30m X)]]</f>
        <v>0.91892522421071998</v>
      </c>
      <c r="AQ16" s="105" t="e">
        <f ca="1">Table7[[#This Row],[cpuchunk=1]]/Table7[[#This Row],[GPU_chunk10_ratio]]</f>
        <v>#DIV/0!</v>
      </c>
      <c r="AR16" s="2">
        <v>0.44578600000000002</v>
      </c>
    </row>
    <row r="17" spans="2:44" ht="26" hidden="1" x14ac:dyDescent="0.35">
      <c r="B17" s="98"/>
      <c r="C17" s="94" t="s">
        <v>1346</v>
      </c>
      <c r="D17" s="98">
        <v>9</v>
      </c>
      <c r="E17" s="137">
        <v>3.3691879999999998</v>
      </c>
      <c r="F17" s="137">
        <v>1.544257</v>
      </c>
      <c r="G17" s="137"/>
      <c r="H17" s="137">
        <v>1.3374809999999999</v>
      </c>
      <c r="I17" s="135">
        <v>131.51616200000001</v>
      </c>
      <c r="J17" s="137">
        <v>6.17</v>
      </c>
      <c r="K17" s="137">
        <f>Table711[[#This Row],[G2AIMD (pingpong)]]/Table711[[#This Row],[gpu-hybrid-copy]]</f>
        <v>2.5190548501249737</v>
      </c>
      <c r="L17" s="137">
        <f>Table711[[#This Row],[G2AIMD (pingpong)]]/Table711[[#This Row],[gpu-layered]]</f>
        <v>2.1817534257575</v>
      </c>
      <c r="M17" s="137">
        <f>Table711[[#This Row],[gpu-layered]]/Table711[[#This Row],[CPU+GPU]]</f>
        <v>0.25028476499189628</v>
      </c>
      <c r="N17" s="169">
        <f>Table711[[#This Row],[CPU Only (X &gt; 30m)]]/Table711[[#This Row],[CPU+GPU]]</f>
        <v>21.315423338735819</v>
      </c>
      <c r="O17" t="s">
        <v>3938</v>
      </c>
      <c r="P17" t="s">
        <v>4016</v>
      </c>
      <c r="AJ17" s="77" t="s">
        <v>1436</v>
      </c>
      <c r="AK17">
        <v>24</v>
      </c>
      <c r="AM17" s="2">
        <v>0.44019900000000001</v>
      </c>
      <c r="AN17" s="105">
        <f ca="1">Table7[[#This Row],[cpuchunk=1]]/Table7[[#This Row],[CPU Only (30m X)]]</f>
        <v>0.71605948414970599</v>
      </c>
      <c r="AQ17" s="105" t="e">
        <f ca="1">Table7[[#This Row],[cpuchunk=1]]/Table7[[#This Row],[GPU_chunk10_ratio]]</f>
        <v>#DIV/0!</v>
      </c>
      <c r="AR17" s="2">
        <v>0.61475199999999997</v>
      </c>
    </row>
    <row r="18" spans="2:44" ht="26" hidden="1" x14ac:dyDescent="0.35">
      <c r="B18" s="98"/>
      <c r="C18" s="94" t="s">
        <v>1391</v>
      </c>
      <c r="D18" s="98">
        <v>2</v>
      </c>
      <c r="E18" s="137">
        <v>0.94670100000000001</v>
      </c>
      <c r="F18" s="137">
        <v>1.8836040000000001</v>
      </c>
      <c r="G18" s="137"/>
      <c r="H18" s="137">
        <v>1.5855140000000001</v>
      </c>
      <c r="I18" s="135">
        <v>22.697265999999999</v>
      </c>
      <c r="J18" s="137">
        <v>2.72</v>
      </c>
      <c r="K18" s="137">
        <f>Table711[[#This Row],[G2AIMD (pingpong)]]/Table711[[#This Row],[gpu-hybrid-copy]]</f>
        <v>0.597094065394566</v>
      </c>
      <c r="L18" s="137">
        <f>Table711[[#This Row],[G2AIMD (pingpong)]]/Table711[[#This Row],[gpu-layered]]</f>
        <v>0.50260086514999969</v>
      </c>
      <c r="M18" s="137">
        <f>Table711[[#This Row],[gpu-layered]]/Table711[[#This Row],[CPU+GPU]]</f>
        <v>0.6925014705882353</v>
      </c>
      <c r="N18" s="169">
        <f>Table711[[#This Row],[CPU Only (X &gt; 30m)]]/Table711[[#This Row],[CPU+GPU]]</f>
        <v>8.3445830882352929</v>
      </c>
      <c r="O18" t="s">
        <v>4017</v>
      </c>
      <c r="P18" t="s">
        <v>4018</v>
      </c>
      <c r="AJ18" s="77" t="s">
        <v>1448</v>
      </c>
      <c r="AK18">
        <v>24</v>
      </c>
      <c r="AM18" s="2">
        <v>0.44334899999999999</v>
      </c>
      <c r="AN18" s="105">
        <f ca="1">Table7[[#This Row],[cpuchunk=1]]/Table7[[#This Row],[CPU Only (30m X)]]</f>
        <v>0.76439482758620692</v>
      </c>
      <c r="AQ18" s="105" t="e">
        <f ca="1">Table7[[#This Row],[cpuchunk=1]]/Table7[[#This Row],[GPU_chunk10_ratio]]</f>
        <v>#DIV/0!</v>
      </c>
      <c r="AR18" s="2">
        <v>0.57999999999999996</v>
      </c>
    </row>
    <row r="19" spans="2:44" ht="26" hidden="1" x14ac:dyDescent="0.35">
      <c r="B19" s="98"/>
      <c r="C19" s="94" t="s">
        <v>3919</v>
      </c>
      <c r="D19" s="98">
        <v>5</v>
      </c>
      <c r="E19" s="137">
        <v>3.7282199999999999</v>
      </c>
      <c r="F19" s="137">
        <v>2.0098569999999998</v>
      </c>
      <c r="G19" s="137"/>
      <c r="H19" s="137">
        <v>1.551825</v>
      </c>
      <c r="I19" s="135">
        <v>34.506560999999998</v>
      </c>
      <c r="J19" s="137">
        <v>3.6021369999999999</v>
      </c>
      <c r="K19" s="137">
        <f>Table711[[#This Row],[G2AIMD (pingpong)]]/Table711[[#This Row],[gpu-hybrid-copy]]</f>
        <v>2.402474505823788</v>
      </c>
      <c r="L19" s="137">
        <f>Table711[[#This Row],[G2AIMD (pingpong)]]/Table711[[#This Row],[gpu-layered]]</f>
        <v>1.8549677912408695</v>
      </c>
      <c r="M19" s="137">
        <f>Table711[[#This Row],[gpu-layered]]/Table711[[#This Row],[CPU+GPU]]</f>
        <v>0.55796239843181972</v>
      </c>
      <c r="N19" s="169">
        <f>Table711[[#This Row],[CPU Only (X &gt; 30m)]]/Table711[[#This Row],[CPU+GPU]]</f>
        <v>9.5794693538863172</v>
      </c>
      <c r="AJ19" s="77" t="s">
        <v>1346</v>
      </c>
      <c r="AK19">
        <v>25</v>
      </c>
      <c r="AM19" s="2">
        <v>0.482099</v>
      </c>
      <c r="AN19" s="105">
        <f ca="1">Table7[[#This Row],[cpuchunk=1]]/Table7[[#This Row],[CPU Only (30m X)]]</f>
        <v>0.8171169491525424</v>
      </c>
      <c r="AQ19" s="105" t="e">
        <f ca="1">Table7[[#This Row],[cpuchunk=1]]/Table7[[#This Row],[GPU_chunk10_ratio]]</f>
        <v>#DIV/0!</v>
      </c>
      <c r="AR19" s="2">
        <v>0.59</v>
      </c>
    </row>
    <row r="20" spans="2:44" ht="26" hidden="1" x14ac:dyDescent="0.35">
      <c r="B20" s="98"/>
      <c r="C20" s="94" t="s">
        <v>1431</v>
      </c>
      <c r="D20" s="98">
        <v>2</v>
      </c>
      <c r="E20" s="137">
        <v>0.83933199999999997</v>
      </c>
      <c r="F20" s="137">
        <v>2.023552</v>
      </c>
      <c r="G20" s="137"/>
      <c r="H20" s="137">
        <v>2.1786789999999998</v>
      </c>
      <c r="I20" s="135">
        <v>13.386818999999999</v>
      </c>
      <c r="J20" s="137">
        <v>3.27</v>
      </c>
      <c r="K20" s="137">
        <f>Table711[[#This Row],[G2AIMD (pingpong)]]/Table711[[#This Row],[gpu-hybrid-copy]]</f>
        <v>0.38524812512536266</v>
      </c>
      <c r="L20" s="137">
        <f>Table711[[#This Row],[G2AIMD (pingpong)]]/Table711[[#This Row],[gpu-layered]]</f>
        <v>0.41478153267126316</v>
      </c>
      <c r="M20" s="137">
        <f>Table711[[#This Row],[gpu-layered]]/Table711[[#This Row],[CPU+GPU]]</f>
        <v>0.61882324159021407</v>
      </c>
      <c r="N20" s="169">
        <f>Table711[[#This Row],[CPU Only (X &gt; 30m)]]/Table711[[#This Row],[CPU+GPU]]</f>
        <v>4.0938284403669725</v>
      </c>
      <c r="AJ20" s="77" t="s">
        <v>1409</v>
      </c>
      <c r="AK20">
        <v>25</v>
      </c>
      <c r="AM20" s="2">
        <v>0.486155</v>
      </c>
      <c r="AN20" s="105">
        <f ca="1">Table7[[#This Row],[cpuchunk=1]]/Table7[[#This Row],[CPU Only (30m X)]]</f>
        <v>0.88196983028400899</v>
      </c>
      <c r="AQ20" s="105" t="e">
        <f ca="1">Table7[[#This Row],[cpuchunk=1]]/Table7[[#This Row],[GPU_chunk10_ratio]]</f>
        <v>#DIV/0!</v>
      </c>
      <c r="AR20" s="2">
        <v>0.55121500000000001</v>
      </c>
    </row>
    <row r="21" spans="2:44" ht="26" hidden="1" x14ac:dyDescent="0.35">
      <c r="B21" s="98"/>
      <c r="C21" s="94" t="s">
        <v>1434</v>
      </c>
      <c r="D21" s="98">
        <v>2</v>
      </c>
      <c r="E21" s="137">
        <v>3.206035</v>
      </c>
      <c r="F21" s="137">
        <v>2.2730779999999999</v>
      </c>
      <c r="G21" s="137"/>
      <c r="H21" s="137">
        <v>1.8188139999999999</v>
      </c>
      <c r="I21" s="135">
        <v>74.721911000000006</v>
      </c>
      <c r="J21" s="137">
        <v>6.18</v>
      </c>
      <c r="K21" s="137">
        <f>Table711[[#This Row],[G2AIMD (pingpong)]]/Table711[[#This Row],[gpu-hybrid-copy]]</f>
        <v>1.7627063569996713</v>
      </c>
      <c r="L21" s="137">
        <f>Table711[[#This Row],[G2AIMD (pingpong)]]/Table711[[#This Row],[gpu-layered]]</f>
        <v>1.4104377412477707</v>
      </c>
      <c r="M21" s="137">
        <f>Table711[[#This Row],[gpu-layered]]/Table711[[#This Row],[CPU+GPU]]</f>
        <v>0.36781197411003236</v>
      </c>
      <c r="N21" s="169">
        <f>Table711[[#This Row],[CPU Only (X &gt; 30m)]]/Table711[[#This Row],[CPU+GPU]]</f>
        <v>12.090924110032365</v>
      </c>
      <c r="AJ21" s="77" t="s">
        <v>3912</v>
      </c>
      <c r="AK21">
        <v>24</v>
      </c>
      <c r="AM21" s="2">
        <v>0.52312099999999995</v>
      </c>
      <c r="AN21" s="105">
        <f ca="1">Table7[[#This Row],[cpuchunk=1]]/Table7[[#This Row],[CPU Only (30m X)]]</f>
        <v>0.69920819287801295</v>
      </c>
      <c r="AQ21" s="105" t="e">
        <f ca="1">Table7[[#This Row],[cpuchunk=1]]/Table7[[#This Row],[GPU_chunk10_ratio]]</f>
        <v>#DIV/0!</v>
      </c>
      <c r="AR21" s="2">
        <v>0.74816199999999999</v>
      </c>
    </row>
    <row r="22" spans="2:44" ht="26" hidden="1" x14ac:dyDescent="0.35">
      <c r="B22" s="98"/>
      <c r="C22" s="94" t="s">
        <v>1431</v>
      </c>
      <c r="D22" s="98">
        <v>5</v>
      </c>
      <c r="E22" s="137">
        <v>3.1444489999999998</v>
      </c>
      <c r="F22" s="137">
        <v>2.4282240000000002</v>
      </c>
      <c r="G22" s="137"/>
      <c r="H22" s="137">
        <v>2.4531010000000002</v>
      </c>
      <c r="I22" s="135">
        <v>5.5830380000000002</v>
      </c>
      <c r="J22" s="137">
        <v>2.52</v>
      </c>
      <c r="K22" s="137">
        <f>Table711[[#This Row],[G2AIMD (pingpong)]]/Table711[[#This Row],[gpu-hybrid-copy]]</f>
        <v>1.2818261457640756</v>
      </c>
      <c r="L22" s="137">
        <f>Table711[[#This Row],[G2AIMD (pingpong)]]/Table711[[#This Row],[gpu-layered]]</f>
        <v>1.2949583728684009</v>
      </c>
      <c r="M22" s="137">
        <f>Table711[[#This Row],[gpu-layered]]/Table711[[#This Row],[CPU+GPU]]</f>
        <v>0.96358095238095243</v>
      </c>
      <c r="N22" s="169">
        <f>Table711[[#This Row],[CPU Only (X &gt; 30m)]]/Table711[[#This Row],[CPU+GPU]]</f>
        <v>2.2154912698412699</v>
      </c>
      <c r="AJ22" s="77" t="s">
        <v>1409</v>
      </c>
      <c r="AK22">
        <v>24</v>
      </c>
      <c r="AM22" s="2">
        <v>0.54158700000000004</v>
      </c>
      <c r="AN22" s="105">
        <f ca="1">Table7[[#This Row],[cpuchunk=1]]/Table7[[#This Row],[CPU Only (30m X)]]</f>
        <v>1.1408772916574506</v>
      </c>
      <c r="AQ22" s="105" t="e">
        <f ca="1">Table7[[#This Row],[cpuchunk=1]]/Table7[[#This Row],[GPU_chunk10_ratio]]</f>
        <v>#DIV/0!</v>
      </c>
      <c r="AR22" s="2">
        <v>0.47471099999999999</v>
      </c>
    </row>
    <row r="23" spans="2:44" ht="26" hidden="1" x14ac:dyDescent="0.35">
      <c r="B23" s="98"/>
      <c r="C23" s="94" t="s">
        <v>1371</v>
      </c>
      <c r="D23" s="98">
        <v>5</v>
      </c>
      <c r="E23" s="137">
        <v>4.8828569999999996</v>
      </c>
      <c r="F23" s="137">
        <v>2.8553199999999999</v>
      </c>
      <c r="G23" s="137"/>
      <c r="H23" s="137">
        <v>2.6740370000000002</v>
      </c>
      <c r="I23" s="135">
        <v>117.90758099999999</v>
      </c>
      <c r="J23" s="137">
        <v>6.88</v>
      </c>
      <c r="K23" s="137">
        <f>Table711[[#This Row],[G2AIMD (pingpong)]]/Table711[[#This Row],[gpu-hybrid-copy]]</f>
        <v>1.8260244716135188</v>
      </c>
      <c r="L23" s="137">
        <f>Table711[[#This Row],[G2AIMD (pingpong)]]/Table711[[#This Row],[gpu-layered]]</f>
        <v>1.7100909880503761</v>
      </c>
      <c r="M23" s="137">
        <f>Table711[[#This Row],[gpu-layered]]/Table711[[#This Row],[CPU+GPU]]</f>
        <v>0.41501744186046508</v>
      </c>
      <c r="N23" s="169">
        <f>Table711[[#This Row],[CPU Only (X &gt; 30m)]]/Table711[[#This Row],[CPU+GPU]]</f>
        <v>17.137729796511628</v>
      </c>
      <c r="AJ23" s="77" t="s">
        <v>1423</v>
      </c>
      <c r="AK23">
        <v>24</v>
      </c>
      <c r="AM23" s="2">
        <v>0.54716100000000001</v>
      </c>
      <c r="AN23" s="105">
        <f ca="1">Table7[[#This Row],[cpuchunk=1]]/Table7[[#This Row],[CPU Only (30m X)]]</f>
        <v>0.83784185220347296</v>
      </c>
      <c r="AQ23" s="105" t="e">
        <f ca="1">Table7[[#This Row],[cpuchunk=1]]/Table7[[#This Row],[GPU_chunk10_ratio]]</f>
        <v>#DIV/0!</v>
      </c>
      <c r="AR23" s="2">
        <v>0.65305999999999997</v>
      </c>
    </row>
    <row r="24" spans="2:44" ht="26" hidden="1" x14ac:dyDescent="0.35">
      <c r="B24" s="98"/>
      <c r="C24" s="94" t="s">
        <v>1408</v>
      </c>
      <c r="D24" s="98">
        <v>6</v>
      </c>
      <c r="E24" s="137">
        <v>0.96152199999999999</v>
      </c>
      <c r="F24" s="137">
        <v>3.2149070000000002</v>
      </c>
      <c r="G24" s="137"/>
      <c r="H24" s="137">
        <v>2.8805540000000001</v>
      </c>
      <c r="I24" s="135">
        <v>1.002783</v>
      </c>
      <c r="J24" s="137">
        <v>2.463384</v>
      </c>
      <c r="K24" s="137">
        <f>Table711[[#This Row],[G2AIMD (pingpong)]]/Table711[[#This Row],[gpu-hybrid-copy]]</f>
        <v>0.333797595879126</v>
      </c>
      <c r="L24" s="137">
        <f>Table711[[#This Row],[G2AIMD (pingpong)]]/Table711[[#This Row],[gpu-layered]]</f>
        <v>0.2990823684790882</v>
      </c>
      <c r="M24" s="137">
        <f>Table711[[#This Row],[gpu-layered]]/Table711[[#This Row],[CPU+GPU]]</f>
        <v>1.3050774869041937</v>
      </c>
      <c r="N24" s="169">
        <f>Table711[[#This Row],[CPU Only (X &gt; 30m)]]/Table711[[#This Row],[CPU+GPU]]</f>
        <v>0.40707538897711437</v>
      </c>
      <c r="AJ24" s="77" t="s">
        <v>3912</v>
      </c>
      <c r="AK24">
        <v>2</v>
      </c>
      <c r="AM24" s="2">
        <v>0.57725099999999996</v>
      </c>
      <c r="AN24" s="105">
        <f ca="1">Table7[[#This Row],[cpuchunk=1]]/Table7[[#This Row],[CPU Only (30m X)]]</f>
        <v>0.67841726026849869</v>
      </c>
      <c r="AQ24" s="105" t="e">
        <f ca="1">Table7[[#This Row],[cpuchunk=1]]/Table7[[#This Row],[GPU_chunk10_ratio]]</f>
        <v>#DIV/0!</v>
      </c>
      <c r="AR24" s="2">
        <v>0.85087900000000005</v>
      </c>
    </row>
    <row r="25" spans="2:44" ht="26" hidden="1" x14ac:dyDescent="0.35">
      <c r="B25" s="98"/>
      <c r="C25" s="94" t="s">
        <v>1</v>
      </c>
      <c r="D25" s="98">
        <v>2</v>
      </c>
      <c r="E25" s="137">
        <v>5.6472629999999997</v>
      </c>
      <c r="F25" s="137">
        <v>3.6229019999999998</v>
      </c>
      <c r="G25" s="137"/>
      <c r="H25" s="137">
        <v>4.5954129999999997</v>
      </c>
      <c r="I25" s="135">
        <v>290.598725</v>
      </c>
      <c r="J25" s="137">
        <v>9.5</v>
      </c>
      <c r="K25" s="137">
        <f>Table711[[#This Row],[G2AIMD (pingpong)]]/Table711[[#This Row],[gpu-hybrid-copy]]</f>
        <v>1.2288912878994771</v>
      </c>
      <c r="L25" s="137">
        <f>Table711[[#This Row],[G2AIMD (pingpong)]]/Table711[[#This Row],[gpu-layered]]</f>
        <v>1.5587678054774874</v>
      </c>
      <c r="M25" s="137">
        <f>Table711[[#This Row],[gpu-layered]]/Table711[[#This Row],[CPU+GPU]]</f>
        <v>0.38135810526315789</v>
      </c>
      <c r="N25" s="169">
        <f>Table711[[#This Row],[CPU Only (X &gt; 30m)]]/Table711[[#This Row],[CPU+GPU]]</f>
        <v>30.589339473684209</v>
      </c>
      <c r="AJ25" s="77" t="s">
        <v>1425</v>
      </c>
      <c r="AK25">
        <v>25</v>
      </c>
      <c r="AM25" s="2">
        <v>0.60898099999999999</v>
      </c>
      <c r="AN25" s="105">
        <f ca="1">Table7[[#This Row],[cpuchunk=1]]/Table7[[#This Row],[CPU Only (30m X)]]</f>
        <v>0.87517892147000154</v>
      </c>
      <c r="AQ25" s="105" t="e">
        <f ca="1">Table7[[#This Row],[cpuchunk=1]]/Table7[[#This Row],[GPU_chunk10_ratio]]</f>
        <v>#DIV/0!</v>
      </c>
      <c r="AR25" s="2">
        <v>0.69583600000000001</v>
      </c>
    </row>
    <row r="26" spans="2:44" ht="26" hidden="1" x14ac:dyDescent="0.35">
      <c r="B26" s="98"/>
      <c r="C26" s="94" t="s">
        <v>3919</v>
      </c>
      <c r="D26" s="98">
        <v>7</v>
      </c>
      <c r="E26" s="137">
        <v>3.8864519999999998</v>
      </c>
      <c r="F26" s="137">
        <v>3.7306889999999999</v>
      </c>
      <c r="G26" s="137"/>
      <c r="H26" s="137">
        <v>3.0154839999999998</v>
      </c>
      <c r="I26" s="135">
        <v>259.05960099999999</v>
      </c>
      <c r="J26" s="137">
        <v>6.75</v>
      </c>
      <c r="K26" s="137">
        <f>Table711[[#This Row],[G2AIMD (pingpong)]]/Table711[[#This Row],[gpu-hybrid-copy]]</f>
        <v>1.2888319089074922</v>
      </c>
      <c r="L26" s="137">
        <f>Table711[[#This Row],[G2AIMD (pingpong)]]/Table711[[#This Row],[gpu-layered]]</f>
        <v>1.0417518050955199</v>
      </c>
      <c r="M26" s="137">
        <f>Table711[[#This Row],[gpu-layered]]/Table711[[#This Row],[CPU+GPU]]</f>
        <v>0.55269466666666667</v>
      </c>
      <c r="N26" s="169">
        <f>Table711[[#This Row],[CPU Only (X &gt; 30m)]]/Table711[[#This Row],[CPU+GPU]]</f>
        <v>38.379200148148144</v>
      </c>
      <c r="AJ26" s="77" t="s">
        <v>3919</v>
      </c>
      <c r="AK26">
        <v>25</v>
      </c>
      <c r="AM26" s="2">
        <v>0.61563900000000005</v>
      </c>
      <c r="AN26" s="105">
        <f ca="1">Table7[[#This Row],[cpuchunk=1]]/Table7[[#This Row],[CPU Only (30m X)]]</f>
        <v>0.95961187748421806</v>
      </c>
      <c r="AQ26" s="105" t="e">
        <f ca="1">Table7[[#This Row],[cpuchunk=1]]/Table7[[#This Row],[GPU_chunk10_ratio]]</f>
        <v>#DIV/0!</v>
      </c>
      <c r="AR26" s="2">
        <v>0.64154999999999995</v>
      </c>
    </row>
    <row r="27" spans="2:44" ht="26" hidden="1" x14ac:dyDescent="0.35">
      <c r="B27" s="98"/>
      <c r="C27" s="94" t="s">
        <v>1425</v>
      </c>
      <c r="D27" s="98">
        <v>2</v>
      </c>
      <c r="E27" s="137">
        <v>5.0243349999999998</v>
      </c>
      <c r="F27" s="137">
        <v>4.2398239999999996</v>
      </c>
      <c r="G27" s="137"/>
      <c r="H27" s="137">
        <v>4.7216040000000001</v>
      </c>
      <c r="I27" s="135">
        <v>433.325399</v>
      </c>
      <c r="J27" s="137">
        <v>8.23</v>
      </c>
      <c r="K27" s="137">
        <f>Table711[[#This Row],[G2AIMD (pingpong)]]/Table711[[#This Row],[gpu-hybrid-copy]]</f>
        <v>1.0641161351100177</v>
      </c>
      <c r="L27" s="137">
        <f>Table711[[#This Row],[G2AIMD (pingpong)]]/Table711[[#This Row],[gpu-layered]]</f>
        <v>1.1850338598960712</v>
      </c>
      <c r="M27" s="137">
        <f>Table711[[#This Row],[gpu-layered]]/Table711[[#This Row],[CPU+GPU]]</f>
        <v>0.51516695018226</v>
      </c>
      <c r="N27" s="169">
        <f>Table711[[#This Row],[CPU Only (X &gt; 30m)]]/Table711[[#This Row],[CPU+GPU]]</f>
        <v>52.651931834750911</v>
      </c>
      <c r="AJ27" s="77" t="s">
        <v>1437</v>
      </c>
      <c r="AK27">
        <v>25</v>
      </c>
      <c r="AM27" s="2">
        <v>0.62617800000000001</v>
      </c>
      <c r="AN27" s="105">
        <f ca="1">Table7[[#This Row],[cpuchunk=1]]/Table7[[#This Row],[CPU Only (30m X)]]</f>
        <v>0.82391842105263158</v>
      </c>
      <c r="AQ27" s="105" t="e">
        <f ca="1">Table7[[#This Row],[cpuchunk=1]]/Table7[[#This Row],[GPU_chunk10_ratio]]</f>
        <v>#DIV/0!</v>
      </c>
      <c r="AR27" s="2">
        <v>0.76</v>
      </c>
    </row>
    <row r="28" spans="2:44" ht="26" hidden="1" x14ac:dyDescent="0.35">
      <c r="B28" s="98"/>
      <c r="C28" s="94" t="s">
        <v>1411</v>
      </c>
      <c r="D28" s="98">
        <v>9</v>
      </c>
      <c r="E28" s="137">
        <v>5.2258110000000002</v>
      </c>
      <c r="F28" s="137">
        <v>4.4936379999999998</v>
      </c>
      <c r="G28" s="137"/>
      <c r="H28" s="137">
        <v>5.0982810000000001</v>
      </c>
      <c r="I28" s="135">
        <v>523.451097</v>
      </c>
      <c r="J28" s="137">
        <v>23.13</v>
      </c>
      <c r="K28" s="137">
        <f>Table711[[#This Row],[G2AIMD (pingpong)]]/Table711[[#This Row],[gpu-hybrid-copy]]</f>
        <v>1.0250143136480707</v>
      </c>
      <c r="L28" s="137">
        <f>Table711[[#This Row],[G2AIMD (pingpong)]]/Table711[[#This Row],[gpu-layered]]</f>
        <v>1.1629354656516615</v>
      </c>
      <c r="M28" s="137">
        <f>Table711[[#This Row],[gpu-layered]]/Table711[[#This Row],[CPU+GPU]]</f>
        <v>0.19427747514051016</v>
      </c>
      <c r="N28" s="169">
        <f>Table711[[#This Row],[CPU Only (X &gt; 30m)]]/Table711[[#This Row],[CPU+GPU]]</f>
        <v>22.630829961089496</v>
      </c>
      <c r="AJ28" s="77" t="s">
        <v>1371</v>
      </c>
      <c r="AK28">
        <v>9</v>
      </c>
      <c r="AM28" s="2">
        <v>0.67302200000000001</v>
      </c>
      <c r="AN28" s="105">
        <f ca="1">Table7[[#This Row],[cpuchunk=1]]/Table7[[#This Row],[CPU Only (30m X)]]</f>
        <v>0.7395846153846154</v>
      </c>
      <c r="AQ28" s="105" t="e">
        <f ca="1">Table7[[#This Row],[cpuchunk=1]]/Table7[[#This Row],[GPU_chunk10_ratio]]</f>
        <v>#DIV/0!</v>
      </c>
      <c r="AR28" s="2">
        <v>0.91</v>
      </c>
    </row>
    <row r="29" spans="2:44" ht="26" hidden="1" x14ac:dyDescent="0.35">
      <c r="B29" s="98"/>
      <c r="C29" s="94" t="s">
        <v>1391</v>
      </c>
      <c r="D29" s="98">
        <v>5</v>
      </c>
      <c r="E29" s="137">
        <v>4.0416489999999996</v>
      </c>
      <c r="F29" s="137">
        <v>4.8162799999999999</v>
      </c>
      <c r="G29" s="137"/>
      <c r="H29" s="137">
        <v>4.927346</v>
      </c>
      <c r="I29" s="135">
        <v>75.350153000000006</v>
      </c>
      <c r="J29" s="137">
        <v>4.6795150000000003</v>
      </c>
      <c r="K29" s="137">
        <f>Table711[[#This Row],[G2AIMD (pingpong)]]/Table711[[#This Row],[gpu-hybrid-copy]]</f>
        <v>0.820248669364806</v>
      </c>
      <c r="L29" s="137">
        <f>Table711[[#This Row],[G2AIMD (pingpong)]]/Table711[[#This Row],[gpu-layered]]</f>
        <v>0.83916404361872643</v>
      </c>
      <c r="M29" s="137">
        <f>Table711[[#This Row],[gpu-layered]]/Table711[[#This Row],[CPU+GPU]]</f>
        <v>1.0292263193942106</v>
      </c>
      <c r="N29" s="169">
        <f>Table711[[#This Row],[CPU Only (X &gt; 30m)]]/Table711[[#This Row],[CPU+GPU]]</f>
        <v>16.102128746248276</v>
      </c>
      <c r="AJ29" s="77" t="s">
        <v>1346</v>
      </c>
      <c r="AK29">
        <v>2</v>
      </c>
      <c r="AM29" s="2">
        <v>0.71216500000000005</v>
      </c>
      <c r="AN29" s="105">
        <f ca="1">Table7[[#This Row],[cpuchunk=1]]/Table7[[#This Row],[CPU Only (30m X)]]</f>
        <v>0.51606159420289865</v>
      </c>
      <c r="AQ29" s="105" t="e">
        <f ca="1">Table7[[#This Row],[cpuchunk=1]]/Table7[[#This Row],[GPU_chunk10_ratio]]</f>
        <v>#DIV/0!</v>
      </c>
      <c r="AR29" s="2">
        <v>1.38</v>
      </c>
    </row>
    <row r="30" spans="2:44" ht="26" hidden="1" x14ac:dyDescent="0.35">
      <c r="B30" s="98"/>
      <c r="C30" s="94" t="s">
        <v>1425</v>
      </c>
      <c r="D30" s="98">
        <v>9</v>
      </c>
      <c r="E30" s="137">
        <v>5.8781990000000004</v>
      </c>
      <c r="F30" s="137">
        <v>5.2190339999999997</v>
      </c>
      <c r="G30" s="137"/>
      <c r="H30" s="137">
        <v>5.4314640000000001</v>
      </c>
      <c r="I30" s="135" t="s">
        <v>3986</v>
      </c>
      <c r="J30" s="137">
        <v>10.4</v>
      </c>
      <c r="K30" s="137">
        <f>Table711[[#This Row],[G2AIMD (pingpong)]]/Table711[[#This Row],[gpu-hybrid-copy]]</f>
        <v>1.0822494634963982</v>
      </c>
      <c r="L30" s="137">
        <f>Table711[[#This Row],[G2AIMD (pingpong)]]/Table711[[#This Row],[gpu-layered]]</f>
        <v>1.1263001927176564</v>
      </c>
      <c r="M30" s="137">
        <f>Table711[[#This Row],[gpu-layered]]/Table711[[#This Row],[CPU+GPU]]</f>
        <v>0.50183019230769221</v>
      </c>
      <c r="N30" s="169" t="e">
        <f>Table711[[#This Row],[CPU Only (X &gt; 30m)]]/Table711[[#This Row],[CPU+GPU]]</f>
        <v>#VALUE!</v>
      </c>
      <c r="AJ30" s="77" t="s">
        <v>1450</v>
      </c>
      <c r="AK30">
        <v>24</v>
      </c>
      <c r="AM30" s="2">
        <v>0.75700999999999996</v>
      </c>
      <c r="AN30" s="105">
        <f ca="1">Table7[[#This Row],[cpuchunk=1]]/Table7[[#This Row],[CPU Only (30m X)]]</f>
        <v>0.94794510255703879</v>
      </c>
      <c r="AQ30" s="105" t="e">
        <f ca="1">Table7[[#This Row],[cpuchunk=1]]/Table7[[#This Row],[GPU_chunk10_ratio]]</f>
        <v>#DIV/0!</v>
      </c>
      <c r="AR30" s="2">
        <v>0.79857999999999996</v>
      </c>
    </row>
    <row r="31" spans="2:44" ht="26" hidden="1" x14ac:dyDescent="0.35">
      <c r="B31" s="98"/>
      <c r="C31" s="94" t="s">
        <v>3912</v>
      </c>
      <c r="D31" s="98">
        <v>9</v>
      </c>
      <c r="E31" s="137">
        <v>7.2557400000000003</v>
      </c>
      <c r="F31" s="137">
        <v>5.362946</v>
      </c>
      <c r="G31" s="137"/>
      <c r="H31" s="137">
        <v>10.85</v>
      </c>
      <c r="I31" s="135">
        <v>267.42445199999997</v>
      </c>
      <c r="J31" s="137">
        <v>9</v>
      </c>
      <c r="K31" s="137">
        <f>Table711[[#This Row],[G2AIMD (pingpong)]]/Table711[[#This Row],[gpu-hybrid-copy]]</f>
        <v>0.66873179723502307</v>
      </c>
      <c r="L31" s="137">
        <f>Table711[[#This Row],[G2AIMD (pingpong)]]/Table711[[#This Row],[gpu-layered]]</f>
        <v>1.3529392240757225</v>
      </c>
      <c r="M31" s="137">
        <f>Table711[[#This Row],[gpu-layered]]/Table711[[#This Row],[CPU+GPU]]</f>
        <v>0.59588288888888885</v>
      </c>
      <c r="N31" s="169">
        <f>Table711[[#This Row],[CPU Only (X &gt; 30m)]]/Table711[[#This Row],[CPU+GPU]]</f>
        <v>29.713827999999996</v>
      </c>
      <c r="AJ31" s="77" t="s">
        <v>1449</v>
      </c>
      <c r="AK31">
        <v>24</v>
      </c>
      <c r="AM31" s="2">
        <v>0.76452299999999995</v>
      </c>
      <c r="AN31" s="105">
        <f ca="1">Table7[[#This Row],[cpuchunk=1]]/Table7[[#This Row],[CPU Only (30m X)]]</f>
        <v>1.109622144750172</v>
      </c>
      <c r="AQ31" s="105" t="e">
        <f ca="1">Table7[[#This Row],[cpuchunk=1]]/Table7[[#This Row],[GPU_chunk10_ratio]]</f>
        <v>#DIV/0!</v>
      </c>
      <c r="AR31" s="2">
        <v>0.688994</v>
      </c>
    </row>
    <row r="32" spans="2:44" ht="26" hidden="1" x14ac:dyDescent="0.35">
      <c r="B32" s="98"/>
      <c r="C32" s="94" t="s">
        <v>1461</v>
      </c>
      <c r="D32" s="98">
        <v>2</v>
      </c>
      <c r="E32" s="137">
        <v>7.7065450000000002</v>
      </c>
      <c r="F32" s="137">
        <v>5.4978040000000004</v>
      </c>
      <c r="G32" s="137"/>
      <c r="H32" s="137">
        <v>7.9631809999999996</v>
      </c>
      <c r="I32" s="135" t="s">
        <v>3986</v>
      </c>
      <c r="J32" s="137">
        <v>18.579999999999998</v>
      </c>
      <c r="K32" s="137">
        <f>Table711[[#This Row],[G2AIMD (pingpong)]]/Table711[[#This Row],[gpu-hybrid-copy]]</f>
        <v>0.96777217546606065</v>
      </c>
      <c r="L32" s="137">
        <f>Table711[[#This Row],[G2AIMD (pingpong)]]/Table711[[#This Row],[gpu-layered]]</f>
        <v>1.401749680417854</v>
      </c>
      <c r="M32" s="137">
        <f>Table711[[#This Row],[gpu-layered]]/Table711[[#This Row],[CPU+GPU]]</f>
        <v>0.29589903121636174</v>
      </c>
      <c r="N32" s="169" t="e">
        <f>Table711[[#This Row],[CPU Only (X &gt; 30m)]]/Table711[[#This Row],[CPU+GPU]]</f>
        <v>#VALUE!</v>
      </c>
      <c r="AJ32" s="77" t="s">
        <v>1423</v>
      </c>
      <c r="AK32">
        <v>25</v>
      </c>
      <c r="AM32" s="2">
        <v>0.79256700000000002</v>
      </c>
      <c r="AN32" s="105">
        <f ca="1">Table7[[#This Row],[cpuchunk=1]]/Table7[[#This Row],[CPU Only (30m X)]]</f>
        <v>0.90100881720332315</v>
      </c>
      <c r="AQ32" s="105" t="e">
        <f ca="1">Table7[[#This Row],[cpuchunk=1]]/Table7[[#This Row],[GPU_chunk10_ratio]]</f>
        <v>#DIV/0!</v>
      </c>
      <c r="AR32" s="2">
        <v>0.87964399999999998</v>
      </c>
    </row>
    <row r="33" spans="2:44" ht="26" hidden="1" x14ac:dyDescent="0.35">
      <c r="B33" s="98"/>
      <c r="C33" s="94" t="s">
        <v>18</v>
      </c>
      <c r="D33" s="98">
        <v>9</v>
      </c>
      <c r="E33" s="137">
        <v>5.0656379999999999</v>
      </c>
      <c r="F33" s="137">
        <v>5.5034890000000001</v>
      </c>
      <c r="G33" s="137"/>
      <c r="H33" s="137">
        <v>5.13049</v>
      </c>
      <c r="I33" s="135">
        <v>441.29256199999998</v>
      </c>
      <c r="J33" s="137">
        <v>8.2100000000000009</v>
      </c>
      <c r="K33" s="137">
        <f>Table711[[#This Row],[G2AIMD (pingpong)]]/Table711[[#This Row],[gpu-hybrid-copy]]</f>
        <v>0.98735949197834905</v>
      </c>
      <c r="L33" s="137">
        <f>Table711[[#This Row],[G2AIMD (pingpong)]]/Table711[[#This Row],[gpu-layered]]</f>
        <v>0.92044119648462996</v>
      </c>
      <c r="M33" s="137">
        <f>Table711[[#This Row],[gpu-layered]]/Table711[[#This Row],[CPU+GPU]]</f>
        <v>0.67033970767356876</v>
      </c>
      <c r="N33" s="169">
        <f>Table711[[#This Row],[CPU Only (X &gt; 30m)]]/Table711[[#This Row],[CPU+GPU]]</f>
        <v>53.750616565164428</v>
      </c>
      <c r="AJ33" s="77" t="s">
        <v>1408</v>
      </c>
      <c r="AK33">
        <v>24</v>
      </c>
      <c r="AM33" s="2">
        <v>0.94571400000000005</v>
      </c>
      <c r="AN33" s="105">
        <f ca="1">Table7[[#This Row],[cpuchunk=1]]/Table7[[#This Row],[CPU Only (30m X)]]</f>
        <v>0.74213343922003772</v>
      </c>
      <c r="AQ33" s="105" t="e">
        <f ca="1">Table7[[#This Row],[cpuchunk=1]]/Table7[[#This Row],[GPU_chunk10_ratio]]</f>
        <v>#DIV/0!</v>
      </c>
      <c r="AR33" s="2">
        <v>1.2743180000000001</v>
      </c>
    </row>
    <row r="34" spans="2:44" ht="26" hidden="1" x14ac:dyDescent="0.35">
      <c r="B34" s="98"/>
      <c r="C34" s="94" t="s">
        <v>3919</v>
      </c>
      <c r="D34" s="98">
        <v>8</v>
      </c>
      <c r="E34" s="137">
        <v>7.8519019999999999</v>
      </c>
      <c r="F34" s="137">
        <v>6.0313509999999999</v>
      </c>
      <c r="G34" s="137"/>
      <c r="H34" s="137">
        <v>12.61</v>
      </c>
      <c r="I34" s="135">
        <v>126.505053</v>
      </c>
      <c r="J34" s="137">
        <v>8.73</v>
      </c>
      <c r="K34" s="137">
        <f>Table711[[#This Row],[G2AIMD (pingpong)]]/Table711[[#This Row],[gpu-hybrid-copy]]</f>
        <v>0.62267264076130058</v>
      </c>
      <c r="L34" s="137">
        <f>Table711[[#This Row],[G2AIMD (pingpong)]]/Table711[[#This Row],[gpu-layered]]</f>
        <v>1.301847960763683</v>
      </c>
      <c r="M34" s="137">
        <f>Table711[[#This Row],[gpu-layered]]/Table711[[#This Row],[CPU+GPU]]</f>
        <v>0.69087640320733101</v>
      </c>
      <c r="N34" s="169">
        <f>Table711[[#This Row],[CPU Only (X &gt; 30m)]]/Table711[[#This Row],[CPU+GPU]]</f>
        <v>14.490842268041236</v>
      </c>
      <c r="AJ34" s="77" t="s">
        <v>3919</v>
      </c>
      <c r="AK34">
        <v>9</v>
      </c>
      <c r="AM34" s="2">
        <v>0.948967</v>
      </c>
      <c r="AN34" s="105">
        <f ca="1">Table7[[#This Row],[cpuchunk=1]]/Table7[[#This Row],[CPU Only (30m X)]]</f>
        <v>0.97904219725755492</v>
      </c>
      <c r="AQ34" s="105" t="e">
        <f ca="1">Table7[[#This Row],[cpuchunk=1]]/Table7[[#This Row],[GPU_chunk10_ratio]]</f>
        <v>#DIV/0!</v>
      </c>
      <c r="AR34" s="2">
        <v>0.96928099999999995</v>
      </c>
    </row>
    <row r="35" spans="2:44" ht="26" hidden="1" x14ac:dyDescent="0.35">
      <c r="B35" s="98"/>
      <c r="C35" s="94" t="s">
        <v>1461</v>
      </c>
      <c r="D35" s="98">
        <v>9</v>
      </c>
      <c r="E35" s="137">
        <v>6.390218</v>
      </c>
      <c r="F35" s="137">
        <v>6.5457919999999996</v>
      </c>
      <c r="G35" s="137"/>
      <c r="H35" s="137">
        <v>6.3412800000000002</v>
      </c>
      <c r="I35" s="135" t="s">
        <v>3986</v>
      </c>
      <c r="J35" s="137">
        <v>10.54</v>
      </c>
      <c r="K35" s="137">
        <f>Table711[[#This Row],[G2AIMD (pingpong)]]/Table711[[#This Row],[gpu-hybrid-copy]]</f>
        <v>1.0077173693639139</v>
      </c>
      <c r="L35" s="137">
        <f>Table711[[#This Row],[G2AIMD (pingpong)]]/Table711[[#This Row],[gpu-layered]]</f>
        <v>0.97623297532216124</v>
      </c>
      <c r="M35" s="137">
        <f>Table711[[#This Row],[gpu-layered]]/Table711[[#This Row],[CPU+GPU]]</f>
        <v>0.62104288425047438</v>
      </c>
      <c r="N35" s="169" t="e">
        <f>Table711[[#This Row],[CPU Only (X &gt; 30m)]]/Table711[[#This Row],[CPU+GPU]]</f>
        <v>#VALUE!</v>
      </c>
      <c r="AJ35" s="77" t="s">
        <v>1440</v>
      </c>
      <c r="AK35">
        <v>24</v>
      </c>
      <c r="AM35" s="2">
        <v>1.0290090000000001</v>
      </c>
      <c r="AN35" s="105">
        <f ca="1">Table7[[#This Row],[cpuchunk=1]]/Table7[[#This Row],[CPU Only (30m X)]]</f>
        <v>1.2042319782233697</v>
      </c>
      <c r="AQ35" s="105" t="e">
        <f ca="1">Table7[[#This Row],[cpuchunk=1]]/Table7[[#This Row],[GPU_chunk10_ratio]]</f>
        <v>#DIV/0!</v>
      </c>
      <c r="AR35" s="2">
        <v>0.85449399999999998</v>
      </c>
    </row>
    <row r="36" spans="2:44" ht="26" hidden="1" x14ac:dyDescent="0.35">
      <c r="B36" s="98"/>
      <c r="C36" s="94" t="s">
        <v>1423</v>
      </c>
      <c r="D36" s="98">
        <v>9</v>
      </c>
      <c r="E36" s="137">
        <v>9.3385649999999991</v>
      </c>
      <c r="F36" s="137">
        <v>8.3094400000000004</v>
      </c>
      <c r="G36" s="137"/>
      <c r="H36" s="137">
        <v>8.7997490000000003</v>
      </c>
      <c r="I36" s="135" t="s">
        <v>3986</v>
      </c>
      <c r="J36" s="137">
        <v>16.059999999999999</v>
      </c>
      <c r="K36" s="137">
        <f>Table711[[#This Row],[G2AIMD (pingpong)]]/Table711[[#This Row],[gpu-hybrid-copy]]</f>
        <v>1.061230837379566</v>
      </c>
      <c r="L36" s="137">
        <f>Table711[[#This Row],[G2AIMD (pingpong)]]/Table711[[#This Row],[gpu-layered]]</f>
        <v>1.1238501030153656</v>
      </c>
      <c r="M36" s="137">
        <f>Table711[[#This Row],[gpu-layered]]/Table711[[#This Row],[CPU+GPU]]</f>
        <v>0.51739975093399759</v>
      </c>
      <c r="N36" s="169" t="e">
        <f>Table711[[#This Row],[CPU Only (X &gt; 30m)]]/Table711[[#This Row],[CPU+GPU]]</f>
        <v>#VALUE!</v>
      </c>
      <c r="AJ36" s="77" t="s">
        <v>1434</v>
      </c>
      <c r="AK36">
        <v>24</v>
      </c>
      <c r="AM36" s="2">
        <v>1.0415239999999999</v>
      </c>
      <c r="AN36" s="105">
        <f ca="1">Table7[[#This Row],[cpuchunk=1]]/Table7[[#This Row],[CPU Only (30m X)]]</f>
        <v>0.93231537403201203</v>
      </c>
      <c r="AQ36" s="105" t="e">
        <f ca="1">Table7[[#This Row],[cpuchunk=1]]/Table7[[#This Row],[GPU_chunk10_ratio]]</f>
        <v>#DIV/0!</v>
      </c>
      <c r="AR36" s="2">
        <v>1.117137</v>
      </c>
    </row>
    <row r="37" spans="2:44" ht="26" hidden="1" x14ac:dyDescent="0.35">
      <c r="B37" s="98"/>
      <c r="C37" s="94" t="s">
        <v>1346</v>
      </c>
      <c r="D37" s="98">
        <v>5</v>
      </c>
      <c r="E37" s="137">
        <v>10.325545</v>
      </c>
      <c r="F37" s="137">
        <v>8.3391870000000008</v>
      </c>
      <c r="G37" s="137"/>
      <c r="H37" s="137">
        <v>8.0574849999999998</v>
      </c>
      <c r="I37" s="135">
        <v>411.32039900000001</v>
      </c>
      <c r="J37" s="137">
        <v>15.2</v>
      </c>
      <c r="K37" s="137">
        <f>Table711[[#This Row],[G2AIMD (pingpong)]]/Table711[[#This Row],[gpu-hybrid-copy]]</f>
        <v>1.281484855386017</v>
      </c>
      <c r="L37" s="137">
        <f>Table711[[#This Row],[G2AIMD (pingpong)]]/Table711[[#This Row],[gpu-layered]]</f>
        <v>1.2381956418533364</v>
      </c>
      <c r="M37" s="137">
        <f>Table711[[#This Row],[gpu-layered]]/Table711[[#This Row],[CPU+GPU]]</f>
        <v>0.54863072368421062</v>
      </c>
      <c r="N37" s="169">
        <f>Table711[[#This Row],[CPU Only (X &gt; 30m)]]/Table711[[#This Row],[CPU+GPU]]</f>
        <v>27.060552565789475</v>
      </c>
      <c r="AJ37" s="77" t="s">
        <v>1408</v>
      </c>
      <c r="AK37">
        <v>2</v>
      </c>
      <c r="AM37" s="2">
        <v>1.103539</v>
      </c>
      <c r="AN37" s="105">
        <f ca="1">Table7[[#This Row],[cpuchunk=1]]/Table7[[#This Row],[CPU Only (30m X)]]</f>
        <v>14.821954790270372</v>
      </c>
      <c r="AQ37" s="105" t="e">
        <f ca="1">Table7[[#This Row],[cpuchunk=1]]/Table7[[#This Row],[GPU_chunk10_ratio]]</f>
        <v>#DIV/0!</v>
      </c>
      <c r="AR37" s="2">
        <v>7.4453000000000005E-2</v>
      </c>
    </row>
    <row r="38" spans="2:44" ht="26" hidden="1" x14ac:dyDescent="0.35">
      <c r="B38" s="98"/>
      <c r="C38" s="94" t="s">
        <v>1423</v>
      </c>
      <c r="D38" s="98">
        <v>2</v>
      </c>
      <c r="E38" s="137">
        <v>12.437353</v>
      </c>
      <c r="F38" s="137">
        <v>8.7754530000000006</v>
      </c>
      <c r="G38" s="137"/>
      <c r="H38" s="137">
        <v>10.31409</v>
      </c>
      <c r="I38" s="135" t="s">
        <v>3986</v>
      </c>
      <c r="J38" s="137">
        <v>15.42</v>
      </c>
      <c r="K38" s="137">
        <f>Table711[[#This Row],[G2AIMD (pingpong)]]/Table711[[#This Row],[gpu-hybrid-copy]]</f>
        <v>1.2058604297616173</v>
      </c>
      <c r="L38" s="137">
        <f>Table711[[#This Row],[G2AIMD (pingpong)]]/Table711[[#This Row],[gpu-layered]]</f>
        <v>1.4172889992117785</v>
      </c>
      <c r="M38" s="137">
        <f>Table711[[#This Row],[gpu-layered]]/Table711[[#This Row],[CPU+GPU]]</f>
        <v>0.56909552529182883</v>
      </c>
      <c r="N38" s="169" t="e">
        <f>Table711[[#This Row],[CPU Only (X &gt; 30m)]]/Table711[[#This Row],[CPU+GPU]]</f>
        <v>#VALUE!</v>
      </c>
      <c r="AJ38" s="77" t="s">
        <v>1408</v>
      </c>
      <c r="AK38">
        <v>5</v>
      </c>
      <c r="AM38" s="2">
        <v>1.2022219999999999</v>
      </c>
      <c r="AN38" s="105">
        <f ca="1">Table7[[#This Row],[cpuchunk=1]]/Table7[[#This Row],[CPU Only (30m X)]]</f>
        <v>7.4959440838492855</v>
      </c>
      <c r="AQ38" s="105" t="e">
        <f ca="1">Table7[[#This Row],[cpuchunk=1]]/Table7[[#This Row],[GPU_chunk10_ratio]]</f>
        <v>#DIV/0!</v>
      </c>
      <c r="AR38" s="2">
        <v>0.160383</v>
      </c>
    </row>
    <row r="39" spans="2:44" ht="26" hidden="1" x14ac:dyDescent="0.35">
      <c r="B39" s="98"/>
      <c r="C39" s="94" t="s">
        <v>1371</v>
      </c>
      <c r="D39" s="98">
        <v>7</v>
      </c>
      <c r="E39" s="137">
        <v>8.8645990000000001</v>
      </c>
      <c r="F39" s="137">
        <v>8.8003280000000004</v>
      </c>
      <c r="G39" s="137"/>
      <c r="H39" s="137">
        <v>8.2539730000000002</v>
      </c>
      <c r="I39" s="135" t="s">
        <v>3986</v>
      </c>
      <c r="J39" s="137">
        <v>12.62</v>
      </c>
      <c r="K39" s="137">
        <f>Table711[[#This Row],[G2AIMD (pingpong)]]/Table711[[#This Row],[gpu-hybrid-copy]]</f>
        <v>1.073979645923242</v>
      </c>
      <c r="L39" s="137">
        <f>Table711[[#This Row],[G2AIMD (pingpong)]]/Table711[[#This Row],[gpu-layered]]</f>
        <v>1.007303250515208</v>
      </c>
      <c r="M39" s="137">
        <f>Table711[[#This Row],[gpu-layered]]/Table711[[#This Row],[CPU+GPU]]</f>
        <v>0.69733185419968313</v>
      </c>
      <c r="N39" s="169" t="e">
        <f>Table711[[#This Row],[CPU Only (X &gt; 30m)]]/Table711[[#This Row],[CPU+GPU]]</f>
        <v>#VALUE!</v>
      </c>
      <c r="AJ39" s="77" t="s">
        <v>1438</v>
      </c>
      <c r="AK39">
        <v>24</v>
      </c>
      <c r="AM39" s="2">
        <v>1.2497990000000001</v>
      </c>
      <c r="AN39" s="105">
        <f ca="1">Table7[[#This Row],[cpuchunk=1]]/Table7[[#This Row],[CPU Only (30m X)]]</f>
        <v>1.0711843633356048</v>
      </c>
      <c r="AQ39" s="105" t="e">
        <f ca="1">Table7[[#This Row],[cpuchunk=1]]/Table7[[#This Row],[GPU_chunk10_ratio]]</f>
        <v>#DIV/0!</v>
      </c>
      <c r="AR39" s="2">
        <v>1.1667449999999999</v>
      </c>
    </row>
    <row r="40" spans="2:44" ht="26" hidden="1" x14ac:dyDescent="0.35">
      <c r="B40" s="98"/>
      <c r="C40" s="94" t="s">
        <v>1431</v>
      </c>
      <c r="D40" s="98">
        <v>8</v>
      </c>
      <c r="E40" s="137" t="s">
        <v>3904</v>
      </c>
      <c r="F40" s="137">
        <v>8.9290000000000003</v>
      </c>
      <c r="G40" s="137"/>
      <c r="H40" s="137">
        <v>16.3</v>
      </c>
      <c r="I40" s="135" t="s">
        <v>3986</v>
      </c>
      <c r="J40" s="137">
        <v>9.31</v>
      </c>
      <c r="K40" s="137" t="e">
        <f>Table711[[#This Row],[G2AIMD (pingpong)]]/Table711[[#This Row],[gpu-hybrid-copy]]</f>
        <v>#VALUE!</v>
      </c>
      <c r="L40" s="137" t="e">
        <f>Table711[[#This Row],[G2AIMD (pingpong)]]/Table711[[#This Row],[gpu-layered]]</f>
        <v>#VALUE!</v>
      </c>
      <c r="M40" s="137">
        <f>Table711[[#This Row],[gpu-layered]]/Table711[[#This Row],[CPU+GPU]]</f>
        <v>0.95907626208378083</v>
      </c>
      <c r="N40" s="169" t="e">
        <f>Table711[[#This Row],[CPU Only (X &gt; 30m)]]/Table711[[#This Row],[CPU+GPU]]</f>
        <v>#VALUE!</v>
      </c>
      <c r="AJ40" s="77" t="s">
        <v>1433</v>
      </c>
      <c r="AK40">
        <v>25</v>
      </c>
      <c r="AM40" s="2">
        <v>1.3173029999999999</v>
      </c>
      <c r="AN40" s="105">
        <f ca="1">Table7[[#This Row],[cpuchunk=1]]/Table7[[#This Row],[CPU Only (30m X)]]</f>
        <v>0.95527831219320458</v>
      </c>
      <c r="AQ40" s="105" t="e">
        <f ca="1">Table7[[#This Row],[cpuchunk=1]]/Table7[[#This Row],[GPU_chunk10_ratio]]</f>
        <v>#DIV/0!</v>
      </c>
      <c r="AR40" s="2">
        <v>1.378973</v>
      </c>
    </row>
    <row r="41" spans="2:44" ht="26" hidden="1" x14ac:dyDescent="0.35">
      <c r="B41" s="98"/>
      <c r="C41" s="94" t="s">
        <v>1391</v>
      </c>
      <c r="D41" s="98">
        <v>7</v>
      </c>
      <c r="E41" s="137">
        <v>10.388268999999999</v>
      </c>
      <c r="F41" s="137">
        <v>9.1454550000000001</v>
      </c>
      <c r="G41" s="137"/>
      <c r="H41" s="137">
        <v>10.842553000000001</v>
      </c>
      <c r="I41" s="135">
        <v>508.62465400000002</v>
      </c>
      <c r="J41" s="137">
        <v>10.950684000000001</v>
      </c>
      <c r="K41" s="137">
        <f>Table711[[#This Row],[G2AIMD (pingpong)]]/Table711[[#This Row],[gpu-hybrid-copy]]</f>
        <v>0.95810174965250328</v>
      </c>
      <c r="L41" s="137">
        <f>Table711[[#This Row],[G2AIMD (pingpong)]]/Table711[[#This Row],[gpu-layered]]</f>
        <v>1.1358941681961148</v>
      </c>
      <c r="M41" s="137">
        <f>Table711[[#This Row],[gpu-layered]]/Table711[[#This Row],[CPU+GPU]]</f>
        <v>0.83514920163891126</v>
      </c>
      <c r="N41" s="169">
        <f>Table711[[#This Row],[CPU Only (X &gt; 30m)]]/Table711[[#This Row],[CPU+GPU]]</f>
        <v>46.446838754547201</v>
      </c>
      <c r="AJ41" s="77" t="s">
        <v>1455</v>
      </c>
      <c r="AK41">
        <v>24</v>
      </c>
      <c r="AM41" s="2">
        <v>1.3242640000000001</v>
      </c>
      <c r="AN41" s="105">
        <f ca="1">Table7[[#This Row],[cpuchunk=1]]/Table7[[#This Row],[CPU Only (30m X)]]</f>
        <v>0.86553202614379088</v>
      </c>
      <c r="AQ41" s="105" t="e">
        <f ca="1">Table7[[#This Row],[cpuchunk=1]]/Table7[[#This Row],[GPU_chunk10_ratio]]</f>
        <v>#DIV/0!</v>
      </c>
      <c r="AR41" s="2">
        <v>1.53</v>
      </c>
    </row>
    <row r="42" spans="2:44" ht="26" hidden="1" x14ac:dyDescent="0.35">
      <c r="B42" s="98"/>
      <c r="C42" s="94" t="s">
        <v>3912</v>
      </c>
      <c r="D42" s="98">
        <v>5</v>
      </c>
      <c r="E42" s="137">
        <v>12.009475999999999</v>
      </c>
      <c r="F42" s="137">
        <v>9.7607599999999994</v>
      </c>
      <c r="G42" s="137"/>
      <c r="H42" s="137">
        <v>18.600000000000001</v>
      </c>
      <c r="I42" s="135">
        <v>516.02195900000004</v>
      </c>
      <c r="J42" s="137">
        <v>14.38</v>
      </c>
      <c r="K42" s="137">
        <f>Table711[[#This Row],[G2AIMD (pingpong)]]/Table711[[#This Row],[gpu-hybrid-copy]]</f>
        <v>0.64567075268817198</v>
      </c>
      <c r="L42" s="137">
        <f>Table711[[#This Row],[G2AIMD (pingpong)]]/Table711[[#This Row],[gpu-layered]]</f>
        <v>1.2303832898257923</v>
      </c>
      <c r="M42" s="137">
        <f>Table711[[#This Row],[gpu-layered]]/Table711[[#This Row],[CPU+GPU]]</f>
        <v>0.67877329624478433</v>
      </c>
      <c r="N42" s="169">
        <f>Table711[[#This Row],[CPU Only (X &gt; 30m)]]/Table711[[#This Row],[CPU+GPU]]</f>
        <v>35.884698122392209</v>
      </c>
      <c r="AJ42" s="77" t="s">
        <v>1408</v>
      </c>
      <c r="AK42">
        <v>8</v>
      </c>
      <c r="AM42" s="2">
        <v>1.359286</v>
      </c>
      <c r="AN42" s="105">
        <f ca="1">Table7[[#This Row],[cpuchunk=1]]/Table7[[#This Row],[CPU Only (30m X)]]</f>
        <v>5.23718815619642</v>
      </c>
      <c r="AQ42" s="105" t="e">
        <f ca="1">Table7[[#This Row],[cpuchunk=1]]/Table7[[#This Row],[GPU_chunk10_ratio]]</f>
        <v>#DIV/0!</v>
      </c>
      <c r="AR42" s="2">
        <v>0.25954500000000003</v>
      </c>
    </row>
    <row r="43" spans="2:44" ht="26" x14ac:dyDescent="0.35">
      <c r="B43" s="98">
        <v>1</v>
      </c>
      <c r="C43" s="94" t="s">
        <v>1434</v>
      </c>
      <c r="D43" s="98">
        <v>8</v>
      </c>
      <c r="E43" s="137" t="s">
        <v>3904</v>
      </c>
      <c r="F43" s="146">
        <v>76.951184999999995</v>
      </c>
      <c r="G43" s="166">
        <v>79.67</v>
      </c>
      <c r="H43" s="167">
        <v>85.26</v>
      </c>
      <c r="I43" s="135" t="s">
        <v>3986</v>
      </c>
      <c r="J43" s="137">
        <v>87.05</v>
      </c>
      <c r="K43" s="171" t="e">
        <f>Table711[[#This Row],[G2AIMD (pingpong)]]/Table711[[#This Row],[gpu-hybrid-copy]]</f>
        <v>#VALUE!</v>
      </c>
      <c r="L43" s="171" t="e">
        <f>Table711[[#This Row],[G2AIMD (pingpong)]]/Table711[[#This Row],[gpu-layered]]</f>
        <v>#VALUE!</v>
      </c>
      <c r="M43" s="171">
        <f>Table711[[#This Row],[gpu-layered]]/Table711[[#This Row],[CPU+GPU]]</f>
        <v>0.88398834003446292</v>
      </c>
      <c r="N43" s="170" t="e">
        <f>Table711[[#This Row],[CPU Only (X &gt; 30m)]]/Table711[[#This Row],[CPU+GPU]]</f>
        <v>#VALUE!</v>
      </c>
      <c r="O43" t="s">
        <v>4043</v>
      </c>
      <c r="AJ43" s="77" t="s">
        <v>1408</v>
      </c>
      <c r="AK43">
        <v>25</v>
      </c>
      <c r="AM43" s="2">
        <v>1.3638410000000001</v>
      </c>
      <c r="AN43" s="105">
        <f ca="1">Table7[[#This Row],[cpuchunk=1]]/Table7[[#This Row],[CPU Only (30m X)]]</f>
        <v>1.0701005415465541</v>
      </c>
      <c r="AQ43" s="105" t="e">
        <f ca="1">Table7[[#This Row],[cpuchunk=1]]/Table7[[#This Row],[GPU_chunk10_ratio]]</f>
        <v>#DIV/0!</v>
      </c>
      <c r="AR43" s="2">
        <v>1.2744979999999999</v>
      </c>
    </row>
    <row r="44" spans="2:44" ht="26" x14ac:dyDescent="0.35">
      <c r="B44" s="98">
        <v>1</v>
      </c>
      <c r="C44" s="94" t="s">
        <v>1425</v>
      </c>
      <c r="D44" s="98">
        <v>8</v>
      </c>
      <c r="E44" s="137" t="s">
        <v>3904</v>
      </c>
      <c r="F44" s="146">
        <v>327.69895100000002</v>
      </c>
      <c r="G44" s="166">
        <v>338.07</v>
      </c>
      <c r="H44" s="167">
        <v>340.68</v>
      </c>
      <c r="I44" s="135" t="s">
        <v>3986</v>
      </c>
      <c r="J44" s="137">
        <v>392.57</v>
      </c>
      <c r="K44" s="171" t="e">
        <f>Table711[[#This Row],[G2AIMD (pingpong)]]/Table711[[#This Row],[gpu-hybrid-copy]]</f>
        <v>#VALUE!</v>
      </c>
      <c r="L44" s="171" t="e">
        <f>Table711[[#This Row],[G2AIMD (pingpong)]]/Table711[[#This Row],[gpu-layered]]</f>
        <v>#VALUE!</v>
      </c>
      <c r="M44" s="171">
        <f>Table711[[#This Row],[gpu-layered]]/Table711[[#This Row],[CPU+GPU]]</f>
        <v>0.83475291285630593</v>
      </c>
      <c r="N44" s="170" t="e">
        <f>Table711[[#This Row],[CPU Only (X &gt; 30m)]]/Table711[[#This Row],[CPU+GPU]]</f>
        <v>#VALUE!</v>
      </c>
      <c r="AJ44" s="77" t="s">
        <v>1448</v>
      </c>
      <c r="AK44">
        <v>25</v>
      </c>
      <c r="AM44" s="2">
        <v>1.3693169999999999</v>
      </c>
      <c r="AN44" s="105">
        <f ca="1">Table7[[#This Row],[cpuchunk=1]]/Table7[[#This Row],[CPU Only (30m X)]]</f>
        <v>0.92803025938845507</v>
      </c>
      <c r="AQ44" s="105" t="e">
        <f ca="1">Table7[[#This Row],[cpuchunk=1]]/Table7[[#This Row],[GPU_chunk10_ratio]]</f>
        <v>#DIV/0!</v>
      </c>
      <c r="AR44" s="2">
        <v>1.475509</v>
      </c>
    </row>
    <row r="45" spans="2:44" ht="26" x14ac:dyDescent="0.35">
      <c r="B45" s="98">
        <v>1</v>
      </c>
      <c r="C45" s="94" t="s">
        <v>1391</v>
      </c>
      <c r="D45" s="98">
        <v>8</v>
      </c>
      <c r="E45" s="137">
        <v>25.276336000000001</v>
      </c>
      <c r="F45" s="146">
        <v>18.415679999999998</v>
      </c>
      <c r="G45" s="166">
        <v>19.75</v>
      </c>
      <c r="H45" s="167">
        <v>21.01</v>
      </c>
      <c r="I45" s="135" t="s">
        <v>3986</v>
      </c>
      <c r="J45" s="137">
        <v>21.015433000000002</v>
      </c>
      <c r="K45" s="170">
        <f>Table711[[#This Row],[G2AIMD (pingpong)]]/Table711[[#This Row],[gpu-hybrid-copy]]</f>
        <v>1.2030621608757734</v>
      </c>
      <c r="L45" s="170">
        <f>Table711[[#This Row],[G2AIMD (pingpong)]]/Table711[[#This Row],[gpu-layered]]</f>
        <v>1.3725442666249632</v>
      </c>
      <c r="M45" s="170">
        <f>Table711[[#This Row],[gpu-layered]]/Table711[[#This Row],[CPU+GPU]]</f>
        <v>0.87629315084776016</v>
      </c>
      <c r="N45" s="170" t="e">
        <f>Table711[[#This Row],[CPU Only (X &gt; 30m)]]/Table711[[#This Row],[CPU+GPU]]</f>
        <v>#VALUE!</v>
      </c>
      <c r="AJ45" s="77" t="s">
        <v>1391</v>
      </c>
      <c r="AK45">
        <v>24</v>
      </c>
      <c r="AM45" s="2">
        <v>1.4042870000000001</v>
      </c>
      <c r="AN45" s="105">
        <f ca="1">Table7[[#This Row],[cpuchunk=1]]/Table7[[#This Row],[CPU Only (30m X)]]</f>
        <v>0.82820890425703209</v>
      </c>
      <c r="AQ45" s="105" t="e">
        <f ca="1">Table7[[#This Row],[cpuchunk=1]]/Table7[[#This Row],[GPU_chunk10_ratio]]</f>
        <v>#DIV/0!</v>
      </c>
      <c r="AR45" s="2">
        <v>1.6955709999999999</v>
      </c>
    </row>
    <row r="46" spans="2:44" ht="26" x14ac:dyDescent="0.35">
      <c r="B46" s="98">
        <v>1</v>
      </c>
      <c r="C46" s="94" t="s">
        <v>3919</v>
      </c>
      <c r="D46" s="98">
        <v>6</v>
      </c>
      <c r="E46" s="137">
        <v>18.152170999999999</v>
      </c>
      <c r="F46" s="146">
        <v>13.829148</v>
      </c>
      <c r="G46" s="166">
        <v>14.59</v>
      </c>
      <c r="H46" s="167">
        <v>24.49</v>
      </c>
      <c r="I46" s="135">
        <v>122.148618</v>
      </c>
      <c r="J46" s="137">
        <v>14.290449000000001</v>
      </c>
      <c r="K46" s="170">
        <f>Table711[[#This Row],[G2AIMD (pingpong)]]/Table711[[#This Row],[gpu-hybrid-copy]]</f>
        <v>0.74120747243772966</v>
      </c>
      <c r="L46" s="170">
        <f>Table711[[#This Row],[G2AIMD (pingpong)]]/Table711[[#This Row],[gpu-layered]]</f>
        <v>1.3126022658807324</v>
      </c>
      <c r="M46" s="170">
        <f>Table711[[#This Row],[gpu-layered]]/Table711[[#This Row],[CPU+GPU]]</f>
        <v>0.96771962868346539</v>
      </c>
      <c r="N46" s="170">
        <f>Table711[[#This Row],[CPU Only (X &gt; 30m)]]/Table711[[#This Row],[CPU+GPU]]</f>
        <v>8.5475703387626236</v>
      </c>
      <c r="AJ46" s="77" t="s">
        <v>1431</v>
      </c>
      <c r="AK46">
        <v>24</v>
      </c>
      <c r="AM46" s="2">
        <v>1.43831</v>
      </c>
      <c r="AN46" s="105">
        <f ca="1">Table7[[#This Row],[cpuchunk=1]]/Table7[[#This Row],[CPU Only (30m X)]]</f>
        <v>0.91949151187953282</v>
      </c>
      <c r="AQ46" s="105" t="e">
        <f ca="1">Table7[[#This Row],[cpuchunk=1]]/Table7[[#This Row],[GPU_chunk10_ratio]]</f>
        <v>#DIV/0!</v>
      </c>
      <c r="AR46" s="2">
        <v>1.5642450000000001</v>
      </c>
    </row>
    <row r="47" spans="2:44" ht="26" x14ac:dyDescent="0.35">
      <c r="B47" s="98">
        <v>1</v>
      </c>
      <c r="C47" s="94" t="s">
        <v>1346</v>
      </c>
      <c r="D47" s="98">
        <v>8</v>
      </c>
      <c r="E47" s="137">
        <v>37.425060000000002</v>
      </c>
      <c r="F47" s="146">
        <v>29.901053999999998</v>
      </c>
      <c r="G47" s="166">
        <v>30.71</v>
      </c>
      <c r="H47" s="167">
        <v>33.69</v>
      </c>
      <c r="I47" s="135" t="s">
        <v>3986</v>
      </c>
      <c r="J47" s="137">
        <v>34.200000000000003</v>
      </c>
      <c r="K47" s="170">
        <f>Table711[[#This Row],[G2AIMD (pingpong)]]/Table711[[#This Row],[gpu-hybrid-copy]]</f>
        <v>1.11086553873553</v>
      </c>
      <c r="L47" s="170">
        <f>Table711[[#This Row],[G2AIMD (pingpong)]]/Table711[[#This Row],[gpu-layered]]</f>
        <v>1.2516301264831668</v>
      </c>
      <c r="M47" s="170">
        <f>Table711[[#This Row],[gpu-layered]]/Table711[[#This Row],[CPU+GPU]]</f>
        <v>0.87429982456140343</v>
      </c>
      <c r="N47" s="170" t="e">
        <f>Table711[[#This Row],[CPU Only (X &gt; 30m)]]/Table711[[#This Row],[CPU+GPU]]</f>
        <v>#VALUE!</v>
      </c>
      <c r="AJ47" s="77" t="s">
        <v>1440</v>
      </c>
      <c r="AK47">
        <v>25</v>
      </c>
      <c r="AM47" s="2">
        <v>1.476593</v>
      </c>
      <c r="AN47" s="105">
        <f ca="1">Table7[[#This Row],[cpuchunk=1]]/Table7[[#This Row],[CPU Only (30m X)]]</f>
        <v>1.1271702290076335</v>
      </c>
      <c r="AQ47" s="105" t="e">
        <f ca="1">Table7[[#This Row],[cpuchunk=1]]/Table7[[#This Row],[GPU_chunk10_ratio]]</f>
        <v>#DIV/0!</v>
      </c>
      <c r="AR47" s="2">
        <v>1.31</v>
      </c>
    </row>
    <row r="48" spans="2:44" ht="26" x14ac:dyDescent="0.35">
      <c r="B48" s="98">
        <v>1</v>
      </c>
      <c r="C48" s="94" t="s">
        <v>3912</v>
      </c>
      <c r="D48" s="98">
        <v>8</v>
      </c>
      <c r="E48" s="137">
        <v>23.409692</v>
      </c>
      <c r="F48" s="146">
        <v>19.219840999999999</v>
      </c>
      <c r="G48" s="166">
        <v>20.399999999999999</v>
      </c>
      <c r="H48" s="167">
        <v>24.39</v>
      </c>
      <c r="I48" s="135">
        <v>579.55940199999998</v>
      </c>
      <c r="J48" s="137">
        <v>22.3</v>
      </c>
      <c r="K48" s="170">
        <f>Table711[[#This Row],[G2AIMD (pingpong)]]/Table711[[#This Row],[gpu-hybrid-copy]]</f>
        <v>0.95980697006970062</v>
      </c>
      <c r="L48" s="170">
        <f>Table711[[#This Row],[G2AIMD (pingpong)]]/Table711[[#This Row],[gpu-layered]]</f>
        <v>1.217996132226068</v>
      </c>
      <c r="M48" s="170">
        <f>Table711[[#This Row],[gpu-layered]]/Table711[[#This Row],[CPU+GPU]]</f>
        <v>0.8618762780269057</v>
      </c>
      <c r="N48" s="170">
        <f>Table711[[#This Row],[CPU Only (X &gt; 30m)]]/Table711[[#This Row],[CPU+GPU]]</f>
        <v>25.989210852017937</v>
      </c>
      <c r="AJ48" s="77" t="s">
        <v>1431</v>
      </c>
      <c r="AK48">
        <v>7</v>
      </c>
      <c r="AM48" s="2">
        <v>1.4923439999999999</v>
      </c>
      <c r="AN48" s="105">
        <f ca="1">Table7[[#This Row],[cpuchunk=1]]/Table7[[#This Row],[CPU Only (30m X)]]</f>
        <v>0.95053757961783425</v>
      </c>
      <c r="AQ48" s="105" t="e">
        <f ca="1">Table7[[#This Row],[cpuchunk=1]]/Table7[[#This Row],[GPU_chunk10_ratio]]</f>
        <v>#DIV/0!</v>
      </c>
      <c r="AR48" s="2">
        <v>1.57</v>
      </c>
    </row>
    <row r="49" spans="2:44" ht="26" x14ac:dyDescent="0.35">
      <c r="B49" s="98">
        <v>1</v>
      </c>
      <c r="C49" s="94" t="s">
        <v>1434</v>
      </c>
      <c r="D49" s="98">
        <v>5</v>
      </c>
      <c r="E49" s="137">
        <v>30.819552000000002</v>
      </c>
      <c r="F49" s="146">
        <v>25.365794000000001</v>
      </c>
      <c r="G49" s="166">
        <v>26.35</v>
      </c>
      <c r="H49" s="167">
        <v>29.44</v>
      </c>
      <c r="I49" s="135">
        <v>1506.4237009999999</v>
      </c>
      <c r="J49" s="137">
        <v>28.29</v>
      </c>
      <c r="K49" s="170">
        <f>Table711[[#This Row],[G2AIMD (pingpong)]]/Table711[[#This Row],[gpu-hybrid-copy]]</f>
        <v>1.0468597826086956</v>
      </c>
      <c r="L49" s="170">
        <f>Table711[[#This Row],[G2AIMD (pingpong)]]/Table711[[#This Row],[gpu-layered]]</f>
        <v>1.2150044268277194</v>
      </c>
      <c r="M49" s="170">
        <f>Table711[[#This Row],[gpu-layered]]/Table711[[#This Row],[CPU+GPU]]</f>
        <v>0.89663464121597747</v>
      </c>
      <c r="N49" s="170">
        <f>Table711[[#This Row],[CPU Only (X &gt; 30m)]]/Table711[[#This Row],[CPU+GPU]]</f>
        <v>53.249335489572289</v>
      </c>
      <c r="AJ49" s="77" t="s">
        <v>1431</v>
      </c>
      <c r="AK49">
        <v>25</v>
      </c>
      <c r="AM49" s="2">
        <v>1.4968319999999999</v>
      </c>
      <c r="AN49" s="105">
        <f ca="1">Table7[[#This Row],[cpuchunk=1]]/Table7[[#This Row],[CPU Only (30m X)]]</f>
        <v>1.0890549696165397</v>
      </c>
      <c r="AQ49" s="105" t="e">
        <f ca="1">Table7[[#This Row],[cpuchunk=1]]/Table7[[#This Row],[GPU_chunk10_ratio]]</f>
        <v>#DIV/0!</v>
      </c>
      <c r="AR49" s="2">
        <v>1.3744320000000001</v>
      </c>
    </row>
    <row r="50" spans="2:44" ht="26" x14ac:dyDescent="0.35">
      <c r="B50" s="98">
        <v>1</v>
      </c>
      <c r="C50" s="94" t="s">
        <v>1450</v>
      </c>
      <c r="D50" s="98">
        <v>9</v>
      </c>
      <c r="E50" s="137">
        <v>33.843966000000002</v>
      </c>
      <c r="F50" s="146">
        <v>28.473952000000001</v>
      </c>
      <c r="G50" s="166">
        <v>29.47</v>
      </c>
      <c r="H50" s="167">
        <v>32.340000000000003</v>
      </c>
      <c r="I50" s="135" t="s">
        <v>3986</v>
      </c>
      <c r="J50" s="137">
        <v>53.31</v>
      </c>
      <c r="K50" s="170">
        <f>Table711[[#This Row],[G2AIMD (pingpong)]]/Table711[[#This Row],[gpu-hybrid-copy]]</f>
        <v>1.0465048237476808</v>
      </c>
      <c r="L50" s="170">
        <f>Table711[[#This Row],[G2AIMD (pingpong)]]/Table711[[#This Row],[gpu-layered]]</f>
        <v>1.1885939120779581</v>
      </c>
      <c r="M50" s="170">
        <f>Table711[[#This Row],[gpu-layered]]/Table711[[#This Row],[CPU+GPU]]</f>
        <v>0.53412027762145942</v>
      </c>
      <c r="N50" s="170" t="e">
        <f>Table711[[#This Row],[CPU Only (X &gt; 30m)]]/Table711[[#This Row],[CPU+GPU]]</f>
        <v>#VALUE!</v>
      </c>
      <c r="AJ50" s="77" t="s">
        <v>1431</v>
      </c>
      <c r="AK50">
        <v>9</v>
      </c>
      <c r="AM50" s="2">
        <v>1.5036099999999999</v>
      </c>
      <c r="AN50" s="105">
        <f ca="1">Table7[[#This Row],[cpuchunk=1]]/Table7[[#This Row],[CPU Only (30m X)]]</f>
        <v>7.1284448468930588</v>
      </c>
      <c r="AQ50" s="105" t="e">
        <f ca="1">Table7[[#This Row],[cpuchunk=1]]/Table7[[#This Row],[GPU_chunk10_ratio]]</f>
        <v>#DIV/0!</v>
      </c>
      <c r="AR50" s="2">
        <v>0.21093100000000001</v>
      </c>
    </row>
    <row r="51" spans="2:44" ht="26" x14ac:dyDescent="0.35">
      <c r="B51" s="98">
        <v>1</v>
      </c>
      <c r="C51" s="94" t="s">
        <v>1</v>
      </c>
      <c r="D51" s="98">
        <v>8</v>
      </c>
      <c r="E51" s="137">
        <v>208.09928300000001</v>
      </c>
      <c r="F51" s="146">
        <v>175.971495</v>
      </c>
      <c r="G51" s="166">
        <v>186.01</v>
      </c>
      <c r="H51" s="167">
        <v>199.22</v>
      </c>
      <c r="I51" s="135" t="s">
        <v>3986</v>
      </c>
      <c r="J51" s="137">
        <v>216.17</v>
      </c>
      <c r="K51" s="170">
        <f>Table711[[#This Row],[G2AIMD (pingpong)]]/Table711[[#This Row],[gpu-hybrid-copy]]</f>
        <v>1.0445702389318343</v>
      </c>
      <c r="L51" s="170">
        <f>Table711[[#This Row],[G2AIMD (pingpong)]]/Table711[[#This Row],[gpu-layered]]</f>
        <v>1.1825738196973323</v>
      </c>
      <c r="M51" s="170">
        <f>Table711[[#This Row],[gpu-layered]]/Table711[[#This Row],[CPU+GPU]]</f>
        <v>0.81404216588795864</v>
      </c>
      <c r="N51" s="170" t="e">
        <f>Table711[[#This Row],[CPU Only (X &gt; 30m)]]/Table711[[#This Row],[CPU+GPU]]</f>
        <v>#VALUE!</v>
      </c>
      <c r="AJ51" s="77" t="s">
        <v>1346</v>
      </c>
      <c r="AK51">
        <v>9</v>
      </c>
      <c r="AM51" s="2">
        <v>1.544257</v>
      </c>
      <c r="AN51" s="105">
        <f ca="1">Table7[[#This Row],[cpuchunk=1]]/Table7[[#This Row],[CPU Only (30m X)]]</f>
        <v>0.70193499999999998</v>
      </c>
      <c r="AQ51" s="105" t="e">
        <f ca="1">Table7[[#This Row],[cpuchunk=1]]/Table7[[#This Row],[GPU_chunk10_ratio]]</f>
        <v>#DIV/0!</v>
      </c>
      <c r="AR51" s="2">
        <v>2.2000000000000002</v>
      </c>
    </row>
    <row r="52" spans="2:44" ht="26" x14ac:dyDescent="0.35">
      <c r="B52" s="98">
        <v>1</v>
      </c>
      <c r="C52" s="94" t="s">
        <v>1371</v>
      </c>
      <c r="D52" s="98">
        <v>6</v>
      </c>
      <c r="E52" s="137">
        <v>42.350599000000003</v>
      </c>
      <c r="F52" s="146">
        <v>36.167906000000002</v>
      </c>
      <c r="G52" s="166">
        <v>122.9</v>
      </c>
      <c r="H52" s="167">
        <v>507.61</v>
      </c>
      <c r="I52" s="135">
        <v>398.639387</v>
      </c>
      <c r="J52" s="137">
        <v>37</v>
      </c>
      <c r="K52" s="170">
        <f>Table711[[#This Row],[G2AIMD (pingpong)]]/Table711[[#This Row],[gpu-hybrid-copy]]</f>
        <v>8.3431372510391844E-2</v>
      </c>
      <c r="L52" s="170">
        <f>Table711[[#This Row],[G2AIMD (pingpong)]]/Table711[[#This Row],[gpu-layered]]</f>
        <v>1.1709441790741217</v>
      </c>
      <c r="M52" s="170">
        <f>Table711[[#This Row],[gpu-layered]]/Table711[[#This Row],[CPU+GPU]]</f>
        <v>0.97751097297297307</v>
      </c>
      <c r="N52" s="170">
        <f>Table711[[#This Row],[CPU Only (X &gt; 30m)]]/Table711[[#This Row],[CPU+GPU]]</f>
        <v>10.774037486486487</v>
      </c>
      <c r="AJ52" s="77" t="s">
        <v>1391</v>
      </c>
      <c r="AK52">
        <v>25</v>
      </c>
      <c r="AM52" s="2">
        <v>1.5655140000000001</v>
      </c>
      <c r="AN52" s="105">
        <f ca="1">Table7[[#This Row],[cpuchunk=1]]/Table7[[#This Row],[CPU Only (30m X)]]</f>
        <v>1.0204432288607836</v>
      </c>
      <c r="AQ52" s="105" t="e">
        <f ca="1">Table7[[#This Row],[cpuchunk=1]]/Table7[[#This Row],[GPU_chunk10_ratio]]</f>
        <v>#DIV/0!</v>
      </c>
      <c r="AR52" s="2">
        <v>1.534151</v>
      </c>
    </row>
    <row r="53" spans="2:44" ht="26" x14ac:dyDescent="0.35">
      <c r="B53" s="98">
        <v>1</v>
      </c>
      <c r="C53" s="94" t="s">
        <v>3912</v>
      </c>
      <c r="D53" s="98">
        <v>6</v>
      </c>
      <c r="E53" s="137">
        <v>62.898426000000001</v>
      </c>
      <c r="F53" s="146">
        <v>55.336329999999997</v>
      </c>
      <c r="G53" s="166">
        <v>56.47</v>
      </c>
      <c r="H53" s="167">
        <v>66.36</v>
      </c>
      <c r="I53" s="135">
        <v>681.58641899999998</v>
      </c>
      <c r="J53" s="137">
        <v>55.23</v>
      </c>
      <c r="K53" s="170">
        <f>Table711[[#This Row],[G2AIMD (pingpong)]]/Table711[[#This Row],[gpu-hybrid-copy]]</f>
        <v>0.94783643761301994</v>
      </c>
      <c r="L53" s="170">
        <f>Table711[[#This Row],[G2AIMD (pingpong)]]/Table711[[#This Row],[gpu-layered]]</f>
        <v>1.1366569846608909</v>
      </c>
      <c r="M53" s="170">
        <f>Table711[[#This Row],[gpu-layered]]/Table711[[#This Row],[CPU+GPU]]</f>
        <v>1.0019252217997465</v>
      </c>
      <c r="N53" s="170">
        <f>Table711[[#This Row],[CPU Only (X &gt; 30m)]]/Table711[[#This Row],[CPU+GPU]]</f>
        <v>12.340873058120588</v>
      </c>
      <c r="AJ53" s="77" t="s">
        <v>1438</v>
      </c>
      <c r="AK53">
        <v>25</v>
      </c>
      <c r="AM53" s="2">
        <v>1.742991</v>
      </c>
      <c r="AN53" s="105">
        <f ca="1">Table7[[#This Row],[cpuchunk=1]]/Table7[[#This Row],[CPU Only (30m X)]]</f>
        <v>0.99529985347374572</v>
      </c>
      <c r="AQ53" s="105" t="e">
        <f ca="1">Table7[[#This Row],[cpuchunk=1]]/Table7[[#This Row],[GPU_chunk10_ratio]]</f>
        <v>#DIV/0!</v>
      </c>
      <c r="AR53" s="2">
        <v>1.7512220000000001</v>
      </c>
    </row>
    <row r="54" spans="2:44" ht="26" x14ac:dyDescent="0.35">
      <c r="B54" s="98">
        <v>1</v>
      </c>
      <c r="C54" s="94" t="s">
        <v>1</v>
      </c>
      <c r="D54" s="98">
        <v>5</v>
      </c>
      <c r="E54" s="137">
        <v>57.615180000000002</v>
      </c>
      <c r="F54" s="166">
        <v>50.911676</v>
      </c>
      <c r="G54" s="166">
        <v>50.697586999999999</v>
      </c>
      <c r="H54" s="168">
        <v>50.490558</v>
      </c>
      <c r="I54" s="135" t="s">
        <v>3986</v>
      </c>
      <c r="J54" s="137">
        <v>60.35</v>
      </c>
      <c r="K54" s="170">
        <f>Table711[[#This Row],[G2AIMD (pingpong)]]/Table711[[#This Row],[gpu-hybrid-copy]]</f>
        <v>1.141108006768315</v>
      </c>
      <c r="L54" s="170">
        <f>Table711[[#This Row],[G2AIMD (pingpong)]]/Table711[[#This Row],[gpu-layered]]</f>
        <v>1.1316692854503554</v>
      </c>
      <c r="M54" s="170">
        <f>Table711[[#This Row],[gpu-layered]]/Table711[[#This Row],[CPU+GPU]]</f>
        <v>0.8436068931234465</v>
      </c>
      <c r="N54" s="170" t="e">
        <f>Table711[[#This Row],[CPU Only (X &gt; 30m)]]/Table711[[#This Row],[CPU+GPU]]</f>
        <v>#VALUE!</v>
      </c>
      <c r="AJ54" s="77" t="s">
        <v>1391</v>
      </c>
      <c r="AK54">
        <v>2</v>
      </c>
      <c r="AM54" s="2">
        <v>1.8836040000000001</v>
      </c>
      <c r="AN54" s="105">
        <f ca="1">Table7[[#This Row],[cpuchunk=1]]/Table7[[#This Row],[CPU Only (30m X)]]</f>
        <v>2.7452101751532481</v>
      </c>
      <c r="AQ54" s="105" t="e">
        <f ca="1">Table7[[#This Row],[cpuchunk=1]]/Table7[[#This Row],[GPU_chunk10_ratio]]</f>
        <v>#DIV/0!</v>
      </c>
      <c r="AR54" s="2">
        <v>0.68614200000000003</v>
      </c>
    </row>
    <row r="55" spans="2:44" ht="26" x14ac:dyDescent="0.35">
      <c r="B55" s="98">
        <v>1</v>
      </c>
      <c r="C55" s="94" t="s">
        <v>1450</v>
      </c>
      <c r="D55" s="98">
        <v>2</v>
      </c>
      <c r="E55" s="137">
        <v>21.122053000000001</v>
      </c>
      <c r="F55" s="146">
        <v>18.906770000000002</v>
      </c>
      <c r="G55" s="166">
        <v>19.009142000000001</v>
      </c>
      <c r="H55" s="167">
        <v>19.015332000000001</v>
      </c>
      <c r="I55" s="135" t="s">
        <v>3986</v>
      </c>
      <c r="J55" s="137">
        <v>20.420000000000002</v>
      </c>
      <c r="K55" s="170">
        <f>Table711[[#This Row],[G2AIMD (pingpong)]]/Table711[[#This Row],[gpu-hybrid-copy]]</f>
        <v>1.1107906504077867</v>
      </c>
      <c r="L55" s="170">
        <f>Table711[[#This Row],[G2AIMD (pingpong)]]/Table711[[#This Row],[gpu-layered]]</f>
        <v>1.1171687707630653</v>
      </c>
      <c r="M55" s="170">
        <f>Table711[[#This Row],[gpu-layered]]/Table711[[#This Row],[CPU+GPU]]</f>
        <v>0.92589471106758081</v>
      </c>
      <c r="N55" s="170" t="e">
        <f>Table711[[#This Row],[CPU Only (X &gt; 30m)]]/Table711[[#This Row],[CPU+GPU]]</f>
        <v>#VALUE!</v>
      </c>
      <c r="AJ55" s="77" t="s">
        <v>3919</v>
      </c>
      <c r="AK55">
        <v>5</v>
      </c>
      <c r="AM55" s="2">
        <v>2.0098569999999998</v>
      </c>
      <c r="AN55" s="105">
        <f ca="1">Table7[[#This Row],[cpuchunk=1]]/Table7[[#This Row],[CPU Only (30m X)]]</f>
        <v>1.0267573615056091</v>
      </c>
      <c r="AQ55" s="105" t="e">
        <f ca="1">Table7[[#This Row],[cpuchunk=1]]/Table7[[#This Row],[GPU_chunk10_ratio]]</f>
        <v>#DIV/0!</v>
      </c>
      <c r="AR55" s="2">
        <v>1.9574800000000001</v>
      </c>
    </row>
    <row r="56" spans="2:44" ht="26" x14ac:dyDescent="0.35">
      <c r="B56" s="98">
        <v>1</v>
      </c>
      <c r="C56" s="94" t="s">
        <v>3912</v>
      </c>
      <c r="D56" s="98">
        <v>7</v>
      </c>
      <c r="E56" s="137">
        <v>19.990193000000001</v>
      </c>
      <c r="F56" s="146">
        <v>18.188489000000001</v>
      </c>
      <c r="G56" s="166">
        <v>18.760000000000002</v>
      </c>
      <c r="H56" s="167">
        <v>22.04</v>
      </c>
      <c r="I56" s="135" t="s">
        <v>3986</v>
      </c>
      <c r="J56" s="137">
        <v>19.64</v>
      </c>
      <c r="K56" s="170">
        <f>Table711[[#This Row],[G2AIMD (pingpong)]]/Table711[[#This Row],[gpu-hybrid-copy]]</f>
        <v>0.90699605263157901</v>
      </c>
      <c r="L56" s="170">
        <f>Table711[[#This Row],[G2AIMD (pingpong)]]/Table711[[#This Row],[gpu-layered]]</f>
        <v>1.0990573763439064</v>
      </c>
      <c r="M56" s="170">
        <f>Table711[[#This Row],[gpu-layered]]/Table711[[#This Row],[CPU+GPU]]</f>
        <v>0.92609414460285133</v>
      </c>
      <c r="N56" s="170" t="e">
        <f>Table711[[#This Row],[CPU Only (X &gt; 30m)]]/Table711[[#This Row],[CPU+GPU]]</f>
        <v>#VALUE!</v>
      </c>
      <c r="AJ56" s="77" t="s">
        <v>1431</v>
      </c>
      <c r="AK56">
        <v>2</v>
      </c>
      <c r="AM56" s="2">
        <v>2.023552</v>
      </c>
      <c r="AN56" s="105">
        <f ca="1">Table7[[#This Row],[cpuchunk=1]]/Table7[[#This Row],[CPU Only (30m X)]]</f>
        <v>3.3839341257684104</v>
      </c>
      <c r="AQ56" s="105" t="e">
        <f ca="1">Table7[[#This Row],[cpuchunk=1]]/Table7[[#This Row],[GPU_chunk10_ratio]]</f>
        <v>#DIV/0!</v>
      </c>
      <c r="AR56" s="2">
        <v>0.59798799999999996</v>
      </c>
    </row>
    <row r="57" spans="2:44" ht="26" x14ac:dyDescent="0.35">
      <c r="B57" s="98">
        <v>1</v>
      </c>
      <c r="C57" s="94" t="s">
        <v>1436</v>
      </c>
      <c r="D57" s="98">
        <v>9</v>
      </c>
      <c r="E57" s="137">
        <v>52.928930999999999</v>
      </c>
      <c r="F57" s="166">
        <v>48.544631000000003</v>
      </c>
      <c r="G57" s="166">
        <v>48.416003000000003</v>
      </c>
      <c r="H57" s="168">
        <v>48.403063000000003</v>
      </c>
      <c r="I57" s="135" t="s">
        <v>3986</v>
      </c>
      <c r="J57" s="137">
        <v>57.73</v>
      </c>
      <c r="K57" s="170">
        <f>Table711[[#This Row],[G2AIMD (pingpong)]]/Table711[[#This Row],[gpu-hybrid-copy]]</f>
        <v>1.0935037520249493</v>
      </c>
      <c r="L57" s="170">
        <f>Table711[[#This Row],[G2AIMD (pingpong)]]/Table711[[#This Row],[gpu-layered]]</f>
        <v>1.0903148280187771</v>
      </c>
      <c r="M57" s="170">
        <f>Table711[[#This Row],[gpu-layered]]/Table711[[#This Row],[CPU+GPU]]</f>
        <v>0.84089088861943539</v>
      </c>
      <c r="N57" s="170" t="e">
        <f>Table711[[#This Row],[CPU Only (X &gt; 30m)]]/Table711[[#This Row],[CPU+GPU]]</f>
        <v>#VALUE!</v>
      </c>
      <c r="AJ57" s="77" t="s">
        <v>1</v>
      </c>
      <c r="AK57">
        <v>24</v>
      </c>
      <c r="AM57" s="2">
        <v>2.031037</v>
      </c>
      <c r="AN57" s="105">
        <f ca="1">Table7[[#This Row],[cpuchunk=1]]/Table7[[#This Row],[CPU Only (30m X)]]</f>
        <v>0.84627458464133365</v>
      </c>
      <c r="AQ57" s="105" t="e">
        <f ca="1">Table7[[#This Row],[cpuchunk=1]]/Table7[[#This Row],[GPU_chunk10_ratio]]</f>
        <v>#DIV/0!</v>
      </c>
      <c r="AR57" s="2">
        <v>2.3999739999999998</v>
      </c>
    </row>
    <row r="58" spans="2:44" ht="26" x14ac:dyDescent="0.35">
      <c r="B58" s="98">
        <v>1</v>
      </c>
      <c r="C58" s="94" t="s">
        <v>1433</v>
      </c>
      <c r="D58" s="98">
        <v>2</v>
      </c>
      <c r="E58" s="137">
        <v>28.529733</v>
      </c>
      <c r="F58" s="166">
        <v>26.229344000000001</v>
      </c>
      <c r="G58" s="166">
        <v>26.240309</v>
      </c>
      <c r="H58" s="168">
        <v>26.180481</v>
      </c>
      <c r="I58" s="135" t="s">
        <v>3986</v>
      </c>
      <c r="J58" s="137">
        <v>27.35</v>
      </c>
      <c r="K58" s="170">
        <f>Table711[[#This Row],[G2AIMD (pingpong)]]/Table711[[#This Row],[gpu-hybrid-copy]]</f>
        <v>1.0897329579238824</v>
      </c>
      <c r="L58" s="170">
        <f>Table711[[#This Row],[G2AIMD (pingpong)]]/Table711[[#This Row],[gpu-layered]]</f>
        <v>1.0877028796450265</v>
      </c>
      <c r="M58" s="170">
        <f>Table711[[#This Row],[gpu-layered]]/Table711[[#This Row],[CPU+GPU]]</f>
        <v>0.95902537477148075</v>
      </c>
      <c r="N58" s="170" t="e">
        <f>Table711[[#This Row],[CPU Only (X &gt; 30m)]]/Table711[[#This Row],[CPU+GPU]]</f>
        <v>#VALUE!</v>
      </c>
      <c r="AJ58" s="77" t="s">
        <v>1436</v>
      </c>
      <c r="AK58">
        <v>25</v>
      </c>
      <c r="AM58" s="2">
        <v>2.174401</v>
      </c>
      <c r="AN58" s="105">
        <f ca="1">Table7[[#This Row],[cpuchunk=1]]/Table7[[#This Row],[CPU Only (30m X)]]</f>
        <v>0.87325341365461839</v>
      </c>
      <c r="AQ58" s="105" t="e">
        <f ca="1">Table7[[#This Row],[cpuchunk=1]]/Table7[[#This Row],[GPU_chunk10_ratio]]</f>
        <v>#DIV/0!</v>
      </c>
      <c r="AR58" s="2">
        <v>2.4900000000000002</v>
      </c>
    </row>
    <row r="59" spans="2:44" ht="26" x14ac:dyDescent="0.35">
      <c r="B59" s="98">
        <v>1</v>
      </c>
      <c r="C59" s="94" t="s">
        <v>1434</v>
      </c>
      <c r="D59" s="98">
        <v>7</v>
      </c>
      <c r="E59" s="137">
        <v>76.175668000000002</v>
      </c>
      <c r="F59" s="146">
        <v>70.302897999999999</v>
      </c>
      <c r="G59" s="166">
        <v>72.11</v>
      </c>
      <c r="H59" s="167">
        <v>75.11</v>
      </c>
      <c r="I59" s="135" t="s">
        <v>3986</v>
      </c>
      <c r="J59" s="137">
        <v>75.81</v>
      </c>
      <c r="K59" s="170">
        <f>Table711[[#This Row],[G2AIMD (pingpong)]]/Table711[[#This Row],[gpu-hybrid-copy]]</f>
        <v>1.014188097457063</v>
      </c>
      <c r="L59" s="170">
        <f>Table711[[#This Row],[G2AIMD (pingpong)]]/Table711[[#This Row],[gpu-layered]]</f>
        <v>1.083535247721936</v>
      </c>
      <c r="M59" s="170">
        <f>Table711[[#This Row],[gpu-layered]]/Table711[[#This Row],[CPU+GPU]]</f>
        <v>0.92735652288616277</v>
      </c>
      <c r="N59" s="170" t="e">
        <f>Table711[[#This Row],[CPU Only (X &gt; 30m)]]/Table711[[#This Row],[CPU+GPU]]</f>
        <v>#VALUE!</v>
      </c>
      <c r="AJ59" s="77" t="s">
        <v>1449</v>
      </c>
      <c r="AK59">
        <v>25</v>
      </c>
      <c r="AM59" s="2">
        <v>2.2564649999999999</v>
      </c>
      <c r="AN59" s="105">
        <f ca="1">Table7[[#This Row],[cpuchunk=1]]/Table7[[#This Row],[CPU Only (30m X)]]</f>
        <v>0.97049377889430377</v>
      </c>
      <c r="AQ59" s="105" t="e">
        <f ca="1">Table7[[#This Row],[cpuchunk=1]]/Table7[[#This Row],[GPU_chunk10_ratio]]</f>
        <v>#DIV/0!</v>
      </c>
      <c r="AR59" s="2">
        <v>2.3250690000000001</v>
      </c>
    </row>
    <row r="60" spans="2:44" ht="26" x14ac:dyDescent="0.35">
      <c r="B60" s="98">
        <v>1</v>
      </c>
      <c r="C60" s="94" t="s">
        <v>1450</v>
      </c>
      <c r="D60" s="98">
        <v>5</v>
      </c>
      <c r="E60" s="137">
        <v>582.60663599999998</v>
      </c>
      <c r="F60" s="146">
        <v>540.18943400000001</v>
      </c>
      <c r="G60" s="166">
        <v>542.1</v>
      </c>
      <c r="H60" s="167">
        <v>546.05999999999995</v>
      </c>
      <c r="I60" s="135" t="s">
        <v>3986</v>
      </c>
      <c r="J60" s="137">
        <v>563.86</v>
      </c>
      <c r="K60" s="170">
        <f>Table711[[#This Row],[G2AIMD (pingpong)]]/Table711[[#This Row],[gpu-hybrid-copy]]</f>
        <v>1.0669278760575762</v>
      </c>
      <c r="L60" s="170">
        <f>Table711[[#This Row],[G2AIMD (pingpong)]]/Table711[[#This Row],[gpu-layered]]</f>
        <v>1.0785228279751951</v>
      </c>
      <c r="M60" s="170">
        <f>Table711[[#This Row],[gpu-layered]]/Table711[[#This Row],[CPU+GPU]]</f>
        <v>0.95802049090199692</v>
      </c>
      <c r="N60" s="170" t="e">
        <f>Table711[[#This Row],[CPU Only (X &gt; 30m)]]/Table711[[#This Row],[CPU+GPU]]</f>
        <v>#VALUE!</v>
      </c>
      <c r="AJ60" s="77" t="s">
        <v>1434</v>
      </c>
      <c r="AK60">
        <v>2</v>
      </c>
      <c r="AM60" s="2">
        <v>2.2730779999999999</v>
      </c>
      <c r="AN60" s="105">
        <f ca="1">Table7[[#This Row],[cpuchunk=1]]/Table7[[#This Row],[CPU Only (30m X)]]</f>
        <v>0.98241354257922886</v>
      </c>
      <c r="AQ60" s="105" t="e">
        <f ca="1">Table7[[#This Row],[cpuchunk=1]]/Table7[[#This Row],[GPU_chunk10_ratio]]</f>
        <v>#DIV/0!</v>
      </c>
      <c r="AR60" s="2">
        <v>2.3137690000000002</v>
      </c>
    </row>
    <row r="61" spans="2:44" ht="26" x14ac:dyDescent="0.35">
      <c r="B61" s="98">
        <v>1</v>
      </c>
      <c r="C61" s="94" t="s">
        <v>1461</v>
      </c>
      <c r="D61" s="98">
        <v>5</v>
      </c>
      <c r="E61" s="137">
        <v>140.261855</v>
      </c>
      <c r="F61" s="146">
        <v>130.19395800000001</v>
      </c>
      <c r="G61" s="166">
        <v>131.03888000000001</v>
      </c>
      <c r="H61" s="167">
        <v>135.52529799999999</v>
      </c>
      <c r="I61" s="135" t="s">
        <v>3986</v>
      </c>
      <c r="J61" s="137">
        <v>135.83000000000001</v>
      </c>
      <c r="K61" s="170">
        <f>Table711[[#This Row],[G2AIMD (pingpong)]]/Table711[[#This Row],[gpu-hybrid-copy]]</f>
        <v>1.0349496150895754</v>
      </c>
      <c r="L61" s="170">
        <f>Table711[[#This Row],[G2AIMD (pingpong)]]/Table711[[#This Row],[gpu-layered]]</f>
        <v>1.077329986388462</v>
      </c>
      <c r="M61" s="170">
        <f>Table711[[#This Row],[gpu-layered]]/Table711[[#This Row],[CPU+GPU]]</f>
        <v>0.95850664801590224</v>
      </c>
      <c r="N61" s="170" t="e">
        <f>Table711[[#This Row],[CPU Only (X &gt; 30m)]]/Table711[[#This Row],[CPU+GPU]]</f>
        <v>#VALUE!</v>
      </c>
      <c r="AJ61" s="77" t="s">
        <v>3912</v>
      </c>
      <c r="AK61">
        <v>25</v>
      </c>
      <c r="AM61" s="2">
        <v>2.3830969999999998</v>
      </c>
      <c r="AN61" s="105">
        <f ca="1">Table7[[#This Row],[cpuchunk=1]]/Table7[[#This Row],[CPU Only (30m X)]]</f>
        <v>0.94894387999912377</v>
      </c>
      <c r="AQ61" s="105" t="e">
        <f ca="1">Table7[[#This Row],[cpuchunk=1]]/Table7[[#This Row],[GPU_chunk10_ratio]]</f>
        <v>#DIV/0!</v>
      </c>
      <c r="AR61" s="2">
        <v>2.5113150000000002</v>
      </c>
    </row>
    <row r="62" spans="2:44" ht="26" x14ac:dyDescent="0.35">
      <c r="B62" s="98">
        <v>1</v>
      </c>
      <c r="C62" s="94" t="s">
        <v>1436</v>
      </c>
      <c r="D62" s="98">
        <v>2</v>
      </c>
      <c r="E62" s="137">
        <v>29.259466</v>
      </c>
      <c r="F62" s="146">
        <v>27.204583</v>
      </c>
      <c r="G62" s="166">
        <v>27.286231000000001</v>
      </c>
      <c r="H62" s="167">
        <v>27.217074</v>
      </c>
      <c r="I62" s="135" t="s">
        <v>3986</v>
      </c>
      <c r="J62" s="137">
        <v>28.91</v>
      </c>
      <c r="K62" s="170">
        <f>Table711[[#This Row],[G2AIMD (pingpong)]]/Table711[[#This Row],[gpu-hybrid-copy]]</f>
        <v>1.0750408364984421</v>
      </c>
      <c r="L62" s="170">
        <f>Table711[[#This Row],[G2AIMD (pingpong)]]/Table711[[#This Row],[gpu-layered]]</f>
        <v>1.0755344421195503</v>
      </c>
      <c r="M62" s="170">
        <f>Table711[[#This Row],[gpu-layered]]/Table711[[#This Row],[CPU+GPU]]</f>
        <v>0.94100944309927359</v>
      </c>
      <c r="N62" s="170" t="e">
        <f>Table711[[#This Row],[CPU Only (X &gt; 30m)]]/Table711[[#This Row],[CPU+GPU]]</f>
        <v>#VALUE!</v>
      </c>
      <c r="AJ62" s="77" t="s">
        <v>1431</v>
      </c>
      <c r="AK62">
        <v>5</v>
      </c>
      <c r="AM62" s="2">
        <v>2.4282240000000002</v>
      </c>
      <c r="AN62" s="105">
        <f ca="1">Table7[[#This Row],[cpuchunk=1]]/Table7[[#This Row],[CPU Only (30m X)]]</f>
        <v>2.3716367472115332</v>
      </c>
      <c r="AQ62" s="105" t="e">
        <f ca="1">Table7[[#This Row],[cpuchunk=1]]/Table7[[#This Row],[GPU_chunk10_ratio]]</f>
        <v>#DIV/0!</v>
      </c>
      <c r="AR62" s="2">
        <v>1.02386</v>
      </c>
    </row>
    <row r="63" spans="2:44" ht="26" x14ac:dyDescent="0.35">
      <c r="B63" s="98">
        <v>1</v>
      </c>
      <c r="C63" s="94" t="s">
        <v>1461</v>
      </c>
      <c r="D63" s="98">
        <v>7</v>
      </c>
      <c r="E63" s="137">
        <v>478.88740799999999</v>
      </c>
      <c r="F63" s="146">
        <v>448.63136500000002</v>
      </c>
      <c r="G63" s="166">
        <v>453.35</v>
      </c>
      <c r="H63" s="167">
        <v>454.16</v>
      </c>
      <c r="I63" s="135" t="s">
        <v>3986</v>
      </c>
      <c r="J63" s="137">
        <v>497.43</v>
      </c>
      <c r="K63" s="170">
        <f>Table711[[#This Row],[G2AIMD (pingpong)]]/Table711[[#This Row],[gpu-hybrid-copy]]</f>
        <v>1.0544464682050378</v>
      </c>
      <c r="L63" s="170">
        <f>Table711[[#This Row],[G2AIMD (pingpong)]]/Table711[[#This Row],[gpu-layered]]</f>
        <v>1.0674407662067942</v>
      </c>
      <c r="M63" s="170">
        <f>Table711[[#This Row],[gpu-layered]]/Table711[[#This Row],[CPU+GPU]]</f>
        <v>0.9018984882294997</v>
      </c>
      <c r="N63" s="170" t="e">
        <f>Table711[[#This Row],[CPU Only (X &gt; 30m)]]/Table711[[#This Row],[CPU+GPU]]</f>
        <v>#VALUE!</v>
      </c>
      <c r="AJ63" s="77" t="s">
        <v>1450</v>
      </c>
      <c r="AK63">
        <v>25</v>
      </c>
      <c r="AM63" s="2">
        <v>2.7511410000000001</v>
      </c>
      <c r="AN63" s="105">
        <f ca="1">Table7[[#This Row],[cpuchunk=1]]/Table7[[#This Row],[CPU Only (30m X)]]</f>
        <v>0.97401175268521034</v>
      </c>
      <c r="AQ63" s="105" t="e">
        <f ca="1">Table7[[#This Row],[cpuchunk=1]]/Table7[[#This Row],[GPU_chunk10_ratio]]</f>
        <v>#DIV/0!</v>
      </c>
      <c r="AR63" s="2">
        <v>2.8245459999999998</v>
      </c>
    </row>
    <row r="64" spans="2:44" ht="26" x14ac:dyDescent="0.35">
      <c r="B64" s="98">
        <v>1</v>
      </c>
      <c r="C64" s="94" t="s">
        <v>18</v>
      </c>
      <c r="D64" s="98">
        <v>5</v>
      </c>
      <c r="E64" s="137">
        <v>547.90130299999998</v>
      </c>
      <c r="F64" s="166">
        <v>515.21909300000004</v>
      </c>
      <c r="G64" s="146">
        <v>507.925364</v>
      </c>
      <c r="H64" s="167">
        <v>507.94913500000001</v>
      </c>
      <c r="I64" s="135" t="s">
        <v>3986</v>
      </c>
      <c r="J64" s="137">
        <v>520.49</v>
      </c>
      <c r="K64" s="170">
        <f>Table711[[#This Row],[G2AIMD (pingpong)]]/Table711[[#This Row],[gpu-hybrid-copy]]</f>
        <v>1.0786538754515251</v>
      </c>
      <c r="L64" s="170">
        <f>Table711[[#This Row],[G2AIMD (pingpong)]]/Table711[[#This Row],[gpu-layered]]</f>
        <v>1.0634336158035198</v>
      </c>
      <c r="M64" s="170">
        <f>Table711[[#This Row],[gpu-layered]]/Table711[[#This Row],[CPU+GPU]]</f>
        <v>0.98987318296220872</v>
      </c>
      <c r="N64" s="170" t="e">
        <f>Table711[[#This Row],[CPU Only (X &gt; 30m)]]/Table711[[#This Row],[CPU+GPU]]</f>
        <v>#VALUE!</v>
      </c>
      <c r="AJ64" s="77" t="s">
        <v>1461</v>
      </c>
      <c r="AK64">
        <v>24</v>
      </c>
      <c r="AM64" s="2">
        <v>2.8523550000000002</v>
      </c>
      <c r="AN64" s="105">
        <f ca="1">Table7[[#This Row],[cpuchunk=1]]/Table7[[#This Row],[CPU Only (30m X)]]</f>
        <v>0.82453757784362858</v>
      </c>
      <c r="AQ64" s="105" t="e">
        <f ca="1">Table7[[#This Row],[cpuchunk=1]]/Table7[[#This Row],[GPU_chunk10_ratio]]</f>
        <v>#DIV/0!</v>
      </c>
      <c r="AR64" s="2">
        <v>3.4593389999999999</v>
      </c>
    </row>
    <row r="65" spans="2:44" ht="26" x14ac:dyDescent="0.35">
      <c r="B65" s="98">
        <v>1</v>
      </c>
      <c r="C65" s="94" t="s">
        <v>1346</v>
      </c>
      <c r="D65" s="98">
        <v>7</v>
      </c>
      <c r="E65" s="137">
        <v>28.379384999999999</v>
      </c>
      <c r="F65" s="146">
        <v>26.721715</v>
      </c>
      <c r="G65" s="166">
        <v>27.15</v>
      </c>
      <c r="H65" s="167">
        <v>30.64</v>
      </c>
      <c r="I65" s="135" t="s">
        <v>3986</v>
      </c>
      <c r="J65" s="137">
        <v>30.8</v>
      </c>
      <c r="K65" s="170">
        <f>Table711[[#This Row],[G2AIMD (pingpong)]]/Table711[[#This Row],[gpu-hybrid-copy]]</f>
        <v>0.92622013707571793</v>
      </c>
      <c r="L65" s="170">
        <f>Table711[[#This Row],[G2AIMD (pingpong)]]/Table711[[#This Row],[gpu-layered]]</f>
        <v>1.0620345662694179</v>
      </c>
      <c r="M65" s="170">
        <f>Table711[[#This Row],[gpu-layered]]/Table711[[#This Row],[CPU+GPU]]</f>
        <v>0.86758814935064932</v>
      </c>
      <c r="N65" s="170" t="e">
        <f>Table711[[#This Row],[CPU Only (X &gt; 30m)]]/Table711[[#This Row],[CPU+GPU]]</f>
        <v>#VALUE!</v>
      </c>
      <c r="AJ65" s="77" t="s">
        <v>1371</v>
      </c>
      <c r="AK65">
        <v>5</v>
      </c>
      <c r="AM65" s="2">
        <v>2.8553199999999999</v>
      </c>
      <c r="AN65" s="105">
        <f ca="1">Table7[[#This Row],[cpuchunk=1]]/Table7[[#This Row],[CPU Only (30m X)]]</f>
        <v>0.88400000000000001</v>
      </c>
      <c r="AQ65" s="105" t="e">
        <f ca="1">Table7[[#This Row],[cpuchunk=1]]/Table7[[#This Row],[GPU_chunk10_ratio]]</f>
        <v>#DIV/0!</v>
      </c>
      <c r="AR65" s="2">
        <v>3.23</v>
      </c>
    </row>
    <row r="66" spans="2:44" ht="26" x14ac:dyDescent="0.35">
      <c r="B66" s="98">
        <v>1</v>
      </c>
      <c r="C66" s="94" t="s">
        <v>1448</v>
      </c>
      <c r="D66" s="98">
        <v>9</v>
      </c>
      <c r="E66" s="137">
        <v>14.808792</v>
      </c>
      <c r="F66" s="166">
        <v>13.964254</v>
      </c>
      <c r="G66" s="166">
        <v>13.923613</v>
      </c>
      <c r="H66" s="168">
        <v>13.921635999999999</v>
      </c>
      <c r="I66" s="135" t="s">
        <v>3986</v>
      </c>
      <c r="J66" s="137">
        <v>26.07</v>
      </c>
      <c r="K66" s="170">
        <f>Table711[[#This Row],[G2AIMD (pingpong)]]/Table711[[#This Row],[gpu-hybrid-copy]]</f>
        <v>1.0637249817478349</v>
      </c>
      <c r="L66" s="170">
        <f>Table711[[#This Row],[G2AIMD (pingpong)]]/Table711[[#This Row],[gpu-layered]]</f>
        <v>1.0604785619052761</v>
      </c>
      <c r="M66" s="170">
        <f>Table711[[#This Row],[gpu-layered]]/Table711[[#This Row],[CPU+GPU]]</f>
        <v>0.5356445723053318</v>
      </c>
      <c r="N66" s="170" t="e">
        <f>Table711[[#This Row],[CPU Only (X &gt; 30m)]]/Table711[[#This Row],[CPU+GPU]]</f>
        <v>#VALUE!</v>
      </c>
      <c r="AJ66" s="77" t="s">
        <v>1461</v>
      </c>
      <c r="AK66">
        <v>25</v>
      </c>
      <c r="AM66" s="2">
        <v>2.9992399999999999</v>
      </c>
      <c r="AN66" s="105">
        <f ca="1">Table7[[#This Row],[cpuchunk=1]]/Table7[[#This Row],[CPU Only (30m X)]]</f>
        <v>0.90769463104817782</v>
      </c>
      <c r="AQ66" s="105" t="e">
        <f ca="1">Table7[[#This Row],[cpuchunk=1]]/Table7[[#This Row],[GPU_chunk10_ratio]]</f>
        <v>#DIV/0!</v>
      </c>
      <c r="AR66" s="2">
        <v>3.3042389999999999</v>
      </c>
    </row>
    <row r="67" spans="2:44" ht="26" x14ac:dyDescent="0.35">
      <c r="B67" s="98">
        <v>1</v>
      </c>
      <c r="C67" s="94" t="s">
        <v>1423</v>
      </c>
      <c r="D67" s="98">
        <v>5</v>
      </c>
      <c r="E67" s="137">
        <v>170.47756100000001</v>
      </c>
      <c r="F67" s="166">
        <v>161.27854099999999</v>
      </c>
      <c r="G67" s="146">
        <v>160.60965400000001</v>
      </c>
      <c r="H67" s="167">
        <v>160.654089</v>
      </c>
      <c r="I67" s="135" t="s">
        <v>3986</v>
      </c>
      <c r="J67" s="137">
        <v>172.19</v>
      </c>
      <c r="K67" s="170">
        <f>Table711[[#This Row],[G2AIMD (pingpong)]]/Table711[[#This Row],[gpu-hybrid-copy]]</f>
        <v>1.0611467287334342</v>
      </c>
      <c r="L67" s="170">
        <f>Table711[[#This Row],[G2AIMD (pingpong)]]/Table711[[#This Row],[gpu-layered]]</f>
        <v>1.0570380903929433</v>
      </c>
      <c r="M67" s="170">
        <f>Table711[[#This Row],[gpu-layered]]/Table711[[#This Row],[CPU+GPU]]</f>
        <v>0.93663128520820016</v>
      </c>
      <c r="N67" s="170" t="e">
        <f>Table711[[#This Row],[CPU Only (X &gt; 30m)]]/Table711[[#This Row],[CPU+GPU]]</f>
        <v>#VALUE!</v>
      </c>
      <c r="AJ67" s="77" t="s">
        <v>1408</v>
      </c>
      <c r="AK67">
        <v>18</v>
      </c>
      <c r="AM67" s="2">
        <v>3.0108380000000001</v>
      </c>
      <c r="AN67" s="105">
        <f ca="1">Table7[[#This Row],[cpuchunk=1]]/Table7[[#This Row],[CPU Only (30m X)]]</f>
        <v>0.99060014318577838</v>
      </c>
      <c r="AQ67" s="105" t="e">
        <f ca="1">Table7[[#This Row],[cpuchunk=1]]/Table7[[#This Row],[GPU_chunk10_ratio]]</f>
        <v>#DIV/0!</v>
      </c>
      <c r="AR67" s="2">
        <v>3.0394079999999999</v>
      </c>
    </row>
    <row r="68" spans="2:44" ht="26" x14ac:dyDescent="0.35">
      <c r="B68" s="98">
        <v>1</v>
      </c>
      <c r="C68" s="94" t="s">
        <v>1449</v>
      </c>
      <c r="D68" s="98">
        <v>2</v>
      </c>
      <c r="E68" s="137">
        <v>46.799216999999999</v>
      </c>
      <c r="F68" s="146">
        <v>44.304222000000003</v>
      </c>
      <c r="G68" s="166">
        <v>44.380322999999997</v>
      </c>
      <c r="H68" s="167">
        <v>44.349592999999999</v>
      </c>
      <c r="I68" s="135" t="s">
        <v>3986</v>
      </c>
      <c r="J68" s="137">
        <v>45.97</v>
      </c>
      <c r="K68" s="170">
        <f>Table711[[#This Row],[G2AIMD (pingpong)]]/Table711[[#This Row],[gpu-hybrid-copy]]</f>
        <v>1.0552344189494591</v>
      </c>
      <c r="L68" s="170">
        <f>Table711[[#This Row],[G2AIMD (pingpong)]]/Table711[[#This Row],[gpu-layered]]</f>
        <v>1.0563150618015591</v>
      </c>
      <c r="M68" s="170">
        <f>Table711[[#This Row],[gpu-layered]]/Table711[[#This Row],[CPU+GPU]]</f>
        <v>0.96376380247987825</v>
      </c>
      <c r="N68" s="170" t="e">
        <f>Table711[[#This Row],[CPU Only (X &gt; 30m)]]/Table711[[#This Row],[CPU+GPU]]</f>
        <v>#VALUE!</v>
      </c>
      <c r="AJ68" s="77" t="s">
        <v>1408</v>
      </c>
      <c r="AK68">
        <v>6</v>
      </c>
      <c r="AM68" s="2">
        <v>3.2149070000000002</v>
      </c>
      <c r="AN68" s="105">
        <f ca="1">Table7[[#This Row],[cpuchunk=1]]/Table7[[#This Row],[CPU Only (30m X)]]</f>
        <v>2.1620465455347571</v>
      </c>
      <c r="AQ68" s="105" t="e">
        <f ca="1">Table7[[#This Row],[cpuchunk=1]]/Table7[[#This Row],[GPU_chunk10_ratio]]</f>
        <v>#DIV/0!</v>
      </c>
      <c r="AR68" s="2">
        <v>1.486974</v>
      </c>
    </row>
    <row r="69" spans="2:44" ht="26" x14ac:dyDescent="0.35">
      <c r="B69" s="98">
        <v>1</v>
      </c>
      <c r="C69" s="94" t="s">
        <v>1409</v>
      </c>
      <c r="D69" s="98">
        <v>9</v>
      </c>
      <c r="E69" s="137">
        <v>55.395792</v>
      </c>
      <c r="F69" s="146">
        <v>52.507688999999999</v>
      </c>
      <c r="G69" s="166">
        <v>52.609563999999999</v>
      </c>
      <c r="H69" s="167">
        <v>52.765434999999997</v>
      </c>
      <c r="I69" s="135" t="s">
        <v>3986</v>
      </c>
      <c r="J69" s="137">
        <v>93.31</v>
      </c>
      <c r="K69" s="170">
        <f>Table711[[#This Row],[G2AIMD (pingpong)]]/Table711[[#This Row],[gpu-hybrid-copy]]</f>
        <v>1.049850001236605</v>
      </c>
      <c r="L69" s="170">
        <f>Table711[[#This Row],[G2AIMD (pingpong)]]/Table711[[#This Row],[gpu-layered]]</f>
        <v>1.0550034300690705</v>
      </c>
      <c r="M69" s="170">
        <f>Table711[[#This Row],[gpu-layered]]/Table711[[#This Row],[CPU+GPU]]</f>
        <v>0.56272306290858431</v>
      </c>
      <c r="N69" s="170" t="e">
        <f>Table711[[#This Row],[CPU Only (X &gt; 30m)]]/Table711[[#This Row],[CPU+GPU]]</f>
        <v>#VALUE!</v>
      </c>
      <c r="AJ69" s="77" t="s">
        <v>18</v>
      </c>
      <c r="AK69">
        <v>25</v>
      </c>
      <c r="AM69" s="2">
        <v>3.3076409999999998</v>
      </c>
      <c r="AN69" s="105">
        <f ca="1">Table7[[#This Row],[cpuchunk=1]]/Table7[[#This Row],[CPU Only (30m X)]]</f>
        <v>0.93837913440165455</v>
      </c>
      <c r="AQ69" s="105" t="e">
        <f ca="1">Table7[[#This Row],[cpuchunk=1]]/Table7[[#This Row],[GPU_chunk10_ratio]]</f>
        <v>#DIV/0!</v>
      </c>
      <c r="AR69" s="2">
        <v>3.524845</v>
      </c>
    </row>
    <row r="70" spans="2:44" ht="26" x14ac:dyDescent="0.35">
      <c r="B70" s="98">
        <v>1</v>
      </c>
      <c r="C70" s="94" t="s">
        <v>1448</v>
      </c>
      <c r="D70" s="98">
        <v>5</v>
      </c>
      <c r="E70" s="137">
        <v>317.764993</v>
      </c>
      <c r="F70" s="166">
        <v>302.72099300000002</v>
      </c>
      <c r="G70" s="146">
        <v>301.500158</v>
      </c>
      <c r="H70" s="167">
        <v>301.80645500000003</v>
      </c>
      <c r="I70" s="135" t="s">
        <v>3986</v>
      </c>
      <c r="J70" s="137">
        <v>315.8</v>
      </c>
      <c r="K70" s="170">
        <f>Table711[[#This Row],[G2AIMD (pingpong)]]/Table711[[#This Row],[gpu-hybrid-copy]]</f>
        <v>1.0528767285643377</v>
      </c>
      <c r="L70" s="170">
        <f>Table711[[#This Row],[G2AIMD (pingpong)]]/Table711[[#This Row],[gpu-layered]]</f>
        <v>1.0496959257794189</v>
      </c>
      <c r="M70" s="170">
        <f>Table711[[#This Row],[gpu-layered]]/Table711[[#This Row],[CPU+GPU]]</f>
        <v>0.9585845250158328</v>
      </c>
      <c r="N70" s="170" t="e">
        <f>Table711[[#This Row],[CPU Only (X &gt; 30m)]]/Table711[[#This Row],[CPU+GPU]]</f>
        <v>#VALUE!</v>
      </c>
      <c r="AJ70" s="77" t="s">
        <v>1</v>
      </c>
      <c r="AK70">
        <v>2</v>
      </c>
      <c r="AM70" s="2">
        <v>3.6229019999999998</v>
      </c>
      <c r="AN70" s="105">
        <f ca="1">Table7[[#This Row],[cpuchunk=1]]/Table7[[#This Row],[CPU Only (30m X)]]</f>
        <v>0.387812115308449</v>
      </c>
      <c r="AQ70" s="105" t="e">
        <f ca="1">Table7[[#This Row],[cpuchunk=1]]/Table7[[#This Row],[GPU_chunk10_ratio]]</f>
        <v>#DIV/0!</v>
      </c>
      <c r="AR70" s="2">
        <v>9.3419000000000008</v>
      </c>
    </row>
    <row r="71" spans="2:44" ht="26" x14ac:dyDescent="0.35">
      <c r="B71" s="98">
        <v>1</v>
      </c>
      <c r="C71" s="94" t="s">
        <v>1425</v>
      </c>
      <c r="D71" s="98">
        <v>5</v>
      </c>
      <c r="E71" s="137">
        <v>107.200653</v>
      </c>
      <c r="F71" s="166">
        <v>102.262202</v>
      </c>
      <c r="G71" s="166">
        <v>102.179209</v>
      </c>
      <c r="H71" s="168">
        <v>101.933378</v>
      </c>
      <c r="I71" s="135" t="s">
        <v>3986</v>
      </c>
      <c r="J71" s="137">
        <v>107.55</v>
      </c>
      <c r="K71" s="170">
        <f>Table711[[#This Row],[G2AIMD (pingpong)]]/Table711[[#This Row],[gpu-hybrid-copy]]</f>
        <v>1.0516737020134856</v>
      </c>
      <c r="L71" s="170">
        <f>Table711[[#This Row],[G2AIMD (pingpong)]]/Table711[[#This Row],[gpu-layered]]</f>
        <v>1.0482920463613721</v>
      </c>
      <c r="M71" s="170">
        <f>Table711[[#This Row],[gpu-layered]]/Table711[[#This Row],[CPU+GPU]]</f>
        <v>0.95083404927940496</v>
      </c>
      <c r="N71" s="170" t="e">
        <f>Table711[[#This Row],[CPU Only (X &gt; 30m)]]/Table711[[#This Row],[CPU+GPU]]</f>
        <v>#VALUE!</v>
      </c>
      <c r="AJ71" s="77" t="s">
        <v>3919</v>
      </c>
      <c r="AK71">
        <v>7</v>
      </c>
      <c r="AM71" s="2">
        <v>3.7306889999999999</v>
      </c>
      <c r="AN71" s="105">
        <f ca="1">Table7[[#This Row],[cpuchunk=1]]/Table7[[#This Row],[CPU Only (30m X)]]</f>
        <v>0.98206651284676938</v>
      </c>
      <c r="AQ71" s="105" t="e">
        <f ca="1">Table7[[#This Row],[cpuchunk=1]]/Table7[[#This Row],[GPU_chunk10_ratio]]</f>
        <v>#DIV/0!</v>
      </c>
      <c r="AR71" s="2">
        <v>3.7988149999999998</v>
      </c>
    </row>
    <row r="72" spans="2:44" ht="26" x14ac:dyDescent="0.35">
      <c r="B72" s="98">
        <v>1</v>
      </c>
      <c r="C72" s="94" t="s">
        <v>1425</v>
      </c>
      <c r="D72" s="98">
        <v>7</v>
      </c>
      <c r="E72" s="137">
        <v>426.04929700000002</v>
      </c>
      <c r="F72" s="146">
        <v>411.01339899999999</v>
      </c>
      <c r="G72" s="166">
        <v>414.23</v>
      </c>
      <c r="H72" s="167">
        <v>416.72</v>
      </c>
      <c r="I72" s="135" t="s">
        <v>3986</v>
      </c>
      <c r="J72" s="137">
        <v>460.08</v>
      </c>
      <c r="K72" s="170">
        <f>Table711[[#This Row],[G2AIMD (pingpong)]]/Table711[[#This Row],[gpu-hybrid-copy]]</f>
        <v>1.0223874472067576</v>
      </c>
      <c r="L72" s="170">
        <f>Table711[[#This Row],[G2AIMD (pingpong)]]/Table711[[#This Row],[gpu-layered]]</f>
        <v>1.0365825008055274</v>
      </c>
      <c r="M72" s="170">
        <f>Table711[[#This Row],[gpu-layered]]/Table711[[#This Row],[CPU+GPU]]</f>
        <v>0.89335202356111987</v>
      </c>
      <c r="N72" s="170" t="e">
        <f>Table711[[#This Row],[CPU Only (X &gt; 30m)]]/Table711[[#This Row],[CPU+GPU]]</f>
        <v>#VALUE!</v>
      </c>
      <c r="AJ72" s="77" t="s">
        <v>18</v>
      </c>
      <c r="AK72">
        <v>24</v>
      </c>
      <c r="AM72" s="2">
        <v>3.8970630000000002</v>
      </c>
      <c r="AN72" s="105">
        <f ca="1">Table7[[#This Row],[cpuchunk=1]]/Table7[[#This Row],[CPU Only (30m X)]]</f>
        <v>1.0386528807292894</v>
      </c>
      <c r="AQ72" s="105" t="e">
        <f ca="1">Table7[[#This Row],[cpuchunk=1]]/Table7[[#This Row],[GPU_chunk10_ratio]]</f>
        <v>#DIV/0!</v>
      </c>
      <c r="AR72" s="2">
        <v>3.7520359999999999</v>
      </c>
    </row>
    <row r="73" spans="2:44" ht="26" x14ac:dyDescent="0.35">
      <c r="B73" s="98">
        <v>1</v>
      </c>
      <c r="C73" s="94" t="s">
        <v>1440</v>
      </c>
      <c r="D73" s="98">
        <v>9</v>
      </c>
      <c r="E73" s="137">
        <v>143.057703</v>
      </c>
      <c r="F73" s="166">
        <v>138.77937499999999</v>
      </c>
      <c r="G73" s="146">
        <v>138.30026100000001</v>
      </c>
      <c r="H73" s="167">
        <v>138.30904899999999</v>
      </c>
      <c r="I73" s="135" t="s">
        <v>3986</v>
      </c>
      <c r="J73" s="137">
        <v>147.19999999999999</v>
      </c>
      <c r="K73" s="170">
        <f>Table711[[#This Row],[G2AIMD (pingpong)]]/Table711[[#This Row],[gpu-hybrid-copy]]</f>
        <v>1.0343336465280737</v>
      </c>
      <c r="L73" s="170">
        <f>Table711[[#This Row],[G2AIMD (pingpong)]]/Table711[[#This Row],[gpu-layered]]</f>
        <v>1.0308282696906512</v>
      </c>
      <c r="M73" s="170">
        <f>Table711[[#This Row],[gpu-layered]]/Table711[[#This Row],[CPU+GPU]]</f>
        <v>0.94279466711956517</v>
      </c>
      <c r="N73" s="170" t="e">
        <f>Table711[[#This Row],[CPU Only (X &gt; 30m)]]/Table711[[#This Row],[CPU+GPU]]</f>
        <v>#VALUE!</v>
      </c>
      <c r="AJ73" s="77" t="s">
        <v>1434</v>
      </c>
      <c r="AK73">
        <v>25</v>
      </c>
      <c r="AM73" s="2">
        <v>3.970812</v>
      </c>
      <c r="AN73" s="105">
        <f ca="1">Table7[[#This Row],[cpuchunk=1]]/Table7[[#This Row],[CPU Only (30m X)]]</f>
        <v>0.96852994535876324</v>
      </c>
      <c r="AQ73" s="105" t="e">
        <f ca="1">Table7[[#This Row],[cpuchunk=1]]/Table7[[#This Row],[GPU_chunk10_ratio]]</f>
        <v>#DIV/0!</v>
      </c>
      <c r="AR73" s="2">
        <v>4.0998340000000004</v>
      </c>
    </row>
    <row r="74" spans="2:44" ht="26" x14ac:dyDescent="0.35">
      <c r="B74" s="98">
        <v>1</v>
      </c>
      <c r="C74" s="94" t="s">
        <v>1455</v>
      </c>
      <c r="D74" s="98">
        <v>2</v>
      </c>
      <c r="E74" s="137">
        <v>66.658944000000005</v>
      </c>
      <c r="F74" s="166">
        <v>64.671341999999996</v>
      </c>
      <c r="G74" s="166">
        <v>64.485517999999999</v>
      </c>
      <c r="H74" s="168">
        <v>64.471490000000003</v>
      </c>
      <c r="I74" s="135" t="s">
        <v>3986</v>
      </c>
      <c r="J74" s="137">
        <v>67.69</v>
      </c>
      <c r="K74" s="170">
        <f>Table711[[#This Row],[G2AIMD (pingpong)]]/Table711[[#This Row],[gpu-hybrid-copy]]</f>
        <v>1.0339290126535001</v>
      </c>
      <c r="L74" s="170">
        <f>Table711[[#This Row],[G2AIMD (pingpong)]]/Table711[[#This Row],[gpu-layered]]</f>
        <v>1.0307338913734001</v>
      </c>
      <c r="M74" s="170">
        <f>Table711[[#This Row],[gpu-layered]]/Table711[[#This Row],[CPU+GPU]]</f>
        <v>0.95540466834096616</v>
      </c>
      <c r="N74" s="170" t="e">
        <f>Table711[[#This Row],[CPU Only (X &gt; 30m)]]/Table711[[#This Row],[CPU+GPU]]</f>
        <v>#VALUE!</v>
      </c>
      <c r="AJ74" s="77" t="s">
        <v>1425</v>
      </c>
      <c r="AK74">
        <v>2</v>
      </c>
      <c r="AM74" s="2">
        <v>4.2398239999999996</v>
      </c>
      <c r="AN74" s="105">
        <f ca="1">Table7[[#This Row],[cpuchunk=1]]/Table7[[#This Row],[CPU Only (30m X)]]</f>
        <v>0.22140073107049607</v>
      </c>
      <c r="AQ74" s="105" t="e">
        <f ca="1">Table7[[#This Row],[cpuchunk=1]]/Table7[[#This Row],[GPU_chunk10_ratio]]</f>
        <v>#DIV/0!</v>
      </c>
      <c r="AR74" s="2">
        <v>19.149999999999999</v>
      </c>
    </row>
    <row r="75" spans="2:44" ht="26" x14ac:dyDescent="0.35">
      <c r="B75" s="98">
        <v>1</v>
      </c>
      <c r="C75" s="94" t="s">
        <v>1411</v>
      </c>
      <c r="D75" s="98">
        <v>5</v>
      </c>
      <c r="E75" s="137">
        <v>241.00033300000001</v>
      </c>
      <c r="F75" s="166">
        <v>233.81640899999999</v>
      </c>
      <c r="G75" s="146">
        <v>231.597522</v>
      </c>
      <c r="H75" s="167">
        <v>232.05175199999999</v>
      </c>
      <c r="I75" s="135" t="s">
        <v>3986</v>
      </c>
      <c r="J75" s="137">
        <v>236.29</v>
      </c>
      <c r="K75" s="170">
        <f>Table711[[#This Row],[G2AIMD (pingpong)]]/Table711[[#This Row],[gpu-hybrid-copy]]</f>
        <v>1.0385628676485925</v>
      </c>
      <c r="L75" s="170">
        <f>Table711[[#This Row],[G2AIMD (pingpong)]]/Table711[[#This Row],[gpu-layered]]</f>
        <v>1.0307246357547131</v>
      </c>
      <c r="M75" s="170">
        <f>Table711[[#This Row],[gpu-layered]]/Table711[[#This Row],[CPU+GPU]]</f>
        <v>0.98953154598163273</v>
      </c>
      <c r="N75" s="170" t="e">
        <f>Table711[[#This Row],[CPU Only (X &gt; 30m)]]/Table711[[#This Row],[CPU+GPU]]</f>
        <v>#VALUE!</v>
      </c>
      <c r="AJ75" s="77" t="s">
        <v>1411</v>
      </c>
      <c r="AK75">
        <v>9</v>
      </c>
      <c r="AM75" s="2">
        <v>4.4936379999999998</v>
      </c>
      <c r="AN75" s="105">
        <f ca="1">Table7[[#This Row],[cpuchunk=1]]/Table7[[#This Row],[CPU Only (30m X)]]</f>
        <v>0.12063457718120804</v>
      </c>
      <c r="AQ75" s="105" t="e">
        <f ca="1">Table7[[#This Row],[cpuchunk=1]]/Table7[[#This Row],[GPU_chunk10_ratio]]</f>
        <v>#DIV/0!</v>
      </c>
      <c r="AR75" s="2">
        <v>37.25</v>
      </c>
    </row>
    <row r="76" spans="2:44" ht="26" x14ac:dyDescent="0.35">
      <c r="B76" s="98">
        <v>1</v>
      </c>
      <c r="C76" s="94" t="s">
        <v>1448</v>
      </c>
      <c r="D76" s="98">
        <v>2</v>
      </c>
      <c r="E76" s="137">
        <v>12.071039000000001</v>
      </c>
      <c r="F76" s="146">
        <v>11.80391</v>
      </c>
      <c r="G76" s="166">
        <v>11.904071999999999</v>
      </c>
      <c r="H76" s="167">
        <v>11.820052</v>
      </c>
      <c r="I76" s="135" t="s">
        <v>3986</v>
      </c>
      <c r="J76" s="137">
        <v>13.1</v>
      </c>
      <c r="K76" s="170">
        <f>Table711[[#This Row],[G2AIMD (pingpong)]]/Table711[[#This Row],[gpu-hybrid-copy]]</f>
        <v>1.0212340013394188</v>
      </c>
      <c r="L76" s="170">
        <f>Table711[[#This Row],[G2AIMD (pingpong)]]/Table711[[#This Row],[gpu-layered]]</f>
        <v>1.0226305520797769</v>
      </c>
      <c r="M76" s="170">
        <f>Table711[[#This Row],[gpu-layered]]/Table711[[#This Row],[CPU+GPU]]</f>
        <v>0.90106183206106871</v>
      </c>
      <c r="N76" s="170" t="e">
        <f>Table711[[#This Row],[CPU Only (X &gt; 30m)]]/Table711[[#This Row],[CPU+GPU]]</f>
        <v>#VALUE!</v>
      </c>
      <c r="AJ76" s="77" t="s">
        <v>1</v>
      </c>
      <c r="AK76">
        <v>25</v>
      </c>
      <c r="AM76" s="2">
        <v>4.7557159999999996</v>
      </c>
      <c r="AN76" s="105">
        <f ca="1">Table7[[#This Row],[cpuchunk=1]]/Table7[[#This Row],[CPU Only (30m X)]]</f>
        <v>0.96199235740838018</v>
      </c>
      <c r="AQ76" s="105" t="e">
        <f ca="1">Table7[[#This Row],[cpuchunk=1]]/Table7[[#This Row],[GPU_chunk10_ratio]]</f>
        <v>#DIV/0!</v>
      </c>
      <c r="AR76" s="2">
        <v>4.9436109999999998</v>
      </c>
    </row>
    <row r="77" spans="2:44" ht="26" x14ac:dyDescent="0.35">
      <c r="B77" s="98">
        <v>1</v>
      </c>
      <c r="C77" s="94" t="s">
        <v>1409</v>
      </c>
      <c r="D77" s="98">
        <v>2</v>
      </c>
      <c r="E77" s="137">
        <v>113.499054</v>
      </c>
      <c r="F77" s="166">
        <v>111.25745999999999</v>
      </c>
      <c r="G77" s="166">
        <v>111.11881700000001</v>
      </c>
      <c r="H77" s="168">
        <v>110.583904</v>
      </c>
      <c r="I77" s="135" t="s">
        <v>3986</v>
      </c>
      <c r="J77" s="137">
        <v>114.11</v>
      </c>
      <c r="K77" s="170">
        <f>Table711[[#This Row],[G2AIMD (pingpong)]]/Table711[[#This Row],[gpu-hybrid-copy]]</f>
        <v>1.026361431406871</v>
      </c>
      <c r="L77" s="170">
        <f>Table711[[#This Row],[G2AIMD (pingpong)]]/Table711[[#This Row],[gpu-layered]]</f>
        <v>1.020147808515492</v>
      </c>
      <c r="M77" s="170">
        <f>Table711[[#This Row],[gpu-layered]]/Table711[[#This Row],[CPU+GPU]]</f>
        <v>0.97500184032950654</v>
      </c>
      <c r="N77" s="170" t="e">
        <f>Table711[[#This Row],[CPU Only (X &gt; 30m)]]/Table711[[#This Row],[CPU+GPU]]</f>
        <v>#VALUE!</v>
      </c>
      <c r="AJ77" s="77" t="s">
        <v>1391</v>
      </c>
      <c r="AK77">
        <v>5</v>
      </c>
      <c r="AM77" s="2">
        <v>4.8162799999999999</v>
      </c>
      <c r="AN77" s="105">
        <f ca="1">Table7[[#This Row],[cpuchunk=1]]/Table7[[#This Row],[CPU Only (30m X)]]</f>
        <v>1.3254570097766034</v>
      </c>
      <c r="AQ77" s="105" t="e">
        <f ca="1">Table7[[#This Row],[cpuchunk=1]]/Table7[[#This Row],[GPU_chunk10_ratio]]</f>
        <v>#DIV/0!</v>
      </c>
      <c r="AR77" s="2">
        <v>3.6336750000000002</v>
      </c>
    </row>
    <row r="78" spans="2:44" ht="26" x14ac:dyDescent="0.35">
      <c r="B78" s="98">
        <v>1</v>
      </c>
      <c r="C78" s="94" t="s">
        <v>1438</v>
      </c>
      <c r="D78" s="98">
        <v>2</v>
      </c>
      <c r="E78" s="137">
        <v>103.344572</v>
      </c>
      <c r="F78" s="166">
        <v>101.57598900000001</v>
      </c>
      <c r="G78" s="146">
        <v>101.208506</v>
      </c>
      <c r="H78" s="167">
        <v>101.263729</v>
      </c>
      <c r="I78" s="135" t="s">
        <v>3986</v>
      </c>
      <c r="J78" s="137">
        <v>103.33</v>
      </c>
      <c r="K78" s="170">
        <f>Table711[[#This Row],[G2AIMD (pingpong)]]/Table711[[#This Row],[gpu-hybrid-copy]]</f>
        <v>1.020548749493513</v>
      </c>
      <c r="L78" s="170">
        <f>Table711[[#This Row],[G2AIMD (pingpong)]]/Table711[[#This Row],[gpu-layered]]</f>
        <v>1.0174114278129254</v>
      </c>
      <c r="M78" s="170">
        <f>Table711[[#This Row],[gpu-layered]]/Table711[[#This Row],[CPU+GPU]]</f>
        <v>0.9830251524242718</v>
      </c>
      <c r="N78" s="170" t="e">
        <f>Table711[[#This Row],[CPU Only (X &gt; 30m)]]/Table711[[#This Row],[CPU+GPU]]</f>
        <v>#VALUE!</v>
      </c>
      <c r="AJ78" s="77" t="s">
        <v>1425</v>
      </c>
      <c r="AK78">
        <v>9</v>
      </c>
      <c r="AM78" s="2">
        <v>5.2190339999999997</v>
      </c>
      <c r="AN78" s="105">
        <f ca="1">Table7[[#This Row],[cpuchunk=1]]/Table7[[#This Row],[CPU Only (30m X)]]</f>
        <v>0.62279642004773261</v>
      </c>
      <c r="AQ78" s="105" t="e">
        <f ca="1">Table7[[#This Row],[cpuchunk=1]]/Table7[[#This Row],[GPU_chunk10_ratio]]</f>
        <v>#DIV/0!</v>
      </c>
      <c r="AR78" s="2">
        <v>8.3800000000000008</v>
      </c>
    </row>
    <row r="79" spans="2:44" ht="26" x14ac:dyDescent="0.35">
      <c r="B79" s="98">
        <v>1</v>
      </c>
      <c r="C79" s="94" t="s">
        <v>1440</v>
      </c>
      <c r="D79" s="98">
        <v>2</v>
      </c>
      <c r="E79" s="137">
        <v>257.65440699999999</v>
      </c>
      <c r="F79" s="166">
        <v>254.59750500000001</v>
      </c>
      <c r="G79" s="166">
        <v>254.583181</v>
      </c>
      <c r="H79" s="168">
        <v>253.83616000000001</v>
      </c>
      <c r="I79" s="135" t="s">
        <v>3986</v>
      </c>
      <c r="J79" s="137">
        <v>257.16000000000003</v>
      </c>
      <c r="K79" s="170">
        <f>Table711[[#This Row],[G2AIMD (pingpong)]]/Table711[[#This Row],[gpu-hybrid-copy]]</f>
        <v>1.0150421712966347</v>
      </c>
      <c r="L79" s="170">
        <f>Table711[[#This Row],[G2AIMD (pingpong)]]/Table711[[#This Row],[gpu-layered]]</f>
        <v>1.0120068026589655</v>
      </c>
      <c r="M79" s="170">
        <f>Table711[[#This Row],[gpu-layered]]/Table711[[#This Row],[CPU+GPU]]</f>
        <v>0.99003540597293505</v>
      </c>
      <c r="N79" s="170" t="e">
        <f>Table711[[#This Row],[CPU Only (X &gt; 30m)]]/Table711[[#This Row],[CPU+GPU]]</f>
        <v>#VALUE!</v>
      </c>
      <c r="AJ79" s="77" t="s">
        <v>3912</v>
      </c>
      <c r="AK79">
        <v>9</v>
      </c>
      <c r="AM79" s="2">
        <v>5.362946</v>
      </c>
      <c r="AN79" s="105">
        <f ca="1">Table7[[#This Row],[cpuchunk=1]]/Table7[[#This Row],[CPU Only (30m X)]]</f>
        <v>0.95669975754918268</v>
      </c>
      <c r="AQ79" s="105" t="e">
        <f ca="1">Table7[[#This Row],[cpuchunk=1]]/Table7[[#This Row],[GPU_chunk10_ratio]]</f>
        <v>#DIV/0!</v>
      </c>
      <c r="AR79" s="2">
        <v>5.6056730000000003</v>
      </c>
    </row>
    <row r="80" spans="2:44" ht="26" hidden="1" x14ac:dyDescent="0.35">
      <c r="B80" s="98">
        <v>1</v>
      </c>
      <c r="C80" s="94" t="s">
        <v>1371</v>
      </c>
      <c r="D80" s="98">
        <v>8</v>
      </c>
      <c r="E80" s="137">
        <v>15.318994999999999</v>
      </c>
      <c r="F80" s="146">
        <v>7.7371660000000002</v>
      </c>
      <c r="G80" s="166">
        <v>8.91</v>
      </c>
      <c r="H80" s="167">
        <v>11.48</v>
      </c>
      <c r="I80" s="135" t="s">
        <v>3986</v>
      </c>
      <c r="J80" s="137">
        <v>10.49</v>
      </c>
      <c r="K80" s="170">
        <f>Table711[[#This Row],[G2AIMD (pingpong)]]/Table711[[#This Row],[gpu-hybrid-copy]]</f>
        <v>1.3344072299651566</v>
      </c>
      <c r="L80" s="170">
        <f>Table711[[#This Row],[G2AIMD (pingpong)]]/Table711[[#This Row],[gpu-layered]]</f>
        <v>1.9799232690625999</v>
      </c>
      <c r="M80" s="170">
        <f>Table711[[#This Row],[gpu-layered]]/Table711[[#This Row],[CPU+GPU]]</f>
        <v>0.73757540514775977</v>
      </c>
      <c r="N80" s="170" t="e">
        <f>Table711[[#This Row],[CPU Only (X &gt; 30m)]]/Table711[[#This Row],[CPU+GPU]]</f>
        <v>#VALUE!</v>
      </c>
      <c r="AJ80" s="77" t="s">
        <v>1461</v>
      </c>
      <c r="AK80">
        <v>2</v>
      </c>
      <c r="AM80" s="2">
        <v>5.4978040000000004</v>
      </c>
      <c r="AN80" s="105">
        <f ca="1">Table7[[#This Row],[cpuchunk=1]]/Table7[[#This Row],[CPU Only (30m X)]]</f>
        <v>0.1884100068540096</v>
      </c>
      <c r="AQ80" s="105" t="e">
        <f ca="1">Table7[[#This Row],[cpuchunk=1]]/Table7[[#This Row],[GPU_chunk10_ratio]]</f>
        <v>#DIV/0!</v>
      </c>
      <c r="AR80" s="2">
        <v>29.18</v>
      </c>
    </row>
    <row r="81" spans="2:45" ht="26" x14ac:dyDescent="0.35">
      <c r="B81" s="98">
        <v>1</v>
      </c>
      <c r="C81" s="94" t="s">
        <v>18</v>
      </c>
      <c r="D81" s="98">
        <v>2</v>
      </c>
      <c r="E81" s="137">
        <v>65.804128000000006</v>
      </c>
      <c r="F81" s="166">
        <v>65.994421000000003</v>
      </c>
      <c r="G81" s="166">
        <v>65.272642000000005</v>
      </c>
      <c r="H81" s="168">
        <v>64.638947999999999</v>
      </c>
      <c r="I81" s="135" t="s">
        <v>3986</v>
      </c>
      <c r="J81" s="137">
        <v>72.959999999999994</v>
      </c>
      <c r="K81" s="170">
        <f>Table711[[#This Row],[G2AIMD (pingpong)]]/Table711[[#This Row],[gpu-hybrid-copy]]</f>
        <v>1.0180259740613353</v>
      </c>
      <c r="L81" s="170">
        <f>Table711[[#This Row],[G2AIMD (pingpong)]]/Table711[[#This Row],[gpu-layered]]</f>
        <v>0.9971165289865942</v>
      </c>
      <c r="M81" s="170">
        <f>Table711[[#This Row],[gpu-layered]]/Table711[[#This Row],[CPU+GPU]]</f>
        <v>0.90452879660087726</v>
      </c>
      <c r="N81" s="170" t="e">
        <f>Table711[[#This Row],[CPU Only (X &gt; 30m)]]/Table711[[#This Row],[CPU+GPU]]</f>
        <v>#VALUE!</v>
      </c>
      <c r="AJ81" s="77" t="s">
        <v>18</v>
      </c>
      <c r="AK81">
        <v>9</v>
      </c>
      <c r="AM81" s="2">
        <v>5.5034890000000001</v>
      </c>
      <c r="AN81" s="105">
        <f ca="1">Table7[[#This Row],[cpuchunk=1]]/Table7[[#This Row],[CPU Only (30m X)]]</f>
        <v>0.39282576730906499</v>
      </c>
      <c r="AQ81" s="105" t="e">
        <f ca="1">Table7[[#This Row],[cpuchunk=1]]/Table7[[#This Row],[GPU_chunk10_ratio]]</f>
        <v>#DIV/0!</v>
      </c>
      <c r="AR81" s="2">
        <v>14.01</v>
      </c>
    </row>
    <row r="82" spans="2:45" ht="26" x14ac:dyDescent="0.35">
      <c r="B82" s="98">
        <v>1</v>
      </c>
      <c r="C82" s="94" t="s">
        <v>1411</v>
      </c>
      <c r="D82" s="98">
        <v>2</v>
      </c>
      <c r="E82" s="137">
        <v>42.610433999999998</v>
      </c>
      <c r="F82" s="166">
        <v>43.725070000000002</v>
      </c>
      <c r="G82" s="166">
        <v>43.719253999999999</v>
      </c>
      <c r="H82" s="168">
        <v>43.239319000000002</v>
      </c>
      <c r="I82" s="135" t="s">
        <v>3986</v>
      </c>
      <c r="J82" s="137">
        <v>44.47</v>
      </c>
      <c r="K82" s="170">
        <f>Table711[[#This Row],[G2AIMD (pingpong)]]/Table711[[#This Row],[gpu-hybrid-copy]]</f>
        <v>0.98545571450836211</v>
      </c>
      <c r="L82" s="170">
        <f>Table711[[#This Row],[G2AIMD (pingpong)]]/Table711[[#This Row],[gpu-layered]]</f>
        <v>0.97450807968975228</v>
      </c>
      <c r="M82" s="170">
        <f>Table711[[#This Row],[gpu-layered]]/Table711[[#This Row],[CPU+GPU]]</f>
        <v>0.98324870699347888</v>
      </c>
      <c r="N82" s="170" t="e">
        <f>Table711[[#This Row],[CPU Only (X &gt; 30m)]]/Table711[[#This Row],[CPU+GPU]]</f>
        <v>#VALUE!</v>
      </c>
      <c r="AJ82" s="77" t="s">
        <v>1455</v>
      </c>
      <c r="AK82">
        <v>25</v>
      </c>
      <c r="AM82" s="2">
        <v>5.7600699999999998</v>
      </c>
      <c r="AN82" s="105">
        <f ca="1">Table7[[#This Row],[cpuchunk=1]]/Table7[[#This Row],[CPU Only (30m X)]]</f>
        <v>1.0397238267148015</v>
      </c>
      <c r="AQ82" s="105" t="e">
        <f ca="1">Table7[[#This Row],[cpuchunk=1]]/Table7[[#This Row],[GPU_chunk10_ratio]]</f>
        <v>#DIV/0!</v>
      </c>
      <c r="AR82" s="2">
        <v>5.54</v>
      </c>
    </row>
    <row r="83" spans="2:45" ht="26" hidden="1" x14ac:dyDescent="0.35">
      <c r="B83" s="98">
        <v>1</v>
      </c>
      <c r="C83" s="94" t="s">
        <v>1434</v>
      </c>
      <c r="D83" s="98">
        <v>9</v>
      </c>
      <c r="E83" s="137">
        <v>11.925243999999999</v>
      </c>
      <c r="F83" s="146">
        <v>9.8677430000000008</v>
      </c>
      <c r="G83" s="166">
        <v>10.130000000000001</v>
      </c>
      <c r="H83" s="167">
        <v>13.25</v>
      </c>
      <c r="I83" s="135">
        <v>784.80277100000001</v>
      </c>
      <c r="J83" s="137">
        <v>11.13</v>
      </c>
      <c r="K83" s="170">
        <f>Table711[[#This Row],[G2AIMD (pingpong)]]/Table711[[#This Row],[gpu-hybrid-copy]]</f>
        <v>0.90001841509433955</v>
      </c>
      <c r="L83" s="170">
        <f>Table711[[#This Row],[G2AIMD (pingpong)]]/Table711[[#This Row],[gpu-layered]]</f>
        <v>1.2085077610959263</v>
      </c>
      <c r="M83" s="170">
        <f>Table711[[#This Row],[gpu-layered]]/Table711[[#This Row],[CPU+GPU]]</f>
        <v>0.88658966756513924</v>
      </c>
      <c r="N83" s="170">
        <f>Table711[[#This Row],[CPU Only (X &gt; 30m)]]/Table711[[#This Row],[CPU+GPU]]</f>
        <v>70.512378346810422</v>
      </c>
      <c r="AJ83" s="77" t="s">
        <v>3919</v>
      </c>
      <c r="AK83">
        <v>8</v>
      </c>
      <c r="AM83" s="2">
        <v>6.0313509999999999</v>
      </c>
      <c r="AN83" s="105">
        <f ca="1">Table7[[#This Row],[cpuchunk=1]]/Table7[[#This Row],[CPU Only (30m X)]]</f>
        <v>1.0475083655982218</v>
      </c>
      <c r="AQ83" s="105" t="e">
        <f ca="1">Table7[[#This Row],[cpuchunk=1]]/Table7[[#This Row],[GPU_chunk10_ratio]]</f>
        <v>#DIV/0!</v>
      </c>
      <c r="AR83" s="2">
        <v>5.7578069999999997</v>
      </c>
    </row>
    <row r="84" spans="2:45" ht="26" hidden="1" x14ac:dyDescent="0.35">
      <c r="B84" s="98"/>
      <c r="C84" s="94" t="s">
        <v>1346</v>
      </c>
      <c r="D84" s="98">
        <v>6</v>
      </c>
      <c r="E84" s="137" t="s">
        <v>3986</v>
      </c>
      <c r="F84" s="137" t="s">
        <v>3986</v>
      </c>
      <c r="G84" s="137"/>
      <c r="H84" s="137" t="s">
        <v>3986</v>
      </c>
      <c r="I84" s="135" t="s">
        <v>3986</v>
      </c>
      <c r="J84" s="137" t="s">
        <v>3986</v>
      </c>
      <c r="K84" s="137" t="e">
        <f>Table711[[#This Row],[G2AIMD (pingpong)]]/Table711[[#This Row],[gpu-hybrid-copy]]</f>
        <v>#VALUE!</v>
      </c>
      <c r="L84" s="137" t="e">
        <f>Table711[[#This Row],[G2AIMD (pingpong)]]/Table711[[#This Row],[gpu-layered]]</f>
        <v>#VALUE!</v>
      </c>
      <c r="M84" s="137" t="e">
        <f>Table711[[#This Row],[gpu-layered]]/Table711[[#This Row],[CPU+GPU]]</f>
        <v>#VALUE!</v>
      </c>
      <c r="N84" s="169" t="e">
        <f>Table711[[#This Row],[CPU Only (X &gt; 30m)]]/Table711[[#This Row],[CPU+GPU]]</f>
        <v>#VALUE!</v>
      </c>
      <c r="AJ84" s="77" t="s">
        <v>1461</v>
      </c>
      <c r="AK84">
        <v>9</v>
      </c>
      <c r="AM84" s="2">
        <v>6.5457919999999996</v>
      </c>
      <c r="AN84" s="105">
        <f ca="1">Table7[[#This Row],[cpuchunk=1]]/Table7[[#This Row],[CPU Only (30m X)]]</f>
        <v>0.55099259259259248</v>
      </c>
      <c r="AQ84" s="105" t="e">
        <f ca="1">Table7[[#This Row],[cpuchunk=1]]/Table7[[#This Row],[GPU_chunk10_ratio]]</f>
        <v>#DIV/0!</v>
      </c>
      <c r="AR84" s="2">
        <v>11.88</v>
      </c>
    </row>
    <row r="85" spans="2:45" ht="26" hidden="1" x14ac:dyDescent="0.35">
      <c r="B85" s="98"/>
      <c r="C85" s="94" t="s">
        <v>1</v>
      </c>
      <c r="D85" s="98">
        <v>6</v>
      </c>
      <c r="E85" s="137" t="s">
        <v>3986</v>
      </c>
      <c r="F85" s="137" t="s">
        <v>3986</v>
      </c>
      <c r="G85" s="137"/>
      <c r="H85" s="137" t="s">
        <v>3986</v>
      </c>
      <c r="I85" s="135" t="s">
        <v>3986</v>
      </c>
      <c r="J85" s="137" t="s">
        <v>3986</v>
      </c>
      <c r="K85" s="137" t="e">
        <f>Table711[[#This Row],[G2AIMD (pingpong)]]/Table711[[#This Row],[gpu-hybrid-copy]]</f>
        <v>#VALUE!</v>
      </c>
      <c r="L85" s="137" t="e">
        <f>Table711[[#This Row],[G2AIMD (pingpong)]]/Table711[[#This Row],[gpu-layered]]</f>
        <v>#VALUE!</v>
      </c>
      <c r="M85" s="137" t="e">
        <f>Table711[[#This Row],[gpu-layered]]/Table711[[#This Row],[CPU+GPU]]</f>
        <v>#VALUE!</v>
      </c>
      <c r="N85" s="169" t="e">
        <f>Table711[[#This Row],[CPU Only (X &gt; 30m)]]/Table711[[#This Row],[CPU+GPU]]</f>
        <v>#VALUE!</v>
      </c>
      <c r="AJ85" s="77" t="s">
        <v>1423</v>
      </c>
      <c r="AK85">
        <v>9</v>
      </c>
      <c r="AM85" s="2">
        <v>8.3094400000000004</v>
      </c>
      <c r="AN85" s="105">
        <f ca="1">Table7[[#This Row],[cpuchunk=1]]/Table7[[#This Row],[CPU Only (30m X)]]</f>
        <v>0.59057853589196874</v>
      </c>
      <c r="AQ85" s="105" t="e">
        <f ca="1">Table7[[#This Row],[cpuchunk=1]]/Table7[[#This Row],[GPU_chunk10_ratio]]</f>
        <v>#DIV/0!</v>
      </c>
      <c r="AR85" s="2">
        <v>14.07</v>
      </c>
    </row>
    <row r="86" spans="2:45" ht="26" hidden="1" x14ac:dyDescent="0.35">
      <c r="B86" s="98"/>
      <c r="C86" s="94" t="s">
        <v>1</v>
      </c>
      <c r="D86" s="98">
        <v>7</v>
      </c>
      <c r="E86" s="137" t="s">
        <v>3986</v>
      </c>
      <c r="F86" s="137" t="s">
        <v>3986</v>
      </c>
      <c r="G86" s="137"/>
      <c r="H86" s="137" t="s">
        <v>3986</v>
      </c>
      <c r="I86" s="135" t="s">
        <v>3986</v>
      </c>
      <c r="J86" s="137" t="s">
        <v>3986</v>
      </c>
      <c r="K86" s="137" t="e">
        <f>Table711[[#This Row],[G2AIMD (pingpong)]]/Table711[[#This Row],[gpu-hybrid-copy]]</f>
        <v>#VALUE!</v>
      </c>
      <c r="L86" s="137" t="e">
        <f>Table711[[#This Row],[G2AIMD (pingpong)]]/Table711[[#This Row],[gpu-layered]]</f>
        <v>#VALUE!</v>
      </c>
      <c r="M86" s="137" t="e">
        <f>Table711[[#This Row],[gpu-layered]]/Table711[[#This Row],[CPU+GPU]]</f>
        <v>#VALUE!</v>
      </c>
      <c r="N86" s="169" t="e">
        <f>Table711[[#This Row],[CPU Only (X &gt; 30m)]]/Table711[[#This Row],[CPU+GPU]]</f>
        <v>#VALUE!</v>
      </c>
      <c r="AJ86" s="77" t="s">
        <v>1346</v>
      </c>
      <c r="AK86">
        <v>5</v>
      </c>
      <c r="AM86" s="2">
        <v>8.3391870000000008</v>
      </c>
      <c r="AN86" s="105">
        <f ca="1">Table7[[#This Row],[cpuchunk=1]]/Table7[[#This Row],[CPU Only (30m X)]]</f>
        <v>0.92657633333333345</v>
      </c>
      <c r="AQ86" s="105" t="e">
        <f ca="1">Table7[[#This Row],[cpuchunk=1]]/Table7[[#This Row],[GPU_chunk10_ratio]]</f>
        <v>#DIV/0!</v>
      </c>
      <c r="AR86" s="2">
        <v>9</v>
      </c>
    </row>
    <row r="87" spans="2:45" ht="26" hidden="1" x14ac:dyDescent="0.35">
      <c r="B87" s="98"/>
      <c r="C87" s="94" t="s">
        <v>1</v>
      </c>
      <c r="D87" s="98">
        <v>9</v>
      </c>
      <c r="E87" s="137" t="s">
        <v>3986</v>
      </c>
      <c r="F87" s="137" t="s">
        <v>3986</v>
      </c>
      <c r="G87" s="137"/>
      <c r="H87" s="137" t="s">
        <v>3986</v>
      </c>
      <c r="I87" s="135" t="s">
        <v>3986</v>
      </c>
      <c r="J87" s="137" t="s">
        <v>3986</v>
      </c>
      <c r="K87" s="137" t="e">
        <f>Table711[[#This Row],[G2AIMD (pingpong)]]/Table711[[#This Row],[gpu-hybrid-copy]]</f>
        <v>#VALUE!</v>
      </c>
      <c r="L87" s="137" t="e">
        <f>Table711[[#This Row],[G2AIMD (pingpong)]]/Table711[[#This Row],[gpu-layered]]</f>
        <v>#VALUE!</v>
      </c>
      <c r="M87" s="137" t="e">
        <f>Table711[[#This Row],[gpu-layered]]/Table711[[#This Row],[CPU+GPU]]</f>
        <v>#VALUE!</v>
      </c>
      <c r="N87" s="169" t="e">
        <f>Table711[[#This Row],[CPU Only (X &gt; 30m)]]/Table711[[#This Row],[CPU+GPU]]</f>
        <v>#VALUE!</v>
      </c>
      <c r="AJ87" s="77" t="s">
        <v>1423</v>
      </c>
      <c r="AK87">
        <v>2</v>
      </c>
      <c r="AM87" s="2">
        <v>8.7754530000000006</v>
      </c>
      <c r="AN87" s="105">
        <f ca="1">Table7[[#This Row],[cpuchunk=1]]/Table7[[#This Row],[CPU Only (30m X)]]</f>
        <v>0.33094065222376678</v>
      </c>
      <c r="AQ87" s="105" t="e">
        <f ca="1">Table7[[#This Row],[cpuchunk=1]]/Table7[[#This Row],[GPU_chunk10_ratio]]</f>
        <v>#DIV/0!</v>
      </c>
      <c r="AR87" s="2">
        <v>26.516697000000001</v>
      </c>
    </row>
    <row r="88" spans="2:45" ht="26" hidden="1" x14ac:dyDescent="0.35">
      <c r="B88" s="98"/>
      <c r="C88" s="94" t="s">
        <v>1461</v>
      </c>
      <c r="D88" s="98">
        <v>6</v>
      </c>
      <c r="E88" s="137" t="s">
        <v>3986</v>
      </c>
      <c r="F88" s="137" t="s">
        <v>3986</v>
      </c>
      <c r="G88" s="137"/>
      <c r="H88" s="137" t="s">
        <v>3986</v>
      </c>
      <c r="I88" s="135" t="s">
        <v>3986</v>
      </c>
      <c r="J88" s="137" t="s">
        <v>3986</v>
      </c>
      <c r="K88" s="137" t="e">
        <f>Table711[[#This Row],[G2AIMD (pingpong)]]/Table711[[#This Row],[gpu-hybrid-copy]]</f>
        <v>#VALUE!</v>
      </c>
      <c r="L88" s="137" t="e">
        <f>Table711[[#This Row],[G2AIMD (pingpong)]]/Table711[[#This Row],[gpu-layered]]</f>
        <v>#VALUE!</v>
      </c>
      <c r="M88" s="137" t="e">
        <f>Table711[[#This Row],[gpu-layered]]/Table711[[#This Row],[CPU+GPU]]</f>
        <v>#VALUE!</v>
      </c>
      <c r="N88" s="169" t="e">
        <f>Table711[[#This Row],[CPU Only (X &gt; 30m)]]/Table711[[#This Row],[CPU+GPU]]</f>
        <v>#VALUE!</v>
      </c>
      <c r="AJ88" s="77" t="s">
        <v>1371</v>
      </c>
      <c r="AK88">
        <v>7</v>
      </c>
      <c r="AM88" s="2">
        <v>8.8003280000000004</v>
      </c>
      <c r="AN88" s="105">
        <f ca="1">Table7[[#This Row],[cpuchunk=1]]/Table7[[#This Row],[CPU Only (30m X)]]</f>
        <v>0.91006494312306108</v>
      </c>
      <c r="AQ88" s="105" t="e">
        <f ca="1">Table7[[#This Row],[cpuchunk=1]]/Table7[[#This Row],[GPU_chunk10_ratio]]</f>
        <v>#DIV/0!</v>
      </c>
      <c r="AR88" s="2">
        <v>9.67</v>
      </c>
    </row>
    <row r="89" spans="2:45" ht="26" hidden="1" x14ac:dyDescent="0.35">
      <c r="B89" s="98"/>
      <c r="C89" s="94" t="s">
        <v>1461</v>
      </c>
      <c r="D89" s="98">
        <v>8</v>
      </c>
      <c r="E89" s="137" t="s">
        <v>3986</v>
      </c>
      <c r="F89" s="137" t="s">
        <v>3986</v>
      </c>
      <c r="G89" s="137"/>
      <c r="H89" s="137" t="s">
        <v>3986</v>
      </c>
      <c r="I89" s="135" t="s">
        <v>3986</v>
      </c>
      <c r="J89" s="137" t="s">
        <v>3986</v>
      </c>
      <c r="K89" s="137" t="e">
        <f>Table711[[#This Row],[G2AIMD (pingpong)]]/Table711[[#This Row],[gpu-hybrid-copy]]</f>
        <v>#VALUE!</v>
      </c>
      <c r="L89" s="137" t="e">
        <f>Table711[[#This Row],[G2AIMD (pingpong)]]/Table711[[#This Row],[gpu-layered]]</f>
        <v>#VALUE!</v>
      </c>
      <c r="M89" s="137" t="e">
        <f>Table711[[#This Row],[gpu-layered]]/Table711[[#This Row],[CPU+GPU]]</f>
        <v>#VALUE!</v>
      </c>
      <c r="N89" s="169" t="e">
        <f>Table711[[#This Row],[CPU Only (X &gt; 30m)]]/Table711[[#This Row],[CPU+GPU]]</f>
        <v>#VALUE!</v>
      </c>
      <c r="AJ89" s="77" t="s">
        <v>1391</v>
      </c>
      <c r="AK89">
        <v>7</v>
      </c>
      <c r="AM89" s="2">
        <v>9.1454550000000001</v>
      </c>
      <c r="AN89" s="105">
        <f ca="1">Table7[[#This Row],[cpuchunk=1]]/Table7[[#This Row],[CPU Only (30m X)]]</f>
        <v>0.99442259433197533</v>
      </c>
      <c r="AQ89" s="105" t="e">
        <f ca="1">Table7[[#This Row],[cpuchunk=1]]/Table7[[#This Row],[GPU_chunk10_ratio]]</f>
        <v>#DIV/0!</v>
      </c>
      <c r="AR89" s="2">
        <v>9.1967490000000005</v>
      </c>
    </row>
    <row r="90" spans="2:45" ht="26" hidden="1" x14ac:dyDescent="0.35">
      <c r="B90" s="98"/>
      <c r="C90" s="94" t="s">
        <v>1391</v>
      </c>
      <c r="D90" s="98">
        <v>6</v>
      </c>
      <c r="E90" s="137" t="s">
        <v>3986</v>
      </c>
      <c r="F90" s="137" t="s">
        <v>3986</v>
      </c>
      <c r="G90" s="137"/>
      <c r="H90" s="137" t="s">
        <v>3986</v>
      </c>
      <c r="I90" s="135" t="s">
        <v>3986</v>
      </c>
      <c r="J90" s="137" t="s">
        <v>3986</v>
      </c>
      <c r="K90" s="137" t="e">
        <f>Table711[[#This Row],[G2AIMD (pingpong)]]/Table711[[#This Row],[gpu-hybrid-copy]]</f>
        <v>#VALUE!</v>
      </c>
      <c r="L90" s="137" t="e">
        <f>Table711[[#This Row],[G2AIMD (pingpong)]]/Table711[[#This Row],[gpu-layered]]</f>
        <v>#VALUE!</v>
      </c>
      <c r="M90" s="137" t="e">
        <f>Table711[[#This Row],[gpu-layered]]/Table711[[#This Row],[CPU+GPU]]</f>
        <v>#VALUE!</v>
      </c>
      <c r="N90" s="169" t="e">
        <f>Table711[[#This Row],[CPU Only (X &gt; 30m)]]/Table711[[#This Row],[CPU+GPU]]</f>
        <v>#VALUE!</v>
      </c>
      <c r="AJ90" s="77" t="s">
        <v>3912</v>
      </c>
      <c r="AK90">
        <v>5</v>
      </c>
      <c r="AM90" s="2">
        <v>9.7607599999999994</v>
      </c>
      <c r="AN90" s="105">
        <f ca="1">Table7[[#This Row],[cpuchunk=1]]/Table7[[#This Row],[CPU Only (30m X)]]</f>
        <v>0.98360926665142989</v>
      </c>
      <c r="AQ90" s="105" t="e">
        <f ca="1">Table7[[#This Row],[cpuchunk=1]]/Table7[[#This Row],[GPU_chunk10_ratio]]</f>
        <v>#DIV/0!</v>
      </c>
      <c r="AR90" s="2">
        <v>9.9234120000000008</v>
      </c>
    </row>
    <row r="91" spans="2:45" ht="29" hidden="1" x14ac:dyDescent="0.35">
      <c r="B91" s="98"/>
      <c r="C91" s="94" t="s">
        <v>1440</v>
      </c>
      <c r="D91" s="98">
        <v>5</v>
      </c>
      <c r="E91" s="137" t="s">
        <v>3986</v>
      </c>
      <c r="F91" s="137" t="s">
        <v>3986</v>
      </c>
      <c r="G91" s="137"/>
      <c r="H91" s="137" t="s">
        <v>3986</v>
      </c>
      <c r="I91" s="135" t="s">
        <v>3986</v>
      </c>
      <c r="J91" s="137" t="s">
        <v>3986</v>
      </c>
      <c r="K91" s="137" t="e">
        <f>Table711[[#This Row],[G2AIMD (pingpong)]]/Table711[[#This Row],[gpu-hybrid-copy]]</f>
        <v>#VALUE!</v>
      </c>
      <c r="L91" s="137" t="e">
        <f>Table711[[#This Row],[G2AIMD (pingpong)]]/Table711[[#This Row],[gpu-layered]]</f>
        <v>#VALUE!</v>
      </c>
      <c r="M91" s="137" t="e">
        <f>Table711[[#This Row],[gpu-layered]]/Table711[[#This Row],[CPU+GPU]]</f>
        <v>#VALUE!</v>
      </c>
      <c r="N91" s="169" t="e">
        <f>Table711[[#This Row],[CPU Only (X &gt; 30m)]]/Table711[[#This Row],[CPU+GPU]]</f>
        <v>#VALUE!</v>
      </c>
      <c r="AI91">
        <v>1</v>
      </c>
      <c r="AJ91" s="77" t="s">
        <v>1371</v>
      </c>
      <c r="AK91">
        <v>8</v>
      </c>
      <c r="AL91" s="77">
        <v>15.318994999999999</v>
      </c>
      <c r="AM91" s="128">
        <v>10.159229</v>
      </c>
      <c r="AN91" s="47">
        <v>9.8000000000000007</v>
      </c>
      <c r="AO91" s="36">
        <v>10.49</v>
      </c>
      <c r="AP91" s="36">
        <v>13.33</v>
      </c>
      <c r="AQ91" s="126">
        <f ca="1">Table7[[#This Row],[cpuchunk=1]]/Table7[[#This Row],[GPU_chunk10_ratio]]</f>
        <v>0.76213270817704426</v>
      </c>
      <c r="AR91" s="2">
        <v>10.119999999999999</v>
      </c>
      <c r="AS91" s="132">
        <v>1844.568945</v>
      </c>
    </row>
    <row r="92" spans="2:45" ht="29" hidden="1" x14ac:dyDescent="0.35">
      <c r="B92" s="98"/>
      <c r="C92" s="94" t="s">
        <v>1440</v>
      </c>
      <c r="D92" s="98">
        <v>6</v>
      </c>
      <c r="E92" s="137" t="s">
        <v>3986</v>
      </c>
      <c r="F92" s="137" t="s">
        <v>3986</v>
      </c>
      <c r="G92" s="137"/>
      <c r="H92" s="137" t="s">
        <v>3986</v>
      </c>
      <c r="I92" s="135" t="s">
        <v>3986</v>
      </c>
      <c r="J92" s="137" t="s">
        <v>3986</v>
      </c>
      <c r="K92" s="137" t="e">
        <f>Table711[[#This Row],[G2AIMD (pingpong)]]/Table711[[#This Row],[gpu-hybrid-copy]]</f>
        <v>#VALUE!</v>
      </c>
      <c r="L92" s="137" t="e">
        <f>Table711[[#This Row],[G2AIMD (pingpong)]]/Table711[[#This Row],[gpu-layered]]</f>
        <v>#VALUE!</v>
      </c>
      <c r="M92" s="137" t="e">
        <f>Table711[[#This Row],[gpu-layered]]/Table711[[#This Row],[CPU+GPU]]</f>
        <v>#VALUE!</v>
      </c>
      <c r="N92" s="169" t="e">
        <f>Table711[[#This Row],[CPU Only (X &gt; 30m)]]/Table711[[#This Row],[CPU+GPU]]</f>
        <v>#VALUE!</v>
      </c>
      <c r="AI92">
        <v>1</v>
      </c>
      <c r="AJ92" s="77" t="s">
        <v>1448</v>
      </c>
      <c r="AK92">
        <v>2</v>
      </c>
      <c r="AL92" s="77">
        <v>12.071039000000001</v>
      </c>
      <c r="AM92" s="128">
        <v>10.268869</v>
      </c>
      <c r="AN92" s="47">
        <v>12.47</v>
      </c>
      <c r="AO92" s="36">
        <v>13.1</v>
      </c>
      <c r="AP92" s="36">
        <v>12.38</v>
      </c>
      <c r="AQ92" s="126">
        <f ca="1">Table7[[#This Row],[cpuchunk=1]]/Table7[[#This Row],[GPU_chunk10_ratio]]</f>
        <v>0.82947245557350568</v>
      </c>
      <c r="AR92" s="2">
        <v>33.94</v>
      </c>
      <c r="AS92" s="132" t="s">
        <v>3986</v>
      </c>
    </row>
    <row r="93" spans="2:45" ht="29" hidden="1" x14ac:dyDescent="0.35">
      <c r="B93" s="98"/>
      <c r="C93" s="94" t="s">
        <v>1440</v>
      </c>
      <c r="D93" s="98">
        <v>7</v>
      </c>
      <c r="E93" s="137" t="s">
        <v>3986</v>
      </c>
      <c r="F93" s="137" t="s">
        <v>3986</v>
      </c>
      <c r="G93" s="137"/>
      <c r="H93" s="137" t="s">
        <v>3986</v>
      </c>
      <c r="I93" s="135" t="s">
        <v>3986</v>
      </c>
      <c r="J93" s="137" t="s">
        <v>3986</v>
      </c>
      <c r="K93" s="137" t="e">
        <f>Table711[[#This Row],[G2AIMD (pingpong)]]/Table711[[#This Row],[gpu-hybrid-copy]]</f>
        <v>#VALUE!</v>
      </c>
      <c r="L93" s="137" t="e">
        <f>Table711[[#This Row],[G2AIMD (pingpong)]]/Table711[[#This Row],[gpu-layered]]</f>
        <v>#VALUE!</v>
      </c>
      <c r="M93" s="137" t="e">
        <f>Table711[[#This Row],[gpu-layered]]/Table711[[#This Row],[CPU+GPU]]</f>
        <v>#VALUE!</v>
      </c>
      <c r="N93" s="169" t="e">
        <f>Table711[[#This Row],[CPU Only (X &gt; 30m)]]/Table711[[#This Row],[CPU+GPU]]</f>
        <v>#VALUE!</v>
      </c>
      <c r="AI93">
        <v>1</v>
      </c>
      <c r="AJ93" s="77" t="s">
        <v>1434</v>
      </c>
      <c r="AK93">
        <v>9</v>
      </c>
      <c r="AL93" s="77">
        <v>11.925243999999999</v>
      </c>
      <c r="AM93" s="128">
        <v>11.339861000000001</v>
      </c>
      <c r="AN93" s="47">
        <v>10.944299000000001</v>
      </c>
      <c r="AO93" s="36">
        <v>11.13</v>
      </c>
      <c r="AP93" s="36">
        <v>12.09</v>
      </c>
      <c r="AQ93" s="126">
        <f ca="1">Table7[[#This Row],[cpuchunk=1]]/Table7[[#This Row],[GPU_chunk10_ratio]]</f>
        <v>0.93795376344086034</v>
      </c>
      <c r="AR93" s="2">
        <v>10.973511999999999</v>
      </c>
      <c r="AS93" s="132">
        <v>784.80277100000001</v>
      </c>
    </row>
    <row r="94" spans="2:45" ht="29" hidden="1" x14ac:dyDescent="0.35">
      <c r="B94" s="98"/>
      <c r="C94" s="94" t="s">
        <v>1440</v>
      </c>
      <c r="D94" s="98">
        <v>8</v>
      </c>
      <c r="E94" s="137" t="s">
        <v>3986</v>
      </c>
      <c r="F94" s="137" t="s">
        <v>3986</v>
      </c>
      <c r="G94" s="137"/>
      <c r="H94" s="137" t="s">
        <v>3986</v>
      </c>
      <c r="I94" s="135" t="s">
        <v>3986</v>
      </c>
      <c r="J94" s="137" t="s">
        <v>3986</v>
      </c>
      <c r="K94" s="137" t="e">
        <f>Table711[[#This Row],[G2AIMD (pingpong)]]/Table711[[#This Row],[gpu-hybrid-copy]]</f>
        <v>#VALUE!</v>
      </c>
      <c r="L94" s="137" t="e">
        <f>Table711[[#This Row],[G2AIMD (pingpong)]]/Table711[[#This Row],[gpu-layered]]</f>
        <v>#VALUE!</v>
      </c>
      <c r="M94" s="137" t="e">
        <f>Table711[[#This Row],[gpu-layered]]/Table711[[#This Row],[CPU+GPU]]</f>
        <v>#VALUE!</v>
      </c>
      <c r="N94" s="169" t="e">
        <f>Table711[[#This Row],[CPU Only (X &gt; 30m)]]/Table711[[#This Row],[CPU+GPU]]</f>
        <v>#VALUE!</v>
      </c>
      <c r="AI94">
        <v>1</v>
      </c>
      <c r="AJ94" s="77" t="s">
        <v>1448</v>
      </c>
      <c r="AK94">
        <v>9</v>
      </c>
      <c r="AL94" s="77">
        <v>14.808792</v>
      </c>
      <c r="AM94" s="128">
        <v>14.022862</v>
      </c>
      <c r="AN94" s="47">
        <v>20.95</v>
      </c>
      <c r="AO94" s="36">
        <v>26.07</v>
      </c>
      <c r="AP94" s="36">
        <v>15.63</v>
      </c>
      <c r="AQ94" s="126">
        <f ca="1">Table7[[#This Row],[cpuchunk=1]]/Table7[[#This Row],[GPU_chunk10_ratio]]</f>
        <v>0.8971760716570697</v>
      </c>
      <c r="AR94" s="2">
        <v>35.89</v>
      </c>
      <c r="AS94" s="132" t="s">
        <v>3986</v>
      </c>
    </row>
    <row r="95" spans="2:45" ht="29" hidden="1" x14ac:dyDescent="0.35">
      <c r="B95" s="98"/>
      <c r="C95" s="94" t="s">
        <v>1450</v>
      </c>
      <c r="D95" s="98">
        <v>6</v>
      </c>
      <c r="E95" s="137" t="s">
        <v>3986</v>
      </c>
      <c r="F95" s="137" t="s">
        <v>3986</v>
      </c>
      <c r="G95" s="137"/>
      <c r="H95" s="137" t="s">
        <v>3986</v>
      </c>
      <c r="I95" s="135" t="s">
        <v>3986</v>
      </c>
      <c r="J95" s="137" t="s">
        <v>3986</v>
      </c>
      <c r="K95" s="137" t="e">
        <f>Table711[[#This Row],[G2AIMD (pingpong)]]/Table711[[#This Row],[gpu-hybrid-copy]]</f>
        <v>#VALUE!</v>
      </c>
      <c r="L95" s="137" t="e">
        <f>Table711[[#This Row],[G2AIMD (pingpong)]]/Table711[[#This Row],[gpu-layered]]</f>
        <v>#VALUE!</v>
      </c>
      <c r="M95" s="137" t="e">
        <f>Table711[[#This Row],[gpu-layered]]/Table711[[#This Row],[CPU+GPU]]</f>
        <v>#VALUE!</v>
      </c>
      <c r="N95" s="169" t="e">
        <f>Table711[[#This Row],[CPU Only (X &gt; 30m)]]/Table711[[#This Row],[CPU+GPU]]</f>
        <v>#VALUE!</v>
      </c>
      <c r="AI95">
        <v>1</v>
      </c>
      <c r="AJ95" s="77" t="s">
        <v>3919</v>
      </c>
      <c r="AK95">
        <v>6</v>
      </c>
      <c r="AL95" s="77">
        <v>18.152170999999999</v>
      </c>
      <c r="AM95" s="128">
        <v>14.641228999999999</v>
      </c>
      <c r="AN95" s="47">
        <v>14.524549</v>
      </c>
      <c r="AO95" s="36">
        <v>14.290449000000001</v>
      </c>
      <c r="AP95" s="36">
        <v>14.21</v>
      </c>
      <c r="AQ95" s="126">
        <f ca="1">Table7[[#This Row],[cpuchunk=1]]/Table7[[#This Row],[GPU_chunk10_ratio]]</f>
        <v>1.0303468684025332</v>
      </c>
      <c r="AR95" s="2">
        <v>14.312435000000001</v>
      </c>
      <c r="AS95" s="132">
        <v>122.148618</v>
      </c>
    </row>
    <row r="96" spans="2:45" ht="29" hidden="1" x14ac:dyDescent="0.35">
      <c r="B96" s="98"/>
      <c r="C96" s="94" t="s">
        <v>1450</v>
      </c>
      <c r="D96" s="98">
        <v>7</v>
      </c>
      <c r="E96" s="137" t="s">
        <v>3986</v>
      </c>
      <c r="F96" s="137" t="s">
        <v>3986</v>
      </c>
      <c r="G96" s="137"/>
      <c r="H96" s="137" t="s">
        <v>3986</v>
      </c>
      <c r="I96" s="135" t="s">
        <v>3986</v>
      </c>
      <c r="J96" s="137" t="s">
        <v>3986</v>
      </c>
      <c r="K96" s="137" t="e">
        <f>Table711[[#This Row],[G2AIMD (pingpong)]]/Table711[[#This Row],[gpu-hybrid-copy]]</f>
        <v>#VALUE!</v>
      </c>
      <c r="L96" s="137" t="e">
        <f>Table711[[#This Row],[G2AIMD (pingpong)]]/Table711[[#This Row],[gpu-layered]]</f>
        <v>#VALUE!</v>
      </c>
      <c r="M96" s="137" t="e">
        <f>Table711[[#This Row],[gpu-layered]]/Table711[[#This Row],[CPU+GPU]]</f>
        <v>#VALUE!</v>
      </c>
      <c r="N96" s="169" t="e">
        <f>Table711[[#This Row],[CPU Only (X &gt; 30m)]]/Table711[[#This Row],[CPU+GPU]]</f>
        <v>#VALUE!</v>
      </c>
      <c r="AI96">
        <v>1</v>
      </c>
      <c r="AJ96" s="77" t="s">
        <v>1450</v>
      </c>
      <c r="AK96">
        <v>2</v>
      </c>
      <c r="AL96" s="77">
        <v>21.122053000000001</v>
      </c>
      <c r="AM96" s="128">
        <v>16.624081</v>
      </c>
      <c r="AN96" s="47">
        <v>19.920000000000002</v>
      </c>
      <c r="AO96" s="36">
        <v>20.420000000000002</v>
      </c>
      <c r="AP96" s="36">
        <v>19.739999999999998</v>
      </c>
      <c r="AQ96" s="126">
        <f ca="1">Table7[[#This Row],[cpuchunk=1]]/Table7[[#This Row],[GPU_chunk10_ratio]]</f>
        <v>0.84215202634245201</v>
      </c>
      <c r="AR96" s="2">
        <v>38.707056000000001</v>
      </c>
      <c r="AS96" s="132" t="s">
        <v>3986</v>
      </c>
    </row>
    <row r="97" spans="2:45" ht="29" hidden="1" x14ac:dyDescent="0.35">
      <c r="B97" s="98"/>
      <c r="C97" s="94" t="s">
        <v>1450</v>
      </c>
      <c r="D97" s="98">
        <v>8</v>
      </c>
      <c r="E97" s="137" t="s">
        <v>3986</v>
      </c>
      <c r="F97" s="137" t="s">
        <v>3986</v>
      </c>
      <c r="G97" s="137"/>
      <c r="H97" s="137" t="s">
        <v>3986</v>
      </c>
      <c r="I97" s="135" t="s">
        <v>3986</v>
      </c>
      <c r="J97" s="137" t="s">
        <v>3986</v>
      </c>
      <c r="K97" s="137" t="e">
        <f>Table711[[#This Row],[G2AIMD (pingpong)]]/Table711[[#This Row],[gpu-hybrid-copy]]</f>
        <v>#VALUE!</v>
      </c>
      <c r="L97" s="137" t="e">
        <f>Table711[[#This Row],[G2AIMD (pingpong)]]/Table711[[#This Row],[gpu-layered]]</f>
        <v>#VALUE!</v>
      </c>
      <c r="M97" s="137" t="e">
        <f>Table711[[#This Row],[gpu-layered]]/Table711[[#This Row],[CPU+GPU]]</f>
        <v>#VALUE!</v>
      </c>
      <c r="N97" s="169" t="e">
        <f>Table711[[#This Row],[CPU Only (X &gt; 30m)]]/Table711[[#This Row],[CPU+GPU]]</f>
        <v>#VALUE!</v>
      </c>
      <c r="AI97">
        <v>1</v>
      </c>
      <c r="AJ97" s="77" t="s">
        <v>3912</v>
      </c>
      <c r="AK97">
        <v>7</v>
      </c>
      <c r="AL97" s="77">
        <v>19.990193000000001</v>
      </c>
      <c r="AM97" s="128">
        <v>19.956325</v>
      </c>
      <c r="AN97" s="47">
        <v>19.78</v>
      </c>
      <c r="AO97" s="36">
        <v>19.64</v>
      </c>
      <c r="AP97" s="36">
        <v>19.96</v>
      </c>
      <c r="AQ97" s="126">
        <f ca="1">Table7[[#This Row],[cpuchunk=1]]/Table7[[#This Row],[GPU_chunk10_ratio]]</f>
        <v>0.99981588176352698</v>
      </c>
      <c r="AR97" s="2">
        <v>19.59</v>
      </c>
      <c r="AS97" s="132" t="s">
        <v>3986</v>
      </c>
    </row>
    <row r="98" spans="2:45" ht="29" hidden="1" x14ac:dyDescent="0.35">
      <c r="B98" s="98"/>
      <c r="C98" s="94" t="s">
        <v>1455</v>
      </c>
      <c r="D98" s="98">
        <v>5</v>
      </c>
      <c r="E98" s="137" t="s">
        <v>3986</v>
      </c>
      <c r="F98" s="137" t="s">
        <v>3986</v>
      </c>
      <c r="G98" s="137"/>
      <c r="H98" s="137" t="s">
        <v>3986</v>
      </c>
      <c r="I98" s="135" t="s">
        <v>3986</v>
      </c>
      <c r="J98" s="137" t="s">
        <v>3986</v>
      </c>
      <c r="K98" s="137" t="e">
        <f>Table711[[#This Row],[G2AIMD (pingpong)]]/Table711[[#This Row],[gpu-hybrid-copy]]</f>
        <v>#VALUE!</v>
      </c>
      <c r="L98" s="137" t="e">
        <f>Table711[[#This Row],[G2AIMD (pingpong)]]/Table711[[#This Row],[gpu-layered]]</f>
        <v>#VALUE!</v>
      </c>
      <c r="M98" s="137" t="e">
        <f>Table711[[#This Row],[gpu-layered]]/Table711[[#This Row],[CPU+GPU]]</f>
        <v>#VALUE!</v>
      </c>
      <c r="N98" s="169" t="e">
        <f>Table711[[#This Row],[CPU Only (X &gt; 30m)]]/Table711[[#This Row],[CPU+GPU]]</f>
        <v>#VALUE!</v>
      </c>
      <c r="AI98">
        <v>1</v>
      </c>
      <c r="AJ98" s="77" t="s">
        <v>1431</v>
      </c>
      <c r="AK98">
        <v>8</v>
      </c>
      <c r="AL98" s="77" t="s">
        <v>3986</v>
      </c>
      <c r="AM98" s="128">
        <v>21.587534000000002</v>
      </c>
      <c r="AN98" s="47">
        <v>8.9600000000000009</v>
      </c>
      <c r="AO98" s="36">
        <v>9.31</v>
      </c>
      <c r="AP98" s="36">
        <v>11.89</v>
      </c>
      <c r="AQ98" s="126">
        <f ca="1">Table7[[#This Row],[cpuchunk=1]]/Table7[[#This Row],[GPU_chunk10_ratio]]</f>
        <v>1.8156042052144661</v>
      </c>
      <c r="AR98" s="2">
        <v>20.056457999999999</v>
      </c>
      <c r="AS98" s="132" t="s">
        <v>3986</v>
      </c>
    </row>
    <row r="99" spans="2:45" ht="29" hidden="1" x14ac:dyDescent="0.35">
      <c r="B99" s="98"/>
      <c r="C99" s="94" t="s">
        <v>1455</v>
      </c>
      <c r="D99" s="98">
        <v>6</v>
      </c>
      <c r="E99" s="137" t="s">
        <v>3986</v>
      </c>
      <c r="F99" s="137" t="s">
        <v>3986</v>
      </c>
      <c r="G99" s="137"/>
      <c r="H99" s="137" t="s">
        <v>3986</v>
      </c>
      <c r="I99" s="135" t="s">
        <v>3986</v>
      </c>
      <c r="J99" s="137" t="s">
        <v>3986</v>
      </c>
      <c r="K99" s="137" t="e">
        <f>Table711[[#This Row],[G2AIMD (pingpong)]]/Table711[[#This Row],[gpu-hybrid-copy]]</f>
        <v>#VALUE!</v>
      </c>
      <c r="L99" s="137" t="e">
        <f>Table711[[#This Row],[G2AIMD (pingpong)]]/Table711[[#This Row],[gpu-layered]]</f>
        <v>#VALUE!</v>
      </c>
      <c r="M99" s="137" t="e">
        <f>Table711[[#This Row],[gpu-layered]]/Table711[[#This Row],[CPU+GPU]]</f>
        <v>#VALUE!</v>
      </c>
      <c r="N99" s="169" t="e">
        <f>Table711[[#This Row],[CPU Only (X &gt; 30m)]]/Table711[[#This Row],[CPU+GPU]]</f>
        <v>#VALUE!</v>
      </c>
      <c r="AI99">
        <v>1</v>
      </c>
      <c r="AJ99" s="77" t="s">
        <v>3912</v>
      </c>
      <c r="AK99">
        <v>8</v>
      </c>
      <c r="AL99" s="77">
        <v>23.409692</v>
      </c>
      <c r="AM99" s="128">
        <v>22.264191</v>
      </c>
      <c r="AN99" s="47">
        <v>21.95</v>
      </c>
      <c r="AO99" s="36">
        <v>22.3</v>
      </c>
      <c r="AP99" s="36">
        <v>22.88</v>
      </c>
      <c r="AQ99" s="126">
        <f ca="1">Table7[[#This Row],[cpuchunk=1]]/Table7[[#This Row],[GPU_chunk10_ratio]]</f>
        <v>0.97308527097902109</v>
      </c>
      <c r="AR99" s="2">
        <v>21.730737999999999</v>
      </c>
      <c r="AS99" s="132">
        <v>579.55940199999998</v>
      </c>
    </row>
    <row r="100" spans="2:45" ht="29" hidden="1" x14ac:dyDescent="0.35">
      <c r="B100" s="98"/>
      <c r="C100" s="94" t="s">
        <v>1455</v>
      </c>
      <c r="D100" s="98">
        <v>7</v>
      </c>
      <c r="E100" s="137" t="s">
        <v>3986</v>
      </c>
      <c r="F100" s="137" t="s">
        <v>3986</v>
      </c>
      <c r="G100" s="137"/>
      <c r="H100" s="137" t="s">
        <v>3986</v>
      </c>
      <c r="I100" s="135" t="s">
        <v>3986</v>
      </c>
      <c r="J100" s="137" t="s">
        <v>3986</v>
      </c>
      <c r="K100" s="137" t="e">
        <f>Table711[[#This Row],[G2AIMD (pingpong)]]/Table711[[#This Row],[gpu-hybrid-copy]]</f>
        <v>#VALUE!</v>
      </c>
      <c r="L100" s="137" t="e">
        <f>Table711[[#This Row],[G2AIMD (pingpong)]]/Table711[[#This Row],[gpu-layered]]</f>
        <v>#VALUE!</v>
      </c>
      <c r="M100" s="137" t="e">
        <f>Table711[[#This Row],[gpu-layered]]/Table711[[#This Row],[CPU+GPU]]</f>
        <v>#VALUE!</v>
      </c>
      <c r="N100" s="169" t="e">
        <f>Table711[[#This Row],[CPU Only (X &gt; 30m)]]/Table711[[#This Row],[CPU+GPU]]</f>
        <v>#VALUE!</v>
      </c>
      <c r="AI100">
        <v>1</v>
      </c>
      <c r="AJ100" s="119" t="s">
        <v>1433</v>
      </c>
      <c r="AK100" s="120">
        <v>2</v>
      </c>
      <c r="AL100" s="77">
        <v>28.529733</v>
      </c>
      <c r="AM100" s="129">
        <v>22.509125000000001</v>
      </c>
      <c r="AN100" s="47">
        <v>27.45</v>
      </c>
      <c r="AO100" s="36">
        <v>27.35</v>
      </c>
      <c r="AP100" s="36">
        <v>26.74</v>
      </c>
      <c r="AQ100" s="126">
        <f ca="1">Table7[[#This Row],[cpuchunk=1]]/Table7[[#This Row],[GPU_chunk10_ratio]]</f>
        <v>0.84177729992520578</v>
      </c>
      <c r="AR100" s="121" t="s">
        <v>3986</v>
      </c>
      <c r="AS100" s="132" t="s">
        <v>3986</v>
      </c>
    </row>
    <row r="101" spans="2:45" ht="29" hidden="1" x14ac:dyDescent="0.35">
      <c r="B101" s="98"/>
      <c r="C101" s="94" t="s">
        <v>1455</v>
      </c>
      <c r="D101" s="98">
        <v>8</v>
      </c>
      <c r="E101" s="137" t="s">
        <v>3986</v>
      </c>
      <c r="F101" s="137" t="s">
        <v>3986</v>
      </c>
      <c r="G101" s="137"/>
      <c r="H101" s="137" t="s">
        <v>3986</v>
      </c>
      <c r="I101" s="135" t="s">
        <v>3986</v>
      </c>
      <c r="J101" s="137" t="s">
        <v>3986</v>
      </c>
      <c r="K101" s="137" t="e">
        <f>Table711[[#This Row],[G2AIMD (pingpong)]]/Table711[[#This Row],[gpu-hybrid-copy]]</f>
        <v>#VALUE!</v>
      </c>
      <c r="L101" s="137" t="e">
        <f>Table711[[#This Row],[G2AIMD (pingpong)]]/Table711[[#This Row],[gpu-layered]]</f>
        <v>#VALUE!</v>
      </c>
      <c r="M101" s="137" t="e">
        <f>Table711[[#This Row],[gpu-layered]]/Table711[[#This Row],[CPU+GPU]]</f>
        <v>#VALUE!</v>
      </c>
      <c r="N101" s="169" t="e">
        <f>Table711[[#This Row],[CPU Only (X &gt; 30m)]]/Table711[[#This Row],[CPU+GPU]]</f>
        <v>#VALUE!</v>
      </c>
      <c r="AI101">
        <v>1</v>
      </c>
      <c r="AJ101" s="119" t="s">
        <v>1436</v>
      </c>
      <c r="AK101" s="120">
        <v>2</v>
      </c>
      <c r="AL101" s="77">
        <v>29.259466</v>
      </c>
      <c r="AM101" s="129">
        <v>23.602007</v>
      </c>
      <c r="AN101" s="47">
        <v>28.64</v>
      </c>
      <c r="AO101" s="36">
        <v>28.91</v>
      </c>
      <c r="AP101" s="36">
        <v>27.72</v>
      </c>
      <c r="AQ101" s="126">
        <f ca="1">Table7[[#This Row],[cpuchunk=1]]/Table7[[#This Row],[GPU_chunk10_ratio]]</f>
        <v>0.85144325396825404</v>
      </c>
      <c r="AR101" s="121">
        <v>63.010843999999999</v>
      </c>
      <c r="AS101" s="132" t="s">
        <v>3986</v>
      </c>
    </row>
    <row r="102" spans="2:45" ht="29" hidden="1" x14ac:dyDescent="0.35">
      <c r="B102" s="98"/>
      <c r="C102" s="94" t="s">
        <v>1455</v>
      </c>
      <c r="D102" s="98">
        <v>9</v>
      </c>
      <c r="E102" s="137" t="s">
        <v>3986</v>
      </c>
      <c r="F102" s="137" t="s">
        <v>3986</v>
      </c>
      <c r="G102" s="137"/>
      <c r="H102" s="137" t="s">
        <v>3986</v>
      </c>
      <c r="I102" s="135" t="s">
        <v>3986</v>
      </c>
      <c r="J102" s="137" t="s">
        <v>3986</v>
      </c>
      <c r="K102" s="137" t="e">
        <f>Table711[[#This Row],[G2AIMD (pingpong)]]/Table711[[#This Row],[gpu-hybrid-copy]]</f>
        <v>#VALUE!</v>
      </c>
      <c r="L102" s="137" t="e">
        <f>Table711[[#This Row],[G2AIMD (pingpong)]]/Table711[[#This Row],[gpu-layered]]</f>
        <v>#VALUE!</v>
      </c>
      <c r="M102" s="137" t="e">
        <f>Table711[[#This Row],[gpu-layered]]/Table711[[#This Row],[CPU+GPU]]</f>
        <v>#VALUE!</v>
      </c>
      <c r="N102" s="169" t="e">
        <f>Table711[[#This Row],[CPU Only (X &gt; 30m)]]/Table711[[#This Row],[CPU+GPU]]</f>
        <v>#VALUE!</v>
      </c>
      <c r="AI102">
        <v>1</v>
      </c>
      <c r="AJ102" s="77" t="s">
        <v>1391</v>
      </c>
      <c r="AK102">
        <v>8</v>
      </c>
      <c r="AL102" s="77">
        <v>25.276336000000001</v>
      </c>
      <c r="AM102" s="128">
        <v>24.973725999999999</v>
      </c>
      <c r="AN102" s="47">
        <v>20.522815000000001</v>
      </c>
      <c r="AO102" s="36">
        <v>21.015433000000002</v>
      </c>
      <c r="AP102" s="36">
        <v>20.965391</v>
      </c>
      <c r="AQ102" s="126">
        <f ca="1">Table7[[#This Row],[cpuchunk=1]]/Table7[[#This Row],[GPU_chunk10_ratio]]</f>
        <v>1.1911881824669999</v>
      </c>
      <c r="AR102" s="2">
        <v>25.777509999999999</v>
      </c>
      <c r="AS102" s="132" t="s">
        <v>3986</v>
      </c>
    </row>
    <row r="103" spans="2:45" ht="29" hidden="1" x14ac:dyDescent="0.35">
      <c r="B103" s="98"/>
      <c r="C103" s="94" t="s">
        <v>1409</v>
      </c>
      <c r="D103" s="98">
        <v>5</v>
      </c>
      <c r="E103" s="137" t="s">
        <v>3986</v>
      </c>
      <c r="F103" s="137" t="s">
        <v>3986</v>
      </c>
      <c r="G103" s="137"/>
      <c r="H103" s="137" t="s">
        <v>3986</v>
      </c>
      <c r="I103" s="135" t="s">
        <v>3986</v>
      </c>
      <c r="J103" s="137" t="s">
        <v>3986</v>
      </c>
      <c r="K103" s="137" t="e">
        <f>Table711[[#This Row],[G2AIMD (pingpong)]]/Table711[[#This Row],[gpu-hybrid-copy]]</f>
        <v>#VALUE!</v>
      </c>
      <c r="L103" s="137" t="e">
        <f>Table711[[#This Row],[G2AIMD (pingpong)]]/Table711[[#This Row],[gpu-layered]]</f>
        <v>#VALUE!</v>
      </c>
      <c r="M103" s="137" t="e">
        <f>Table711[[#This Row],[gpu-layered]]/Table711[[#This Row],[CPU+GPU]]</f>
        <v>#VALUE!</v>
      </c>
      <c r="N103" s="169" t="e">
        <f>Table711[[#This Row],[CPU Only (X &gt; 30m)]]/Table711[[#This Row],[CPU+GPU]]</f>
        <v>#VALUE!</v>
      </c>
      <c r="AI103">
        <v>1</v>
      </c>
      <c r="AJ103" s="77" t="s">
        <v>1346</v>
      </c>
      <c r="AK103">
        <v>7</v>
      </c>
      <c r="AL103" s="77">
        <v>28.379384999999999</v>
      </c>
      <c r="AM103" s="128">
        <v>26.479275000000001</v>
      </c>
      <c r="AN103" s="47">
        <v>29.23</v>
      </c>
      <c r="AO103" s="36">
        <v>30.8</v>
      </c>
      <c r="AP103" s="36">
        <v>34.92</v>
      </c>
      <c r="AQ103" s="126">
        <f ca="1">Table7[[#This Row],[cpuchunk=1]]/Table7[[#This Row],[GPU_chunk10_ratio]]</f>
        <v>0.75828393470790378</v>
      </c>
      <c r="AR103" s="2">
        <v>26.73</v>
      </c>
      <c r="AS103" s="132">
        <v>2038.237151</v>
      </c>
    </row>
    <row r="104" spans="2:45" ht="29" hidden="1" x14ac:dyDescent="0.35">
      <c r="B104" s="98"/>
      <c r="C104" s="94" t="s">
        <v>1409</v>
      </c>
      <c r="D104" s="98">
        <v>6</v>
      </c>
      <c r="E104" s="137" t="s">
        <v>3986</v>
      </c>
      <c r="F104" s="137" t="s">
        <v>3986</v>
      </c>
      <c r="G104" s="137"/>
      <c r="H104" s="137" t="s">
        <v>3986</v>
      </c>
      <c r="I104" s="135" t="s">
        <v>3986</v>
      </c>
      <c r="J104" s="137" t="s">
        <v>3986</v>
      </c>
      <c r="K104" s="137" t="e">
        <f>Table711[[#This Row],[G2AIMD (pingpong)]]/Table711[[#This Row],[gpu-hybrid-copy]]</f>
        <v>#VALUE!</v>
      </c>
      <c r="L104" s="137" t="e">
        <f>Table711[[#This Row],[G2AIMD (pingpong)]]/Table711[[#This Row],[gpu-layered]]</f>
        <v>#VALUE!</v>
      </c>
      <c r="M104" s="137" t="e">
        <f>Table711[[#This Row],[gpu-layered]]/Table711[[#This Row],[CPU+GPU]]</f>
        <v>#VALUE!</v>
      </c>
      <c r="N104" s="169" t="e">
        <f>Table711[[#This Row],[CPU Only (X &gt; 30m)]]/Table711[[#This Row],[CPU+GPU]]</f>
        <v>#VALUE!</v>
      </c>
      <c r="AI104">
        <v>1</v>
      </c>
      <c r="AJ104" s="77" t="s">
        <v>1434</v>
      </c>
      <c r="AK104">
        <v>5</v>
      </c>
      <c r="AL104" s="77">
        <v>30.819552000000002</v>
      </c>
      <c r="AM104" s="128">
        <v>27.584989</v>
      </c>
      <c r="AN104" s="47">
        <v>28.18</v>
      </c>
      <c r="AO104" s="36">
        <v>28.29</v>
      </c>
      <c r="AP104" s="36">
        <v>28.36</v>
      </c>
      <c r="AQ104" s="126">
        <f ca="1">Table7[[#This Row],[cpuchunk=1]]/Table7[[#This Row],[GPU_chunk10_ratio]]</f>
        <v>0.97267239069111422</v>
      </c>
      <c r="AR104" s="2">
        <v>27.874337000000001</v>
      </c>
      <c r="AS104" s="132">
        <v>1506.4237009999999</v>
      </c>
    </row>
    <row r="105" spans="2:45" ht="29" hidden="1" x14ac:dyDescent="0.35">
      <c r="B105" s="98"/>
      <c r="C105" s="94" t="s">
        <v>1409</v>
      </c>
      <c r="D105" s="98">
        <v>7</v>
      </c>
      <c r="E105" s="137" t="s">
        <v>3986</v>
      </c>
      <c r="F105" s="137" t="s">
        <v>3986</v>
      </c>
      <c r="G105" s="137"/>
      <c r="H105" s="137" t="s">
        <v>3986</v>
      </c>
      <c r="I105" s="135" t="s">
        <v>3986</v>
      </c>
      <c r="J105" s="137" t="s">
        <v>3986</v>
      </c>
      <c r="K105" s="137" t="e">
        <f>Table711[[#This Row],[G2AIMD (pingpong)]]/Table711[[#This Row],[gpu-hybrid-copy]]</f>
        <v>#VALUE!</v>
      </c>
      <c r="L105" s="137" t="e">
        <f>Table711[[#This Row],[G2AIMD (pingpong)]]/Table711[[#This Row],[gpu-layered]]</f>
        <v>#VALUE!</v>
      </c>
      <c r="M105" s="137" t="e">
        <f>Table711[[#This Row],[gpu-layered]]/Table711[[#This Row],[CPU+GPU]]</f>
        <v>#VALUE!</v>
      </c>
      <c r="N105" s="169" t="e">
        <f>Table711[[#This Row],[CPU Only (X &gt; 30m)]]/Table711[[#This Row],[CPU+GPU]]</f>
        <v>#VALUE!</v>
      </c>
      <c r="AI105">
        <v>1</v>
      </c>
      <c r="AJ105" s="77" t="s">
        <v>1450</v>
      </c>
      <c r="AK105">
        <v>9</v>
      </c>
      <c r="AL105" s="77">
        <v>33.843966000000002</v>
      </c>
      <c r="AM105" s="128">
        <v>28.268073000000001</v>
      </c>
      <c r="AN105" s="47">
        <v>40.86</v>
      </c>
      <c r="AO105" s="36">
        <v>53.31</v>
      </c>
      <c r="AP105" s="36">
        <v>31.61</v>
      </c>
      <c r="AQ105" s="126">
        <f ca="1">Table7[[#This Row],[cpuchunk=1]]/Table7[[#This Row],[GPU_chunk10_ratio]]</f>
        <v>0.89427627333122439</v>
      </c>
      <c r="AR105" s="2">
        <v>59.78</v>
      </c>
      <c r="AS105" s="132" t="s">
        <v>3986</v>
      </c>
    </row>
    <row r="106" spans="2:45" ht="29" hidden="1" x14ac:dyDescent="0.35">
      <c r="B106" s="98"/>
      <c r="C106" s="94" t="s">
        <v>1409</v>
      </c>
      <c r="D106" s="98">
        <v>8</v>
      </c>
      <c r="E106" s="137" t="s">
        <v>3986</v>
      </c>
      <c r="F106" s="137" t="s">
        <v>3986</v>
      </c>
      <c r="G106" s="137"/>
      <c r="H106" s="137" t="s">
        <v>3986</v>
      </c>
      <c r="I106" s="135" t="s">
        <v>3986</v>
      </c>
      <c r="J106" s="137" t="s">
        <v>3986</v>
      </c>
      <c r="K106" s="137" t="e">
        <f>Table711[[#This Row],[G2AIMD (pingpong)]]/Table711[[#This Row],[gpu-hybrid-copy]]</f>
        <v>#VALUE!</v>
      </c>
      <c r="L106" s="137" t="e">
        <f>Table711[[#This Row],[G2AIMD (pingpong)]]/Table711[[#This Row],[gpu-layered]]</f>
        <v>#VALUE!</v>
      </c>
      <c r="M106" s="137" t="e">
        <f>Table711[[#This Row],[gpu-layered]]/Table711[[#This Row],[CPU+GPU]]</f>
        <v>#VALUE!</v>
      </c>
      <c r="N106" s="169" t="e">
        <f>Table711[[#This Row],[CPU Only (X &gt; 30m)]]/Table711[[#This Row],[CPU+GPU]]</f>
        <v>#VALUE!</v>
      </c>
      <c r="AI106">
        <v>1</v>
      </c>
      <c r="AJ106" s="77" t="s">
        <v>1346</v>
      </c>
      <c r="AK106">
        <v>8</v>
      </c>
      <c r="AL106" s="77">
        <v>37.425060000000002</v>
      </c>
      <c r="AM106" s="128">
        <v>34.536710999999997</v>
      </c>
      <c r="AN106" s="47">
        <v>34.25</v>
      </c>
      <c r="AO106" s="36">
        <v>34.200000000000003</v>
      </c>
      <c r="AP106" s="36">
        <v>34.51</v>
      </c>
      <c r="AQ106" s="126">
        <f ca="1">Table7[[#This Row],[cpuchunk=1]]/Table7[[#This Row],[GPU_chunk10_ratio]]</f>
        <v>1.0007740075340481</v>
      </c>
      <c r="AR106" s="2">
        <v>35.340000000000003</v>
      </c>
      <c r="AS106" s="132" t="s">
        <v>3986</v>
      </c>
    </row>
    <row r="107" spans="2:45" ht="29" hidden="1" x14ac:dyDescent="0.35">
      <c r="B107" s="98"/>
      <c r="C107" s="94" t="s">
        <v>1449</v>
      </c>
      <c r="D107" s="98">
        <v>5</v>
      </c>
      <c r="E107" s="137" t="s">
        <v>3986</v>
      </c>
      <c r="F107" s="137" t="s">
        <v>3986</v>
      </c>
      <c r="G107" s="137"/>
      <c r="H107" s="137" t="s">
        <v>3986</v>
      </c>
      <c r="I107" s="135" t="s">
        <v>3986</v>
      </c>
      <c r="J107" s="137" t="s">
        <v>3986</v>
      </c>
      <c r="K107" s="137" t="e">
        <f>Table711[[#This Row],[G2AIMD (pingpong)]]/Table711[[#This Row],[gpu-hybrid-copy]]</f>
        <v>#VALUE!</v>
      </c>
      <c r="L107" s="137" t="e">
        <f>Table711[[#This Row],[G2AIMD (pingpong)]]/Table711[[#This Row],[gpu-layered]]</f>
        <v>#VALUE!</v>
      </c>
      <c r="M107" s="137" t="e">
        <f>Table711[[#This Row],[gpu-layered]]/Table711[[#This Row],[CPU+GPU]]</f>
        <v>#VALUE!</v>
      </c>
      <c r="N107" s="169" t="e">
        <f>Table711[[#This Row],[CPU Only (X &gt; 30m)]]/Table711[[#This Row],[CPU+GPU]]</f>
        <v>#VALUE!</v>
      </c>
      <c r="AI107">
        <v>1</v>
      </c>
      <c r="AJ107" s="77" t="s">
        <v>1411</v>
      </c>
      <c r="AK107">
        <v>2</v>
      </c>
      <c r="AL107" s="77">
        <v>42.610433999999998</v>
      </c>
      <c r="AM107" s="128">
        <v>36.894198000000003</v>
      </c>
      <c r="AN107" s="47">
        <v>43.47</v>
      </c>
      <c r="AO107" s="36">
        <v>44.47</v>
      </c>
      <c r="AP107" s="36">
        <v>43.62</v>
      </c>
      <c r="AQ107" s="126">
        <f ca="1">Table7[[#This Row],[cpuchunk=1]]/Table7[[#This Row],[GPU_chunk10_ratio]]</f>
        <v>0.84580921595598357</v>
      </c>
      <c r="AR107" s="2">
        <v>264.74</v>
      </c>
      <c r="AS107" s="132" t="s">
        <v>3986</v>
      </c>
    </row>
    <row r="108" spans="2:45" ht="29" hidden="1" x14ac:dyDescent="0.35">
      <c r="B108" s="98"/>
      <c r="C108" s="94" t="s">
        <v>1449</v>
      </c>
      <c r="D108" s="98">
        <v>6</v>
      </c>
      <c r="E108" s="137" t="s">
        <v>3986</v>
      </c>
      <c r="F108" s="137" t="s">
        <v>3986</v>
      </c>
      <c r="G108" s="137"/>
      <c r="H108" s="137" t="s">
        <v>3986</v>
      </c>
      <c r="I108" s="135" t="s">
        <v>3986</v>
      </c>
      <c r="J108" s="137" t="s">
        <v>3986</v>
      </c>
      <c r="K108" s="137" t="e">
        <f>Table711[[#This Row],[G2AIMD (pingpong)]]/Table711[[#This Row],[gpu-hybrid-copy]]</f>
        <v>#VALUE!</v>
      </c>
      <c r="L108" s="137" t="e">
        <f>Table711[[#This Row],[G2AIMD (pingpong)]]/Table711[[#This Row],[gpu-layered]]</f>
        <v>#VALUE!</v>
      </c>
      <c r="M108" s="137" t="e">
        <f>Table711[[#This Row],[gpu-layered]]/Table711[[#This Row],[CPU+GPU]]</f>
        <v>#VALUE!</v>
      </c>
      <c r="N108" s="169" t="e">
        <f>Table711[[#This Row],[CPU Only (X &gt; 30m)]]/Table711[[#This Row],[CPU+GPU]]</f>
        <v>#VALUE!</v>
      </c>
      <c r="AI108">
        <v>1</v>
      </c>
      <c r="AJ108" s="77" t="s">
        <v>1449</v>
      </c>
      <c r="AK108">
        <v>2</v>
      </c>
      <c r="AL108" s="77">
        <v>46.799216999999999</v>
      </c>
      <c r="AM108" s="128">
        <v>38.434747000000002</v>
      </c>
      <c r="AN108" s="47">
        <v>46.32</v>
      </c>
      <c r="AO108" s="36">
        <v>45.97</v>
      </c>
      <c r="AP108" s="36">
        <v>46.61</v>
      </c>
      <c r="AQ108" s="126">
        <f ca="1">Table7[[#This Row],[cpuchunk=1]]/Table7[[#This Row],[GPU_chunk10_ratio]]</f>
        <v>0.82460302510190953</v>
      </c>
      <c r="AR108" s="2">
        <v>93.861074000000002</v>
      </c>
      <c r="AS108" s="132" t="s">
        <v>3986</v>
      </c>
    </row>
    <row r="109" spans="2:45" ht="29" hidden="1" x14ac:dyDescent="0.35">
      <c r="B109" s="98"/>
      <c r="C109" s="94" t="s">
        <v>1449</v>
      </c>
      <c r="D109" s="98">
        <v>7</v>
      </c>
      <c r="E109" s="137" t="s">
        <v>3986</v>
      </c>
      <c r="F109" s="137" t="s">
        <v>3986</v>
      </c>
      <c r="G109" s="137"/>
      <c r="H109" s="137" t="s">
        <v>3986</v>
      </c>
      <c r="I109" s="135" t="s">
        <v>3986</v>
      </c>
      <c r="J109" s="137" t="s">
        <v>3986</v>
      </c>
      <c r="K109" s="137" t="e">
        <f>Table711[[#This Row],[G2AIMD (pingpong)]]/Table711[[#This Row],[gpu-hybrid-copy]]</f>
        <v>#VALUE!</v>
      </c>
      <c r="L109" s="137" t="e">
        <f>Table711[[#This Row],[G2AIMD (pingpong)]]/Table711[[#This Row],[gpu-layered]]</f>
        <v>#VALUE!</v>
      </c>
      <c r="M109" s="137" t="e">
        <f>Table711[[#This Row],[gpu-layered]]/Table711[[#This Row],[CPU+GPU]]</f>
        <v>#VALUE!</v>
      </c>
      <c r="N109" s="169" t="e">
        <f>Table711[[#This Row],[CPU Only (X &gt; 30m)]]/Table711[[#This Row],[CPU+GPU]]</f>
        <v>#VALUE!</v>
      </c>
      <c r="AI109">
        <v>1</v>
      </c>
      <c r="AJ109" s="116" t="s">
        <v>1371</v>
      </c>
      <c r="AK109" s="117">
        <v>6</v>
      </c>
      <c r="AL109" s="77">
        <v>42.350599000000003</v>
      </c>
      <c r="AM109" s="130">
        <v>42.45</v>
      </c>
      <c r="AN109" s="47">
        <v>36.76</v>
      </c>
      <c r="AO109" s="36">
        <v>37</v>
      </c>
      <c r="AP109" s="36">
        <v>36.46</v>
      </c>
      <c r="AQ109" s="126">
        <f ca="1">Table7[[#This Row],[cpuchunk=1]]/Table7[[#This Row],[GPU_chunk10_ratio]]</f>
        <v>1.164289632473944</v>
      </c>
      <c r="AR109" s="118">
        <v>33.44</v>
      </c>
      <c r="AS109" s="132">
        <v>398.639387</v>
      </c>
    </row>
    <row r="110" spans="2:45" ht="29" hidden="1" x14ac:dyDescent="0.35">
      <c r="B110" s="98"/>
      <c r="C110" s="94" t="s">
        <v>1449</v>
      </c>
      <c r="D110" s="98">
        <v>8</v>
      </c>
      <c r="E110" s="137" t="s">
        <v>3986</v>
      </c>
      <c r="F110" s="137" t="s">
        <v>3986</v>
      </c>
      <c r="G110" s="137"/>
      <c r="H110" s="137" t="s">
        <v>3986</v>
      </c>
      <c r="I110" s="135" t="s">
        <v>3986</v>
      </c>
      <c r="J110" s="137" t="s">
        <v>3986</v>
      </c>
      <c r="K110" s="137" t="e">
        <f>Table711[[#This Row],[G2AIMD (pingpong)]]/Table711[[#This Row],[gpu-hybrid-copy]]</f>
        <v>#VALUE!</v>
      </c>
      <c r="L110" s="137" t="e">
        <f>Table711[[#This Row],[G2AIMD (pingpong)]]/Table711[[#This Row],[gpu-layered]]</f>
        <v>#VALUE!</v>
      </c>
      <c r="M110" s="137" t="e">
        <f>Table711[[#This Row],[gpu-layered]]/Table711[[#This Row],[CPU+GPU]]</f>
        <v>#VALUE!</v>
      </c>
      <c r="N110" s="169" t="e">
        <f>Table711[[#This Row],[CPU Only (X &gt; 30m)]]/Table711[[#This Row],[CPU+GPU]]</f>
        <v>#VALUE!</v>
      </c>
      <c r="AI110">
        <v>1</v>
      </c>
      <c r="AJ110" s="77" t="s">
        <v>1409</v>
      </c>
      <c r="AK110">
        <v>9</v>
      </c>
      <c r="AL110" s="77">
        <v>55.395792</v>
      </c>
      <c r="AM110" s="128">
        <v>45.427039000000001</v>
      </c>
      <c r="AN110" s="47">
        <v>126.68</v>
      </c>
      <c r="AO110" s="36">
        <v>93.31</v>
      </c>
      <c r="AP110" s="36">
        <v>53.87</v>
      </c>
      <c r="AQ110" s="125">
        <f ca="1">Table7[[#This Row],[cpuchunk=1]]/Table7[[#This Row],[GPU_chunk10_ratio]]</f>
        <v>0.84327156116576951</v>
      </c>
      <c r="AR110" s="2">
        <v>199.23</v>
      </c>
      <c r="AS110" s="132" t="s">
        <v>3986</v>
      </c>
    </row>
    <row r="111" spans="2:45" ht="29" hidden="1" x14ac:dyDescent="0.35">
      <c r="B111" s="98"/>
      <c r="C111" s="94" t="s">
        <v>1449</v>
      </c>
      <c r="D111" s="98">
        <v>9</v>
      </c>
      <c r="E111" s="137" t="s">
        <v>3986</v>
      </c>
      <c r="F111" s="137" t="s">
        <v>3986</v>
      </c>
      <c r="G111" s="137"/>
      <c r="H111" s="137" t="s">
        <v>3986</v>
      </c>
      <c r="I111" s="135" t="s">
        <v>3986</v>
      </c>
      <c r="J111" s="137" t="s">
        <v>3986</v>
      </c>
      <c r="K111" s="137" t="e">
        <f>Table711[[#This Row],[G2AIMD (pingpong)]]/Table711[[#This Row],[gpu-hybrid-copy]]</f>
        <v>#VALUE!</v>
      </c>
      <c r="L111" s="137" t="e">
        <f>Table711[[#This Row],[G2AIMD (pingpong)]]/Table711[[#This Row],[gpu-layered]]</f>
        <v>#VALUE!</v>
      </c>
      <c r="M111" s="137" t="e">
        <f>Table711[[#This Row],[gpu-layered]]/Table711[[#This Row],[CPU+GPU]]</f>
        <v>#VALUE!</v>
      </c>
      <c r="N111" s="169" t="e">
        <f>Table711[[#This Row],[CPU Only (X &gt; 30m)]]/Table711[[#This Row],[CPU+GPU]]</f>
        <v>#VALUE!</v>
      </c>
      <c r="AI111">
        <v>1</v>
      </c>
      <c r="AJ111" s="77" t="s">
        <v>1436</v>
      </c>
      <c r="AK111">
        <v>9</v>
      </c>
      <c r="AL111" s="77">
        <v>52.928930999999999</v>
      </c>
      <c r="AM111" s="128">
        <v>45.434877</v>
      </c>
      <c r="AN111" s="47">
        <v>65.650000000000006</v>
      </c>
      <c r="AO111" s="36">
        <v>57.73</v>
      </c>
      <c r="AP111" s="36">
        <v>51.67</v>
      </c>
      <c r="AQ111" s="125">
        <f ca="1">Table7[[#This Row],[cpuchunk=1]]/Table7[[#This Row],[GPU_chunk10_ratio]]</f>
        <v>0.87932798529127154</v>
      </c>
      <c r="AR111" s="2">
        <v>106.22</v>
      </c>
      <c r="AS111" s="132" t="s">
        <v>3986</v>
      </c>
    </row>
    <row r="112" spans="2:45" ht="29" hidden="1" x14ac:dyDescent="0.35">
      <c r="B112" s="98"/>
      <c r="C112" s="94" t="s">
        <v>1437</v>
      </c>
      <c r="D112" s="98">
        <v>2</v>
      </c>
      <c r="E112" s="137" t="s">
        <v>3986</v>
      </c>
      <c r="F112" s="137" t="s">
        <v>3986</v>
      </c>
      <c r="G112" s="137"/>
      <c r="H112" s="137" t="s">
        <v>3986</v>
      </c>
      <c r="I112" s="135" t="s">
        <v>3986</v>
      </c>
      <c r="J112" s="137" t="s">
        <v>3986</v>
      </c>
      <c r="K112" s="137" t="e">
        <f>Table711[[#This Row],[G2AIMD (pingpong)]]/Table711[[#This Row],[gpu-hybrid-copy]]</f>
        <v>#VALUE!</v>
      </c>
      <c r="L112" s="137" t="e">
        <f>Table711[[#This Row],[G2AIMD (pingpong)]]/Table711[[#This Row],[gpu-layered]]</f>
        <v>#VALUE!</v>
      </c>
      <c r="M112" s="137" t="e">
        <f>Table711[[#This Row],[gpu-layered]]/Table711[[#This Row],[CPU+GPU]]</f>
        <v>#VALUE!</v>
      </c>
      <c r="N112" s="169" t="e">
        <f>Table711[[#This Row],[CPU Only (X &gt; 30m)]]/Table711[[#This Row],[CPU+GPU]]</f>
        <v>#VALUE!</v>
      </c>
      <c r="AI112">
        <v>1</v>
      </c>
      <c r="AJ112" s="77" t="s">
        <v>18</v>
      </c>
      <c r="AK112">
        <v>2</v>
      </c>
      <c r="AL112" s="77">
        <v>65.804128000000006</v>
      </c>
      <c r="AM112" s="128">
        <v>54.708874999999999</v>
      </c>
      <c r="AN112" s="47">
        <v>67.98</v>
      </c>
      <c r="AO112" s="36">
        <v>72.959999999999994</v>
      </c>
      <c r="AP112" s="36">
        <v>122.94</v>
      </c>
      <c r="AQ112" s="125">
        <f ca="1">Table7[[#This Row],[cpuchunk=1]]/Table7[[#This Row],[GPU_chunk10_ratio]]</f>
        <v>0.44500467707824953</v>
      </c>
      <c r="AR112" s="2">
        <v>477.430588</v>
      </c>
      <c r="AS112" s="132" t="s">
        <v>3986</v>
      </c>
    </row>
    <row r="113" spans="2:45" ht="29" hidden="1" x14ac:dyDescent="0.35">
      <c r="B113" s="98"/>
      <c r="C113" s="94" t="s">
        <v>1437</v>
      </c>
      <c r="D113" s="98">
        <v>5</v>
      </c>
      <c r="E113" s="137" t="s">
        <v>3986</v>
      </c>
      <c r="F113" s="137" t="s">
        <v>3986</v>
      </c>
      <c r="G113" s="137"/>
      <c r="H113" s="137" t="s">
        <v>3986</v>
      </c>
      <c r="I113" s="135" t="s">
        <v>3986</v>
      </c>
      <c r="J113" s="137" t="s">
        <v>3986</v>
      </c>
      <c r="K113" s="137" t="e">
        <f>Table711[[#This Row],[G2AIMD (pingpong)]]/Table711[[#This Row],[gpu-hybrid-copy]]</f>
        <v>#VALUE!</v>
      </c>
      <c r="L113" s="137" t="e">
        <f>Table711[[#This Row],[G2AIMD (pingpong)]]/Table711[[#This Row],[gpu-layered]]</f>
        <v>#VALUE!</v>
      </c>
      <c r="M113" s="137" t="e">
        <f>Table711[[#This Row],[gpu-layered]]/Table711[[#This Row],[CPU+GPU]]</f>
        <v>#VALUE!</v>
      </c>
      <c r="N113" s="169" t="e">
        <f>Table711[[#This Row],[CPU Only (X &gt; 30m)]]/Table711[[#This Row],[CPU+GPU]]</f>
        <v>#VALUE!</v>
      </c>
      <c r="AI113">
        <v>1</v>
      </c>
      <c r="AJ113" s="77" t="s">
        <v>1455</v>
      </c>
      <c r="AK113">
        <v>2</v>
      </c>
      <c r="AL113" s="77">
        <v>66.658944000000005</v>
      </c>
      <c r="AM113" s="128">
        <v>56.069319</v>
      </c>
      <c r="AN113" s="47">
        <v>67.33</v>
      </c>
      <c r="AO113" s="36">
        <v>67.69</v>
      </c>
      <c r="AP113" s="36">
        <v>65.989999999999995</v>
      </c>
      <c r="AQ113" s="125">
        <f ca="1">Table7[[#This Row],[cpuchunk=1]]/Table7[[#This Row],[GPU_chunk10_ratio]]</f>
        <v>0.84966387331413862</v>
      </c>
      <c r="AR113" s="2">
        <v>124.84438</v>
      </c>
      <c r="AS113" s="132" t="s">
        <v>3986</v>
      </c>
    </row>
    <row r="114" spans="2:45" ht="29" hidden="1" x14ac:dyDescent="0.35">
      <c r="B114" s="98"/>
      <c r="C114" s="94" t="s">
        <v>1437</v>
      </c>
      <c r="D114" s="98">
        <v>6</v>
      </c>
      <c r="E114" s="137" t="s">
        <v>3986</v>
      </c>
      <c r="F114" s="137" t="s">
        <v>3986</v>
      </c>
      <c r="G114" s="137"/>
      <c r="H114" s="137" t="s">
        <v>3986</v>
      </c>
      <c r="I114" s="135" t="s">
        <v>3986</v>
      </c>
      <c r="J114" s="137" t="s">
        <v>3986</v>
      </c>
      <c r="K114" s="137" t="e">
        <f>Table711[[#This Row],[G2AIMD (pingpong)]]/Table711[[#This Row],[gpu-hybrid-copy]]</f>
        <v>#VALUE!</v>
      </c>
      <c r="L114" s="137" t="e">
        <f>Table711[[#This Row],[G2AIMD (pingpong)]]/Table711[[#This Row],[gpu-layered]]</f>
        <v>#VALUE!</v>
      </c>
      <c r="M114" s="137" t="e">
        <f>Table711[[#This Row],[gpu-layered]]/Table711[[#This Row],[CPU+GPU]]</f>
        <v>#VALUE!</v>
      </c>
      <c r="N114" s="169" t="e">
        <f>Table711[[#This Row],[CPU Only (X &gt; 30m)]]/Table711[[#This Row],[CPU+GPU]]</f>
        <v>#VALUE!</v>
      </c>
      <c r="AI114">
        <v>1</v>
      </c>
      <c r="AJ114" s="77" t="s">
        <v>3912</v>
      </c>
      <c r="AK114">
        <v>6</v>
      </c>
      <c r="AL114" s="77">
        <v>62.898426000000001</v>
      </c>
      <c r="AM114" s="128">
        <v>57.623711</v>
      </c>
      <c r="AN114" s="47">
        <v>56.491925000000002</v>
      </c>
      <c r="AO114" s="36">
        <v>55.23</v>
      </c>
      <c r="AP114" s="36">
        <v>56.37</v>
      </c>
      <c r="AQ114" s="125">
        <f ca="1">Table7[[#This Row],[cpuchunk=1]]/Table7[[#This Row],[GPU_chunk10_ratio]]</f>
        <v>1.0222407486251552</v>
      </c>
      <c r="AR114" s="2">
        <v>57.396535</v>
      </c>
      <c r="AS114" s="132">
        <v>681.58641899999998</v>
      </c>
    </row>
    <row r="115" spans="2:45" ht="29" hidden="1" x14ac:dyDescent="0.35">
      <c r="B115" s="98"/>
      <c r="C115" s="94" t="s">
        <v>1437</v>
      </c>
      <c r="D115" s="98">
        <v>7</v>
      </c>
      <c r="E115" s="137" t="s">
        <v>3986</v>
      </c>
      <c r="F115" s="137" t="s">
        <v>3986</v>
      </c>
      <c r="G115" s="137"/>
      <c r="H115" s="137" t="s">
        <v>3986</v>
      </c>
      <c r="I115" s="135" t="s">
        <v>3986</v>
      </c>
      <c r="J115" s="137" t="s">
        <v>3986</v>
      </c>
      <c r="K115" s="137" t="e">
        <f>Table711[[#This Row],[G2AIMD (pingpong)]]/Table711[[#This Row],[gpu-hybrid-copy]]</f>
        <v>#VALUE!</v>
      </c>
      <c r="L115" s="137" t="e">
        <f>Table711[[#This Row],[G2AIMD (pingpong)]]/Table711[[#This Row],[gpu-layered]]</f>
        <v>#VALUE!</v>
      </c>
      <c r="M115" s="137" t="e">
        <f>Table711[[#This Row],[gpu-layered]]/Table711[[#This Row],[CPU+GPU]]</f>
        <v>#VALUE!</v>
      </c>
      <c r="N115" s="169" t="e">
        <f>Table711[[#This Row],[CPU Only (X &gt; 30m)]]/Table711[[#This Row],[CPU+GPU]]</f>
        <v>#VALUE!</v>
      </c>
      <c r="AI115">
        <v>1</v>
      </c>
      <c r="AJ115" s="77" t="s">
        <v>1</v>
      </c>
      <c r="AK115">
        <v>5</v>
      </c>
      <c r="AL115" s="77">
        <v>57.615180000000002</v>
      </c>
      <c r="AM115" s="128">
        <v>65.316587999999996</v>
      </c>
      <c r="AN115" s="47">
        <v>57.84</v>
      </c>
      <c r="AO115" s="36">
        <v>60.35</v>
      </c>
      <c r="AP115" s="36">
        <v>62.65</v>
      </c>
      <c r="AQ115" s="125">
        <f ca="1">Table7[[#This Row],[cpuchunk=1]]/Table7[[#This Row],[GPU_chunk10_ratio]]</f>
        <v>1.0425632561851557</v>
      </c>
      <c r="AR115" s="2">
        <v>73.226096999999996</v>
      </c>
      <c r="AS115" s="132" t="s">
        <v>3986</v>
      </c>
    </row>
    <row r="116" spans="2:45" ht="29" hidden="1" x14ac:dyDescent="0.35">
      <c r="B116" s="98"/>
      <c r="C116" s="94" t="s">
        <v>1437</v>
      </c>
      <c r="D116" s="98">
        <v>8</v>
      </c>
      <c r="E116" s="137" t="s">
        <v>3986</v>
      </c>
      <c r="F116" s="137" t="s">
        <v>3986</v>
      </c>
      <c r="G116" s="137"/>
      <c r="H116" s="137" t="s">
        <v>3986</v>
      </c>
      <c r="I116" s="135" t="s">
        <v>3986</v>
      </c>
      <c r="J116" s="137" t="s">
        <v>3986</v>
      </c>
      <c r="K116" s="137" t="e">
        <f>Table711[[#This Row],[G2AIMD (pingpong)]]/Table711[[#This Row],[gpu-hybrid-copy]]</f>
        <v>#VALUE!</v>
      </c>
      <c r="L116" s="137" t="e">
        <f>Table711[[#This Row],[G2AIMD (pingpong)]]/Table711[[#This Row],[gpu-layered]]</f>
        <v>#VALUE!</v>
      </c>
      <c r="M116" s="137" t="e">
        <f>Table711[[#This Row],[gpu-layered]]/Table711[[#This Row],[CPU+GPU]]</f>
        <v>#VALUE!</v>
      </c>
      <c r="N116" s="169" t="e">
        <f>Table711[[#This Row],[CPU Only (X &gt; 30m)]]/Table711[[#This Row],[CPU+GPU]]</f>
        <v>#VALUE!</v>
      </c>
      <c r="AI116">
        <v>1</v>
      </c>
      <c r="AJ116" s="77" t="s">
        <v>1434</v>
      </c>
      <c r="AK116">
        <v>7</v>
      </c>
      <c r="AL116" s="77">
        <v>76.175668000000002</v>
      </c>
      <c r="AM116" s="128">
        <v>74.836130999999995</v>
      </c>
      <c r="AN116" s="47">
        <v>76.02</v>
      </c>
      <c r="AO116" s="36">
        <v>75.81</v>
      </c>
      <c r="AP116" s="36">
        <v>82.83</v>
      </c>
      <c r="AQ116" s="125">
        <f ca="1">Table7[[#This Row],[cpuchunk=1]]/Table7[[#This Row],[GPU_chunk10_ratio]]</f>
        <v>0.90349065555957986</v>
      </c>
      <c r="AR116" s="2">
        <v>73.849999999999994</v>
      </c>
      <c r="AS116" s="132" t="s">
        <v>3986</v>
      </c>
    </row>
    <row r="117" spans="2:45" ht="29" hidden="1" x14ac:dyDescent="0.35">
      <c r="B117" s="98"/>
      <c r="C117" s="94" t="s">
        <v>1437</v>
      </c>
      <c r="D117" s="98">
        <v>9</v>
      </c>
      <c r="E117" s="137" t="s">
        <v>3986</v>
      </c>
      <c r="F117" s="137" t="s">
        <v>3986</v>
      </c>
      <c r="G117" s="137"/>
      <c r="H117" s="137" t="s">
        <v>3986</v>
      </c>
      <c r="I117" s="135" t="s">
        <v>3986</v>
      </c>
      <c r="J117" s="137" t="s">
        <v>3986</v>
      </c>
      <c r="K117" s="137" t="e">
        <f>Table711[[#This Row],[G2AIMD (pingpong)]]/Table711[[#This Row],[gpu-hybrid-copy]]</f>
        <v>#VALUE!</v>
      </c>
      <c r="L117" s="137" t="e">
        <f>Table711[[#This Row],[G2AIMD (pingpong)]]/Table711[[#This Row],[gpu-layered]]</f>
        <v>#VALUE!</v>
      </c>
      <c r="M117" s="137" t="e">
        <f>Table711[[#This Row],[gpu-layered]]/Table711[[#This Row],[CPU+GPU]]</f>
        <v>#VALUE!</v>
      </c>
      <c r="N117" s="169" t="e">
        <f>Table711[[#This Row],[CPU Only (X &gt; 30m)]]/Table711[[#This Row],[CPU+GPU]]</f>
        <v>#VALUE!</v>
      </c>
      <c r="AI117">
        <v>1</v>
      </c>
      <c r="AJ117" s="77" t="s">
        <v>1438</v>
      </c>
      <c r="AK117">
        <v>2</v>
      </c>
      <c r="AL117" s="77">
        <v>103.344572</v>
      </c>
      <c r="AM117" s="128">
        <v>85.561336999999995</v>
      </c>
      <c r="AN117" s="47">
        <v>101.93723900000001</v>
      </c>
      <c r="AO117" s="36">
        <v>103.33</v>
      </c>
      <c r="AP117" s="36">
        <v>105.39</v>
      </c>
      <c r="AQ117" s="125">
        <f ca="1">Table7[[#This Row],[cpuchunk=1]]/Table7[[#This Row],[GPU_chunk10_ratio]]</f>
        <v>0.81185441692760218</v>
      </c>
      <c r="AR117" s="2">
        <v>169.211938</v>
      </c>
      <c r="AS117" s="132" t="s">
        <v>3986</v>
      </c>
    </row>
    <row r="118" spans="2:45" ht="29" hidden="1" x14ac:dyDescent="0.35">
      <c r="B118" s="98"/>
      <c r="C118" s="94" t="s">
        <v>1436</v>
      </c>
      <c r="D118" s="98">
        <v>5</v>
      </c>
      <c r="E118" s="137" t="s">
        <v>3986</v>
      </c>
      <c r="F118" s="137" t="s">
        <v>3986</v>
      </c>
      <c r="G118" s="137"/>
      <c r="H118" s="137" t="s">
        <v>3986</v>
      </c>
      <c r="I118" s="135" t="s">
        <v>3986</v>
      </c>
      <c r="J118" s="137" t="s">
        <v>3986</v>
      </c>
      <c r="K118" s="137" t="e">
        <f>Table711[[#This Row],[G2AIMD (pingpong)]]/Table711[[#This Row],[gpu-hybrid-copy]]</f>
        <v>#VALUE!</v>
      </c>
      <c r="L118" s="137" t="e">
        <f>Table711[[#This Row],[G2AIMD (pingpong)]]/Table711[[#This Row],[gpu-layered]]</f>
        <v>#VALUE!</v>
      </c>
      <c r="M118" s="137" t="e">
        <f>Table711[[#This Row],[gpu-layered]]/Table711[[#This Row],[CPU+GPU]]</f>
        <v>#VALUE!</v>
      </c>
      <c r="N118" s="169" t="e">
        <f>Table711[[#This Row],[CPU Only (X &gt; 30m)]]/Table711[[#This Row],[CPU+GPU]]</f>
        <v>#VALUE!</v>
      </c>
      <c r="AI118">
        <v>1</v>
      </c>
      <c r="AJ118" s="77" t="s">
        <v>1434</v>
      </c>
      <c r="AK118">
        <v>8</v>
      </c>
      <c r="AL118" s="77" t="s">
        <v>3986</v>
      </c>
      <c r="AM118" s="128">
        <v>91.497511000000003</v>
      </c>
      <c r="AN118" s="47">
        <v>89.48</v>
      </c>
      <c r="AO118" s="36">
        <v>87.05</v>
      </c>
      <c r="AP118" s="36">
        <v>91.47</v>
      </c>
      <c r="AQ118" s="125">
        <f ca="1">Table7[[#This Row],[cpuchunk=1]]/Table7[[#This Row],[GPU_chunk10_ratio]]</f>
        <v>1.0003007652782334</v>
      </c>
      <c r="AR118" s="2">
        <v>89.974523000000005</v>
      </c>
      <c r="AS118" s="132" t="s">
        <v>3986</v>
      </c>
    </row>
    <row r="119" spans="2:45" ht="29" hidden="1" x14ac:dyDescent="0.35">
      <c r="B119" s="98"/>
      <c r="C119" s="94" t="s">
        <v>1436</v>
      </c>
      <c r="D119" s="98">
        <v>6</v>
      </c>
      <c r="E119" s="137" t="s">
        <v>3986</v>
      </c>
      <c r="F119" s="137" t="s">
        <v>3986</v>
      </c>
      <c r="G119" s="137"/>
      <c r="H119" s="137" t="s">
        <v>3986</v>
      </c>
      <c r="I119" s="135" t="s">
        <v>3986</v>
      </c>
      <c r="J119" s="137" t="s">
        <v>3986</v>
      </c>
      <c r="K119" s="137" t="e">
        <f>Table711[[#This Row],[G2AIMD (pingpong)]]/Table711[[#This Row],[gpu-hybrid-copy]]</f>
        <v>#VALUE!</v>
      </c>
      <c r="L119" s="137" t="e">
        <f>Table711[[#This Row],[G2AIMD (pingpong)]]/Table711[[#This Row],[gpu-layered]]</f>
        <v>#VALUE!</v>
      </c>
      <c r="M119" s="137" t="e">
        <f>Table711[[#This Row],[gpu-layered]]/Table711[[#This Row],[CPU+GPU]]</f>
        <v>#VALUE!</v>
      </c>
      <c r="N119" s="169" t="e">
        <f>Table711[[#This Row],[CPU Only (X &gt; 30m)]]/Table711[[#This Row],[CPU+GPU]]</f>
        <v>#VALUE!</v>
      </c>
      <c r="AI119">
        <v>1</v>
      </c>
      <c r="AJ119" s="77" t="s">
        <v>1409</v>
      </c>
      <c r="AK119">
        <v>2</v>
      </c>
      <c r="AL119" s="77">
        <v>113.499054</v>
      </c>
      <c r="AM119" s="128">
        <v>94.717786000000004</v>
      </c>
      <c r="AN119" s="47">
        <v>115.15</v>
      </c>
      <c r="AO119" s="36">
        <v>114.11</v>
      </c>
      <c r="AP119" s="36">
        <v>112.06</v>
      </c>
      <c r="AQ119" s="125">
        <f ca="1">Table7[[#This Row],[cpuchunk=1]]/Table7[[#This Row],[GPU_chunk10_ratio]]</f>
        <v>0.84524170979832236</v>
      </c>
      <c r="AR119" s="2">
        <v>373.59</v>
      </c>
      <c r="AS119" s="132" t="s">
        <v>3986</v>
      </c>
    </row>
    <row r="120" spans="2:45" ht="29" hidden="1" x14ac:dyDescent="0.35">
      <c r="B120" s="98"/>
      <c r="C120" s="94" t="s">
        <v>1436</v>
      </c>
      <c r="D120" s="98">
        <v>7</v>
      </c>
      <c r="E120" s="137" t="s">
        <v>3986</v>
      </c>
      <c r="F120" s="137" t="s">
        <v>3986</v>
      </c>
      <c r="G120" s="137"/>
      <c r="H120" s="137" t="s">
        <v>3986</v>
      </c>
      <c r="I120" s="135" t="s">
        <v>3986</v>
      </c>
      <c r="J120" s="137" t="s">
        <v>3986</v>
      </c>
      <c r="K120" s="137" t="e">
        <f>Table711[[#This Row],[G2AIMD (pingpong)]]/Table711[[#This Row],[gpu-hybrid-copy]]</f>
        <v>#VALUE!</v>
      </c>
      <c r="L120" s="137" t="e">
        <f>Table711[[#This Row],[G2AIMD (pingpong)]]/Table711[[#This Row],[gpu-layered]]</f>
        <v>#VALUE!</v>
      </c>
      <c r="M120" s="137" t="e">
        <f>Table711[[#This Row],[gpu-layered]]/Table711[[#This Row],[CPU+GPU]]</f>
        <v>#VALUE!</v>
      </c>
      <c r="N120" s="169" t="e">
        <f>Table711[[#This Row],[CPU Only (X &gt; 30m)]]/Table711[[#This Row],[CPU+GPU]]</f>
        <v>#VALUE!</v>
      </c>
      <c r="AI120">
        <v>1</v>
      </c>
      <c r="AJ120" s="77" t="s">
        <v>1425</v>
      </c>
      <c r="AK120">
        <v>5</v>
      </c>
      <c r="AL120" s="77">
        <v>107.200653</v>
      </c>
      <c r="AM120" s="128">
        <v>100.607213</v>
      </c>
      <c r="AN120" s="47">
        <v>107.16</v>
      </c>
      <c r="AO120" s="36">
        <v>107.55</v>
      </c>
      <c r="AP120" s="36">
        <v>107.62</v>
      </c>
      <c r="AQ120" s="125">
        <f ca="1">Table7[[#This Row],[cpuchunk=1]]/Table7[[#This Row],[GPU_chunk10_ratio]]</f>
        <v>0.93483751161494144</v>
      </c>
      <c r="AR120" s="2">
        <v>106.86</v>
      </c>
      <c r="AS120" s="132" t="s">
        <v>3986</v>
      </c>
    </row>
    <row r="121" spans="2:45" ht="29" hidden="1" x14ac:dyDescent="0.35">
      <c r="B121" s="98"/>
      <c r="C121" s="94" t="s">
        <v>1436</v>
      </c>
      <c r="D121" s="98">
        <v>8</v>
      </c>
      <c r="E121" s="137" t="s">
        <v>3986</v>
      </c>
      <c r="F121" s="137" t="s">
        <v>3986</v>
      </c>
      <c r="G121" s="137"/>
      <c r="H121" s="137" t="s">
        <v>3986</v>
      </c>
      <c r="I121" s="135" t="s">
        <v>3986</v>
      </c>
      <c r="J121" s="137" t="s">
        <v>3986</v>
      </c>
      <c r="K121" s="137" t="e">
        <f>Table711[[#This Row],[G2AIMD (pingpong)]]/Table711[[#This Row],[gpu-hybrid-copy]]</f>
        <v>#VALUE!</v>
      </c>
      <c r="L121" s="137" t="e">
        <f>Table711[[#This Row],[G2AIMD (pingpong)]]/Table711[[#This Row],[gpu-layered]]</f>
        <v>#VALUE!</v>
      </c>
      <c r="M121" s="137" t="e">
        <f>Table711[[#This Row],[gpu-layered]]/Table711[[#This Row],[CPU+GPU]]</f>
        <v>#VALUE!</v>
      </c>
      <c r="N121" s="169" t="e">
        <f>Table711[[#This Row],[CPU Only (X &gt; 30m)]]/Table711[[#This Row],[CPU+GPU]]</f>
        <v>#VALUE!</v>
      </c>
      <c r="AI121">
        <v>1</v>
      </c>
      <c r="AJ121" s="119" t="s">
        <v>1440</v>
      </c>
      <c r="AK121" s="120">
        <v>9</v>
      </c>
      <c r="AL121" s="77">
        <v>143.057703</v>
      </c>
      <c r="AM121" s="129">
        <v>121.78675800000001</v>
      </c>
      <c r="AN121" s="47" t="s">
        <v>3986</v>
      </c>
      <c r="AO121" s="36">
        <v>147.19999999999999</v>
      </c>
      <c r="AP121" s="36">
        <v>141.01</v>
      </c>
      <c r="AQ121" s="125">
        <f ca="1">Table7[[#This Row],[cpuchunk=1]]/Table7[[#This Row],[GPU_chunk10_ratio]]</f>
        <v>0.86367461882136032</v>
      </c>
      <c r="AR121" s="121" t="s">
        <v>3986</v>
      </c>
      <c r="AS121" s="132" t="s">
        <v>3986</v>
      </c>
    </row>
    <row r="122" spans="2:45" ht="29" hidden="1" x14ac:dyDescent="0.35">
      <c r="B122" s="98"/>
      <c r="C122" s="94" t="s">
        <v>1433</v>
      </c>
      <c r="D122" s="98">
        <v>5</v>
      </c>
      <c r="E122" s="137" t="s">
        <v>3986</v>
      </c>
      <c r="F122" s="137" t="s">
        <v>4010</v>
      </c>
      <c r="G122" s="137"/>
      <c r="H122" s="137" t="s">
        <v>3986</v>
      </c>
      <c r="I122" s="135" t="s">
        <v>3986</v>
      </c>
      <c r="J122" s="137" t="s">
        <v>3986</v>
      </c>
      <c r="K122" s="137" t="e">
        <f>Table711[[#This Row],[G2AIMD (pingpong)]]/Table711[[#This Row],[gpu-hybrid-copy]]</f>
        <v>#VALUE!</v>
      </c>
      <c r="L122" s="137" t="e">
        <f>Table711[[#This Row],[G2AIMD (pingpong)]]/Table711[[#This Row],[gpu-layered]]</f>
        <v>#VALUE!</v>
      </c>
      <c r="M122" s="137" t="e">
        <f>Table711[[#This Row],[gpu-layered]]/Table711[[#This Row],[CPU+GPU]]</f>
        <v>#VALUE!</v>
      </c>
      <c r="N122" s="169" t="e">
        <f>Table711[[#This Row],[CPU Only (X &gt; 30m)]]/Table711[[#This Row],[CPU+GPU]]</f>
        <v>#VALUE!</v>
      </c>
      <c r="AI122">
        <v>1</v>
      </c>
      <c r="AJ122" s="77" t="s">
        <v>3919</v>
      </c>
      <c r="AK122">
        <v>18</v>
      </c>
      <c r="AL122" s="77">
        <v>117.70626300000001</v>
      </c>
      <c r="AM122" s="128">
        <v>129.07867100000001</v>
      </c>
      <c r="AN122" s="47">
        <v>127.01958</v>
      </c>
      <c r="AO122" s="36">
        <v>126.24</v>
      </c>
      <c r="AP122" s="36">
        <v>126.33</v>
      </c>
      <c r="AQ122" s="125">
        <f ca="1">Table7[[#This Row],[cpuchunk=1]]/Table7[[#This Row],[GPU_chunk10_ratio]]</f>
        <v>1.0217578643235972</v>
      </c>
      <c r="AR122" s="2">
        <v>128.053923</v>
      </c>
      <c r="AS122" s="132" t="s">
        <v>3986</v>
      </c>
    </row>
    <row r="123" spans="2:45" ht="29" hidden="1" x14ac:dyDescent="0.35">
      <c r="B123" s="98"/>
      <c r="C123" s="94" t="s">
        <v>1433</v>
      </c>
      <c r="D123" s="98">
        <v>6</v>
      </c>
      <c r="E123" s="137" t="s">
        <v>3986</v>
      </c>
      <c r="F123" s="137" t="s">
        <v>3986</v>
      </c>
      <c r="G123" s="137"/>
      <c r="H123" s="137" t="s">
        <v>3986</v>
      </c>
      <c r="I123" s="135" t="s">
        <v>3986</v>
      </c>
      <c r="J123" s="137" t="s">
        <v>3986</v>
      </c>
      <c r="K123" s="137" t="e">
        <f>Table711[[#This Row],[G2AIMD (pingpong)]]/Table711[[#This Row],[gpu-hybrid-copy]]</f>
        <v>#VALUE!</v>
      </c>
      <c r="L123" s="137" t="e">
        <f>Table711[[#This Row],[G2AIMD (pingpong)]]/Table711[[#This Row],[gpu-layered]]</f>
        <v>#VALUE!</v>
      </c>
      <c r="M123" s="137" t="e">
        <f>Table711[[#This Row],[gpu-layered]]/Table711[[#This Row],[CPU+GPU]]</f>
        <v>#VALUE!</v>
      </c>
      <c r="N123" s="169" t="e">
        <f>Table711[[#This Row],[CPU Only (X &gt; 30m)]]/Table711[[#This Row],[CPU+GPU]]</f>
        <v>#VALUE!</v>
      </c>
      <c r="AI123">
        <v>1</v>
      </c>
      <c r="AJ123" s="77" t="s">
        <v>1461</v>
      </c>
      <c r="AK123">
        <v>5</v>
      </c>
      <c r="AL123" s="77">
        <v>140.261855</v>
      </c>
      <c r="AM123" s="128">
        <v>132.62251599999999</v>
      </c>
      <c r="AN123" s="47">
        <v>134.26</v>
      </c>
      <c r="AO123" s="36">
        <v>135.83000000000001</v>
      </c>
      <c r="AP123" s="36">
        <v>136.24</v>
      </c>
      <c r="AQ123" s="125">
        <f ca="1">Table7[[#This Row],[cpuchunk=1]]/Table7[[#This Row],[GPU_chunk10_ratio]]</f>
        <v>0.97344770992366403</v>
      </c>
      <c r="AR123" s="2">
        <v>154.84</v>
      </c>
      <c r="AS123" s="132" t="s">
        <v>3986</v>
      </c>
    </row>
    <row r="124" spans="2:45" ht="29" hidden="1" x14ac:dyDescent="0.35">
      <c r="B124" s="98"/>
      <c r="C124" s="94" t="s">
        <v>1433</v>
      </c>
      <c r="D124" s="98">
        <v>7</v>
      </c>
      <c r="E124" s="137" t="s">
        <v>3986</v>
      </c>
      <c r="F124" s="137" t="s">
        <v>3986</v>
      </c>
      <c r="G124" s="137"/>
      <c r="H124" s="137" t="s">
        <v>3986</v>
      </c>
      <c r="I124" s="135" t="s">
        <v>3986</v>
      </c>
      <c r="J124" s="137" t="s">
        <v>3986</v>
      </c>
      <c r="K124" s="137" t="e">
        <f>Table711[[#This Row],[G2AIMD (pingpong)]]/Table711[[#This Row],[gpu-hybrid-copy]]</f>
        <v>#VALUE!</v>
      </c>
      <c r="L124" s="137" t="e">
        <f>Table711[[#This Row],[G2AIMD (pingpong)]]/Table711[[#This Row],[gpu-layered]]</f>
        <v>#VALUE!</v>
      </c>
      <c r="M124" s="137" t="e">
        <f>Table711[[#This Row],[gpu-layered]]/Table711[[#This Row],[CPU+GPU]]</f>
        <v>#VALUE!</v>
      </c>
      <c r="N124" s="169" t="e">
        <f>Table711[[#This Row],[CPU Only (X &gt; 30m)]]/Table711[[#This Row],[CPU+GPU]]</f>
        <v>#VALUE!</v>
      </c>
      <c r="AI124">
        <v>1</v>
      </c>
      <c r="AJ124" s="77" t="s">
        <v>1423</v>
      </c>
      <c r="AK124">
        <v>5</v>
      </c>
      <c r="AL124" s="77">
        <v>170.47756100000001</v>
      </c>
      <c r="AM124" s="128">
        <v>154.899764</v>
      </c>
      <c r="AN124" s="47">
        <v>167.78</v>
      </c>
      <c r="AO124" s="36">
        <v>172.19</v>
      </c>
      <c r="AP124" s="36">
        <v>168.85</v>
      </c>
      <c r="AQ124" s="125">
        <f ca="1">Table7[[#This Row],[cpuchunk=1]]/Table7[[#This Row],[GPU_chunk10_ratio]]</f>
        <v>0.91738089428486824</v>
      </c>
      <c r="AR124" s="2">
        <v>157.596372</v>
      </c>
      <c r="AS124" s="132" t="s">
        <v>3986</v>
      </c>
    </row>
    <row r="125" spans="2:45" ht="29" hidden="1" x14ac:dyDescent="0.35">
      <c r="B125" s="98"/>
      <c r="C125" s="94" t="s">
        <v>1433</v>
      </c>
      <c r="D125" s="98">
        <v>8</v>
      </c>
      <c r="E125" s="137" t="s">
        <v>3986</v>
      </c>
      <c r="F125" s="137" t="s">
        <v>3986</v>
      </c>
      <c r="G125" s="137"/>
      <c r="H125" s="137" t="s">
        <v>3986</v>
      </c>
      <c r="I125" s="135" t="s">
        <v>3986</v>
      </c>
      <c r="J125" s="137" t="s">
        <v>3986</v>
      </c>
      <c r="K125" s="137" t="e">
        <f>Table711[[#This Row],[G2AIMD (pingpong)]]/Table711[[#This Row],[gpu-hybrid-copy]]</f>
        <v>#VALUE!</v>
      </c>
      <c r="L125" s="137" t="e">
        <f>Table711[[#This Row],[G2AIMD (pingpong)]]/Table711[[#This Row],[gpu-layered]]</f>
        <v>#VALUE!</v>
      </c>
      <c r="M125" s="137" t="e">
        <f>Table711[[#This Row],[gpu-layered]]/Table711[[#This Row],[CPU+GPU]]</f>
        <v>#VALUE!</v>
      </c>
      <c r="N125" s="169" t="e">
        <f>Table711[[#This Row],[CPU Only (X &gt; 30m)]]/Table711[[#This Row],[CPU+GPU]]</f>
        <v>#VALUE!</v>
      </c>
      <c r="AI125">
        <v>1</v>
      </c>
      <c r="AJ125" s="77" t="s">
        <v>1440</v>
      </c>
      <c r="AK125">
        <v>2</v>
      </c>
      <c r="AL125" s="77">
        <v>257.65440699999999</v>
      </c>
      <c r="AM125" s="128">
        <v>216.72742199999999</v>
      </c>
      <c r="AN125" s="47">
        <v>258.93</v>
      </c>
      <c r="AO125" s="36">
        <v>257.16000000000003</v>
      </c>
      <c r="AP125" s="36">
        <v>255.51</v>
      </c>
      <c r="AQ125" s="125">
        <f ca="1">Table7[[#This Row],[cpuchunk=1]]/Table7[[#This Row],[GPU_chunk10_ratio]]</f>
        <v>0.84821502876599741</v>
      </c>
      <c r="AR125" s="2" t="s">
        <v>3986</v>
      </c>
      <c r="AS125" s="132" t="s">
        <v>3986</v>
      </c>
    </row>
    <row r="126" spans="2:45" ht="29" hidden="1" x14ac:dyDescent="0.35">
      <c r="B126" s="98"/>
      <c r="C126" s="94" t="s">
        <v>1433</v>
      </c>
      <c r="D126" s="98">
        <v>9</v>
      </c>
      <c r="E126" s="137" t="s">
        <v>3986</v>
      </c>
      <c r="F126" s="137" t="s">
        <v>3986</v>
      </c>
      <c r="G126" s="137"/>
      <c r="H126" s="137" t="s">
        <v>3986</v>
      </c>
      <c r="I126" s="135" t="s">
        <v>3986</v>
      </c>
      <c r="J126" s="137" t="s">
        <v>3986</v>
      </c>
      <c r="K126" s="137" t="e">
        <f>Table711[[#This Row],[G2AIMD (pingpong)]]/Table711[[#This Row],[gpu-hybrid-copy]]</f>
        <v>#VALUE!</v>
      </c>
      <c r="L126" s="137" t="e">
        <f>Table711[[#This Row],[G2AIMD (pingpong)]]/Table711[[#This Row],[gpu-layered]]</f>
        <v>#VALUE!</v>
      </c>
      <c r="M126" s="137" t="e">
        <f>Table711[[#This Row],[gpu-layered]]/Table711[[#This Row],[CPU+GPU]]</f>
        <v>#VALUE!</v>
      </c>
      <c r="N126" s="169" t="e">
        <f>Table711[[#This Row],[CPU Only (X &gt; 30m)]]/Table711[[#This Row],[CPU+GPU]]</f>
        <v>#VALUE!</v>
      </c>
      <c r="AI126">
        <v>1</v>
      </c>
      <c r="AJ126" s="77" t="s">
        <v>1411</v>
      </c>
      <c r="AK126">
        <v>5</v>
      </c>
      <c r="AL126" s="77">
        <v>241.00033300000001</v>
      </c>
      <c r="AM126" s="128">
        <v>228.41716700000001</v>
      </c>
      <c r="AN126" s="47">
        <v>232.44</v>
      </c>
      <c r="AO126" s="36">
        <v>236.29</v>
      </c>
      <c r="AP126" s="36">
        <v>237.26</v>
      </c>
      <c r="AQ126" s="125">
        <f ca="1">Table7[[#This Row],[cpuchunk=1]]/Table7[[#This Row],[GPU_chunk10_ratio]]</f>
        <v>0.96272935598078069</v>
      </c>
      <c r="AR126" s="2">
        <v>401.68</v>
      </c>
      <c r="AS126" s="132" t="s">
        <v>3986</v>
      </c>
    </row>
    <row r="127" spans="2:45" ht="29" hidden="1" x14ac:dyDescent="0.35">
      <c r="B127" s="98"/>
      <c r="C127" s="94" t="s">
        <v>1448</v>
      </c>
      <c r="D127" s="98">
        <v>6</v>
      </c>
      <c r="E127" s="137" t="s">
        <v>3986</v>
      </c>
      <c r="F127" s="137" t="s">
        <v>3986</v>
      </c>
      <c r="G127" s="137"/>
      <c r="H127" s="137" t="s">
        <v>3986</v>
      </c>
      <c r="I127" s="135" t="s">
        <v>3986</v>
      </c>
      <c r="J127" s="137" t="s">
        <v>3986</v>
      </c>
      <c r="K127" s="137" t="e">
        <f>Table711[[#This Row],[G2AIMD (pingpong)]]/Table711[[#This Row],[gpu-hybrid-copy]]</f>
        <v>#VALUE!</v>
      </c>
      <c r="L127" s="137" t="e">
        <f>Table711[[#This Row],[G2AIMD (pingpong)]]/Table711[[#This Row],[gpu-layered]]</f>
        <v>#VALUE!</v>
      </c>
      <c r="M127" s="137" t="e">
        <f>Table711[[#This Row],[gpu-layered]]/Table711[[#This Row],[CPU+GPU]]</f>
        <v>#VALUE!</v>
      </c>
      <c r="N127" s="169" t="e">
        <f>Table711[[#This Row],[CPU Only (X &gt; 30m)]]/Table711[[#This Row],[CPU+GPU]]</f>
        <v>#VALUE!</v>
      </c>
      <c r="AI127">
        <v>1</v>
      </c>
      <c r="AJ127" s="77" t="s">
        <v>1</v>
      </c>
      <c r="AK127">
        <v>8</v>
      </c>
      <c r="AL127" s="77">
        <v>208.09928300000001</v>
      </c>
      <c r="AM127" s="128">
        <v>245.38578000000001</v>
      </c>
      <c r="AN127" s="47">
        <v>218.27</v>
      </c>
      <c r="AO127" s="36">
        <v>216.17</v>
      </c>
      <c r="AP127" s="36">
        <v>221.86</v>
      </c>
      <c r="AQ127" s="125">
        <f ca="1">Table7[[#This Row],[cpuchunk=1]]/Table7[[#This Row],[GPU_chunk10_ratio]]</f>
        <v>1.1060388533309293</v>
      </c>
      <c r="AR127" s="2">
        <v>248.285864</v>
      </c>
      <c r="AS127" s="132" t="s">
        <v>3986</v>
      </c>
    </row>
    <row r="128" spans="2:45" ht="29" hidden="1" x14ac:dyDescent="0.35">
      <c r="B128" s="98"/>
      <c r="C128" s="94" t="s">
        <v>1448</v>
      </c>
      <c r="D128" s="98">
        <v>7</v>
      </c>
      <c r="E128" s="137" t="s">
        <v>3986</v>
      </c>
      <c r="F128" s="137" t="s">
        <v>3986</v>
      </c>
      <c r="G128" s="137"/>
      <c r="H128" s="137" t="s">
        <v>3986</v>
      </c>
      <c r="I128" s="135" t="s">
        <v>3986</v>
      </c>
      <c r="J128" s="137" t="s">
        <v>3986</v>
      </c>
      <c r="K128" s="137" t="e">
        <f>Table711[[#This Row],[G2AIMD (pingpong)]]/Table711[[#This Row],[gpu-hybrid-copy]]</f>
        <v>#VALUE!</v>
      </c>
      <c r="L128" s="137" t="e">
        <f>Table711[[#This Row],[G2AIMD (pingpong)]]/Table711[[#This Row],[gpu-layered]]</f>
        <v>#VALUE!</v>
      </c>
      <c r="M128" s="137" t="e">
        <f>Table711[[#This Row],[gpu-layered]]/Table711[[#This Row],[CPU+GPU]]</f>
        <v>#VALUE!</v>
      </c>
      <c r="N128" s="169" t="e">
        <f>Table711[[#This Row],[CPU Only (X &gt; 30m)]]/Table711[[#This Row],[CPU+GPU]]</f>
        <v>#VALUE!</v>
      </c>
      <c r="AI128">
        <v>1</v>
      </c>
      <c r="AJ128" s="77" t="s">
        <v>1448</v>
      </c>
      <c r="AK128">
        <v>5</v>
      </c>
      <c r="AL128" s="77">
        <v>317.764993</v>
      </c>
      <c r="AM128" s="128">
        <v>291.89822400000003</v>
      </c>
      <c r="AN128" s="47">
        <v>314.57</v>
      </c>
      <c r="AO128" s="36">
        <v>315.8</v>
      </c>
      <c r="AP128" s="36">
        <v>314.29000000000002</v>
      </c>
      <c r="AQ128" s="125">
        <f ca="1">Table7[[#This Row],[cpuchunk=1]]/Table7[[#This Row],[GPU_chunk10_ratio]]</f>
        <v>0.92875441153075189</v>
      </c>
      <c r="AR128" s="2">
        <v>323.17</v>
      </c>
      <c r="AS128" s="132" t="s">
        <v>3986</v>
      </c>
    </row>
    <row r="129" spans="2:45" ht="29" hidden="1" x14ac:dyDescent="0.35">
      <c r="B129" s="98"/>
      <c r="C129" s="94" t="s">
        <v>1448</v>
      </c>
      <c r="D129" s="98">
        <v>8</v>
      </c>
      <c r="E129" s="137" t="s">
        <v>3986</v>
      </c>
      <c r="F129" s="137" t="s">
        <v>3986</v>
      </c>
      <c r="G129" s="137"/>
      <c r="H129" s="137" t="s">
        <v>3986</v>
      </c>
      <c r="I129" s="135" t="s">
        <v>3986</v>
      </c>
      <c r="J129" s="137" t="s">
        <v>3986</v>
      </c>
      <c r="K129" s="137" t="e">
        <f>Table711[[#This Row],[G2AIMD (pingpong)]]/Table711[[#This Row],[gpu-hybrid-copy]]</f>
        <v>#VALUE!</v>
      </c>
      <c r="L129" s="137" t="e">
        <f>Table711[[#This Row],[G2AIMD (pingpong)]]/Table711[[#This Row],[gpu-layered]]</f>
        <v>#VALUE!</v>
      </c>
      <c r="M129" s="137" t="e">
        <f>Table711[[#This Row],[gpu-layered]]/Table711[[#This Row],[CPU+GPU]]</f>
        <v>#VALUE!</v>
      </c>
      <c r="N129" s="169" t="e">
        <f>Table711[[#This Row],[CPU Only (X &gt; 30m)]]/Table711[[#This Row],[CPU+GPU]]</f>
        <v>#VALUE!</v>
      </c>
      <c r="AI129">
        <v>1</v>
      </c>
      <c r="AJ129" s="77" t="s">
        <v>1425</v>
      </c>
      <c r="AK129">
        <v>7</v>
      </c>
      <c r="AL129" s="77">
        <v>426.04929700000002</v>
      </c>
      <c r="AM129" s="128">
        <v>397.48090999999999</v>
      </c>
      <c r="AN129" s="47">
        <v>454.62</v>
      </c>
      <c r="AO129" s="36">
        <v>460.08</v>
      </c>
      <c r="AP129" s="36">
        <v>476.79</v>
      </c>
      <c r="AQ129" s="125">
        <f ca="1">Table7[[#This Row],[cpuchunk=1]]/Table7[[#This Row],[GPU_chunk10_ratio]]</f>
        <v>0.83366033264120465</v>
      </c>
      <c r="AR129" s="2">
        <v>439.04</v>
      </c>
      <c r="AS129" s="132" t="s">
        <v>3986</v>
      </c>
    </row>
    <row r="130" spans="2:45" ht="29" hidden="1" x14ac:dyDescent="0.35">
      <c r="B130" s="98"/>
      <c r="C130" s="94" t="s">
        <v>1431</v>
      </c>
      <c r="D130" s="98">
        <v>6</v>
      </c>
      <c r="E130" s="137" t="s">
        <v>3986</v>
      </c>
      <c r="F130" s="137" t="s">
        <v>3986</v>
      </c>
      <c r="G130" s="137"/>
      <c r="H130" s="137" t="s">
        <v>3986</v>
      </c>
      <c r="I130" s="135" t="s">
        <v>3986</v>
      </c>
      <c r="J130" s="137" t="s">
        <v>3986</v>
      </c>
      <c r="K130" s="137" t="e">
        <f>Table711[[#This Row],[G2AIMD (pingpong)]]/Table711[[#This Row],[gpu-hybrid-copy]]</f>
        <v>#VALUE!</v>
      </c>
      <c r="L130" s="137" t="e">
        <f>Table711[[#This Row],[G2AIMD (pingpong)]]/Table711[[#This Row],[gpu-layered]]</f>
        <v>#VALUE!</v>
      </c>
      <c r="M130" s="137" t="e">
        <f>Table711[[#This Row],[gpu-layered]]/Table711[[#This Row],[CPU+GPU]]</f>
        <v>#VALUE!</v>
      </c>
      <c r="N130" s="169" t="e">
        <f>Table711[[#This Row],[CPU Only (X &gt; 30m)]]/Table711[[#This Row],[CPU+GPU]]</f>
        <v>#VALUE!</v>
      </c>
      <c r="AI130">
        <v>1</v>
      </c>
      <c r="AJ130" s="77" t="s">
        <v>1425</v>
      </c>
      <c r="AK130">
        <v>8</v>
      </c>
      <c r="AL130" s="77" t="s">
        <v>3986</v>
      </c>
      <c r="AM130" s="128">
        <v>422.13027799999998</v>
      </c>
      <c r="AN130" s="47">
        <v>411.4</v>
      </c>
      <c r="AO130" s="36">
        <v>392.57</v>
      </c>
      <c r="AP130" s="36">
        <v>399.4</v>
      </c>
      <c r="AQ130" s="125">
        <f ca="1">Table7[[#This Row],[cpuchunk=1]]/Table7[[#This Row],[GPU_chunk10_ratio]]</f>
        <v>1.0569110615923887</v>
      </c>
      <c r="AR130" s="2">
        <v>423.83</v>
      </c>
      <c r="AS130" s="132" t="s">
        <v>3986</v>
      </c>
    </row>
    <row r="131" spans="2:45" ht="29" hidden="1" x14ac:dyDescent="0.35">
      <c r="B131" s="98"/>
      <c r="C131" s="94" t="s">
        <v>1423</v>
      </c>
      <c r="D131" s="98">
        <v>6</v>
      </c>
      <c r="E131" s="137" t="s">
        <v>3986</v>
      </c>
      <c r="F131" s="137" t="s">
        <v>3986</v>
      </c>
      <c r="G131" s="137"/>
      <c r="H131" s="137" t="s">
        <v>3986</v>
      </c>
      <c r="I131" s="135" t="s">
        <v>3986</v>
      </c>
      <c r="J131" s="137" t="s">
        <v>3986</v>
      </c>
      <c r="K131" s="137" t="e">
        <f>Table711[[#This Row],[G2AIMD (pingpong)]]/Table711[[#This Row],[gpu-hybrid-copy]]</f>
        <v>#VALUE!</v>
      </c>
      <c r="L131" s="137" t="e">
        <f>Table711[[#This Row],[G2AIMD (pingpong)]]/Table711[[#This Row],[gpu-layered]]</f>
        <v>#VALUE!</v>
      </c>
      <c r="M131" s="137" t="e">
        <f>Table711[[#This Row],[gpu-layered]]/Table711[[#This Row],[CPU+GPU]]</f>
        <v>#VALUE!</v>
      </c>
      <c r="N131" s="169" t="e">
        <f>Table711[[#This Row],[CPU Only (X &gt; 30m)]]/Table711[[#This Row],[CPU+GPU]]</f>
        <v>#VALUE!</v>
      </c>
      <c r="AI131">
        <v>1</v>
      </c>
      <c r="AJ131" s="77" t="s">
        <v>1461</v>
      </c>
      <c r="AK131">
        <v>7</v>
      </c>
      <c r="AL131" s="77">
        <v>478.88740799999999</v>
      </c>
      <c r="AM131" s="128">
        <v>457.514028</v>
      </c>
      <c r="AN131" s="47">
        <v>488.46</v>
      </c>
      <c r="AO131" s="36">
        <v>497.43</v>
      </c>
      <c r="AP131" s="36">
        <v>527.86</v>
      </c>
      <c r="AQ131" s="125">
        <f ca="1">Table7[[#This Row],[cpuchunk=1]]/Table7[[#This Row],[GPU_chunk10_ratio]]</f>
        <v>0.8667336566513848</v>
      </c>
      <c r="AR131" s="2">
        <v>456.93</v>
      </c>
      <c r="AS131" s="132" t="s">
        <v>3986</v>
      </c>
    </row>
    <row r="132" spans="2:45" ht="29" hidden="1" x14ac:dyDescent="0.35">
      <c r="B132" s="98"/>
      <c r="C132" s="94" t="s">
        <v>1423</v>
      </c>
      <c r="D132" s="98">
        <v>7</v>
      </c>
      <c r="E132" s="137" t="s">
        <v>3986</v>
      </c>
      <c r="F132" s="137" t="s">
        <v>3986</v>
      </c>
      <c r="G132" s="137"/>
      <c r="H132" s="137" t="s">
        <v>3986</v>
      </c>
      <c r="I132" s="135" t="s">
        <v>3986</v>
      </c>
      <c r="J132" s="137" t="s">
        <v>3986</v>
      </c>
      <c r="K132" s="137" t="e">
        <f>Table711[[#This Row],[G2AIMD (pingpong)]]/Table711[[#This Row],[gpu-hybrid-copy]]</f>
        <v>#VALUE!</v>
      </c>
      <c r="L132" s="137" t="e">
        <f>Table711[[#This Row],[G2AIMD (pingpong)]]/Table711[[#This Row],[gpu-layered]]</f>
        <v>#VALUE!</v>
      </c>
      <c r="M132" s="137" t="e">
        <f>Table711[[#This Row],[gpu-layered]]/Table711[[#This Row],[CPU+GPU]]</f>
        <v>#VALUE!</v>
      </c>
      <c r="N132" s="169" t="e">
        <f>Table711[[#This Row],[CPU Only (X &gt; 30m)]]/Table711[[#This Row],[CPU+GPU]]</f>
        <v>#VALUE!</v>
      </c>
      <c r="AI132">
        <v>1</v>
      </c>
      <c r="AJ132" s="77" t="s">
        <v>18</v>
      </c>
      <c r="AK132">
        <v>5</v>
      </c>
      <c r="AL132" s="77">
        <v>547.90130299999998</v>
      </c>
      <c r="AM132" s="128">
        <v>512.48145</v>
      </c>
      <c r="AN132" s="47">
        <v>516.69000000000005</v>
      </c>
      <c r="AO132" s="36">
        <v>520.49</v>
      </c>
      <c r="AP132" s="36" t="s">
        <v>3986</v>
      </c>
      <c r="AQ132" s="125" t="e">
        <f ca="1">Table7[[#This Row],[cpuchunk=1]]/Table7[[#This Row],[GPU_chunk10_ratio]]</f>
        <v>#VALUE!</v>
      </c>
      <c r="AR132" s="2">
        <v>508.402221</v>
      </c>
      <c r="AS132" s="132" t="s">
        <v>3986</v>
      </c>
    </row>
    <row r="133" spans="2:45" ht="29" hidden="1" x14ac:dyDescent="0.35">
      <c r="B133" s="98"/>
      <c r="C133" s="94" t="s">
        <v>1423</v>
      </c>
      <c r="D133" s="98">
        <v>8</v>
      </c>
      <c r="E133" s="137" t="s">
        <v>3986</v>
      </c>
      <c r="F133" s="137" t="s">
        <v>3986</v>
      </c>
      <c r="G133" s="137"/>
      <c r="H133" s="137" t="s">
        <v>3986</v>
      </c>
      <c r="I133" s="135" t="s">
        <v>3986</v>
      </c>
      <c r="J133" s="137" t="s">
        <v>3986</v>
      </c>
      <c r="K133" s="137" t="e">
        <f>Table711[[#This Row],[G2AIMD (pingpong)]]/Table711[[#This Row],[gpu-hybrid-copy]]</f>
        <v>#VALUE!</v>
      </c>
      <c r="L133" s="137" t="e">
        <f>Table711[[#This Row],[G2AIMD (pingpong)]]/Table711[[#This Row],[gpu-layered]]</f>
        <v>#VALUE!</v>
      </c>
      <c r="M133" s="137" t="e">
        <f>Table711[[#This Row],[gpu-layered]]/Table711[[#This Row],[CPU+GPU]]</f>
        <v>#VALUE!</v>
      </c>
      <c r="N133" s="169" t="e">
        <f>Table711[[#This Row],[CPU Only (X &gt; 30m)]]/Table711[[#This Row],[CPU+GPU]]</f>
        <v>#VALUE!</v>
      </c>
      <c r="AI133">
        <v>1</v>
      </c>
      <c r="AJ133" s="77" t="s">
        <v>1450</v>
      </c>
      <c r="AK133">
        <v>5</v>
      </c>
      <c r="AL133" s="77">
        <v>582.60663599999998</v>
      </c>
      <c r="AM133" s="128">
        <v>544.28210000000001</v>
      </c>
      <c r="AN133" s="47">
        <v>560.45000000000005</v>
      </c>
      <c r="AO133" s="36">
        <v>563.86</v>
      </c>
      <c r="AP133" s="36">
        <v>559.66999999999996</v>
      </c>
      <c r="AQ133" s="125">
        <f ca="1">Table7[[#This Row],[cpuchunk=1]]/Table7[[#This Row],[GPU_chunk10_ratio]]</f>
        <v>0.97250540497078641</v>
      </c>
      <c r="AR133" s="2">
        <v>520.41054799999995</v>
      </c>
      <c r="AS133" s="132" t="s">
        <v>3986</v>
      </c>
    </row>
    <row r="134" spans="2:45" ht="26" hidden="1" x14ac:dyDescent="0.35">
      <c r="B134" s="98"/>
      <c r="C134" s="94" t="s">
        <v>1411</v>
      </c>
      <c r="D134" s="98">
        <v>6</v>
      </c>
      <c r="E134" s="137" t="s">
        <v>3986</v>
      </c>
      <c r="F134" s="137" t="s">
        <v>3986</v>
      </c>
      <c r="G134" s="137"/>
      <c r="H134" s="137" t="s">
        <v>3986</v>
      </c>
      <c r="I134" s="135" t="s">
        <v>3986</v>
      </c>
      <c r="J134" s="137" t="s">
        <v>3986</v>
      </c>
      <c r="K134" s="137" t="e">
        <f>Table711[[#This Row],[G2AIMD (pingpong)]]/Table711[[#This Row],[gpu-hybrid-copy]]</f>
        <v>#VALUE!</v>
      </c>
      <c r="L134" s="137" t="e">
        <f>Table711[[#This Row],[G2AIMD (pingpong)]]/Table711[[#This Row],[gpu-layered]]</f>
        <v>#VALUE!</v>
      </c>
      <c r="M134" s="137" t="e">
        <f>Table711[[#This Row],[gpu-layered]]/Table711[[#This Row],[CPU+GPU]]</f>
        <v>#VALUE!</v>
      </c>
      <c r="N134" s="169" t="e">
        <f>Table711[[#This Row],[CPU Only (X &gt; 30m)]]/Table711[[#This Row],[CPU+GPU]]</f>
        <v>#VALUE!</v>
      </c>
      <c r="AJ134" s="77" t="s">
        <v>1433</v>
      </c>
      <c r="AK134">
        <v>5</v>
      </c>
      <c r="AM134" s="2">
        <v>567.19409700000006</v>
      </c>
      <c r="AN134" s="105" t="e">
        <f ca="1">Table7[[#This Row],[cpuchunk=1]]/Table7[[#This Row],[CPU Only (30m X)]]</f>
        <v>#VALUE!</v>
      </c>
      <c r="AQ134" s="105" t="e">
        <f ca="1">Table7[[#This Row],[cpuchunk=1]]/Table7[[#This Row],[GPU_chunk10_ratio]]</f>
        <v>#DIV/0!</v>
      </c>
      <c r="AR134" s="2" t="s">
        <v>3986</v>
      </c>
    </row>
    <row r="135" spans="2:45" ht="26" hidden="1" x14ac:dyDescent="0.35">
      <c r="B135" s="98"/>
      <c r="C135" s="94" t="s">
        <v>1411</v>
      </c>
      <c r="D135" s="98">
        <v>7</v>
      </c>
      <c r="E135" s="137" t="s">
        <v>3986</v>
      </c>
      <c r="F135" s="137" t="s">
        <v>3986</v>
      </c>
      <c r="G135" s="137"/>
      <c r="H135" s="137" t="s">
        <v>3986</v>
      </c>
      <c r="I135" s="135" t="s">
        <v>3986</v>
      </c>
      <c r="J135" s="137" t="s">
        <v>3986</v>
      </c>
      <c r="K135" s="137" t="e">
        <f>Table711[[#This Row],[G2AIMD (pingpong)]]/Table711[[#This Row],[gpu-hybrid-copy]]</f>
        <v>#VALUE!</v>
      </c>
      <c r="L135" s="137" t="e">
        <f>Table711[[#This Row],[G2AIMD (pingpong)]]/Table711[[#This Row],[gpu-layered]]</f>
        <v>#VALUE!</v>
      </c>
      <c r="M135" s="137" t="e">
        <f>Table711[[#This Row],[gpu-layered]]/Table711[[#This Row],[CPU+GPU]]</f>
        <v>#VALUE!</v>
      </c>
      <c r="N135" s="169" t="e">
        <f>Table711[[#This Row],[CPU Only (X &gt; 30m)]]/Table711[[#This Row],[CPU+GPU]]</f>
        <v>#VALUE!</v>
      </c>
      <c r="AJ135" s="77" t="s">
        <v>1346</v>
      </c>
      <c r="AK135">
        <v>6</v>
      </c>
      <c r="AM135" s="2" t="s">
        <v>3986</v>
      </c>
      <c r="AN135" s="105" t="e">
        <f ca="1">Table7[[#This Row],[cpuchunk=1]]/Table7[[#This Row],[CPU Only (30m X)]]</f>
        <v>#VALUE!</v>
      </c>
      <c r="AQ135" s="105" t="e">
        <f ca="1">Table7[[#This Row],[cpuchunk=1]]/Table7[[#This Row],[GPU_chunk10_ratio]]</f>
        <v>#VALUE!</v>
      </c>
      <c r="AR135" s="2" t="s">
        <v>3986</v>
      </c>
    </row>
    <row r="136" spans="2:45" ht="26" hidden="1" x14ac:dyDescent="0.35">
      <c r="B136" s="98"/>
      <c r="C136" s="94" t="s">
        <v>1411</v>
      </c>
      <c r="D136" s="98">
        <v>8</v>
      </c>
      <c r="E136" s="137" t="s">
        <v>3986</v>
      </c>
      <c r="F136" s="137" t="s">
        <v>3986</v>
      </c>
      <c r="G136" s="137"/>
      <c r="H136" s="137" t="s">
        <v>3986</v>
      </c>
      <c r="I136" s="135" t="s">
        <v>3986</v>
      </c>
      <c r="J136" s="137" t="s">
        <v>3986</v>
      </c>
      <c r="K136" s="137" t="e">
        <f>Table711[[#This Row],[G2AIMD (pingpong)]]/Table711[[#This Row],[gpu-hybrid-copy]]</f>
        <v>#VALUE!</v>
      </c>
      <c r="L136" s="137" t="e">
        <f>Table711[[#This Row],[G2AIMD (pingpong)]]/Table711[[#This Row],[gpu-layered]]</f>
        <v>#VALUE!</v>
      </c>
      <c r="M136" s="137" t="e">
        <f>Table711[[#This Row],[gpu-layered]]/Table711[[#This Row],[CPU+GPU]]</f>
        <v>#VALUE!</v>
      </c>
      <c r="N136" s="169" t="e">
        <f>Table711[[#This Row],[CPU Only (X &gt; 30m)]]/Table711[[#This Row],[CPU+GPU]]</f>
        <v>#VALUE!</v>
      </c>
      <c r="AJ136" s="77" t="s">
        <v>1346</v>
      </c>
      <c r="AK136">
        <v>18</v>
      </c>
      <c r="AM136" s="2" t="s">
        <v>3986</v>
      </c>
      <c r="AN136" s="105" t="e">
        <f ca="1">Table7[[#This Row],[cpuchunk=1]]/Table7[[#This Row],[CPU Only (30m X)]]</f>
        <v>#VALUE!</v>
      </c>
      <c r="AQ136" s="105" t="e">
        <f ca="1">Table7[[#This Row],[cpuchunk=1]]/Table7[[#This Row],[GPU_chunk10_ratio]]</f>
        <v>#VALUE!</v>
      </c>
      <c r="AR136" s="2" t="s">
        <v>3986</v>
      </c>
    </row>
    <row r="137" spans="2:45" ht="26" hidden="1" x14ac:dyDescent="0.35">
      <c r="B137" s="98"/>
      <c r="C137" s="94" t="s">
        <v>1425</v>
      </c>
      <c r="D137" s="98">
        <v>6</v>
      </c>
      <c r="E137" s="137" t="s">
        <v>3986</v>
      </c>
      <c r="F137" s="137" t="s">
        <v>3986</v>
      </c>
      <c r="G137" s="137"/>
      <c r="H137" s="137" t="s">
        <v>3986</v>
      </c>
      <c r="I137" s="135" t="s">
        <v>3986</v>
      </c>
      <c r="J137" s="137" t="s">
        <v>3986</v>
      </c>
      <c r="K137" s="137" t="e">
        <f>Table711[[#This Row],[G2AIMD (pingpong)]]/Table711[[#This Row],[gpu-hybrid-copy]]</f>
        <v>#VALUE!</v>
      </c>
      <c r="L137" s="137" t="e">
        <f>Table711[[#This Row],[G2AIMD (pingpong)]]/Table711[[#This Row],[gpu-layered]]</f>
        <v>#VALUE!</v>
      </c>
      <c r="M137" s="137" t="e">
        <f>Table711[[#This Row],[gpu-layered]]/Table711[[#This Row],[CPU+GPU]]</f>
        <v>#VALUE!</v>
      </c>
      <c r="N137" s="169" t="e">
        <f>Table711[[#This Row],[CPU Only (X &gt; 30m)]]/Table711[[#This Row],[CPU+GPU]]</f>
        <v>#VALUE!</v>
      </c>
      <c r="AJ137" s="77" t="s">
        <v>1</v>
      </c>
      <c r="AK137">
        <v>6</v>
      </c>
      <c r="AM137" s="2" t="s">
        <v>3986</v>
      </c>
      <c r="AN137" s="105" t="e">
        <f ca="1">Table7[[#This Row],[cpuchunk=1]]/Table7[[#This Row],[CPU Only (30m X)]]</f>
        <v>#VALUE!</v>
      </c>
      <c r="AQ137" s="105" t="e">
        <f ca="1">Table7[[#This Row],[cpuchunk=1]]/Table7[[#This Row],[GPU_chunk10_ratio]]</f>
        <v>#VALUE!</v>
      </c>
      <c r="AR137" s="2" t="s">
        <v>3986</v>
      </c>
    </row>
    <row r="138" spans="2:45" ht="26" hidden="1" x14ac:dyDescent="0.35">
      <c r="B138" s="98"/>
      <c r="C138" s="94" t="s">
        <v>18</v>
      </c>
      <c r="D138" s="98">
        <v>6</v>
      </c>
      <c r="E138" s="137" t="s">
        <v>3986</v>
      </c>
      <c r="F138" s="137" t="s">
        <v>3986</v>
      </c>
      <c r="G138" s="137"/>
      <c r="H138" s="137" t="s">
        <v>3986</v>
      </c>
      <c r="I138" s="135" t="s">
        <v>3986</v>
      </c>
      <c r="J138" s="137" t="s">
        <v>3986</v>
      </c>
      <c r="K138" s="137" t="e">
        <f>Table711[[#This Row],[G2AIMD (pingpong)]]/Table711[[#This Row],[gpu-hybrid-copy]]</f>
        <v>#VALUE!</v>
      </c>
      <c r="L138" s="137" t="e">
        <f>Table711[[#This Row],[G2AIMD (pingpong)]]/Table711[[#This Row],[gpu-layered]]</f>
        <v>#VALUE!</v>
      </c>
      <c r="M138" s="137" t="e">
        <f>Table711[[#This Row],[gpu-layered]]/Table711[[#This Row],[CPU+GPU]]</f>
        <v>#VALUE!</v>
      </c>
      <c r="N138" s="169" t="e">
        <f>Table711[[#This Row],[CPU Only (X &gt; 30m)]]/Table711[[#This Row],[CPU+GPU]]</f>
        <v>#VALUE!</v>
      </c>
      <c r="AJ138" s="77" t="s">
        <v>1</v>
      </c>
      <c r="AK138">
        <v>7</v>
      </c>
      <c r="AM138" s="2" t="s">
        <v>3986</v>
      </c>
      <c r="AN138" s="105" t="e">
        <f ca="1">Table7[[#This Row],[cpuchunk=1]]/Table7[[#This Row],[CPU Only (30m X)]]</f>
        <v>#VALUE!</v>
      </c>
      <c r="AQ138" s="105" t="e">
        <f ca="1">Table7[[#This Row],[cpuchunk=1]]/Table7[[#This Row],[GPU_chunk10_ratio]]</f>
        <v>#VALUE!</v>
      </c>
      <c r="AR138" s="2" t="s">
        <v>3986</v>
      </c>
    </row>
    <row r="139" spans="2:45" ht="26" hidden="1" x14ac:dyDescent="0.35">
      <c r="B139" s="98"/>
      <c r="C139" s="94" t="s">
        <v>18</v>
      </c>
      <c r="D139" s="98">
        <v>7</v>
      </c>
      <c r="E139" s="137" t="s">
        <v>3986</v>
      </c>
      <c r="F139" s="137" t="s">
        <v>3986</v>
      </c>
      <c r="G139" s="137"/>
      <c r="H139" s="137" t="s">
        <v>3986</v>
      </c>
      <c r="I139" s="135" t="s">
        <v>3986</v>
      </c>
      <c r="J139" s="137" t="s">
        <v>3986</v>
      </c>
      <c r="K139" s="137" t="e">
        <f>Table711[[#This Row],[G2AIMD (pingpong)]]/Table711[[#This Row],[gpu-hybrid-copy]]</f>
        <v>#VALUE!</v>
      </c>
      <c r="L139" s="137" t="e">
        <f>Table711[[#This Row],[G2AIMD (pingpong)]]/Table711[[#This Row],[gpu-layered]]</f>
        <v>#VALUE!</v>
      </c>
      <c r="M139" s="137" t="e">
        <f>Table711[[#This Row],[gpu-layered]]/Table711[[#This Row],[CPU+GPU]]</f>
        <v>#VALUE!</v>
      </c>
      <c r="N139" s="169" t="e">
        <f>Table711[[#This Row],[CPU Only (X &gt; 30m)]]/Table711[[#This Row],[CPU+GPU]]</f>
        <v>#VALUE!</v>
      </c>
      <c r="AJ139" s="77" t="s">
        <v>1</v>
      </c>
      <c r="AK139">
        <v>9</v>
      </c>
      <c r="AM139" s="2" t="s">
        <v>3986</v>
      </c>
      <c r="AN139" s="105" t="e">
        <f ca="1">Table7[[#This Row],[cpuchunk=1]]/Table7[[#This Row],[CPU Only (30m X)]]</f>
        <v>#VALUE!</v>
      </c>
      <c r="AQ139" s="105" t="e">
        <f ca="1">Table7[[#This Row],[cpuchunk=1]]/Table7[[#This Row],[GPU_chunk10_ratio]]</f>
        <v>#VALUE!</v>
      </c>
      <c r="AR139" s="2" t="s">
        <v>3986</v>
      </c>
    </row>
    <row r="140" spans="2:45" ht="26" hidden="1" x14ac:dyDescent="0.35">
      <c r="B140" s="98"/>
      <c r="C140" s="94" t="s">
        <v>18</v>
      </c>
      <c r="D140" s="98">
        <v>8</v>
      </c>
      <c r="E140" s="137" t="s">
        <v>3986</v>
      </c>
      <c r="F140" s="137" t="s">
        <v>3986</v>
      </c>
      <c r="G140" s="137"/>
      <c r="H140" s="137" t="s">
        <v>3986</v>
      </c>
      <c r="I140" s="135" t="s">
        <v>3986</v>
      </c>
      <c r="J140" s="137" t="s">
        <v>3986</v>
      </c>
      <c r="K140" s="137" t="e">
        <f>Table711[[#This Row],[G2AIMD (pingpong)]]/Table711[[#This Row],[gpu-hybrid-copy]]</f>
        <v>#VALUE!</v>
      </c>
      <c r="L140" s="137" t="e">
        <f>Table711[[#This Row],[G2AIMD (pingpong)]]/Table711[[#This Row],[gpu-layered]]</f>
        <v>#VALUE!</v>
      </c>
      <c r="M140" s="137" t="e">
        <f>Table711[[#This Row],[gpu-layered]]/Table711[[#This Row],[CPU+GPU]]</f>
        <v>#VALUE!</v>
      </c>
      <c r="N140" s="169" t="e">
        <f>Table711[[#This Row],[CPU Only (X &gt; 30m)]]/Table711[[#This Row],[CPU+GPU]]</f>
        <v>#VALUE!</v>
      </c>
      <c r="AJ140" s="77" t="s">
        <v>1</v>
      </c>
      <c r="AK140">
        <v>18</v>
      </c>
      <c r="AM140" s="2" t="s">
        <v>3986</v>
      </c>
      <c r="AN140" s="105" t="e">
        <f ca="1">Table7[[#This Row],[cpuchunk=1]]/Table7[[#This Row],[CPU Only (30m X)]]</f>
        <v>#VALUE!</v>
      </c>
      <c r="AQ140" s="105" t="e">
        <f ca="1">Table7[[#This Row],[cpuchunk=1]]/Table7[[#This Row],[GPU_chunk10_ratio]]</f>
        <v>#VALUE!</v>
      </c>
      <c r="AR140" s="2" t="s">
        <v>3986</v>
      </c>
    </row>
    <row r="141" spans="2:45" ht="26" hidden="1" x14ac:dyDescent="0.35">
      <c r="B141" s="98"/>
      <c r="C141" s="94" t="s">
        <v>1438</v>
      </c>
      <c r="D141" s="98">
        <v>5</v>
      </c>
      <c r="E141" s="137" t="s">
        <v>3986</v>
      </c>
      <c r="F141" s="137" t="s">
        <v>3986</v>
      </c>
      <c r="G141" s="137"/>
      <c r="H141" s="137" t="s">
        <v>3986</v>
      </c>
      <c r="I141" s="135" t="s">
        <v>3986</v>
      </c>
      <c r="J141" s="137" t="s">
        <v>3986</v>
      </c>
      <c r="K141" s="137" t="e">
        <f>Table711[[#This Row],[G2AIMD (pingpong)]]/Table711[[#This Row],[gpu-hybrid-copy]]</f>
        <v>#VALUE!</v>
      </c>
      <c r="L141" s="137" t="e">
        <f>Table711[[#This Row],[G2AIMD (pingpong)]]/Table711[[#This Row],[gpu-layered]]</f>
        <v>#VALUE!</v>
      </c>
      <c r="M141" s="137" t="e">
        <f>Table711[[#This Row],[gpu-layered]]/Table711[[#This Row],[CPU+GPU]]</f>
        <v>#VALUE!</v>
      </c>
      <c r="N141" s="169" t="e">
        <f>Table711[[#This Row],[CPU Only (X &gt; 30m)]]/Table711[[#This Row],[CPU+GPU]]</f>
        <v>#VALUE!</v>
      </c>
      <c r="AJ141" s="77" t="s">
        <v>1461</v>
      </c>
      <c r="AK141">
        <v>6</v>
      </c>
      <c r="AM141" s="2" t="s">
        <v>3986</v>
      </c>
      <c r="AN141" s="105" t="e">
        <f ca="1">Table7[[#This Row],[cpuchunk=1]]/Table7[[#This Row],[CPU Only (30m X)]]</f>
        <v>#VALUE!</v>
      </c>
      <c r="AQ141" s="105" t="e">
        <f ca="1">Table7[[#This Row],[cpuchunk=1]]/Table7[[#This Row],[GPU_chunk10_ratio]]</f>
        <v>#VALUE!</v>
      </c>
      <c r="AR141" s="2" t="s">
        <v>3986</v>
      </c>
    </row>
    <row r="142" spans="2:45" ht="26" hidden="1" x14ac:dyDescent="0.35">
      <c r="B142" s="98"/>
      <c r="C142" s="94" t="s">
        <v>1438</v>
      </c>
      <c r="D142" s="98">
        <v>6</v>
      </c>
      <c r="E142" s="137" t="s">
        <v>3986</v>
      </c>
      <c r="F142" s="137" t="s">
        <v>3986</v>
      </c>
      <c r="G142" s="137"/>
      <c r="H142" s="137" t="s">
        <v>3986</v>
      </c>
      <c r="I142" s="135" t="s">
        <v>3986</v>
      </c>
      <c r="J142" s="137" t="s">
        <v>3986</v>
      </c>
      <c r="K142" s="137" t="e">
        <f>Table711[[#This Row],[G2AIMD (pingpong)]]/Table711[[#This Row],[gpu-hybrid-copy]]</f>
        <v>#VALUE!</v>
      </c>
      <c r="L142" s="137" t="e">
        <f>Table711[[#This Row],[G2AIMD (pingpong)]]/Table711[[#This Row],[gpu-layered]]</f>
        <v>#VALUE!</v>
      </c>
      <c r="M142" s="137" t="e">
        <f>Table711[[#This Row],[gpu-layered]]/Table711[[#This Row],[CPU+GPU]]</f>
        <v>#VALUE!</v>
      </c>
      <c r="N142" s="169" t="e">
        <f>Table711[[#This Row],[CPU Only (X &gt; 30m)]]/Table711[[#This Row],[CPU+GPU]]</f>
        <v>#VALUE!</v>
      </c>
      <c r="AJ142" s="111" t="s">
        <v>1461</v>
      </c>
      <c r="AK142" s="112">
        <v>8</v>
      </c>
      <c r="AM142" s="113" t="s">
        <v>3986</v>
      </c>
      <c r="AN142" s="114" t="e">
        <f ca="1">Table7[[#This Row],[cpuchunk=1]]/Table7[[#This Row],[CPU Only (30m X)]]</f>
        <v>#VALUE!</v>
      </c>
      <c r="AQ142" s="105" t="e">
        <f ca="1">Table7[[#This Row],[cpuchunk=1]]/Table7[[#This Row],[GPU_chunk10_ratio]]</f>
        <v>#VALUE!</v>
      </c>
      <c r="AR142" s="113">
        <v>463.53</v>
      </c>
    </row>
    <row r="143" spans="2:45" ht="26" hidden="1" x14ac:dyDescent="0.35">
      <c r="B143" s="98"/>
      <c r="C143" s="94" t="s">
        <v>1438</v>
      </c>
      <c r="D143" s="98">
        <v>7</v>
      </c>
      <c r="E143" s="137" t="s">
        <v>3986</v>
      </c>
      <c r="F143" s="137" t="s">
        <v>3986</v>
      </c>
      <c r="G143" s="137"/>
      <c r="H143" s="137" t="s">
        <v>3986</v>
      </c>
      <c r="I143" s="135" t="s">
        <v>3986</v>
      </c>
      <c r="J143" s="137" t="s">
        <v>3986</v>
      </c>
      <c r="K143" s="137" t="e">
        <f>Table711[[#This Row],[G2AIMD (pingpong)]]/Table711[[#This Row],[gpu-hybrid-copy]]</f>
        <v>#VALUE!</v>
      </c>
      <c r="L143" s="137" t="e">
        <f>Table711[[#This Row],[G2AIMD (pingpong)]]/Table711[[#This Row],[gpu-layered]]</f>
        <v>#VALUE!</v>
      </c>
      <c r="M143" s="137" t="e">
        <f>Table711[[#This Row],[gpu-layered]]/Table711[[#This Row],[CPU+GPU]]</f>
        <v>#VALUE!</v>
      </c>
      <c r="N143" s="169" t="e">
        <f>Table711[[#This Row],[CPU Only (X &gt; 30m)]]/Table711[[#This Row],[CPU+GPU]]</f>
        <v>#VALUE!</v>
      </c>
      <c r="AJ143" s="77" t="s">
        <v>1461</v>
      </c>
      <c r="AK143">
        <v>18</v>
      </c>
      <c r="AM143" s="2" t="s">
        <v>3986</v>
      </c>
      <c r="AN143" s="105" t="e">
        <f ca="1">Table7[[#This Row],[cpuchunk=1]]/Table7[[#This Row],[CPU Only (30m X)]]</f>
        <v>#VALUE!</v>
      </c>
      <c r="AQ143" s="105" t="e">
        <f ca="1">Table7[[#This Row],[cpuchunk=1]]/Table7[[#This Row],[GPU_chunk10_ratio]]</f>
        <v>#VALUE!</v>
      </c>
      <c r="AR143" s="2" t="s">
        <v>3986</v>
      </c>
    </row>
    <row r="144" spans="2:45" ht="26" hidden="1" x14ac:dyDescent="0.35">
      <c r="B144" s="98"/>
      <c r="C144" s="94" t="s">
        <v>1438</v>
      </c>
      <c r="D144" s="98">
        <v>8</v>
      </c>
      <c r="E144" s="137" t="s">
        <v>3986</v>
      </c>
      <c r="F144" s="137" t="s">
        <v>3986</v>
      </c>
      <c r="G144" s="137"/>
      <c r="H144" s="137" t="s">
        <v>3986</v>
      </c>
      <c r="I144" s="135" t="s">
        <v>3986</v>
      </c>
      <c r="J144" s="137" t="s">
        <v>3986</v>
      </c>
      <c r="K144" s="137" t="e">
        <f>Table711[[#This Row],[G2AIMD (pingpong)]]/Table711[[#This Row],[gpu-hybrid-copy]]</f>
        <v>#VALUE!</v>
      </c>
      <c r="L144" s="137" t="e">
        <f>Table711[[#This Row],[G2AIMD (pingpong)]]/Table711[[#This Row],[gpu-layered]]</f>
        <v>#VALUE!</v>
      </c>
      <c r="M144" s="137" t="e">
        <f>Table711[[#This Row],[gpu-layered]]/Table711[[#This Row],[CPU+GPU]]</f>
        <v>#VALUE!</v>
      </c>
      <c r="N144" s="169" t="e">
        <f>Table711[[#This Row],[CPU Only (X &gt; 30m)]]/Table711[[#This Row],[CPU+GPU]]</f>
        <v>#VALUE!</v>
      </c>
      <c r="AJ144" s="111" t="s">
        <v>1391</v>
      </c>
      <c r="AK144" s="112">
        <v>6</v>
      </c>
      <c r="AM144" s="113" t="s">
        <v>3986</v>
      </c>
      <c r="AN144" s="114" t="e">
        <f ca="1">Table7[[#This Row],[cpuchunk=1]]/Table7[[#This Row],[CPU Only (30m X)]]</f>
        <v>#VALUE!</v>
      </c>
      <c r="AQ144" s="105" t="e">
        <f ca="1">Table7[[#This Row],[cpuchunk=1]]/Table7[[#This Row],[GPU_chunk10_ratio]]</f>
        <v>#VALUE!</v>
      </c>
      <c r="AR144" s="113">
        <v>55.96</v>
      </c>
    </row>
    <row r="145" spans="2:45" ht="26" hidden="1" x14ac:dyDescent="0.35">
      <c r="B145" s="98"/>
      <c r="C145" s="94" t="s">
        <v>1438</v>
      </c>
      <c r="D145" s="98">
        <v>9</v>
      </c>
      <c r="E145" s="137" t="s">
        <v>3986</v>
      </c>
      <c r="F145" s="137" t="s">
        <v>3986</v>
      </c>
      <c r="G145" s="137"/>
      <c r="H145" s="137" t="s">
        <v>3986</v>
      </c>
      <c r="I145" s="135" t="s">
        <v>3986</v>
      </c>
      <c r="J145" s="137" t="s">
        <v>3986</v>
      </c>
      <c r="K145" s="137" t="e">
        <f>Table711[[#This Row],[G2AIMD (pingpong)]]/Table711[[#This Row],[gpu-hybrid-copy]]</f>
        <v>#VALUE!</v>
      </c>
      <c r="L145" s="137" t="e">
        <f>Table711[[#This Row],[G2AIMD (pingpong)]]/Table711[[#This Row],[gpu-layered]]</f>
        <v>#VALUE!</v>
      </c>
      <c r="M145" s="137" t="e">
        <f>Table711[[#This Row],[gpu-layered]]/Table711[[#This Row],[CPU+GPU]]</f>
        <v>#VALUE!</v>
      </c>
      <c r="N145" s="169" t="e">
        <f>Table711[[#This Row],[CPU Only (X &gt; 30m)]]/Table711[[#This Row],[CPU+GPU]]</f>
        <v>#VALUE!</v>
      </c>
      <c r="AJ145" s="77" t="s">
        <v>1391</v>
      </c>
      <c r="AK145">
        <v>18</v>
      </c>
      <c r="AM145" s="2" t="s">
        <v>3986</v>
      </c>
      <c r="AN145" s="105" t="e">
        <f ca="1">Table7[[#This Row],[cpuchunk=1]]/Table7[[#This Row],[CPU Only (30m X)]]</f>
        <v>#VALUE!</v>
      </c>
      <c r="AQ145" s="105" t="e">
        <f ca="1">Table7[[#This Row],[cpuchunk=1]]/Table7[[#This Row],[GPU_chunk10_ratio]]</f>
        <v>#VALUE!</v>
      </c>
      <c r="AR145" s="2" t="s">
        <v>3986</v>
      </c>
    </row>
    <row r="146" spans="2:45" ht="26" hidden="1" x14ac:dyDescent="0.35">
      <c r="B146" s="98"/>
      <c r="C146" s="94" t="s">
        <v>1434</v>
      </c>
      <c r="D146" s="98">
        <v>6</v>
      </c>
      <c r="E146" s="137" t="s">
        <v>3986</v>
      </c>
      <c r="F146" s="137" t="s">
        <v>3986</v>
      </c>
      <c r="G146" s="137"/>
      <c r="H146" s="137" t="s">
        <v>3986</v>
      </c>
      <c r="I146" s="135" t="s">
        <v>3986</v>
      </c>
      <c r="J146" s="137" t="s">
        <v>3986</v>
      </c>
      <c r="K146" s="137" t="e">
        <f>Table711[[#This Row],[G2AIMD (pingpong)]]/Table711[[#This Row],[gpu-hybrid-copy]]</f>
        <v>#VALUE!</v>
      </c>
      <c r="L146" s="137" t="e">
        <f>Table711[[#This Row],[G2AIMD (pingpong)]]/Table711[[#This Row],[gpu-layered]]</f>
        <v>#VALUE!</v>
      </c>
      <c r="M146" s="137" t="e">
        <f>Table711[[#This Row],[gpu-layered]]/Table711[[#This Row],[CPU+GPU]]</f>
        <v>#VALUE!</v>
      </c>
      <c r="N146" s="169" t="e">
        <f>Table711[[#This Row],[CPU Only (X &gt; 30m)]]/Table711[[#This Row],[CPU+GPU]]</f>
        <v>#VALUE!</v>
      </c>
      <c r="AJ146" s="77" t="s">
        <v>1440</v>
      </c>
      <c r="AK146">
        <v>5</v>
      </c>
      <c r="AM146" s="2" t="s">
        <v>3986</v>
      </c>
      <c r="AN146" s="105" t="e">
        <f ca="1">Table7[[#This Row],[cpuchunk=1]]/Table7[[#This Row],[CPU Only (30m X)]]</f>
        <v>#VALUE!</v>
      </c>
      <c r="AQ146" s="105" t="e">
        <f ca="1">Table7[[#This Row],[cpuchunk=1]]/Table7[[#This Row],[GPU_chunk10_ratio]]</f>
        <v>#VALUE!</v>
      </c>
      <c r="AR146" s="2" t="s">
        <v>3986</v>
      </c>
    </row>
    <row r="147" spans="2:45" ht="22" x14ac:dyDescent="0.25">
      <c r="C147" s="77"/>
      <c r="F147" s="2"/>
      <c r="G147" s="2"/>
      <c r="AK147" s="77"/>
      <c r="AN147" s="2"/>
      <c r="AO147" s="105"/>
      <c r="AR147" s="105"/>
      <c r="AS147" s="2"/>
    </row>
    <row r="148" spans="2:45" ht="29" x14ac:dyDescent="0.35">
      <c r="C148" s="77"/>
      <c r="E148" s="78"/>
      <c r="F148" s="128"/>
      <c r="G148" s="128"/>
      <c r="H148" s="135"/>
      <c r="I148" s="132"/>
      <c r="N148" s="36"/>
      <c r="AK148" s="77"/>
      <c r="AN148" s="2"/>
      <c r="AO148" s="105"/>
      <c r="AR148" s="105"/>
      <c r="AS148" s="2"/>
    </row>
    <row r="149" spans="2:45" ht="22" x14ac:dyDescent="0.25">
      <c r="C149" s="77"/>
      <c r="F149" s="2"/>
      <c r="G149" s="2"/>
      <c r="AK149" s="77"/>
      <c r="AN149" s="2"/>
      <c r="AO149" s="105"/>
      <c r="AR149" s="105"/>
      <c r="AS149" s="2"/>
    </row>
    <row r="150" spans="2:45" ht="22" x14ac:dyDescent="0.25">
      <c r="C150" s="77"/>
      <c r="F150" s="2" t="s">
        <v>4022</v>
      </c>
      <c r="G150" s="2"/>
      <c r="AK150" s="77"/>
      <c r="AN150" s="2"/>
      <c r="AO150" s="105"/>
      <c r="AR150" s="105"/>
      <c r="AS150" s="2"/>
    </row>
    <row r="151" spans="2:45" ht="22" x14ac:dyDescent="0.25">
      <c r="C151" s="77"/>
      <c r="F151" s="2"/>
      <c r="G151" s="2"/>
      <c r="AK151" s="77"/>
      <c r="AN151" s="2"/>
      <c r="AO151" s="105"/>
      <c r="AR151" s="105"/>
      <c r="AS151" s="2"/>
    </row>
    <row r="152" spans="2:45" ht="22" x14ac:dyDescent="0.25">
      <c r="C152" s="77"/>
      <c r="F152" s="2"/>
      <c r="G152" s="2"/>
      <c r="AK152" s="77"/>
      <c r="AN152" s="2"/>
      <c r="AO152" s="105"/>
      <c r="AR152" s="105"/>
      <c r="AS152" s="2"/>
    </row>
    <row r="153" spans="2:45" ht="22" x14ac:dyDescent="0.25">
      <c r="C153" s="77"/>
      <c r="D153" s="134"/>
      <c r="F153" s="2"/>
      <c r="G153" s="2"/>
      <c r="AK153" s="77"/>
      <c r="AN153" s="2"/>
      <c r="AO153" s="105"/>
      <c r="AR153" s="105"/>
      <c r="AS153" s="2"/>
    </row>
    <row r="154" spans="2:45" ht="22" x14ac:dyDescent="0.25">
      <c r="C154" s="77"/>
      <c r="D154" s="134"/>
      <c r="F154" s="2"/>
      <c r="G154" s="2"/>
      <c r="AK154" s="77"/>
      <c r="AN154" s="2"/>
      <c r="AO154" s="105"/>
      <c r="AR154" s="105"/>
      <c r="AS154" s="2"/>
    </row>
    <row r="155" spans="2:45" ht="22" x14ac:dyDescent="0.25">
      <c r="C155" s="77"/>
      <c r="D155" s="134"/>
      <c r="F155" s="2"/>
      <c r="G155" s="2"/>
      <c r="AK155" s="77"/>
      <c r="AN155" s="2"/>
      <c r="AO155" s="105"/>
      <c r="AR155" s="105"/>
      <c r="AS155" s="2"/>
    </row>
    <row r="156" spans="2:45" ht="22" x14ac:dyDescent="0.25">
      <c r="C156" s="77"/>
      <c r="D156" s="134"/>
      <c r="F156" s="2"/>
      <c r="G156" s="2"/>
      <c r="AK156" s="77"/>
      <c r="AN156" s="2"/>
      <c r="AO156" s="105"/>
      <c r="AR156" s="105"/>
      <c r="AS156" s="2"/>
    </row>
    <row r="157" spans="2:45" ht="22" x14ac:dyDescent="0.25">
      <c r="C157" s="77"/>
      <c r="D157" s="134"/>
      <c r="F157" s="2"/>
      <c r="G157" s="2"/>
      <c r="AK157" s="77"/>
      <c r="AN157" s="2"/>
      <c r="AO157" s="105"/>
      <c r="AR157" s="105"/>
      <c r="AS157" s="2"/>
    </row>
    <row r="158" spans="2:45" ht="22" x14ac:dyDescent="0.25">
      <c r="C158" s="77"/>
      <c r="D158" s="134"/>
      <c r="F158" s="2"/>
      <c r="G158" s="2"/>
      <c r="AK158" s="77"/>
      <c r="AN158" s="2"/>
      <c r="AO158" s="105"/>
      <c r="AR158" s="105"/>
      <c r="AS158" s="2"/>
    </row>
    <row r="159" spans="2:45" ht="22" x14ac:dyDescent="0.25">
      <c r="C159" s="77"/>
      <c r="D159" s="134"/>
      <c r="F159" s="2"/>
      <c r="G159" s="2"/>
      <c r="AK159" s="77"/>
      <c r="AN159" s="2"/>
      <c r="AO159" s="105"/>
      <c r="AR159" s="105"/>
      <c r="AS159" s="2"/>
    </row>
    <row r="160" spans="2:45" ht="22" x14ac:dyDescent="0.25">
      <c r="C160" s="77"/>
      <c r="D160" s="134"/>
      <c r="F160" s="2"/>
      <c r="G160" s="2"/>
      <c r="AK160" s="77"/>
      <c r="AN160" s="2"/>
      <c r="AO160" s="105"/>
      <c r="AR160" s="105"/>
      <c r="AS160" s="2"/>
    </row>
    <row r="161" spans="3:45" ht="22" x14ac:dyDescent="0.25">
      <c r="C161" s="77"/>
      <c r="D161" s="134"/>
      <c r="F161" s="2"/>
      <c r="G161" s="2"/>
      <c r="AK161" s="77"/>
      <c r="AN161" s="2"/>
      <c r="AO161" s="105"/>
      <c r="AR161" s="105"/>
      <c r="AS161" s="2"/>
    </row>
    <row r="162" spans="3:45" ht="22" x14ac:dyDescent="0.25">
      <c r="C162" s="77"/>
      <c r="D162" s="134"/>
      <c r="F162" s="2"/>
      <c r="G162" s="2"/>
      <c r="AK162" s="77"/>
      <c r="AN162" s="2"/>
      <c r="AO162" s="105"/>
      <c r="AR162" s="105"/>
      <c r="AS162" s="2"/>
    </row>
    <row r="163" spans="3:45" ht="22" x14ac:dyDescent="0.25">
      <c r="C163" s="77"/>
      <c r="D163" s="134"/>
      <c r="F163" s="2"/>
      <c r="G163" s="2"/>
      <c r="AK163" s="77"/>
      <c r="AN163" s="2"/>
      <c r="AO163" s="105"/>
      <c r="AR163" s="105"/>
      <c r="AS163" s="2"/>
    </row>
    <row r="164" spans="3:45" ht="22" x14ac:dyDescent="0.25">
      <c r="C164" s="77"/>
      <c r="D164" s="134"/>
      <c r="F164" s="2"/>
      <c r="G164" s="2"/>
      <c r="AK164" s="77"/>
      <c r="AN164" s="2"/>
      <c r="AO164" s="105"/>
      <c r="AR164" s="105"/>
      <c r="AS164" s="2"/>
    </row>
    <row r="165" spans="3:45" ht="22" x14ac:dyDescent="0.25">
      <c r="C165" s="77"/>
      <c r="D165" s="134"/>
      <c r="F165" s="2"/>
      <c r="G165" s="2"/>
      <c r="AK165" s="77"/>
      <c r="AN165" s="2"/>
      <c r="AO165" s="105"/>
      <c r="AR165" s="105"/>
      <c r="AS165" s="2"/>
    </row>
    <row r="166" spans="3:45" ht="22" x14ac:dyDescent="0.25">
      <c r="C166" s="77"/>
      <c r="D166" s="134"/>
      <c r="F166" s="2"/>
      <c r="G166" s="2"/>
      <c r="AK166" s="77"/>
      <c r="AN166" s="2"/>
      <c r="AO166" s="105"/>
      <c r="AR166" s="105"/>
      <c r="AS166" s="2"/>
    </row>
    <row r="167" spans="3:45" ht="22" x14ac:dyDescent="0.25">
      <c r="C167" s="77"/>
      <c r="D167" s="134"/>
      <c r="F167" s="2"/>
      <c r="G167" s="2"/>
      <c r="AK167" s="77"/>
      <c r="AN167" s="2"/>
      <c r="AO167" s="105"/>
      <c r="AR167" s="105"/>
      <c r="AS167" s="2"/>
    </row>
    <row r="168" spans="3:45" ht="22" x14ac:dyDescent="0.25">
      <c r="C168" s="77"/>
      <c r="D168" s="134"/>
      <c r="F168" s="2"/>
      <c r="G168" s="2"/>
      <c r="AK168" s="77"/>
      <c r="AN168" s="2"/>
      <c r="AO168" s="105"/>
      <c r="AR168" s="105"/>
      <c r="AS168" s="2"/>
    </row>
    <row r="169" spans="3:45" ht="22" x14ac:dyDescent="0.25">
      <c r="C169" s="77"/>
      <c r="D169" s="134"/>
      <c r="F169" s="2"/>
      <c r="G169" s="2"/>
      <c r="AK169" s="77"/>
      <c r="AN169" s="2"/>
      <c r="AO169" s="105"/>
      <c r="AR169" s="105"/>
      <c r="AS169" s="2"/>
    </row>
    <row r="170" spans="3:45" ht="22" x14ac:dyDescent="0.25">
      <c r="C170" s="77"/>
      <c r="D170" s="134"/>
      <c r="F170" s="2"/>
      <c r="G170" s="2"/>
      <c r="AK170" s="77"/>
      <c r="AN170" s="2"/>
      <c r="AO170" s="105"/>
      <c r="AR170" s="105"/>
      <c r="AS170" s="2"/>
    </row>
    <row r="171" spans="3:45" ht="22" x14ac:dyDescent="0.25">
      <c r="C171" s="77"/>
      <c r="D171" s="134"/>
      <c r="F171" s="2"/>
      <c r="G171" s="2"/>
      <c r="AK171" s="77"/>
      <c r="AN171" s="2"/>
      <c r="AO171" s="105"/>
      <c r="AR171" s="105"/>
      <c r="AS171" s="2"/>
    </row>
    <row r="172" spans="3:45" ht="22" x14ac:dyDescent="0.25">
      <c r="C172" s="77"/>
      <c r="D172" s="134"/>
      <c r="F172" s="2"/>
      <c r="G172" s="2"/>
      <c r="AK172" s="77"/>
      <c r="AN172" s="2"/>
      <c r="AO172" s="105"/>
      <c r="AR172" s="105"/>
      <c r="AS172" s="2"/>
    </row>
    <row r="173" spans="3:45" ht="22" x14ac:dyDescent="0.25">
      <c r="C173" s="77"/>
      <c r="D173" s="134"/>
      <c r="F173" s="2"/>
      <c r="G173" s="2"/>
      <c r="AK173" s="77"/>
      <c r="AN173" s="2"/>
      <c r="AO173" s="105"/>
      <c r="AR173" s="105"/>
      <c r="AS173" s="2"/>
    </row>
    <row r="174" spans="3:45" ht="22" x14ac:dyDescent="0.25">
      <c r="C174" s="77"/>
      <c r="D174" s="134"/>
      <c r="F174" s="2"/>
      <c r="G174" s="2"/>
      <c r="AK174" s="77"/>
      <c r="AN174" s="2"/>
      <c r="AO174" s="105"/>
      <c r="AR174" s="105"/>
      <c r="AS174" s="2"/>
    </row>
    <row r="175" spans="3:45" ht="22" x14ac:dyDescent="0.25">
      <c r="C175" s="77"/>
      <c r="D175" s="134"/>
      <c r="F175" s="2"/>
      <c r="G175" s="2"/>
      <c r="AK175" s="77"/>
      <c r="AN175" s="2"/>
      <c r="AO175" s="105"/>
      <c r="AR175" s="105"/>
      <c r="AS175" s="2"/>
    </row>
    <row r="176" spans="3:45" ht="22" x14ac:dyDescent="0.25">
      <c r="C176" s="77"/>
      <c r="D176" s="134"/>
      <c r="F176" s="2"/>
      <c r="G176" s="2"/>
      <c r="AK176" s="77"/>
      <c r="AN176" s="2"/>
      <c r="AO176" s="105"/>
      <c r="AR176" s="105"/>
      <c r="AS176" s="2"/>
    </row>
    <row r="177" spans="3:45" ht="22" x14ac:dyDescent="0.25">
      <c r="C177" s="77"/>
      <c r="D177" s="134"/>
      <c r="F177" s="2"/>
      <c r="G177" s="2"/>
      <c r="AK177" s="77"/>
      <c r="AN177" s="2"/>
      <c r="AO177" s="105"/>
      <c r="AR177" s="105"/>
      <c r="AS177" s="2"/>
    </row>
    <row r="178" spans="3:45" ht="22" x14ac:dyDescent="0.25">
      <c r="C178" s="77"/>
      <c r="D178" s="134"/>
      <c r="F178" s="2"/>
      <c r="G178" s="2"/>
      <c r="AK178" s="77"/>
      <c r="AN178" s="2"/>
      <c r="AO178" s="105"/>
      <c r="AR178" s="105"/>
      <c r="AS178" s="2"/>
    </row>
    <row r="179" spans="3:45" ht="22" x14ac:dyDescent="0.25">
      <c r="C179" s="77"/>
      <c r="D179" s="134"/>
      <c r="F179" s="2"/>
      <c r="G179" s="2"/>
      <c r="AK179" s="77"/>
      <c r="AN179" s="2"/>
      <c r="AO179" s="105"/>
      <c r="AR179" s="105"/>
      <c r="AS179" s="2"/>
    </row>
    <row r="180" spans="3:45" ht="22" x14ac:dyDescent="0.25">
      <c r="C180" s="77"/>
      <c r="D180" s="134"/>
      <c r="F180" s="2"/>
      <c r="G180" s="2"/>
      <c r="AK180" s="77"/>
      <c r="AN180" s="2"/>
      <c r="AO180" s="105"/>
      <c r="AR180" s="105"/>
      <c r="AS180" s="2"/>
    </row>
    <row r="181" spans="3:45" ht="22" x14ac:dyDescent="0.25">
      <c r="C181" s="77"/>
      <c r="D181" s="134"/>
      <c r="F181" s="2"/>
      <c r="G181" s="2"/>
      <c r="AK181" s="77"/>
      <c r="AN181" s="2"/>
      <c r="AO181" s="105"/>
      <c r="AR181" s="105"/>
      <c r="AS181" s="2"/>
    </row>
    <row r="182" spans="3:45" ht="22" x14ac:dyDescent="0.25">
      <c r="C182" s="77"/>
      <c r="D182" s="134"/>
      <c r="F182" s="2"/>
      <c r="G182" s="2"/>
      <c r="AK182" s="77"/>
      <c r="AN182" s="2"/>
      <c r="AO182" s="105"/>
      <c r="AR182" s="105"/>
      <c r="AS182" s="2"/>
    </row>
    <row r="183" spans="3:45" ht="22" x14ac:dyDescent="0.25">
      <c r="C183" s="77"/>
      <c r="D183" s="134"/>
      <c r="F183" s="2"/>
      <c r="G183" s="2"/>
      <c r="AK183" s="77"/>
      <c r="AN183" s="2"/>
      <c r="AO183" s="105"/>
      <c r="AR183" s="105"/>
      <c r="AS183" s="2"/>
    </row>
    <row r="184" spans="3:45" ht="22" x14ac:dyDescent="0.25">
      <c r="C184" s="77"/>
      <c r="D184" s="134"/>
      <c r="F184" s="2"/>
      <c r="G184" s="2"/>
      <c r="AK184" s="77"/>
      <c r="AN184" s="2"/>
      <c r="AO184" s="105"/>
      <c r="AR184" s="105"/>
      <c r="AS184" s="2"/>
    </row>
    <row r="185" spans="3:45" ht="22" x14ac:dyDescent="0.25">
      <c r="C185" s="77"/>
      <c r="D185" s="134"/>
      <c r="F185" s="2"/>
      <c r="G185" s="2"/>
      <c r="AK185" s="77"/>
      <c r="AN185" s="2"/>
      <c r="AO185" s="105"/>
      <c r="AR185" s="105"/>
      <c r="AS185" s="2"/>
    </row>
    <row r="186" spans="3:45" ht="22" x14ac:dyDescent="0.25">
      <c r="C186" s="77"/>
      <c r="D186" s="134"/>
      <c r="F186" s="2"/>
      <c r="G186" s="2"/>
      <c r="AK186" s="77"/>
      <c r="AN186" s="2"/>
      <c r="AO186" s="105"/>
      <c r="AR186" s="105"/>
      <c r="AS186" s="2"/>
    </row>
    <row r="187" spans="3:45" ht="22" x14ac:dyDescent="0.25">
      <c r="C187" s="77"/>
      <c r="D187" s="134"/>
      <c r="F187" s="2"/>
      <c r="G187" s="2"/>
      <c r="AK187" s="77"/>
      <c r="AN187" s="2"/>
      <c r="AO187" s="105"/>
      <c r="AR187" s="105"/>
      <c r="AS187" s="2"/>
    </row>
    <row r="188" spans="3:45" ht="22" x14ac:dyDescent="0.25">
      <c r="C188" s="77"/>
      <c r="D188" s="134"/>
      <c r="F188" s="2"/>
      <c r="G188" s="2"/>
      <c r="AK188" s="77"/>
      <c r="AN188" s="2"/>
      <c r="AO188" s="105"/>
      <c r="AR188" s="105"/>
      <c r="AS188" s="2"/>
    </row>
    <row r="189" spans="3:45" ht="22" x14ac:dyDescent="0.25">
      <c r="C189" s="77"/>
      <c r="D189" s="134"/>
      <c r="F189" s="2"/>
      <c r="G189" s="2"/>
      <c r="AK189" s="77"/>
      <c r="AN189" s="2"/>
      <c r="AO189" s="105"/>
      <c r="AR189" s="105"/>
      <c r="AS189" s="2"/>
    </row>
    <row r="190" spans="3:45" ht="22" x14ac:dyDescent="0.25">
      <c r="C190" s="77"/>
      <c r="D190" s="134"/>
      <c r="F190" s="2"/>
      <c r="G190" s="2"/>
      <c r="AK190" s="77"/>
      <c r="AN190" s="2"/>
      <c r="AO190" s="105"/>
      <c r="AR190" s="105"/>
      <c r="AS190" s="2"/>
    </row>
    <row r="191" spans="3:45" ht="22" x14ac:dyDescent="0.25">
      <c r="C191" s="77"/>
      <c r="D191" s="134"/>
      <c r="F191" s="2"/>
      <c r="G191" s="2"/>
      <c r="AK191" s="77"/>
      <c r="AN191" s="2"/>
      <c r="AO191" s="105"/>
      <c r="AR191" s="105"/>
      <c r="AS191" s="2"/>
    </row>
    <row r="192" spans="3:45" ht="22" x14ac:dyDescent="0.25">
      <c r="C192" s="77"/>
      <c r="D192" s="134"/>
      <c r="F192" s="2"/>
      <c r="G192" s="2"/>
      <c r="AK192" s="77"/>
      <c r="AN192" s="2"/>
      <c r="AO192" s="105"/>
      <c r="AR192" s="105"/>
      <c r="AS192" s="2"/>
    </row>
    <row r="193" spans="3:45" ht="22" x14ac:dyDescent="0.25">
      <c r="C193" s="77"/>
      <c r="D193" s="134"/>
      <c r="F193" s="2"/>
      <c r="G193" s="2"/>
      <c r="AK193" s="77"/>
      <c r="AN193" s="2"/>
      <c r="AO193" s="105"/>
      <c r="AR193" s="105"/>
      <c r="AS193" s="2"/>
    </row>
    <row r="194" spans="3:45" ht="22" x14ac:dyDescent="0.25">
      <c r="C194" s="77"/>
      <c r="D194" s="134"/>
      <c r="F194" s="2"/>
      <c r="G194" s="2"/>
      <c r="AK194" s="77"/>
      <c r="AN194" s="2"/>
      <c r="AO194" s="105"/>
      <c r="AR194" s="105"/>
      <c r="AS194" s="2"/>
    </row>
    <row r="195" spans="3:45" ht="22" x14ac:dyDescent="0.25">
      <c r="C195" s="77"/>
      <c r="F195" s="2"/>
      <c r="G195" s="2"/>
      <c r="AK195" s="77"/>
      <c r="AN195" s="2"/>
      <c r="AO195" s="105"/>
      <c r="AR195" s="105"/>
      <c r="AS195" s="2"/>
    </row>
    <row r="196" spans="3:45" ht="22" x14ac:dyDescent="0.25">
      <c r="C196" s="77"/>
      <c r="F196" s="2"/>
      <c r="G196" s="2"/>
      <c r="AK196" s="77"/>
      <c r="AN196" s="2"/>
      <c r="AO196" s="105"/>
      <c r="AR196" s="105"/>
      <c r="AS196" s="2"/>
    </row>
    <row r="197" spans="3:45" ht="22" x14ac:dyDescent="0.25">
      <c r="C197" s="77"/>
      <c r="F197" s="2"/>
      <c r="G197" s="2"/>
      <c r="AK197" s="77"/>
      <c r="AN197" s="2"/>
      <c r="AO197" s="105"/>
      <c r="AR197" s="105"/>
      <c r="AS197" s="2"/>
    </row>
    <row r="198" spans="3:45" ht="22" x14ac:dyDescent="0.25">
      <c r="C198" s="77"/>
      <c r="F198" s="2"/>
      <c r="G198" s="2"/>
      <c r="AK198" s="77"/>
      <c r="AN198" s="2"/>
      <c r="AO198" s="105"/>
      <c r="AR198" s="105"/>
      <c r="AS198" s="2"/>
    </row>
    <row r="199" spans="3:45" ht="22" x14ac:dyDescent="0.25">
      <c r="C199" s="77"/>
      <c r="F199" s="2"/>
      <c r="G199" s="2"/>
      <c r="AK199" s="77"/>
      <c r="AN199" s="2"/>
      <c r="AO199" s="105"/>
      <c r="AR199" s="105"/>
      <c r="AS199" s="2"/>
    </row>
    <row r="200" spans="3:45" ht="22" x14ac:dyDescent="0.25">
      <c r="C200" s="77"/>
      <c r="F200" s="2"/>
      <c r="G200" s="2"/>
      <c r="AK200" s="77"/>
      <c r="AN200" s="2"/>
      <c r="AO200" s="105"/>
      <c r="AR200" s="105"/>
      <c r="AS200" s="2"/>
    </row>
    <row r="201" spans="3:45" ht="22" x14ac:dyDescent="0.25">
      <c r="C201" s="77"/>
      <c r="F201" s="2"/>
      <c r="G201" s="2"/>
      <c r="AK201" s="77"/>
      <c r="AN201" s="2"/>
      <c r="AO201" s="105"/>
      <c r="AR201" s="105"/>
      <c r="AS201" s="2"/>
    </row>
    <row r="202" spans="3:45" ht="22" x14ac:dyDescent="0.25">
      <c r="C202" s="77"/>
      <c r="F202" s="2"/>
      <c r="G202" s="2"/>
      <c r="AK202" s="77"/>
      <c r="AN202" s="2"/>
      <c r="AO202" s="105"/>
      <c r="AR202" s="105"/>
      <c r="AS202" s="2"/>
    </row>
    <row r="203" spans="3:45" ht="22" x14ac:dyDescent="0.25">
      <c r="C203" s="77"/>
      <c r="F203" s="2"/>
      <c r="G203" s="2"/>
      <c r="AK203" s="77"/>
      <c r="AN203" s="2"/>
      <c r="AO203" s="105"/>
      <c r="AR203" s="105"/>
      <c r="AS203" s="2"/>
    </row>
    <row r="204" spans="3:45" ht="22" x14ac:dyDescent="0.25">
      <c r="C204" s="77"/>
      <c r="F204" s="2"/>
      <c r="G204" s="2"/>
      <c r="AK204" s="77"/>
      <c r="AN204" s="2"/>
      <c r="AO204" s="105"/>
      <c r="AR204" s="105"/>
      <c r="AS204" s="2"/>
    </row>
    <row r="205" spans="3:45" ht="22" x14ac:dyDescent="0.25">
      <c r="C205" s="77"/>
      <c r="F205" s="2"/>
      <c r="G205" s="2"/>
      <c r="AK205" s="77"/>
      <c r="AN205" s="2"/>
      <c r="AO205" s="105"/>
      <c r="AR205" s="105"/>
      <c r="AS205" s="2"/>
    </row>
    <row r="206" spans="3:45" ht="22" x14ac:dyDescent="0.25">
      <c r="C206" s="77"/>
      <c r="F206" s="2"/>
      <c r="G206" s="2"/>
      <c r="AK206" s="77"/>
      <c r="AN206" s="2"/>
      <c r="AO206" s="105"/>
      <c r="AR206" s="105"/>
      <c r="AS206" s="2"/>
    </row>
    <row r="207" spans="3:45" ht="22" x14ac:dyDescent="0.25">
      <c r="C207" s="77"/>
      <c r="F207" s="2"/>
      <c r="G207" s="2"/>
      <c r="AK207" s="77"/>
      <c r="AN207" s="2"/>
      <c r="AO207" s="105"/>
      <c r="AR207" s="105"/>
      <c r="AS207" s="2"/>
    </row>
    <row r="208" spans="3:45" ht="22" x14ac:dyDescent="0.25">
      <c r="C208" s="77"/>
      <c r="F208" s="2"/>
      <c r="G208" s="2"/>
      <c r="AK208" s="77"/>
      <c r="AN208" s="2"/>
      <c r="AO208" s="105"/>
      <c r="AR208" s="105"/>
      <c r="AS208" s="2"/>
    </row>
    <row r="209" spans="3:45" ht="22" x14ac:dyDescent="0.25">
      <c r="C209" s="77"/>
      <c r="F209" s="2"/>
      <c r="G209" s="2"/>
      <c r="AK209" s="77"/>
      <c r="AN209" s="2"/>
      <c r="AO209" s="105"/>
      <c r="AR209" s="105"/>
      <c r="AS209" s="2"/>
    </row>
    <row r="210" spans="3:45" ht="22" x14ac:dyDescent="0.25">
      <c r="C210" s="77"/>
      <c r="F210" s="2"/>
      <c r="G210" s="2"/>
      <c r="AK210" s="77"/>
      <c r="AN210" s="2"/>
      <c r="AO210" s="105"/>
      <c r="AR210" s="105"/>
      <c r="AS210" s="2"/>
    </row>
    <row r="211" spans="3:45" ht="22" x14ac:dyDescent="0.25">
      <c r="C211" s="77"/>
      <c r="F211" s="2"/>
      <c r="G211" s="2"/>
      <c r="AK211" s="77"/>
      <c r="AN211" s="2"/>
      <c r="AO211" s="105"/>
      <c r="AR211" s="105"/>
      <c r="AS211" s="2"/>
    </row>
    <row r="212" spans="3:45" ht="22" x14ac:dyDescent="0.25">
      <c r="C212" s="77"/>
      <c r="F212" s="2"/>
      <c r="G212" s="2"/>
      <c r="AK212" s="77"/>
      <c r="AN212" s="2"/>
      <c r="AO212" s="105"/>
      <c r="AR212" s="105"/>
      <c r="AS212" s="2"/>
    </row>
    <row r="213" spans="3:45" ht="22" x14ac:dyDescent="0.25">
      <c r="C213" s="77"/>
      <c r="F213" s="2"/>
      <c r="G213" s="2"/>
      <c r="AK213" s="77"/>
      <c r="AN213" s="2"/>
      <c r="AO213" s="105"/>
      <c r="AR213" s="105"/>
      <c r="AS213" s="2"/>
    </row>
    <row r="214" spans="3:45" ht="22" x14ac:dyDescent="0.25">
      <c r="C214" s="77"/>
      <c r="F214" s="2"/>
      <c r="G214" s="2"/>
      <c r="AK214" s="77"/>
      <c r="AN214" s="2"/>
      <c r="AO214" s="105"/>
      <c r="AR214" s="105"/>
      <c r="AS214" s="2"/>
    </row>
    <row r="215" spans="3:45" ht="22" x14ac:dyDescent="0.25">
      <c r="C215" s="77"/>
      <c r="F215" s="2"/>
      <c r="G215" s="2"/>
      <c r="AK215" s="77"/>
      <c r="AN215" s="2"/>
      <c r="AO215" s="105"/>
      <c r="AR215" s="105"/>
      <c r="AS215" s="2"/>
    </row>
    <row r="216" spans="3:45" ht="22" x14ac:dyDescent="0.25">
      <c r="C216" s="77"/>
      <c r="F216" s="2"/>
      <c r="G216" s="2"/>
      <c r="AK216" s="77"/>
      <c r="AN216" s="2"/>
      <c r="AO216" s="105"/>
      <c r="AR216" s="105"/>
      <c r="AS216" s="2"/>
    </row>
    <row r="217" spans="3:45" ht="22" x14ac:dyDescent="0.25">
      <c r="C217" s="77"/>
      <c r="F217" s="2"/>
      <c r="G217" s="2"/>
      <c r="AK217" s="77"/>
      <c r="AN217" s="2"/>
      <c r="AO217" s="105"/>
      <c r="AR217" s="105"/>
      <c r="AS217" s="2"/>
    </row>
    <row r="218" spans="3:45" ht="22" x14ac:dyDescent="0.25">
      <c r="C218" s="77"/>
      <c r="F218" s="2"/>
      <c r="G218" s="2"/>
      <c r="AK218" s="77"/>
      <c r="AN218" s="2"/>
      <c r="AO218" s="105"/>
      <c r="AR218" s="105"/>
      <c r="AS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I136"/>
  <sheetViews>
    <sheetView topLeftCell="J1" zoomScale="85" workbookViewId="0">
      <selection activeCell="O5" sqref="O5:R5"/>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6.6640625" customWidth="1"/>
    <col min="10" max="10" width="19.5" customWidth="1"/>
    <col min="11" max="11" width="22.5" customWidth="1"/>
    <col min="12" max="12" width="26.6640625" customWidth="1"/>
    <col min="13" max="13" width="18" customWidth="1"/>
    <col min="14" max="15" width="20.83203125" style="9" customWidth="1"/>
    <col min="16" max="16" width="17.33203125" style="9" customWidth="1"/>
    <col min="17" max="17" width="24.5" bestFit="1" customWidth="1"/>
    <col min="18" max="18" width="18.83203125" style="9" bestFit="1" customWidth="1"/>
    <col min="19" max="19" width="19.1640625" bestFit="1" customWidth="1"/>
    <col min="20" max="20" width="14.6640625" style="43" bestFit="1" customWidth="1"/>
    <col min="21" max="21" width="13.83203125" customWidth="1"/>
    <col min="22" max="22" width="25" bestFit="1" customWidth="1"/>
    <col min="23" max="24" width="25" customWidth="1"/>
    <col min="26" max="26" width="15.1640625" bestFit="1" customWidth="1"/>
    <col min="30" max="30" width="18.33203125" bestFit="1" customWidth="1"/>
    <col min="32" max="32" width="12.6640625" bestFit="1" customWidth="1"/>
  </cols>
  <sheetData>
    <row r="1" spans="3:29" ht="24" x14ac:dyDescent="0.3">
      <c r="C1" s="9" t="s">
        <v>3933</v>
      </c>
      <c r="J1" s="9"/>
      <c r="K1" s="9"/>
      <c r="L1" s="9"/>
      <c r="N1" s="43"/>
      <c r="O1" s="192"/>
      <c r="P1" s="192"/>
      <c r="Q1" s="99"/>
      <c r="R1" s="99"/>
      <c r="T1"/>
    </row>
    <row r="2" spans="3:29" ht="24" x14ac:dyDescent="0.3">
      <c r="J2" s="9"/>
      <c r="K2" s="9"/>
      <c r="L2" s="9"/>
      <c r="N2" s="43"/>
      <c r="O2" s="193" t="s">
        <v>4036</v>
      </c>
      <c r="P2" s="192" t="s">
        <v>4037</v>
      </c>
      <c r="Q2" s="80" t="s">
        <v>4039</v>
      </c>
      <c r="R2" s="99" t="s">
        <v>4040</v>
      </c>
      <c r="S2" s="192" t="s">
        <v>4038</v>
      </c>
      <c r="T2" s="80" t="s">
        <v>4041</v>
      </c>
    </row>
    <row r="3" spans="3:29" x14ac:dyDescent="0.3">
      <c r="J3" s="9"/>
      <c r="K3" s="9"/>
      <c r="L3" s="9"/>
      <c r="N3" s="43"/>
      <c r="O3" s="43"/>
      <c r="P3" s="43"/>
      <c r="R3"/>
      <c r="T3"/>
    </row>
    <row r="4" spans="3:29" ht="27" x14ac:dyDescent="0.35">
      <c r="I4" s="178"/>
      <c r="J4" s="178"/>
      <c r="K4" s="178"/>
      <c r="L4" s="178"/>
      <c r="M4" s="37"/>
      <c r="N4" s="70"/>
      <c r="O4" s="70"/>
      <c r="P4" s="70"/>
      <c r="Q4" s="131"/>
      <c r="R4" s="131"/>
      <c r="S4" s="131"/>
      <c r="T4" s="131"/>
    </row>
    <row r="5" spans="3:29" ht="23" thickBot="1" x14ac:dyDescent="0.35">
      <c r="C5" s="13" t="s">
        <v>25</v>
      </c>
      <c r="D5" s="12" t="s">
        <v>13</v>
      </c>
      <c r="E5" s="12" t="s">
        <v>14</v>
      </c>
      <c r="F5" s="13" t="s">
        <v>3997</v>
      </c>
      <c r="G5" s="12" t="s">
        <v>15</v>
      </c>
      <c r="H5" s="13" t="s">
        <v>3932</v>
      </c>
      <c r="I5" s="13" t="s">
        <v>3974</v>
      </c>
      <c r="J5" s="175" t="s">
        <v>3975</v>
      </c>
      <c r="K5" s="176" t="s">
        <v>4009</v>
      </c>
      <c r="L5" s="177" t="s">
        <v>4008</v>
      </c>
      <c r="M5" s="13" t="s">
        <v>3929</v>
      </c>
      <c r="N5" s="44" t="s">
        <v>3935</v>
      </c>
      <c r="O5" s="13" t="s">
        <v>4021</v>
      </c>
      <c r="P5" s="80" t="s">
        <v>4019</v>
      </c>
      <c r="Q5" s="13" t="s">
        <v>4035</v>
      </c>
      <c r="R5" s="13" t="s">
        <v>4042</v>
      </c>
      <c r="S5" s="13" t="s">
        <v>19</v>
      </c>
      <c r="T5" s="13" t="s">
        <v>20</v>
      </c>
      <c r="U5" s="12" t="s">
        <v>21</v>
      </c>
    </row>
    <row r="6" spans="3:29" hidden="1" x14ac:dyDescent="0.3">
      <c r="C6" s="9" t="s">
        <v>16</v>
      </c>
      <c r="D6" s="11">
        <v>13593032</v>
      </c>
      <c r="E6" s="11">
        <v>669183050</v>
      </c>
      <c r="F6" s="11">
        <f>Table2123242526[[#This Row],[E]]/Table2123242526[[#This Row],[V]]</f>
        <v>49.229859092511518</v>
      </c>
      <c r="G6" s="11">
        <v>1052326</v>
      </c>
      <c r="H6" s="10"/>
      <c r="I6" s="28" t="s">
        <v>3902</v>
      </c>
      <c r="J6" s="10"/>
      <c r="K6" s="10"/>
      <c r="L6" s="10"/>
      <c r="M6" s="9"/>
      <c r="N6" s="45"/>
      <c r="O6" s="45" t="e">
        <f>Table2123242526[[#This Row],[G2AIMD (pingpong)]]/Table2123242526[[#This Row],[gpu-hybrid-copy]]</f>
        <v>#VALUE!</v>
      </c>
      <c r="P6" s="45" t="e">
        <f>Table2123242526[[#This Row],[G2AIMD (pingpong)]]/Table2123242526[[#This Row],[gpu-layered]]</f>
        <v>#VALUE!</v>
      </c>
      <c r="Q6" s="28" t="e">
        <f>Table2123242526[[#This Row],[gpu-hybrid-copy]]/Table2123242526[[#This Row],[CPU+GPU]]</f>
        <v>#DIV/0!</v>
      </c>
      <c r="R6" s="28" t="e">
        <f>Table2123242526[[#This Row],[CPU Only]]/Table2123242526[[#This Row],[CPU+GPU]]</f>
        <v>#DIV/0!</v>
      </c>
      <c r="S6" s="28" t="e">
        <f>Table2123242526[[#This Row],[G2AIMD (pingpong)]]/Table2123242526[[#This Row],[gpu-layered]]</f>
        <v>#VALUE!</v>
      </c>
      <c r="T6" s="28" t="e">
        <f>Table2123242526[[#This Row],[gpu-layered]]/Table2123242526[[#This Row],[G2AIMD (pingpong)]]</f>
        <v>#VALUE!</v>
      </c>
      <c r="U6" s="25"/>
    </row>
    <row r="7" spans="3:29" hidden="1" x14ac:dyDescent="0.3">
      <c r="C7" s="9" t="s">
        <v>3901</v>
      </c>
      <c r="D7" s="11">
        <v>18483186</v>
      </c>
      <c r="E7" s="11">
        <v>523574516</v>
      </c>
      <c r="F7" s="11">
        <f>Table2123242526[[#This Row],[E]]/Table2123242526[[#This Row],[V]]</f>
        <v>28.327070668444282</v>
      </c>
      <c r="G7" s="11">
        <v>194955</v>
      </c>
      <c r="H7" s="10"/>
      <c r="I7" s="28" t="s">
        <v>3902</v>
      </c>
      <c r="J7" s="10"/>
      <c r="K7" s="10"/>
      <c r="L7" s="10"/>
      <c r="M7" s="9"/>
      <c r="N7" s="45"/>
      <c r="O7" s="45" t="e">
        <f>Table2123242526[[#This Row],[G2AIMD (pingpong)]]/Table2123242526[[#This Row],[gpu-hybrid-copy]]</f>
        <v>#VALUE!</v>
      </c>
      <c r="P7" s="45" t="e">
        <f>Table2123242526[[#This Row],[G2AIMD (pingpong)]]/Table2123242526[[#This Row],[gpu-layered]]</f>
        <v>#VALUE!</v>
      </c>
      <c r="Q7" s="28" t="e">
        <f>Table2123242526[[#This Row],[gpu-hybrid-copy]]/Table2123242526[[#This Row],[CPU+GPU]]</f>
        <v>#DIV/0!</v>
      </c>
      <c r="R7" s="28" t="e">
        <f>Table2123242526[[#This Row],[CPU Only]]/Table2123242526[[#This Row],[CPU+GPU]]</f>
        <v>#DIV/0!</v>
      </c>
      <c r="S7" s="28" t="e">
        <f>Table2123242526[[#This Row],[G2AIMD (pingpong)]]/Table2123242526[[#This Row],[gpu-layered]]</f>
        <v>#VALUE!</v>
      </c>
      <c r="T7" s="28" t="e">
        <f>Table2123242526[[#This Row],[gpu-layered]]/Table2123242526[[#This Row],[G2AIMD (pingpong)]]</f>
        <v>#VALUE!</v>
      </c>
      <c r="U7" s="25"/>
    </row>
    <row r="8" spans="3:29" hidden="1" x14ac:dyDescent="0.3">
      <c r="C8" s="11" t="s">
        <v>1460</v>
      </c>
      <c r="D8" s="11">
        <v>4512099</v>
      </c>
      <c r="E8" s="11">
        <v>163921732</v>
      </c>
      <c r="F8" s="11">
        <f>Table2123242526[[#This Row],[E]]/Table2123242526[[#This Row],[V]]</f>
        <v>36.32937397871811</v>
      </c>
      <c r="G8" s="11">
        <v>288044</v>
      </c>
      <c r="H8" s="10"/>
      <c r="I8" s="28" t="s">
        <v>3902</v>
      </c>
      <c r="J8" s="10"/>
      <c r="K8" s="10"/>
      <c r="L8" s="10"/>
      <c r="M8" s="9"/>
      <c r="N8" s="45"/>
      <c r="O8" s="45" t="e">
        <f>Table2123242526[[#This Row],[G2AIMD (pingpong)]]/Table2123242526[[#This Row],[gpu-hybrid-copy]]</f>
        <v>#VALUE!</v>
      </c>
      <c r="P8" s="45" t="e">
        <f>Table2123242526[[#This Row],[G2AIMD (pingpong)]]/Table2123242526[[#This Row],[gpu-layered]]</f>
        <v>#VALUE!</v>
      </c>
      <c r="Q8" s="28" t="e">
        <f>Table2123242526[[#This Row],[gpu-hybrid-copy]]/Table2123242526[[#This Row],[CPU+GPU]]</f>
        <v>#DIV/0!</v>
      </c>
      <c r="R8" s="28" t="e">
        <f>Table2123242526[[#This Row],[CPU Only]]/Table2123242526[[#This Row],[CPU+GPU]]</f>
        <v>#DIV/0!</v>
      </c>
      <c r="S8" s="28" t="e">
        <f>Table2123242526[[#This Row],[G2AIMD (pingpong)]]/Table2123242526[[#This Row],[gpu-layered]]</f>
        <v>#VALUE!</v>
      </c>
      <c r="T8" s="28" t="e">
        <f>Table2123242526[[#This Row],[gpu-layered]]/Table2123242526[[#This Row],[G2AIMD (pingpong)]]</f>
        <v>#VALUE!</v>
      </c>
      <c r="U8" s="25"/>
    </row>
    <row r="9" spans="3:29" hidden="1" x14ac:dyDescent="0.3">
      <c r="C9" s="9" t="s">
        <v>3900</v>
      </c>
      <c r="D9" s="11">
        <v>1069126</v>
      </c>
      <c r="E9" s="11">
        <v>112613306</v>
      </c>
      <c r="F9" s="11">
        <f>Table2123242526[[#This Row],[E]]/Table2123242526[[#This Row],[V]]</f>
        <v>105.33211801041224</v>
      </c>
      <c r="G9" s="11">
        <v>11467</v>
      </c>
      <c r="H9" s="10"/>
      <c r="I9" s="28" t="s">
        <v>3902</v>
      </c>
      <c r="J9" s="10"/>
      <c r="K9" s="10"/>
      <c r="L9" s="10"/>
      <c r="M9" s="9"/>
      <c r="N9" s="45"/>
      <c r="O9" s="45" t="e">
        <f>Table2123242526[[#This Row],[G2AIMD (pingpong)]]/Table2123242526[[#This Row],[gpu-hybrid-copy]]</f>
        <v>#VALUE!</v>
      </c>
      <c r="P9" s="45" t="e">
        <f>Table2123242526[[#This Row],[G2AIMD (pingpong)]]/Table2123242526[[#This Row],[gpu-layered]]</f>
        <v>#VALUE!</v>
      </c>
      <c r="Q9" s="28" t="e">
        <f>Table2123242526[[#This Row],[gpu-hybrid-copy]]/Table2123242526[[#This Row],[CPU+GPU]]</f>
        <v>#DIV/0!</v>
      </c>
      <c r="R9" s="28" t="e">
        <f>Table2123242526[[#This Row],[CPU Only]]/Table2123242526[[#This Row],[CPU+GPU]]</f>
        <v>#DIV/0!</v>
      </c>
      <c r="S9" s="28" t="e">
        <f>Table2123242526[[#This Row],[G2AIMD (pingpong)]]/Table2123242526[[#This Row],[gpu-layered]]</f>
        <v>#VALUE!</v>
      </c>
      <c r="T9" s="28" t="e">
        <f>Table2123242526[[#This Row],[gpu-layered]]/Table2123242526[[#This Row],[G2AIMD (pingpong)]]</f>
        <v>#VALUE!</v>
      </c>
      <c r="U9" s="25"/>
    </row>
    <row r="10" spans="3:29" hidden="1" x14ac:dyDescent="0.3">
      <c r="C10" s="9" t="s">
        <v>1427</v>
      </c>
      <c r="D10" s="11">
        <v>2105723</v>
      </c>
      <c r="E10" s="11">
        <v>100093818</v>
      </c>
      <c r="F10" s="11">
        <f>Table2123242526[[#This Row],[E]]/Table2123242526[[#This Row],[V]]</f>
        <v>47.534180896537677</v>
      </c>
      <c r="G10" s="11">
        <v>218818</v>
      </c>
      <c r="H10" s="10"/>
      <c r="I10" s="28" t="s">
        <v>3902</v>
      </c>
      <c r="J10" s="10"/>
      <c r="K10" s="10"/>
      <c r="L10" s="10"/>
      <c r="M10" s="9"/>
      <c r="N10" s="45"/>
      <c r="O10" s="45" t="e">
        <f>Table2123242526[[#This Row],[G2AIMD (pingpong)]]/Table2123242526[[#This Row],[gpu-hybrid-copy]]</f>
        <v>#VALUE!</v>
      </c>
      <c r="P10" s="45" t="e">
        <f>Table2123242526[[#This Row],[G2AIMD (pingpong)]]/Table2123242526[[#This Row],[gpu-layered]]</f>
        <v>#VALUE!</v>
      </c>
      <c r="Q10" s="28" t="e">
        <f>Table2123242526[[#This Row],[gpu-hybrid-copy]]/Table2123242526[[#This Row],[CPU+GPU]]</f>
        <v>#DIV/0!</v>
      </c>
      <c r="R10" s="28" t="e">
        <f>Table2123242526[[#This Row],[CPU Only]]/Table2123242526[[#This Row],[CPU+GPU]]</f>
        <v>#DIV/0!</v>
      </c>
      <c r="S10" s="28" t="e">
        <f>Table2123242526[[#This Row],[G2AIMD (pingpong)]]/Table2123242526[[#This Row],[gpu-layered]]</f>
        <v>#VALUE!</v>
      </c>
      <c r="T10" s="28" t="e">
        <f>Table2123242526[[#This Row],[gpu-layered]]/Table2123242526[[#This Row],[G2AIMD (pingpong)]]</f>
        <v>#VALUE!</v>
      </c>
      <c r="U10" s="25"/>
    </row>
    <row r="11" spans="3:29" hidden="1" x14ac:dyDescent="0.3">
      <c r="C11" s="11" t="s">
        <v>1424</v>
      </c>
      <c r="D11" s="11">
        <v>2302925</v>
      </c>
      <c r="E11" s="11">
        <v>45676552</v>
      </c>
      <c r="F11" s="11">
        <f>Table2123242526[[#This Row],[E]]/Table2123242526[[#This Row],[V]]</f>
        <v>19.834146574465084</v>
      </c>
      <c r="G11" s="11">
        <v>27937</v>
      </c>
      <c r="H11" s="10"/>
      <c r="I11" s="28" t="s">
        <v>3902</v>
      </c>
      <c r="J11" s="10"/>
      <c r="K11" s="10"/>
      <c r="L11" s="10"/>
      <c r="M11" s="9"/>
      <c r="N11" s="45"/>
      <c r="O11" s="45" t="e">
        <f>Table2123242526[[#This Row],[G2AIMD (pingpong)]]/Table2123242526[[#This Row],[gpu-hybrid-copy]]</f>
        <v>#VALUE!</v>
      </c>
      <c r="P11" s="45" t="e">
        <f>Table2123242526[[#This Row],[G2AIMD (pingpong)]]/Table2123242526[[#This Row],[gpu-layered]]</f>
        <v>#VALUE!</v>
      </c>
      <c r="Q11" s="28" t="e">
        <f>Table2123242526[[#This Row],[gpu-hybrid-copy]]/Table2123242526[[#This Row],[CPU+GPU]]</f>
        <v>#DIV/0!</v>
      </c>
      <c r="R11" s="28" t="e">
        <f>Table2123242526[[#This Row],[CPU Only]]/Table2123242526[[#This Row],[CPU+GPU]]</f>
        <v>#DIV/0!</v>
      </c>
      <c r="S11" s="28" t="e">
        <f>Table2123242526[[#This Row],[G2AIMD (pingpong)]]/Table2123242526[[#This Row],[gpu-layered]]</f>
        <v>#VALUE!</v>
      </c>
      <c r="T11" s="28" t="e">
        <f>Table2123242526[[#This Row],[gpu-layered]]/Table2123242526[[#This Row],[G2AIMD (pingpong)]]</f>
        <v>#VALUE!</v>
      </c>
      <c r="U11" s="25"/>
    </row>
    <row r="12" spans="3:29" hidden="1" x14ac:dyDescent="0.3">
      <c r="C12" s="11" t="s">
        <v>1465</v>
      </c>
      <c r="D12" s="11">
        <v>68349466</v>
      </c>
      <c r="E12" s="11">
        <v>3623698684</v>
      </c>
      <c r="F12" s="11">
        <f>Table2123242526[[#This Row],[E]]/Table2123242526[[#This Row],[V]]</f>
        <v>53.017220119905545</v>
      </c>
      <c r="G12" s="11">
        <v>5214</v>
      </c>
      <c r="H12" s="10"/>
      <c r="I12" s="28" t="s">
        <v>3904</v>
      </c>
      <c r="J12" s="10"/>
      <c r="K12" s="10"/>
      <c r="L12" s="10"/>
      <c r="M12" s="9"/>
      <c r="N12" s="45"/>
      <c r="O12" s="45" t="e">
        <f>Table2123242526[[#This Row],[G2AIMD (pingpong)]]/Table2123242526[[#This Row],[gpu-hybrid-copy]]</f>
        <v>#VALUE!</v>
      </c>
      <c r="P12" s="45" t="e">
        <f>Table2123242526[[#This Row],[G2AIMD (pingpong)]]/Table2123242526[[#This Row],[gpu-layered]]</f>
        <v>#VALUE!</v>
      </c>
      <c r="Q12" s="28" t="e">
        <f>Table2123242526[[#This Row],[gpu-hybrid-copy]]/Table2123242526[[#This Row],[CPU+GPU]]</f>
        <v>#DIV/0!</v>
      </c>
      <c r="R12" s="28" t="e">
        <f>Table2123242526[[#This Row],[CPU Only]]/Table2123242526[[#This Row],[CPU+GPU]]</f>
        <v>#DIV/0!</v>
      </c>
      <c r="S12" s="28" t="e">
        <f>Table2123242526[[#This Row],[G2AIMD (pingpong)]]/Table2123242526[[#This Row],[gpu-layered]]</f>
        <v>#VALUE!</v>
      </c>
      <c r="T12" s="28" t="e">
        <f>Table2123242526[[#This Row],[gpu-layered]]/Table2123242526[[#This Row],[G2AIMD (pingpong)]]</f>
        <v>#VALUE!</v>
      </c>
      <c r="U12" s="25"/>
    </row>
    <row r="13" spans="3:29" hidden="1" x14ac:dyDescent="0.3">
      <c r="C13" s="9" t="s">
        <v>3914</v>
      </c>
      <c r="D13" s="11">
        <v>147925593</v>
      </c>
      <c r="E13" s="11">
        <v>893533906</v>
      </c>
      <c r="F13" s="11">
        <f>Table2123242526[[#This Row],[E]]/Table2123242526[[#This Row],[V]]</f>
        <v>6.0404280819749694</v>
      </c>
      <c r="G13" s="11">
        <v>308477</v>
      </c>
      <c r="H13" s="10"/>
      <c r="I13" s="28" t="s">
        <v>3904</v>
      </c>
      <c r="J13" s="10"/>
      <c r="K13" s="10"/>
      <c r="L13" s="10"/>
      <c r="M13" s="9"/>
      <c r="N13" s="45"/>
      <c r="O13" s="45" t="e">
        <f>Table2123242526[[#This Row],[G2AIMD (pingpong)]]/Table2123242526[[#This Row],[gpu-hybrid-copy]]</f>
        <v>#VALUE!</v>
      </c>
      <c r="P13" s="45" t="e">
        <f>Table2123242526[[#This Row],[G2AIMD (pingpong)]]/Table2123242526[[#This Row],[gpu-layered]]</f>
        <v>#VALUE!</v>
      </c>
      <c r="Q13" s="28" t="e">
        <f>Table2123242526[[#This Row],[gpu-hybrid-copy]]/Table2123242526[[#This Row],[CPU+GPU]]</f>
        <v>#DIV/0!</v>
      </c>
      <c r="R13" s="28" t="e">
        <f>Table2123242526[[#This Row],[CPU Only]]/Table2123242526[[#This Row],[CPU+GPU]]</f>
        <v>#DIV/0!</v>
      </c>
      <c r="S13" s="28" t="e">
        <f>Table2123242526[[#This Row],[G2AIMD (pingpong)]]/Table2123242526[[#This Row],[gpu-layered]]</f>
        <v>#VALUE!</v>
      </c>
      <c r="T13" s="28" t="e">
        <f>Table2123242526[[#This Row],[gpu-layered]]/Table2123242526[[#This Row],[G2AIMD (pingpong)]]</f>
        <v>#VALUE!</v>
      </c>
      <c r="U13" s="25"/>
    </row>
    <row r="14" spans="3:29" hidden="1" x14ac:dyDescent="0.3">
      <c r="C14" s="11" t="s">
        <v>1417</v>
      </c>
      <c r="D14" s="11">
        <v>5203763</v>
      </c>
      <c r="E14" s="11">
        <v>97419242</v>
      </c>
      <c r="F14" s="11">
        <f>Table2123242526[[#This Row],[E]]/Table2123242526[[#This Row],[V]]</f>
        <v>18.72092214806862</v>
      </c>
      <c r="G14" s="11">
        <v>15016</v>
      </c>
      <c r="H14" s="10"/>
      <c r="I14" s="28" t="s">
        <v>3921</v>
      </c>
      <c r="J14" s="10"/>
      <c r="K14" s="10"/>
      <c r="L14" s="10"/>
      <c r="M14" s="9"/>
      <c r="N14" s="45"/>
      <c r="O14" s="45" t="e">
        <f>Table2123242526[[#This Row],[G2AIMD (pingpong)]]/Table2123242526[[#This Row],[gpu-hybrid-copy]]</f>
        <v>#VALUE!</v>
      </c>
      <c r="P14" s="45" t="e">
        <f>Table2123242526[[#This Row],[G2AIMD (pingpong)]]/Table2123242526[[#This Row],[gpu-layered]]</f>
        <v>#VALUE!</v>
      </c>
      <c r="Q14" s="28" t="e">
        <f>Table2123242526[[#This Row],[gpu-hybrid-copy]]/Table2123242526[[#This Row],[CPU+GPU]]</f>
        <v>#DIV/0!</v>
      </c>
      <c r="R14" s="28" t="e">
        <f>Table2123242526[[#This Row],[CPU Only]]/Table2123242526[[#This Row],[CPU+GPU]]</f>
        <v>#DIV/0!</v>
      </c>
      <c r="S14" s="28" t="e">
        <f>Table2123242526[[#This Row],[G2AIMD (pingpong)]]/Table2123242526[[#This Row],[gpu-layered]]</f>
        <v>#VALUE!</v>
      </c>
      <c r="T14" s="28" t="e">
        <f>Table2123242526[[#This Row],[gpu-layered]]/Table2123242526[[#This Row],[G2AIMD (pingpong)]]</f>
        <v>#VALUE!</v>
      </c>
      <c r="U14" s="25"/>
    </row>
    <row r="15" spans="3:29" hidden="1" x14ac:dyDescent="0.3">
      <c r="C15" s="11" t="s">
        <v>1435</v>
      </c>
      <c r="D15" s="11">
        <v>4846609</v>
      </c>
      <c r="E15" s="11">
        <v>85702474</v>
      </c>
      <c r="F15" s="11">
        <f>Table2123242526[[#This Row],[E]]/Table2123242526[[#This Row],[V]]</f>
        <v>17.682976695664948</v>
      </c>
      <c r="G15" s="11">
        <v>20333</v>
      </c>
      <c r="H15" s="10"/>
      <c r="I15" s="28" t="s">
        <v>3921</v>
      </c>
      <c r="J15" s="10"/>
      <c r="K15" s="10"/>
      <c r="L15" s="10"/>
      <c r="M15" s="9"/>
      <c r="N15" s="45"/>
      <c r="O15" s="45" t="e">
        <f>Table2123242526[[#This Row],[G2AIMD (pingpong)]]/Table2123242526[[#This Row],[gpu-hybrid-copy]]</f>
        <v>#VALUE!</v>
      </c>
      <c r="P15" s="45" t="e">
        <f>Table2123242526[[#This Row],[G2AIMD (pingpong)]]/Table2123242526[[#This Row],[gpu-layered]]</f>
        <v>#VALUE!</v>
      </c>
      <c r="Q15" s="28" t="e">
        <f>Table2123242526[[#This Row],[gpu-hybrid-copy]]/Table2123242526[[#This Row],[CPU+GPU]]</f>
        <v>#DIV/0!</v>
      </c>
      <c r="R15" s="28" t="e">
        <f>Table2123242526[[#This Row],[CPU Only]]/Table2123242526[[#This Row],[CPU+GPU]]</f>
        <v>#DIV/0!</v>
      </c>
      <c r="S15" s="28" t="e">
        <f>Table2123242526[[#This Row],[G2AIMD (pingpong)]]/Table2123242526[[#This Row],[gpu-layered]]</f>
        <v>#VALUE!</v>
      </c>
      <c r="T15" s="28" t="e">
        <f>Table2123242526[[#This Row],[gpu-layered]]/Table2123242526[[#This Row],[G2AIMD (pingpong)]]</f>
        <v>#VALUE!</v>
      </c>
      <c r="U15" s="25"/>
    </row>
    <row r="16" spans="3:29" ht="24" x14ac:dyDescent="0.3">
      <c r="C16" s="11" t="s">
        <v>5</v>
      </c>
      <c r="D16" s="38">
        <v>8730857</v>
      </c>
      <c r="E16" s="38">
        <v>654072972</v>
      </c>
      <c r="F16" s="38">
        <f>Table2123242526[[#This Row],[E]]/Table2123242526[[#This Row],[V]]</f>
        <v>74.915093902007555</v>
      </c>
      <c r="G16" s="38">
        <v>318268</v>
      </c>
      <c r="H16" s="39">
        <v>417032363</v>
      </c>
      <c r="I16" s="41">
        <v>14.054064</v>
      </c>
      <c r="J16" s="179">
        <v>24.522736999999999</v>
      </c>
      <c r="K16" s="194">
        <v>13.929805</v>
      </c>
      <c r="L16" s="195">
        <v>18.855840000000001</v>
      </c>
      <c r="M16" s="180">
        <v>249.501497</v>
      </c>
      <c r="N16" s="180">
        <v>19.519027000000001</v>
      </c>
      <c r="O16" s="196">
        <f>Table2123242526[[#This Row],[G2AIMD (pingpong)]]/Table2123242526[[#This Row],[gpu-hybrid-copy]]</f>
        <v>0.74534276913677666</v>
      </c>
      <c r="P16" s="196">
        <f>Table2123242526[[#This Row],[G2AIMD (pingpong)]]/Table2123242526[[#This Row],[gpu-layered]]</f>
        <v>0.57310340195713072</v>
      </c>
      <c r="Q16" s="197">
        <f>Table2123242526[[#This Row],[gpu-hybrid-copy]]/Table2123242526[[#This Row],[CPU+GPU]]</f>
        <v>0.96602356254745692</v>
      </c>
      <c r="R16" s="197">
        <f>Table2123242526[[#This Row],[CPU Only]]/Table2123242526[[#This Row],[CPU+GPU]]</f>
        <v>12.782476144943084</v>
      </c>
      <c r="S16" s="106"/>
      <c r="T16" s="106"/>
      <c r="U16" s="34"/>
      <c r="Y16" s="35"/>
      <c r="AA16" s="2"/>
      <c r="AC16" s="2"/>
    </row>
    <row r="17" spans="3:29" ht="24" x14ac:dyDescent="0.3">
      <c r="C17" s="11" t="s">
        <v>1447</v>
      </c>
      <c r="D17" s="38">
        <v>7489073</v>
      </c>
      <c r="E17" s="38">
        <v>224610814</v>
      </c>
      <c r="F17" s="38">
        <f>Table2123242526[[#This Row],[E]]/Table2123242526[[#This Row],[V]]</f>
        <v>29.991804593171945</v>
      </c>
      <c r="G17" s="38">
        <v>1053720</v>
      </c>
      <c r="H17" s="39">
        <v>148627058</v>
      </c>
      <c r="I17" s="41">
        <v>4.1408459999999998</v>
      </c>
      <c r="J17" s="181">
        <v>5.4947679999999997</v>
      </c>
      <c r="K17" s="182">
        <v>4.434202</v>
      </c>
      <c r="L17" s="173">
        <v>3.9712429999999999</v>
      </c>
      <c r="M17" s="180">
        <v>37.416477</v>
      </c>
      <c r="N17" s="180">
        <v>5.235112</v>
      </c>
      <c r="O17" s="196">
        <f>Table2123242526[[#This Row],[G2AIMD (pingpong)]]/Table2123242526[[#This Row],[gpu-hybrid-copy]]</f>
        <v>1.0427077869573833</v>
      </c>
      <c r="P17" s="196">
        <f>Table2123242526[[#This Row],[G2AIMD (pingpong)]]/Table2123242526[[#This Row],[gpu-layered]]</f>
        <v>0.7535979681034759</v>
      </c>
      <c r="Q17" s="197">
        <f>Table2123242526[[#This Row],[gpu-hybrid-copy]]/Table2123242526[[#This Row],[CPU+GPU]]</f>
        <v>0.75857842200892733</v>
      </c>
      <c r="R17" s="197">
        <f>Table2123242526[[#This Row],[CPU Only]]/Table2123242526[[#This Row],[CPU+GPU]]</f>
        <v>7.1472161436087713</v>
      </c>
      <c r="S17" s="106"/>
      <c r="T17" s="106"/>
      <c r="U17" s="34"/>
      <c r="Y17" s="35"/>
      <c r="AA17" s="2"/>
      <c r="AC17" s="2"/>
    </row>
    <row r="18" spans="3:29" ht="24" x14ac:dyDescent="0.3">
      <c r="C18" s="11" t="s">
        <v>3</v>
      </c>
      <c r="D18" s="38">
        <v>2212663</v>
      </c>
      <c r="E18" s="38">
        <v>58330960</v>
      </c>
      <c r="F18" s="38">
        <f>Table2123242526[[#This Row],[E]]/Table2123242526[[#This Row],[V]]</f>
        <v>26.362333532038093</v>
      </c>
      <c r="G18" s="38">
        <v>137021</v>
      </c>
      <c r="H18" s="39">
        <v>1569924556</v>
      </c>
      <c r="I18" s="41">
        <v>68.285578000000001</v>
      </c>
      <c r="J18" s="181">
        <v>67.303210000000007</v>
      </c>
      <c r="K18" s="182">
        <v>75.48</v>
      </c>
      <c r="L18" s="173">
        <v>65.23</v>
      </c>
      <c r="M18" s="180">
        <v>223.255968</v>
      </c>
      <c r="N18" s="180">
        <v>33.600096000000001</v>
      </c>
      <c r="O18" s="196">
        <f>Table2123242526[[#This Row],[G2AIMD (pingpong)]]/Table2123242526[[#This Row],[gpu-hybrid-copy]]</f>
        <v>1.0468431396596658</v>
      </c>
      <c r="P18" s="196">
        <f>Table2123242526[[#This Row],[G2AIMD (pingpong)]]/Table2123242526[[#This Row],[gpu-layered]]</f>
        <v>1.0145961537347177</v>
      </c>
      <c r="Q18" s="197">
        <f>Table2123242526[[#This Row],[gpu-hybrid-copy]]/Table2123242526[[#This Row],[CPU+GPU]]</f>
        <v>1.941363500866188</v>
      </c>
      <c r="R18" s="197">
        <f>Table2123242526[[#This Row],[CPU Only]]/Table2123242526[[#This Row],[CPU+GPU]]</f>
        <v>6.6445038728460775</v>
      </c>
      <c r="S18" s="106"/>
      <c r="T18" s="106"/>
      <c r="U18" s="34"/>
      <c r="Y18" s="35"/>
      <c r="AA18" s="2"/>
      <c r="AC18" s="2"/>
    </row>
    <row r="19" spans="3:29" ht="24" x14ac:dyDescent="0.3">
      <c r="C19" s="11" t="s">
        <v>1456</v>
      </c>
      <c r="D19" s="38">
        <v>5829441</v>
      </c>
      <c r="E19" s="38">
        <v>110439216</v>
      </c>
      <c r="F19" s="38">
        <f>Table2123242526[[#This Row],[E]]/Table2123242526[[#This Row],[V]]</f>
        <v>18.945078267367318</v>
      </c>
      <c r="G19" s="38">
        <v>818185</v>
      </c>
      <c r="H19" s="39">
        <v>1508704249</v>
      </c>
      <c r="I19" s="41">
        <v>84.078997999999999</v>
      </c>
      <c r="J19" s="190">
        <v>51.512694000000003</v>
      </c>
      <c r="K19" s="182">
        <v>73.75</v>
      </c>
      <c r="L19" s="184">
        <v>52.7</v>
      </c>
      <c r="M19" s="180">
        <v>245.51799</v>
      </c>
      <c r="N19" s="180">
        <v>37.410254999999999</v>
      </c>
      <c r="O19" s="196">
        <f>Table2123242526[[#This Row],[G2AIMD (pingpong)]]/Table2123242526[[#This Row],[gpu-hybrid-copy]]</f>
        <v>1.5954269070208726</v>
      </c>
      <c r="P19" s="196">
        <f>Table2123242526[[#This Row],[G2AIMD (pingpong)]]/Table2123242526[[#This Row],[gpu-layered]]</f>
        <v>1.6321995894837105</v>
      </c>
      <c r="Q19" s="197">
        <f>Table2123242526[[#This Row],[gpu-hybrid-copy]]/Table2123242526[[#This Row],[CPU+GPU]]</f>
        <v>1.4087046452904426</v>
      </c>
      <c r="R19" s="197">
        <f>Table2123242526[[#This Row],[CPU Only]]/Table2123242526[[#This Row],[CPU+GPU]]</f>
        <v>6.562852618887522</v>
      </c>
      <c r="S19" s="106"/>
      <c r="T19" s="106"/>
      <c r="U19" s="34"/>
      <c r="Y19" s="35"/>
      <c r="AA19" s="2"/>
      <c r="AC19" s="2"/>
    </row>
    <row r="20" spans="3:29" ht="24" x14ac:dyDescent="0.3">
      <c r="C20" s="11" t="s">
        <v>1455</v>
      </c>
      <c r="D20" s="38">
        <v>8833229</v>
      </c>
      <c r="E20" s="38">
        <v>105882456</v>
      </c>
      <c r="F20" s="38">
        <f>Table2123242526[[#This Row],[E]]/Table2123242526[[#This Row],[V]]</f>
        <v>11.986834712425093</v>
      </c>
      <c r="G20" s="38">
        <v>2126384</v>
      </c>
      <c r="H20" s="39">
        <v>2115046340</v>
      </c>
      <c r="I20" s="41">
        <v>105.59741699999999</v>
      </c>
      <c r="J20" s="181">
        <v>87.072643999999997</v>
      </c>
      <c r="K20" s="191">
        <v>80.489999999999995</v>
      </c>
      <c r="L20" s="184">
        <v>87.62</v>
      </c>
      <c r="M20" s="185">
        <v>306.40025200000002</v>
      </c>
      <c r="N20" s="180">
        <v>46.755004999999997</v>
      </c>
      <c r="O20" s="196">
        <f>Table2123242526[[#This Row],[G2AIMD (pingpong)]]/Table2123242526[[#This Row],[gpu-hybrid-copy]]</f>
        <v>1.2051748116868293</v>
      </c>
      <c r="P20" s="196">
        <f>Table2123242526[[#This Row],[G2AIMD (pingpong)]]/Table2123242526[[#This Row],[gpu-layered]]</f>
        <v>1.2127507808307738</v>
      </c>
      <c r="Q20" s="197">
        <f>Table2123242526[[#This Row],[gpu-hybrid-copy]]/Table2123242526[[#This Row],[CPU+GPU]]</f>
        <v>1.8740239681291877</v>
      </c>
      <c r="R20" s="197">
        <f>Table2123242526[[#This Row],[CPU Only]]/Table2123242526[[#This Row],[CPU+GPU]]</f>
        <v>6.5533144954214002</v>
      </c>
      <c r="S20" s="106"/>
      <c r="T20" s="106"/>
      <c r="U20" s="34"/>
      <c r="Y20" s="35"/>
      <c r="AA20" s="2"/>
      <c r="AC20" s="2"/>
    </row>
    <row r="21" spans="3:29" ht="24" x14ac:dyDescent="0.3">
      <c r="C21" s="11" t="s">
        <v>1450</v>
      </c>
      <c r="D21" s="38">
        <v>5867547</v>
      </c>
      <c r="E21" s="38">
        <v>61171040</v>
      </c>
      <c r="F21" s="38">
        <f>Table2123242526[[#This Row],[E]]/Table2123242526[[#This Row],[V]]</f>
        <v>10.425317428220003</v>
      </c>
      <c r="G21" s="38">
        <v>959344</v>
      </c>
      <c r="H21" s="39">
        <v>994503898</v>
      </c>
      <c r="I21" s="41">
        <v>57.130594000000002</v>
      </c>
      <c r="J21" s="190">
        <v>34.142220000000002</v>
      </c>
      <c r="K21" s="182">
        <v>36.26</v>
      </c>
      <c r="L21" s="184">
        <v>35</v>
      </c>
      <c r="M21" s="180">
        <v>123.493318</v>
      </c>
      <c r="N21" s="180">
        <v>20.122519</v>
      </c>
      <c r="O21" s="196">
        <f>Table2123242526[[#This Row],[G2AIMD (pingpong)]]/Table2123242526[[#This Row],[gpu-hybrid-copy]]</f>
        <v>1.6323026857142857</v>
      </c>
      <c r="P21" s="196">
        <f>Table2123242526[[#This Row],[G2AIMD (pingpong)]]/Table2123242526[[#This Row],[gpu-layered]]</f>
        <v>1.6733122216422951</v>
      </c>
      <c r="Q21" s="197">
        <f>Table2123242526[[#This Row],[gpu-hybrid-copy]]/Table2123242526[[#This Row],[CPU+GPU]]</f>
        <v>1.7393448603527222</v>
      </c>
      <c r="R21" s="197">
        <f>Table2123242526[[#This Row],[CPU Only]]/Table2123242526[[#This Row],[CPU+GPU]]</f>
        <v>6.1370705128915519</v>
      </c>
      <c r="S21" s="106"/>
      <c r="T21" s="106"/>
      <c r="U21" s="34"/>
      <c r="Y21" s="35"/>
      <c r="AA21" s="2"/>
      <c r="AC21" s="2"/>
    </row>
    <row r="22" spans="3:29" ht="24" x14ac:dyDescent="0.3">
      <c r="C22" s="11" t="s">
        <v>7</v>
      </c>
      <c r="D22" s="38">
        <v>2584164</v>
      </c>
      <c r="E22" s="38">
        <v>56367036</v>
      </c>
      <c r="F22" s="38">
        <f>Table2123242526[[#This Row],[E]]/Table2123242526[[#This Row],[V]]</f>
        <v>21.812484037390817</v>
      </c>
      <c r="G22" s="38">
        <v>44065</v>
      </c>
      <c r="H22" s="39">
        <v>918563917</v>
      </c>
      <c r="I22" s="41">
        <v>71.662347999999994</v>
      </c>
      <c r="J22" s="181">
        <v>33.369999999999997</v>
      </c>
      <c r="K22" s="182">
        <v>47.26</v>
      </c>
      <c r="L22" s="173">
        <v>28.33</v>
      </c>
      <c r="M22" s="180">
        <v>129.14542800000001</v>
      </c>
      <c r="N22" s="180">
        <v>21.417175</v>
      </c>
      <c r="O22" s="196">
        <f>Table2123242526[[#This Row],[G2AIMD (pingpong)]]/Table2123242526[[#This Row],[gpu-hybrid-copy]]</f>
        <v>2.5295569361101307</v>
      </c>
      <c r="P22" s="196">
        <f>Table2123242526[[#This Row],[G2AIMD (pingpong)]]/Table2123242526[[#This Row],[gpu-layered]]</f>
        <v>2.1475081810008989</v>
      </c>
      <c r="Q22" s="197">
        <f>Table2123242526[[#This Row],[gpu-hybrid-copy]]/Table2123242526[[#This Row],[CPU+GPU]]</f>
        <v>1.3227701599300561</v>
      </c>
      <c r="R22" s="197">
        <f>Table2123242526[[#This Row],[CPU Only]]/Table2123242526[[#This Row],[CPU+GPU]]</f>
        <v>6.0299935915917953</v>
      </c>
      <c r="S22" s="106"/>
      <c r="T22" s="106"/>
      <c r="U22" s="34"/>
      <c r="Y22" s="35"/>
      <c r="AA22" s="2"/>
      <c r="AC22" s="2"/>
    </row>
    <row r="23" spans="3:29" ht="24" x14ac:dyDescent="0.3">
      <c r="C23" s="11" t="s">
        <v>1436</v>
      </c>
      <c r="D23" s="38">
        <v>3790750</v>
      </c>
      <c r="E23" s="38">
        <v>44273578</v>
      </c>
      <c r="F23" s="38">
        <f>Table2123242526[[#This Row],[E]]/Table2123242526[[#This Row],[V]]</f>
        <v>11.679371628305745</v>
      </c>
      <c r="G23" s="38">
        <v>866662</v>
      </c>
      <c r="H23" s="39">
        <v>489911259</v>
      </c>
      <c r="I23" s="41">
        <v>11.255535999999999</v>
      </c>
      <c r="J23" s="181">
        <v>20.010489</v>
      </c>
      <c r="K23" s="191">
        <v>11.006907</v>
      </c>
      <c r="L23" s="184">
        <v>11.012378999999999</v>
      </c>
      <c r="M23" s="180">
        <v>72.252588000000003</v>
      </c>
      <c r="N23" s="180">
        <v>12.491521000000001</v>
      </c>
      <c r="O23" s="196">
        <f>Table2123242526[[#This Row],[G2AIMD (pingpong)]]/Table2123242526[[#This Row],[gpu-hybrid-copy]]</f>
        <v>1.022080333413879</v>
      </c>
      <c r="P23" s="196">
        <f>Table2123242526[[#This Row],[G2AIMD (pingpong)]]/Table2123242526[[#This Row],[gpu-layered]]</f>
        <v>0.56248180641662482</v>
      </c>
      <c r="Q23" s="197">
        <f>Table2123242526[[#This Row],[gpu-hybrid-copy]]/Table2123242526[[#This Row],[CPU+GPU]]</f>
        <v>0.88158831898853618</v>
      </c>
      <c r="R23" s="197">
        <f>Table2123242526[[#This Row],[CPU Only]]/Table2123242526[[#This Row],[CPU+GPU]]</f>
        <v>5.7841305314220746</v>
      </c>
      <c r="S23" s="106"/>
      <c r="T23" s="106"/>
      <c r="U23" s="34"/>
      <c r="Y23" s="35"/>
      <c r="AA23" s="2"/>
      <c r="AC23" s="2"/>
    </row>
    <row r="24" spans="3:29" ht="24" x14ac:dyDescent="0.3">
      <c r="C24" s="11" t="s">
        <v>6</v>
      </c>
      <c r="D24" s="38">
        <v>3072441</v>
      </c>
      <c r="E24" s="38">
        <v>234369798</v>
      </c>
      <c r="F24" s="38">
        <f>Table2123242526[[#This Row],[E]]/Table2123242526[[#This Row],[V]]</f>
        <v>76.281301414738309</v>
      </c>
      <c r="G24" s="38">
        <v>33313</v>
      </c>
      <c r="H24" s="39">
        <v>2270456447</v>
      </c>
      <c r="I24" s="41">
        <v>85.151685000000001</v>
      </c>
      <c r="J24" s="181">
        <v>84.17</v>
      </c>
      <c r="K24" s="182">
        <v>97.4</v>
      </c>
      <c r="L24" s="173">
        <v>73.239999999999995</v>
      </c>
      <c r="M24" s="180">
        <v>281.76346699999999</v>
      </c>
      <c r="N24" s="180">
        <v>51.644970999999998</v>
      </c>
      <c r="O24" s="196">
        <f>Table2123242526[[#This Row],[G2AIMD (pingpong)]]/Table2123242526[[#This Row],[gpu-hybrid-copy]]</f>
        <v>1.162639063353359</v>
      </c>
      <c r="P24" s="196">
        <f>Table2123242526[[#This Row],[G2AIMD (pingpong)]]/Table2123242526[[#This Row],[gpu-layered]]</f>
        <v>1.011663122252584</v>
      </c>
      <c r="Q24" s="197">
        <f>Table2123242526[[#This Row],[gpu-hybrid-copy]]/Table2123242526[[#This Row],[CPU+GPU]]</f>
        <v>1.4181438885888811</v>
      </c>
      <c r="R24" s="197">
        <f>Table2123242526[[#This Row],[CPU Only]]/Table2123242526[[#This Row],[CPU+GPU]]</f>
        <v>5.4557774270025243</v>
      </c>
      <c r="S24" s="106"/>
      <c r="T24" s="106"/>
      <c r="U24" s="34"/>
      <c r="Y24" s="35"/>
      <c r="AA24" s="2"/>
      <c r="AC24" s="2"/>
    </row>
    <row r="25" spans="3:29" ht="24" x14ac:dyDescent="0.3">
      <c r="C25" s="11" t="s">
        <v>2</v>
      </c>
      <c r="D25" s="38">
        <v>4382070</v>
      </c>
      <c r="E25" s="38">
        <v>38996662</v>
      </c>
      <c r="F25" s="38">
        <f>Table2123242526[[#This Row],[E]]/Table2123242526[[#This Row],[V]]</f>
        <v>8.8991417298217517</v>
      </c>
      <c r="G25" s="38">
        <v>699764</v>
      </c>
      <c r="H25" s="39">
        <v>287608260</v>
      </c>
      <c r="I25" s="41">
        <v>7.5799459999999996</v>
      </c>
      <c r="J25" s="181">
        <v>10.682527</v>
      </c>
      <c r="K25" s="182">
        <v>8.1162390000000002</v>
      </c>
      <c r="L25" s="173">
        <v>7.4260539999999997</v>
      </c>
      <c r="M25" s="180">
        <v>38.782924999999999</v>
      </c>
      <c r="N25" s="180">
        <v>8.0992370000000005</v>
      </c>
      <c r="O25" s="196">
        <f>Table2123242526[[#This Row],[G2AIMD (pingpong)]]/Table2123242526[[#This Row],[gpu-hybrid-copy]]</f>
        <v>1.0207232535610433</v>
      </c>
      <c r="P25" s="196">
        <f>Table2123242526[[#This Row],[G2AIMD (pingpong)]]/Table2123242526[[#This Row],[gpu-layered]]</f>
        <v>0.70956488104359572</v>
      </c>
      <c r="Q25" s="197">
        <f>Table2123242526[[#This Row],[gpu-hybrid-copy]]/Table2123242526[[#This Row],[CPU+GPU]]</f>
        <v>0.91688315825305511</v>
      </c>
      <c r="R25" s="197">
        <f>Table2123242526[[#This Row],[CPU Only]]/Table2123242526[[#This Row],[CPU+GPU]]</f>
        <v>4.7884664938191088</v>
      </c>
      <c r="S25" s="106"/>
      <c r="T25" s="106"/>
      <c r="U25" s="34"/>
      <c r="Y25" s="35"/>
      <c r="AA25" s="2"/>
      <c r="AC25" s="2"/>
    </row>
    <row r="26" spans="3:29" ht="24" x14ac:dyDescent="0.3">
      <c r="C26" s="9" t="s">
        <v>3913</v>
      </c>
      <c r="D26" s="38">
        <v>58655849</v>
      </c>
      <c r="E26" s="38">
        <v>522642066</v>
      </c>
      <c r="F26" s="38">
        <f>Table2123242526[[#This Row],[E]]/Table2123242526[[#This Row],[V]]</f>
        <v>8.9103145706747853</v>
      </c>
      <c r="G26" s="38">
        <v>278489</v>
      </c>
      <c r="H26" s="39">
        <v>1117416174</v>
      </c>
      <c r="I26" s="41">
        <v>60.576824999999999</v>
      </c>
      <c r="J26" s="181">
        <v>32.021475000000002</v>
      </c>
      <c r="K26" s="182">
        <v>48.09</v>
      </c>
      <c r="L26" s="173">
        <v>31.56</v>
      </c>
      <c r="M26" s="180">
        <v>144.30504400000001</v>
      </c>
      <c r="N26" s="180">
        <v>30.88738</v>
      </c>
      <c r="O26" s="196">
        <f>Table2123242526[[#This Row],[G2AIMD (pingpong)]]/Table2123242526[[#This Row],[gpu-hybrid-copy]]</f>
        <v>1.9194177756653994</v>
      </c>
      <c r="P26" s="196">
        <f>Table2123242526[[#This Row],[G2AIMD (pingpong)]]/Table2123242526[[#This Row],[gpu-layered]]</f>
        <v>1.8917562354638566</v>
      </c>
      <c r="Q26" s="197">
        <f>Table2123242526[[#This Row],[gpu-hybrid-copy]]/Table2123242526[[#This Row],[CPU+GPU]]</f>
        <v>1.0217765313859575</v>
      </c>
      <c r="R26" s="197">
        <f>Table2123242526[[#This Row],[CPU Only]]/Table2123242526[[#This Row],[CPU+GPU]]</f>
        <v>4.6719742496773762</v>
      </c>
      <c r="S26" s="106"/>
      <c r="T26" s="106"/>
      <c r="U26" s="34"/>
      <c r="Y26" s="35"/>
      <c r="AA26" s="2"/>
      <c r="AC26" s="2"/>
    </row>
    <row r="27" spans="3:29" ht="24" x14ac:dyDescent="0.3">
      <c r="C27" s="9" t="s">
        <v>1451</v>
      </c>
      <c r="D27" s="38">
        <v>3333397</v>
      </c>
      <c r="E27" s="38">
        <v>200923810</v>
      </c>
      <c r="F27" s="38">
        <f>Table2123242526[[#This Row],[E]]/Table2123242526[[#This Row],[V]]</f>
        <v>60.275991728557983</v>
      </c>
      <c r="G27" s="38">
        <v>399358</v>
      </c>
      <c r="H27" s="39">
        <v>1902943357</v>
      </c>
      <c r="I27" s="41">
        <v>224.11627300000001</v>
      </c>
      <c r="J27" s="190">
        <v>234.64</v>
      </c>
      <c r="K27" s="182">
        <v>289.92</v>
      </c>
      <c r="L27" s="184">
        <v>234.91</v>
      </c>
      <c r="M27" s="180">
        <v>834.23</v>
      </c>
      <c r="N27" s="180">
        <v>179.01</v>
      </c>
      <c r="O27" s="196">
        <f>Table2123242526[[#This Row],[G2AIMD (pingpong)]]/Table2123242526[[#This Row],[gpu-hybrid-copy]]</f>
        <v>0.95405164956791966</v>
      </c>
      <c r="P27" s="196">
        <f>Table2123242526[[#This Row],[G2AIMD (pingpong)]]/Table2123242526[[#This Row],[gpu-layered]]</f>
        <v>0.95514947579270382</v>
      </c>
      <c r="Q27" s="197">
        <f>Table2123242526[[#This Row],[gpu-hybrid-copy]]/Table2123242526[[#This Row],[CPU+GPU]]</f>
        <v>1.3122730573710966</v>
      </c>
      <c r="R27" s="197">
        <f>Table2123242526[[#This Row],[CPU Only]]/Table2123242526[[#This Row],[CPU+GPU]]</f>
        <v>4.6602424445561708</v>
      </c>
      <c r="S27" s="106"/>
      <c r="T27" s="106"/>
      <c r="U27" s="34"/>
      <c r="Y27" s="35"/>
      <c r="AA27" s="2"/>
      <c r="AC27" s="2"/>
    </row>
    <row r="28" spans="3:29" ht="24" x14ac:dyDescent="0.3">
      <c r="C28" s="9" t="s">
        <v>1445</v>
      </c>
      <c r="D28" s="38">
        <v>2148791</v>
      </c>
      <c r="E28" s="38">
        <v>155750262</v>
      </c>
      <c r="F28" s="38">
        <f>Table2123242526[[#This Row],[E]]/Table2123242526[[#This Row],[V]]</f>
        <v>72.482741225181968</v>
      </c>
      <c r="G28" s="38">
        <v>286585</v>
      </c>
      <c r="H28" s="39">
        <v>147929073</v>
      </c>
      <c r="I28" s="41">
        <v>33.766888999999999</v>
      </c>
      <c r="J28" s="181">
        <v>38.719047000000003</v>
      </c>
      <c r="K28" s="182">
        <v>32.214925999999998</v>
      </c>
      <c r="L28" s="173">
        <v>31.719238000000001</v>
      </c>
      <c r="M28" s="180">
        <v>110.60061399999999</v>
      </c>
      <c r="N28" s="180">
        <v>23.840702</v>
      </c>
      <c r="O28" s="196">
        <f>Table2123242526[[#This Row],[G2AIMD (pingpong)]]/Table2123242526[[#This Row],[gpu-hybrid-copy]]</f>
        <v>1.0645554915285165</v>
      </c>
      <c r="P28" s="196">
        <f>Table2123242526[[#This Row],[G2AIMD (pingpong)]]/Table2123242526[[#This Row],[gpu-layered]]</f>
        <v>0.8721002094912097</v>
      </c>
      <c r="Q28" s="197">
        <f>Table2123242526[[#This Row],[gpu-hybrid-copy]]/Table2123242526[[#This Row],[CPU+GPU]]</f>
        <v>1.3304657723585489</v>
      </c>
      <c r="R28" s="197">
        <f>Table2123242526[[#This Row],[CPU Only]]/Table2123242526[[#This Row],[CPU+GPU]]</f>
        <v>4.6391508941305499</v>
      </c>
      <c r="S28" s="106"/>
      <c r="T28" s="106"/>
      <c r="U28" s="34"/>
      <c r="Y28" s="35"/>
      <c r="AA28" s="2"/>
      <c r="AC28" s="2"/>
    </row>
    <row r="29" spans="3:29" ht="24" x14ac:dyDescent="0.3">
      <c r="C29" s="9" t="s">
        <v>11</v>
      </c>
      <c r="D29" s="38">
        <v>2394385</v>
      </c>
      <c r="E29" s="38">
        <v>9319130</v>
      </c>
      <c r="F29" s="38">
        <f>Table2123242526[[#This Row],[E]]/Table2123242526[[#This Row],[V]]</f>
        <v>3.8920766710449657</v>
      </c>
      <c r="G29" s="38">
        <v>100029</v>
      </c>
      <c r="H29" s="39">
        <v>86333306</v>
      </c>
      <c r="I29" s="41">
        <v>3.3782510000000001</v>
      </c>
      <c r="J29" s="181">
        <v>2.6237210000000002</v>
      </c>
      <c r="K29" s="182">
        <v>2.555885</v>
      </c>
      <c r="L29" s="172">
        <v>1.765601</v>
      </c>
      <c r="M29" s="180">
        <v>11.48353</v>
      </c>
      <c r="N29" s="180">
        <v>2.5116809999999998</v>
      </c>
      <c r="O29" s="196">
        <f>Table2123242526[[#This Row],[G2AIMD (pingpong)]]/Table2123242526[[#This Row],[gpu-hybrid-copy]]</f>
        <v>1.9133717074242709</v>
      </c>
      <c r="P29" s="196">
        <f>Table2123242526[[#This Row],[G2AIMD (pingpong)]]/Table2123242526[[#This Row],[gpu-layered]]</f>
        <v>1.2875801199898922</v>
      </c>
      <c r="Q29" s="197">
        <f>Table2123242526[[#This Row],[gpu-hybrid-copy]]/Table2123242526[[#This Row],[CPU+GPU]]</f>
        <v>0.70295590881166836</v>
      </c>
      <c r="R29" s="197">
        <f>Table2123242526[[#This Row],[CPU Only]]/Table2123242526[[#This Row],[CPU+GPU]]</f>
        <v>4.5720495556561529</v>
      </c>
      <c r="S29" s="106"/>
      <c r="T29" s="106"/>
      <c r="U29" s="34"/>
      <c r="Y29" s="35"/>
      <c r="AA29" s="2"/>
      <c r="AC29" s="2"/>
    </row>
    <row r="30" spans="3:29" ht="24" x14ac:dyDescent="0.3">
      <c r="C30" s="9" t="s">
        <v>1442</v>
      </c>
      <c r="D30" s="38">
        <v>3370462</v>
      </c>
      <c r="E30" s="38">
        <v>143901836</v>
      </c>
      <c r="F30" s="38">
        <f>Table2123242526[[#This Row],[E]]/Table2123242526[[#This Row],[V]]</f>
        <v>42.694988402183441</v>
      </c>
      <c r="G30" s="38">
        <v>282591</v>
      </c>
      <c r="H30" s="39">
        <v>563203047</v>
      </c>
      <c r="I30" s="189">
        <v>127.82051300000001</v>
      </c>
      <c r="J30" s="181">
        <v>80.39</v>
      </c>
      <c r="K30" s="182">
        <v>118.97</v>
      </c>
      <c r="L30" s="173">
        <v>68.150000000000006</v>
      </c>
      <c r="M30" s="186">
        <v>200.62130099999999</v>
      </c>
      <c r="N30" s="180">
        <v>47.39</v>
      </c>
      <c r="O30" s="196">
        <f>Table2123242526[[#This Row],[G2AIMD (pingpong)]]/Table2123242526[[#This Row],[gpu-hybrid-copy]]</f>
        <v>1.875576126192223</v>
      </c>
      <c r="P30" s="196">
        <f>Table2123242526[[#This Row],[G2AIMD (pingpong)]]/Table2123242526[[#This Row],[gpu-layered]]</f>
        <v>1.5900051374549073</v>
      </c>
      <c r="Q30" s="197">
        <f>Table2123242526[[#This Row],[gpu-hybrid-copy]]/Table2123242526[[#This Row],[CPU+GPU]]</f>
        <v>1.4380671027642964</v>
      </c>
      <c r="R30" s="197">
        <f>Table2123242526[[#This Row],[CPU Only]]/Table2123242526[[#This Row],[CPU+GPU]]</f>
        <v>4.2334100232116478</v>
      </c>
      <c r="S30" s="106"/>
      <c r="T30" s="106"/>
      <c r="U30" s="34"/>
      <c r="Y30" s="35"/>
      <c r="AA30" s="2"/>
      <c r="AC30" s="2"/>
    </row>
    <row r="31" spans="3:29" ht="24" x14ac:dyDescent="0.3">
      <c r="C31" s="11" t="s">
        <v>1</v>
      </c>
      <c r="D31" s="38">
        <v>18268991</v>
      </c>
      <c r="E31" s="38">
        <v>253780418</v>
      </c>
      <c r="F31" s="38">
        <f>Table2123242526[[#This Row],[E]]/Table2123242526[[#This Row],[V]]</f>
        <v>13.891320982094742</v>
      </c>
      <c r="G31" s="38">
        <v>612308</v>
      </c>
      <c r="H31" s="39">
        <v>240680701</v>
      </c>
      <c r="I31" s="41">
        <v>6.968604</v>
      </c>
      <c r="J31" s="181">
        <v>10.877093</v>
      </c>
      <c r="K31" s="182">
        <v>7.1944559999999997</v>
      </c>
      <c r="L31" s="173">
        <v>6.9283619999999999</v>
      </c>
      <c r="M31" s="180">
        <v>45.206122000000001</v>
      </c>
      <c r="N31" s="180">
        <v>10.693218999999999</v>
      </c>
      <c r="O31" s="196">
        <f>Table2123242526[[#This Row],[G2AIMD (pingpong)]]/Table2123242526[[#This Row],[gpu-hybrid-copy]]</f>
        <v>1.0058082992776647</v>
      </c>
      <c r="P31" s="196">
        <f>Table2123242526[[#This Row],[G2AIMD (pingpong)]]/Table2123242526[[#This Row],[gpu-layered]]</f>
        <v>0.64066786962288547</v>
      </c>
      <c r="Q31" s="197">
        <f>Table2123242526[[#This Row],[gpu-hybrid-copy]]/Table2123242526[[#This Row],[CPU+GPU]]</f>
        <v>0.64792107970481105</v>
      </c>
      <c r="R31" s="197">
        <f>Table2123242526[[#This Row],[CPU Only]]/Table2123242526[[#This Row],[CPU+GPU]]</f>
        <v>4.2275503756165476</v>
      </c>
      <c r="S31" s="106"/>
      <c r="T31" s="106"/>
      <c r="U31" s="34"/>
      <c r="Y31" s="35"/>
      <c r="AA31" s="2"/>
      <c r="AC31" s="2"/>
    </row>
    <row r="32" spans="3:29" ht="24" x14ac:dyDescent="0.3">
      <c r="C32" s="11" t="s">
        <v>4</v>
      </c>
      <c r="D32" s="38">
        <v>1203995</v>
      </c>
      <c r="E32" s="38">
        <v>40033816</v>
      </c>
      <c r="F32" s="38">
        <f>Table2123242526[[#This Row],[E]]/Table2123242526[[#This Row],[V]]</f>
        <v>33.250815825647116</v>
      </c>
      <c r="G32" s="38">
        <v>81090</v>
      </c>
      <c r="H32" s="39">
        <v>148294115</v>
      </c>
      <c r="I32" s="41">
        <v>3.9173870000000002</v>
      </c>
      <c r="J32" s="181">
        <v>5.7804260000000003</v>
      </c>
      <c r="K32" s="182">
        <v>4.4764730000000004</v>
      </c>
      <c r="L32" s="173">
        <v>3.7129669999999999</v>
      </c>
      <c r="M32" s="180">
        <v>28.647296999999998</v>
      </c>
      <c r="N32" s="180">
        <v>7.8326770000000003</v>
      </c>
      <c r="O32" s="196">
        <f>Table2123242526[[#This Row],[G2AIMD (pingpong)]]/Table2123242526[[#This Row],[gpu-hybrid-copy]]</f>
        <v>1.0550557007374426</v>
      </c>
      <c r="P32" s="196">
        <f>Table2123242526[[#This Row],[G2AIMD (pingpong)]]/Table2123242526[[#This Row],[gpu-layered]]</f>
        <v>0.6776986678836473</v>
      </c>
      <c r="Q32" s="197">
        <f>Table2123242526[[#This Row],[gpu-hybrid-copy]]/Table2123242526[[#This Row],[CPU+GPU]]</f>
        <v>0.47403550535787442</v>
      </c>
      <c r="R32" s="197">
        <f>Table2123242526[[#This Row],[CPU Only]]/Table2123242526[[#This Row],[CPU+GPU]]</f>
        <v>3.6574081887967544</v>
      </c>
      <c r="S32" s="106"/>
      <c r="T32" s="106"/>
      <c r="U32" s="34"/>
      <c r="Y32" s="35"/>
      <c r="AA32" s="2"/>
      <c r="AC32" s="2"/>
    </row>
    <row r="33" spans="3:35" ht="24" x14ac:dyDescent="0.3">
      <c r="C33" s="11" t="s">
        <v>1462</v>
      </c>
      <c r="D33" s="38">
        <v>33778221</v>
      </c>
      <c r="E33" s="38">
        <v>203595714</v>
      </c>
      <c r="F33" s="38">
        <f>Table2123242526[[#This Row],[E]]/Table2123242526[[#This Row],[V]]</f>
        <v>6.0274256006555227</v>
      </c>
      <c r="G33" s="38">
        <v>29319</v>
      </c>
      <c r="H33" s="39">
        <v>103359042</v>
      </c>
      <c r="I33" s="41">
        <v>1.6937089999999999</v>
      </c>
      <c r="J33" s="181">
        <v>2.5703559999999999</v>
      </c>
      <c r="K33" s="182">
        <v>2.2523140000000001</v>
      </c>
      <c r="L33" s="172">
        <v>1.310222</v>
      </c>
      <c r="M33" s="180">
        <v>25.699197000000002</v>
      </c>
      <c r="N33" s="180">
        <v>7.0814329999999996</v>
      </c>
      <c r="O33" s="196">
        <f>Table2123242526[[#This Row],[G2AIMD (pingpong)]]/Table2123242526[[#This Row],[gpu-hybrid-copy]]</f>
        <v>1.2926885672809645</v>
      </c>
      <c r="P33" s="196">
        <f>Table2123242526[[#This Row],[G2AIMD (pingpong)]]/Table2123242526[[#This Row],[gpu-layered]]</f>
        <v>0.65893946208229526</v>
      </c>
      <c r="Q33" s="197">
        <f>Table2123242526[[#This Row],[gpu-hybrid-copy]]/Table2123242526[[#This Row],[CPU+GPU]]</f>
        <v>0.18502215582637019</v>
      </c>
      <c r="R33" s="197">
        <f>Table2123242526[[#This Row],[CPU Only]]/Table2123242526[[#This Row],[CPU+GPU]]</f>
        <v>3.6290955517054249</v>
      </c>
      <c r="S33" s="106"/>
      <c r="T33" s="106"/>
      <c r="U33" s="34"/>
      <c r="Y33" s="35"/>
      <c r="AA33" s="2"/>
      <c r="AC33" s="2"/>
    </row>
    <row r="34" spans="3:35" ht="24" x14ac:dyDescent="0.3">
      <c r="C34" s="22" t="s">
        <v>3919</v>
      </c>
      <c r="D34" s="38">
        <v>2937612</v>
      </c>
      <c r="E34" s="38">
        <v>41919708</v>
      </c>
      <c r="F34" s="38">
        <f>Table2123242526[[#This Row],[E]]/Table2123242526[[#This Row],[V]]</f>
        <v>14.269994812112696</v>
      </c>
      <c r="G34" s="38">
        <v>4356</v>
      </c>
      <c r="H34" s="39">
        <v>27593398</v>
      </c>
      <c r="I34" s="41">
        <v>0.62366100000000002</v>
      </c>
      <c r="J34" s="181">
        <v>0.63905199999999995</v>
      </c>
      <c r="K34" s="182">
        <v>1.176353</v>
      </c>
      <c r="L34" s="172">
        <v>0.48078500000000002</v>
      </c>
      <c r="M34" s="180">
        <v>3.6801520000000001</v>
      </c>
      <c r="N34" s="180">
        <v>1.075196</v>
      </c>
      <c r="O34" s="196">
        <f>Table2123242526[[#This Row],[G2AIMD (pingpong)]]/Table2123242526[[#This Row],[gpu-hybrid-copy]]</f>
        <v>1.2971723327474858</v>
      </c>
      <c r="P34" s="196">
        <f>Table2123242526[[#This Row],[G2AIMD (pingpong)]]/Table2123242526[[#This Row],[gpu-layered]]</f>
        <v>0.97591588790896522</v>
      </c>
      <c r="Q34" s="197">
        <f>Table2123242526[[#This Row],[gpu-hybrid-copy]]/Table2123242526[[#This Row],[CPU+GPU]]</f>
        <v>0.44716033169766256</v>
      </c>
      <c r="R34" s="197">
        <f>Table2123242526[[#This Row],[CPU Only]]/Table2123242526[[#This Row],[CPU+GPU]]</f>
        <v>3.4227731501977314</v>
      </c>
      <c r="S34" s="106"/>
      <c r="T34" s="106"/>
      <c r="U34" s="34"/>
      <c r="Y34" s="35"/>
      <c r="AA34" s="2"/>
      <c r="AC34" s="2"/>
    </row>
    <row r="35" spans="3:35" ht="24" x14ac:dyDescent="0.3">
      <c r="C35" s="11" t="s">
        <v>1346</v>
      </c>
      <c r="D35" s="38">
        <v>1696415</v>
      </c>
      <c r="E35" s="38">
        <v>22190596</v>
      </c>
      <c r="F35" s="38">
        <f>Table2123242526[[#This Row],[E]]/Table2123242526[[#This Row],[V]]</f>
        <v>13.080877025963575</v>
      </c>
      <c r="G35" s="38">
        <v>35455</v>
      </c>
      <c r="H35" s="39">
        <v>37322355</v>
      </c>
      <c r="I35" s="41">
        <v>1.300643</v>
      </c>
      <c r="J35" s="181">
        <v>1.6876949999999999</v>
      </c>
      <c r="K35" s="182">
        <v>1.8380110000000001</v>
      </c>
      <c r="L35" s="172">
        <v>1.085415</v>
      </c>
      <c r="M35" s="180">
        <v>7.0529869999999999</v>
      </c>
      <c r="N35" s="180">
        <v>2.076346</v>
      </c>
      <c r="O35" s="196">
        <f>Table2123242526[[#This Row],[G2AIMD (pingpong)]]/Table2123242526[[#This Row],[gpu-hybrid-copy]]</f>
        <v>1.1982909762625356</v>
      </c>
      <c r="P35" s="196">
        <f>Table2123242526[[#This Row],[G2AIMD (pingpong)]]/Table2123242526[[#This Row],[gpu-layered]]</f>
        <v>0.77066235309105025</v>
      </c>
      <c r="Q35" s="197">
        <f>Table2123242526[[#This Row],[gpu-hybrid-copy]]/Table2123242526[[#This Row],[CPU+GPU]]</f>
        <v>0.52275246996406188</v>
      </c>
      <c r="R35" s="197">
        <f>Table2123242526[[#This Row],[CPU Only]]/Table2123242526[[#This Row],[CPU+GPU]]</f>
        <v>3.3968264441475551</v>
      </c>
      <c r="S35" s="106"/>
      <c r="T35" s="106"/>
      <c r="U35" s="34"/>
      <c r="Y35" s="35"/>
      <c r="AA35" s="2"/>
      <c r="AC35" s="2"/>
    </row>
    <row r="36" spans="3:35" ht="24" x14ac:dyDescent="0.3">
      <c r="C36" s="9" t="s">
        <v>1452</v>
      </c>
      <c r="D36" s="38">
        <v>3175009</v>
      </c>
      <c r="E36" s="38">
        <v>206621674</v>
      </c>
      <c r="F36" s="38">
        <f>Table2123242526[[#This Row],[E]]/Table2123242526[[#This Row],[V]]</f>
        <v>65.077508126748612</v>
      </c>
      <c r="G36" s="38">
        <v>369566</v>
      </c>
      <c r="H36" s="39">
        <v>67547002</v>
      </c>
      <c r="I36" s="40">
        <v>433.71</v>
      </c>
      <c r="J36" s="181">
        <v>492.73</v>
      </c>
      <c r="K36" s="182">
        <v>408.37694099999999</v>
      </c>
      <c r="L36" s="173">
        <v>408.18284899999998</v>
      </c>
      <c r="M36" s="185">
        <v>346.19295299999999</v>
      </c>
      <c r="N36" s="180">
        <v>102.65375299999999</v>
      </c>
      <c r="O36" s="196">
        <f>Table2123242526[[#This Row],[G2AIMD (pingpong)]]/Table2123242526[[#This Row],[gpu-hybrid-copy]]</f>
        <v>1.0625385193487147</v>
      </c>
      <c r="P36" s="196">
        <f>Table2123242526[[#This Row],[G2AIMD (pingpong)]]/Table2123242526[[#This Row],[gpu-layered]]</f>
        <v>0.88021837517504509</v>
      </c>
      <c r="Q36" s="197">
        <f>Table2123242526[[#This Row],[gpu-hybrid-copy]]/Table2123242526[[#This Row],[CPU+GPU]]</f>
        <v>3.9763071205005041</v>
      </c>
      <c r="R36" s="197">
        <f>Table2123242526[[#This Row],[CPU Only]]/Table2123242526[[#This Row],[CPU+GPU]]</f>
        <v>3.3724334754716665</v>
      </c>
      <c r="S36" s="106"/>
      <c r="T36" s="106"/>
      <c r="U36" s="34"/>
      <c r="Y36" s="35"/>
      <c r="AA36" s="2"/>
      <c r="AC36" s="2"/>
    </row>
    <row r="37" spans="3:35" ht="24" x14ac:dyDescent="0.3">
      <c r="C37" s="9" t="s">
        <v>3917</v>
      </c>
      <c r="D37" s="38">
        <v>1791489</v>
      </c>
      <c r="E37" s="38">
        <v>50888414</v>
      </c>
      <c r="F37" s="38">
        <f>Table2123242526[[#This Row],[E]]/Table2123242526[[#This Row],[V]]</f>
        <v>28.405652504704186</v>
      </c>
      <c r="G37" s="38">
        <v>238342</v>
      </c>
      <c r="H37" s="39">
        <v>27229873</v>
      </c>
      <c r="I37" s="41">
        <v>1.3038989999999999</v>
      </c>
      <c r="J37" s="181">
        <v>1.4571909999999999</v>
      </c>
      <c r="K37" s="182">
        <v>1.8473649999999999</v>
      </c>
      <c r="L37" s="172">
        <v>1.1079509999999999</v>
      </c>
      <c r="M37" s="180">
        <v>4.5417589999999999</v>
      </c>
      <c r="N37" s="180">
        <v>1.3929849999999999</v>
      </c>
      <c r="O37" s="196">
        <f>Table2123242526[[#This Row],[G2AIMD (pingpong)]]/Table2123242526[[#This Row],[gpu-hybrid-copy]]</f>
        <v>1.1768561967090603</v>
      </c>
      <c r="P37" s="196">
        <f>Table2123242526[[#This Row],[G2AIMD (pingpong)]]/Table2123242526[[#This Row],[gpu-layered]]</f>
        <v>0.89480308346675208</v>
      </c>
      <c r="Q37" s="197">
        <f>Table2123242526[[#This Row],[gpu-hybrid-copy]]/Table2123242526[[#This Row],[CPU+GPU]]</f>
        <v>0.79537898828774178</v>
      </c>
      <c r="R37" s="197">
        <f>Table2123242526[[#This Row],[CPU Only]]/Table2123242526[[#This Row],[CPU+GPU]]</f>
        <v>3.2604507586226701</v>
      </c>
      <c r="S37" s="106"/>
      <c r="T37" s="106"/>
      <c r="U37" s="34"/>
      <c r="Y37" s="35"/>
      <c r="AA37" s="2"/>
      <c r="AC37" s="2"/>
    </row>
    <row r="38" spans="3:35" ht="24" x14ac:dyDescent="0.3">
      <c r="C38" s="11" t="s">
        <v>1433</v>
      </c>
      <c r="D38" s="38">
        <v>2646291</v>
      </c>
      <c r="E38" s="38">
        <v>42433496</v>
      </c>
      <c r="F38" s="38">
        <f>Table2123242526[[#This Row],[E]]/Table2123242526[[#This Row],[V]]</f>
        <v>16.035083065316702</v>
      </c>
      <c r="G38" s="38">
        <v>850681</v>
      </c>
      <c r="H38" s="39">
        <v>110149144</v>
      </c>
      <c r="I38" s="189">
        <v>3.8337750000000002</v>
      </c>
      <c r="J38" s="181">
        <v>4.6146729999999998</v>
      </c>
      <c r="K38" s="182">
        <v>4.476839</v>
      </c>
      <c r="L38" s="172">
        <v>3.679964</v>
      </c>
      <c r="M38" s="180">
        <v>15.348898999999999</v>
      </c>
      <c r="N38" s="180">
        <v>4.8238430000000001</v>
      </c>
      <c r="O38" s="196">
        <f>Table2123242526[[#This Row],[G2AIMD (pingpong)]]/Table2123242526[[#This Row],[gpu-hybrid-copy]]</f>
        <v>1.0417968762737897</v>
      </c>
      <c r="P38" s="196">
        <f>Table2123242526[[#This Row],[G2AIMD (pingpong)]]/Table2123242526[[#This Row],[gpu-layered]]</f>
        <v>0.83077934232826467</v>
      </c>
      <c r="Q38" s="197">
        <f>Table2123242526[[#This Row],[gpu-hybrid-copy]]/Table2123242526[[#This Row],[CPU+GPU]]</f>
        <v>0.76286977001531764</v>
      </c>
      <c r="R38" s="197">
        <f>Table2123242526[[#This Row],[CPU Only]]/Table2123242526[[#This Row],[CPU+GPU]]</f>
        <v>3.1818819559425959</v>
      </c>
      <c r="S38" s="106"/>
      <c r="T38" s="106"/>
      <c r="U38" s="34"/>
      <c r="Y38" s="35"/>
      <c r="AA38" s="2"/>
      <c r="AC38" s="2"/>
    </row>
    <row r="39" spans="3:35" ht="24" x14ac:dyDescent="0.3">
      <c r="C39" s="11" t="s">
        <v>1440</v>
      </c>
      <c r="D39" s="38">
        <v>5812931</v>
      </c>
      <c r="E39" s="38">
        <v>54238524</v>
      </c>
      <c r="F39" s="38">
        <f>Table2123242526[[#This Row],[E]]/Table2123242526[[#This Row],[V]]</f>
        <v>9.3306670937604448</v>
      </c>
      <c r="G39" s="38">
        <v>3504033</v>
      </c>
      <c r="H39" s="39">
        <v>72022415</v>
      </c>
      <c r="I39" s="41">
        <v>5.1042110000000003</v>
      </c>
      <c r="J39" s="181">
        <v>5.3348269999999998</v>
      </c>
      <c r="K39" s="182">
        <v>5.4931109999999999</v>
      </c>
      <c r="L39" s="173">
        <v>4.8326019999999996</v>
      </c>
      <c r="M39" s="180">
        <v>9.5797369999999997</v>
      </c>
      <c r="N39" s="180">
        <v>3.0204589999999998</v>
      </c>
      <c r="O39" s="196">
        <f>Table2123242526[[#This Row],[G2AIMD (pingpong)]]/Table2123242526[[#This Row],[gpu-hybrid-copy]]</f>
        <v>1.0562034696836198</v>
      </c>
      <c r="P39" s="196">
        <f>Table2123242526[[#This Row],[G2AIMD (pingpong)]]/Table2123242526[[#This Row],[gpu-layered]]</f>
        <v>0.95677160665191219</v>
      </c>
      <c r="Q39" s="197">
        <f>Table2123242526[[#This Row],[gpu-hybrid-copy]]/Table2123242526[[#This Row],[CPU+GPU]]</f>
        <v>1.5999561656026451</v>
      </c>
      <c r="R39" s="197">
        <f>Table2123242526[[#This Row],[CPU Only]]/Table2123242526[[#This Row],[CPU+GPU]]</f>
        <v>3.1716163007013174</v>
      </c>
      <c r="S39" s="106"/>
      <c r="T39" s="106"/>
      <c r="U39" s="34"/>
      <c r="Y39" s="35"/>
      <c r="AA39" s="2"/>
      <c r="AC39" s="2"/>
      <c r="AG39" s="2"/>
      <c r="AI39" s="2"/>
    </row>
    <row r="40" spans="3:35" ht="24" x14ac:dyDescent="0.3">
      <c r="C40" s="11" t="s">
        <v>1448</v>
      </c>
      <c r="D40" s="38">
        <v>5267977</v>
      </c>
      <c r="E40" s="38">
        <v>55363430</v>
      </c>
      <c r="F40" s="38">
        <f>Table2123242526[[#This Row],[E]]/Table2123242526[[#This Row],[V]]</f>
        <v>10.509428951569074</v>
      </c>
      <c r="G40" s="38">
        <v>590528</v>
      </c>
      <c r="H40" s="39">
        <v>99655585</v>
      </c>
      <c r="I40" s="41">
        <v>3.4353509999999998</v>
      </c>
      <c r="J40" s="181">
        <v>3.8903150000000002</v>
      </c>
      <c r="K40" s="182">
        <v>3.8480089999999998</v>
      </c>
      <c r="L40" s="172">
        <v>3.20539</v>
      </c>
      <c r="M40" s="180">
        <v>16.841013</v>
      </c>
      <c r="N40" s="180">
        <v>5.4122669999999999</v>
      </c>
      <c r="O40" s="196">
        <f>Table2123242526[[#This Row],[G2AIMD (pingpong)]]/Table2123242526[[#This Row],[gpu-hybrid-copy]]</f>
        <v>1.0717419721157175</v>
      </c>
      <c r="P40" s="196">
        <f>Table2123242526[[#This Row],[G2AIMD (pingpong)]]/Table2123242526[[#This Row],[gpu-layered]]</f>
        <v>0.88305214359248541</v>
      </c>
      <c r="Q40" s="197">
        <f>Table2123242526[[#This Row],[gpu-hybrid-copy]]/Table2123242526[[#This Row],[CPU+GPU]]</f>
        <v>0.59224535670542489</v>
      </c>
      <c r="R40" s="197">
        <f>Table2123242526[[#This Row],[CPU Only]]/Table2123242526[[#This Row],[CPU+GPU]]</f>
        <v>3.1116375079056522</v>
      </c>
      <c r="S40" s="106"/>
      <c r="T40" s="106"/>
      <c r="U40" s="34"/>
      <c r="Y40" s="35"/>
      <c r="AA40" s="2"/>
      <c r="AC40" s="2"/>
      <c r="AG40" s="2"/>
      <c r="AI40" s="2"/>
    </row>
    <row r="41" spans="3:35" ht="24" x14ac:dyDescent="0.3">
      <c r="C41" s="11" t="s">
        <v>1449</v>
      </c>
      <c r="D41" s="38">
        <v>4799646</v>
      </c>
      <c r="E41" s="38">
        <v>63844012</v>
      </c>
      <c r="F41" s="38">
        <f>Table2123242526[[#This Row],[E]]/Table2123242526[[#This Row],[V]]</f>
        <v>13.301816842325454</v>
      </c>
      <c r="G41" s="38">
        <v>1076572</v>
      </c>
      <c r="H41" s="39">
        <v>157475935</v>
      </c>
      <c r="I41" s="41">
        <v>6.8452809999999999</v>
      </c>
      <c r="J41" s="181">
        <v>7.4556459999999998</v>
      </c>
      <c r="K41" s="182">
        <v>5.80077</v>
      </c>
      <c r="L41" s="173">
        <v>5.0708260000000003</v>
      </c>
      <c r="M41" s="180">
        <v>23.708839000000001</v>
      </c>
      <c r="N41" s="180">
        <v>7.6292460000000002</v>
      </c>
      <c r="O41" s="196">
        <f>Table2123242526[[#This Row],[G2AIMD (pingpong)]]/Table2123242526[[#This Row],[gpu-hybrid-copy]]</f>
        <v>1.3499341132983067</v>
      </c>
      <c r="P41" s="196">
        <f>Table2123242526[[#This Row],[G2AIMD (pingpong)]]/Table2123242526[[#This Row],[gpu-layered]]</f>
        <v>0.91813385453118346</v>
      </c>
      <c r="Q41" s="197">
        <f>Table2123242526[[#This Row],[gpu-hybrid-copy]]/Table2123242526[[#This Row],[CPU+GPU]]</f>
        <v>0.66465624519120237</v>
      </c>
      <c r="R41" s="197">
        <f>Table2123242526[[#This Row],[CPU Only]]/Table2123242526[[#This Row],[CPU+GPU]]</f>
        <v>3.1076254455551702</v>
      </c>
      <c r="S41" s="106"/>
      <c r="T41" s="106"/>
      <c r="U41" s="34"/>
      <c r="Y41" s="35"/>
      <c r="AA41" s="2"/>
      <c r="AC41" s="2"/>
      <c r="AG41" s="2"/>
      <c r="AI41" s="2"/>
    </row>
    <row r="42" spans="3:35" ht="24" x14ac:dyDescent="0.3">
      <c r="C42" s="9" t="s">
        <v>1371</v>
      </c>
      <c r="D42" s="38">
        <v>2140198</v>
      </c>
      <c r="E42" s="38">
        <v>34029892</v>
      </c>
      <c r="F42" s="38">
        <f>Table2123242526[[#This Row],[E]]/Table2123242526[[#This Row],[V]]</f>
        <v>15.900347537938078</v>
      </c>
      <c r="G42" s="38">
        <v>97848</v>
      </c>
      <c r="H42" s="39">
        <v>19365288</v>
      </c>
      <c r="I42" s="41">
        <v>0.85894899999999996</v>
      </c>
      <c r="J42" s="181">
        <v>0.85916800000000004</v>
      </c>
      <c r="K42" s="182">
        <v>1.517344</v>
      </c>
      <c r="L42" s="172">
        <v>0.71303899999999998</v>
      </c>
      <c r="M42" s="180">
        <v>3.3648449999999999</v>
      </c>
      <c r="N42" s="180">
        <v>1.127974</v>
      </c>
      <c r="O42" s="196">
        <f>Table2123242526[[#This Row],[G2AIMD (pingpong)]]/Table2123242526[[#This Row],[gpu-hybrid-copy]]</f>
        <v>1.2046311632323057</v>
      </c>
      <c r="P42" s="196">
        <f>Table2123242526[[#This Row],[G2AIMD (pingpong)]]/Table2123242526[[#This Row],[gpu-layered]]</f>
        <v>0.99974510223844459</v>
      </c>
      <c r="Q42" s="197">
        <f>Table2123242526[[#This Row],[gpu-hybrid-copy]]/Table2123242526[[#This Row],[CPU+GPU]]</f>
        <v>0.63214134368345365</v>
      </c>
      <c r="R42" s="197">
        <f>Table2123242526[[#This Row],[CPU Only]]/Table2123242526[[#This Row],[CPU+GPU]]</f>
        <v>2.9830873761274637</v>
      </c>
      <c r="S42" s="106"/>
      <c r="T42" s="106"/>
      <c r="U42" s="34"/>
      <c r="Y42" s="35"/>
      <c r="AA42" s="2"/>
      <c r="AC42" s="2"/>
      <c r="AG42" s="2"/>
      <c r="AI42" s="2"/>
    </row>
    <row r="43" spans="3:35" ht="24" x14ac:dyDescent="0.3">
      <c r="C43" s="9" t="s">
        <v>10</v>
      </c>
      <c r="D43" s="38">
        <v>3603726</v>
      </c>
      <c r="E43" s="38">
        <v>155093964</v>
      </c>
      <c r="F43" s="38">
        <f>Table2123242526[[#This Row],[E]]/Table2123242526[[#This Row],[V]]</f>
        <v>43.037113254448315</v>
      </c>
      <c r="G43" s="38">
        <v>434234</v>
      </c>
      <c r="H43" s="39">
        <v>1237624958</v>
      </c>
      <c r="I43" s="189">
        <v>107.39003200000001</v>
      </c>
      <c r="J43" s="190">
        <v>94.19</v>
      </c>
      <c r="K43" s="182">
        <v>181.27</v>
      </c>
      <c r="L43" s="184">
        <v>98.4</v>
      </c>
      <c r="M43" s="185">
        <v>196.60153800000001</v>
      </c>
      <c r="N43" s="180">
        <v>68.88</v>
      </c>
      <c r="O43" s="196">
        <f>Table2123242526[[#This Row],[G2AIMD (pingpong)]]/Table2123242526[[#This Row],[gpu-hybrid-copy]]</f>
        <v>1.0913621138211382</v>
      </c>
      <c r="P43" s="196">
        <f>Table2123242526[[#This Row],[G2AIMD (pingpong)]]/Table2123242526[[#This Row],[gpu-layered]]</f>
        <v>1.1401426053721202</v>
      </c>
      <c r="Q43" s="197">
        <f>Table2123242526[[#This Row],[gpu-hybrid-copy]]/Table2123242526[[#This Row],[CPU+GPU]]</f>
        <v>1.4285714285714288</v>
      </c>
      <c r="R43" s="197">
        <f>Table2123242526[[#This Row],[CPU Only]]/Table2123242526[[#This Row],[CPU+GPU]]</f>
        <v>2.8542615853658537</v>
      </c>
      <c r="S43" s="106"/>
      <c r="T43" s="106"/>
      <c r="U43" s="34"/>
      <c r="Y43" s="35"/>
      <c r="AA43" s="2"/>
      <c r="AC43" s="2"/>
      <c r="AG43" s="2"/>
      <c r="AI43" s="2"/>
    </row>
    <row r="44" spans="3:35" ht="24" x14ac:dyDescent="0.3">
      <c r="C44" s="11" t="s">
        <v>1404</v>
      </c>
      <c r="D44" s="38">
        <v>2939627</v>
      </c>
      <c r="E44" s="38">
        <v>20974994</v>
      </c>
      <c r="F44" s="38">
        <f>Table2123242526[[#This Row],[E]]/Table2123242526[[#This Row],[V]]</f>
        <v>7.1352569560695969</v>
      </c>
      <c r="G44" s="38">
        <v>916719</v>
      </c>
      <c r="H44" s="39">
        <v>49558992</v>
      </c>
      <c r="I44" s="189">
        <v>3.7311160000000001</v>
      </c>
      <c r="J44" s="181">
        <v>3.5483899999999999</v>
      </c>
      <c r="K44" s="182">
        <v>4.0436699999999997</v>
      </c>
      <c r="L44" s="172">
        <v>3.2534559999999999</v>
      </c>
      <c r="M44" s="180">
        <v>5.7104470000000003</v>
      </c>
      <c r="N44" s="180">
        <v>2.0374910000000002</v>
      </c>
      <c r="O44" s="196">
        <f>Table2123242526[[#This Row],[G2AIMD (pingpong)]]/Table2123242526[[#This Row],[gpu-hybrid-copy]]</f>
        <v>1.1468161856192307</v>
      </c>
      <c r="P44" s="196">
        <f>Table2123242526[[#This Row],[G2AIMD (pingpong)]]/Table2123242526[[#This Row],[gpu-layered]]</f>
        <v>1.0514954669582544</v>
      </c>
      <c r="Q44" s="197">
        <f>Table2123242526[[#This Row],[gpu-hybrid-copy]]/Table2123242526[[#This Row],[CPU+GPU]]</f>
        <v>1.5967952741877141</v>
      </c>
      <c r="R44" s="197">
        <f>Table2123242526[[#This Row],[CPU Only]]/Table2123242526[[#This Row],[CPU+GPU]]</f>
        <v>2.8026857541947425</v>
      </c>
      <c r="S44" s="106"/>
      <c r="T44" s="106"/>
      <c r="U44" s="34"/>
      <c r="Y44" s="35"/>
      <c r="AA44" s="2"/>
      <c r="AC44" s="2"/>
      <c r="AG44" s="2"/>
      <c r="AI44" s="2"/>
    </row>
    <row r="45" spans="3:35" ht="24" x14ac:dyDescent="0.3">
      <c r="C45" s="9" t="s">
        <v>1414</v>
      </c>
      <c r="D45" s="38">
        <v>3033373</v>
      </c>
      <c r="E45" s="38">
        <v>87691916</v>
      </c>
      <c r="F45" s="38">
        <f>Table2123242526[[#This Row],[E]]/Table2123242526[[#This Row],[V]]</f>
        <v>28.909044815787574</v>
      </c>
      <c r="G45" s="38">
        <v>275166</v>
      </c>
      <c r="H45" s="39">
        <v>118034566</v>
      </c>
      <c r="I45" s="41">
        <v>8.8155560000000008</v>
      </c>
      <c r="J45" s="181">
        <v>11.389962000000001</v>
      </c>
      <c r="K45" s="182">
        <v>8.9545709999999996</v>
      </c>
      <c r="L45" s="173">
        <v>8.328792</v>
      </c>
      <c r="M45" s="180">
        <v>24.346118000000001</v>
      </c>
      <c r="N45" s="180">
        <v>9.3502709999999993</v>
      </c>
      <c r="O45" s="196">
        <f>Table2123242526[[#This Row],[G2AIMD (pingpong)]]/Table2123242526[[#This Row],[gpu-hybrid-copy]]</f>
        <v>1.0584435293857741</v>
      </c>
      <c r="P45" s="196">
        <f>Table2123242526[[#This Row],[G2AIMD (pingpong)]]/Table2123242526[[#This Row],[gpu-layered]]</f>
        <v>0.77397589210569806</v>
      </c>
      <c r="Q45" s="197">
        <f>Table2123242526[[#This Row],[gpu-hybrid-copy]]/Table2123242526[[#This Row],[CPU+GPU]]</f>
        <v>0.89075407547011209</v>
      </c>
      <c r="R45" s="197">
        <f>Table2123242526[[#This Row],[CPU Only]]/Table2123242526[[#This Row],[CPU+GPU]]</f>
        <v>2.603787419637356</v>
      </c>
      <c r="S45" s="106"/>
      <c r="T45" s="106"/>
      <c r="U45" s="34"/>
      <c r="Y45" s="35"/>
      <c r="AA45" s="2"/>
      <c r="AC45" s="2"/>
      <c r="AG45" s="2"/>
      <c r="AI45" s="2"/>
    </row>
    <row r="46" spans="3:35" ht="24" x14ac:dyDescent="0.3">
      <c r="C46" s="9" t="s">
        <v>1434</v>
      </c>
      <c r="D46" s="38">
        <v>7825669</v>
      </c>
      <c r="E46" s="38">
        <v>124492028</v>
      </c>
      <c r="F46" s="38">
        <f>Table2123242526[[#This Row],[E]]/Table2123242526[[#This Row],[V]]</f>
        <v>15.90816427323977</v>
      </c>
      <c r="G46" s="38">
        <v>204282</v>
      </c>
      <c r="H46" s="39">
        <v>74995873</v>
      </c>
      <c r="I46" s="189">
        <v>2.4138410000000001</v>
      </c>
      <c r="J46" s="181">
        <v>3.702521</v>
      </c>
      <c r="K46" s="182">
        <v>2.9659520000000001</v>
      </c>
      <c r="L46" s="172">
        <v>2.4274909999999998</v>
      </c>
      <c r="M46" s="180">
        <v>11.794521</v>
      </c>
      <c r="N46" s="180">
        <v>4.758845</v>
      </c>
      <c r="O46" s="196">
        <f>Table2123242526[[#This Row],[G2AIMD (pingpong)]]/Table2123242526[[#This Row],[gpu-hybrid-copy]]</f>
        <v>0.99437691015126328</v>
      </c>
      <c r="P46" s="196">
        <f>Table2123242526[[#This Row],[G2AIMD (pingpong)]]/Table2123242526[[#This Row],[gpu-layered]]</f>
        <v>0.65194525567849582</v>
      </c>
      <c r="Q46" s="197">
        <f>Table2123242526[[#This Row],[gpu-hybrid-copy]]/Table2123242526[[#This Row],[CPU+GPU]]</f>
        <v>0.5101008753174352</v>
      </c>
      <c r="R46" s="197">
        <f>Table2123242526[[#This Row],[CPU Only]]/Table2123242526[[#This Row],[CPU+GPU]]</f>
        <v>2.4784419328639617</v>
      </c>
      <c r="S46" s="106"/>
      <c r="T46" s="106"/>
      <c r="U46" s="34"/>
      <c r="Y46" s="35"/>
      <c r="AA46" s="2"/>
      <c r="AC46" s="2"/>
      <c r="AG46" s="2"/>
      <c r="AI46" s="2"/>
    </row>
    <row r="47" spans="3:35" ht="24" x14ac:dyDescent="0.3">
      <c r="C47" s="11" t="s">
        <v>1461</v>
      </c>
      <c r="D47" s="38">
        <v>33777768</v>
      </c>
      <c r="E47" s="38">
        <v>274478882</v>
      </c>
      <c r="F47" s="38">
        <f>Table2123242526[[#This Row],[E]]/Table2123242526[[#This Row],[V]]</f>
        <v>8.1260218851642296</v>
      </c>
      <c r="G47" s="38">
        <v>1057783</v>
      </c>
      <c r="H47" s="39">
        <v>152479402</v>
      </c>
      <c r="I47" s="189">
        <v>3.8363990000000001</v>
      </c>
      <c r="J47" s="181">
        <v>4.7929389999999996</v>
      </c>
      <c r="K47" s="182">
        <v>4.2029290000000001</v>
      </c>
      <c r="L47" s="172">
        <v>3.2303030000000001</v>
      </c>
      <c r="M47" s="180">
        <v>18.665141999999999</v>
      </c>
      <c r="N47" s="180">
        <v>7.6161149999999997</v>
      </c>
      <c r="O47" s="196">
        <f>Table2123242526[[#This Row],[G2AIMD (pingpong)]]/Table2123242526[[#This Row],[gpu-hybrid-copy]]</f>
        <v>1.1876282193961372</v>
      </c>
      <c r="P47" s="196">
        <f>Table2123242526[[#This Row],[G2AIMD (pingpong)]]/Table2123242526[[#This Row],[gpu-layered]]</f>
        <v>0.80042725350771216</v>
      </c>
      <c r="Q47" s="197">
        <f>Table2123242526[[#This Row],[gpu-hybrid-copy]]/Table2123242526[[#This Row],[CPU+GPU]]</f>
        <v>0.42414052308821498</v>
      </c>
      <c r="R47" s="197">
        <f>Table2123242526[[#This Row],[CPU Only]]/Table2123242526[[#This Row],[CPU+GPU]]</f>
        <v>2.4507431938724666</v>
      </c>
      <c r="S47" s="106"/>
      <c r="T47" s="106"/>
      <c r="U47" s="34"/>
      <c r="Y47" s="35"/>
      <c r="AA47" s="2"/>
      <c r="AC47" s="2"/>
      <c r="AG47" s="2"/>
      <c r="AI47" s="2"/>
    </row>
    <row r="48" spans="3:35" ht="24" x14ac:dyDescent="0.3">
      <c r="C48" s="11" t="s">
        <v>1437</v>
      </c>
      <c r="D48" s="38">
        <v>2981204</v>
      </c>
      <c r="E48" s="38">
        <v>42832752</v>
      </c>
      <c r="F48" s="38">
        <f>Table2123242526[[#This Row],[E]]/Table2123242526[[#This Row],[V]]</f>
        <v>14.367601814568879</v>
      </c>
      <c r="G48" s="38">
        <v>385104</v>
      </c>
      <c r="H48" s="39">
        <v>35290880</v>
      </c>
      <c r="I48" s="41">
        <v>1.446725</v>
      </c>
      <c r="J48" s="181">
        <v>1.4544539999999999</v>
      </c>
      <c r="K48" s="182">
        <v>2.0601349999999998</v>
      </c>
      <c r="L48" s="172">
        <v>1.308095</v>
      </c>
      <c r="M48" s="180">
        <v>5.6263290000000001</v>
      </c>
      <c r="N48" s="180">
        <v>2.3065820000000001</v>
      </c>
      <c r="O48" s="196">
        <f>Table2123242526[[#This Row],[G2AIMD (pingpong)]]/Table2123242526[[#This Row],[gpu-hybrid-copy]]</f>
        <v>1.1059785413138954</v>
      </c>
      <c r="P48" s="196">
        <f>Table2123242526[[#This Row],[G2AIMD (pingpong)]]/Table2123242526[[#This Row],[gpu-layered]]</f>
        <v>0.99468597838089079</v>
      </c>
      <c r="Q48" s="197">
        <f>Table2123242526[[#This Row],[gpu-hybrid-copy]]/Table2123242526[[#This Row],[CPU+GPU]]</f>
        <v>0.56711402412747514</v>
      </c>
      <c r="R48" s="197">
        <f>Table2123242526[[#This Row],[CPU Only]]/Table2123242526[[#This Row],[CPU+GPU]]</f>
        <v>2.4392495042448088</v>
      </c>
      <c r="S48" s="106"/>
      <c r="T48" s="106"/>
      <c r="U48" s="34"/>
      <c r="Y48" s="35"/>
      <c r="AA48" s="2"/>
      <c r="AC48" s="2"/>
      <c r="AG48" s="2"/>
      <c r="AI48" s="2"/>
    </row>
    <row r="49" spans="3:35" ht="24" x14ac:dyDescent="0.3">
      <c r="C49" s="22" t="s">
        <v>3920</v>
      </c>
      <c r="D49" s="38">
        <v>1632803</v>
      </c>
      <c r="E49" s="38">
        <v>44603928</v>
      </c>
      <c r="F49" s="38">
        <f>Table2123242526[[#This Row],[E]]/Table2123242526[[#This Row],[V]]</f>
        <v>27.31739713854029</v>
      </c>
      <c r="G49" s="38">
        <v>14854</v>
      </c>
      <c r="H49" s="39">
        <v>19376873</v>
      </c>
      <c r="I49" s="41">
        <v>2.154563</v>
      </c>
      <c r="J49" s="181">
        <v>0.43253999999999998</v>
      </c>
      <c r="K49" s="182">
        <v>1.138009</v>
      </c>
      <c r="L49" s="172">
        <v>0.34845199999999998</v>
      </c>
      <c r="M49" s="180">
        <v>2.2659929999999999</v>
      </c>
      <c r="N49" s="180">
        <v>0.96733800000000003</v>
      </c>
      <c r="O49" s="196">
        <f>Table2123242526[[#This Row],[G2AIMD (pingpong)]]/Table2123242526[[#This Row],[gpu-hybrid-copy]]</f>
        <v>6.1832418812347187</v>
      </c>
      <c r="P49" s="196">
        <f>Table2123242526[[#This Row],[G2AIMD (pingpong)]]/Table2123242526[[#This Row],[gpu-layered]]</f>
        <v>4.9811878670180798</v>
      </c>
      <c r="Q49" s="197">
        <f>Table2123242526[[#This Row],[gpu-hybrid-copy]]/Table2123242526[[#This Row],[CPU+GPU]]</f>
        <v>0.36021742141836666</v>
      </c>
      <c r="R49" s="197">
        <f>Table2123242526[[#This Row],[CPU Only]]/Table2123242526[[#This Row],[CPU+GPU]]</f>
        <v>2.342503861111628</v>
      </c>
      <c r="S49" s="106"/>
      <c r="T49" s="106"/>
      <c r="U49" s="34"/>
      <c r="Y49" s="35"/>
      <c r="AA49" s="2"/>
      <c r="AC49" s="2"/>
      <c r="AG49" s="2"/>
      <c r="AI49" s="2"/>
    </row>
    <row r="50" spans="3:35" ht="24" x14ac:dyDescent="0.3">
      <c r="C50" s="9" t="s">
        <v>3915</v>
      </c>
      <c r="D50" s="38">
        <v>25921548</v>
      </c>
      <c r="E50" s="38">
        <v>1086367222</v>
      </c>
      <c r="F50" s="38">
        <f>Table2123242526[[#This Row],[E]]/Table2123242526[[#This Row],[V]]</f>
        <v>41.909812716431901</v>
      </c>
      <c r="G50" s="38">
        <v>4271341</v>
      </c>
      <c r="H50" s="39">
        <v>568730123</v>
      </c>
      <c r="I50" s="41">
        <v>150.722433</v>
      </c>
      <c r="J50" s="181">
        <v>225.29803999999999</v>
      </c>
      <c r="K50" s="182">
        <v>147.85674399999999</v>
      </c>
      <c r="L50" s="173">
        <v>147.34859499999999</v>
      </c>
      <c r="M50" s="180">
        <v>227.71192199999999</v>
      </c>
      <c r="N50" s="180">
        <v>99.896929</v>
      </c>
      <c r="O50" s="196">
        <f>Table2123242526[[#This Row],[G2AIMD (pingpong)]]/Table2123242526[[#This Row],[gpu-hybrid-copy]]</f>
        <v>1.0228969811351103</v>
      </c>
      <c r="P50" s="196">
        <f>Table2123242526[[#This Row],[G2AIMD (pingpong)]]/Table2123242526[[#This Row],[gpu-layered]]</f>
        <v>0.66899131923207145</v>
      </c>
      <c r="Q50" s="197">
        <f>Table2123242526[[#This Row],[gpu-hybrid-copy]]/Table2123242526[[#This Row],[CPU+GPU]]</f>
        <v>1.4750062536957467</v>
      </c>
      <c r="R50" s="197">
        <f>Table2123242526[[#This Row],[CPU Only]]/Table2123242526[[#This Row],[CPU+GPU]]</f>
        <v>2.2794686911746807</v>
      </c>
      <c r="S50" s="106"/>
      <c r="T50" s="106"/>
      <c r="U50" s="34"/>
      <c r="Y50" s="35"/>
      <c r="AA50" s="2"/>
      <c r="AC50" s="2"/>
      <c r="AG50" s="2"/>
      <c r="AI50" s="2"/>
    </row>
    <row r="51" spans="3:35" ht="24" x14ac:dyDescent="0.3">
      <c r="C51" s="11" t="s">
        <v>1425</v>
      </c>
      <c r="D51" s="38">
        <v>5005932</v>
      </c>
      <c r="E51" s="38">
        <v>33083838</v>
      </c>
      <c r="F51" s="38">
        <f>Table2123242526[[#This Row],[E]]/Table2123242526[[#This Row],[V]]</f>
        <v>6.6089267692809255</v>
      </c>
      <c r="G51" s="38">
        <v>1208022</v>
      </c>
      <c r="H51" s="39">
        <v>48080344</v>
      </c>
      <c r="I51" s="189">
        <v>3.2148729999999999</v>
      </c>
      <c r="J51" s="181">
        <v>3.403111</v>
      </c>
      <c r="K51" s="182">
        <v>3.6741229999999998</v>
      </c>
      <c r="L51" s="172">
        <v>2.9715720000000001</v>
      </c>
      <c r="M51" s="180">
        <v>5.9442469999999998</v>
      </c>
      <c r="N51" s="180">
        <v>2.8253370000000002</v>
      </c>
      <c r="O51" s="196">
        <f>Table2123242526[[#This Row],[G2AIMD (pingpong)]]/Table2123242526[[#This Row],[gpu-hybrid-copy]]</f>
        <v>1.0818761921299567</v>
      </c>
      <c r="P51" s="196">
        <f>Table2123242526[[#This Row],[G2AIMD (pingpong)]]/Table2123242526[[#This Row],[gpu-layered]]</f>
        <v>0.94468649421073836</v>
      </c>
      <c r="Q51" s="197">
        <f>Table2123242526[[#This Row],[gpu-hybrid-copy]]/Table2123242526[[#This Row],[CPU+GPU]]</f>
        <v>1.0517584274017577</v>
      </c>
      <c r="R51" s="197">
        <f>Table2123242526[[#This Row],[CPU Only]]/Table2123242526[[#This Row],[CPU+GPU]]</f>
        <v>2.103907250710269</v>
      </c>
      <c r="S51" s="106"/>
      <c r="T51" s="106"/>
      <c r="U51" s="34"/>
      <c r="Y51" s="35"/>
      <c r="AA51" s="2"/>
      <c r="AC51" s="2"/>
      <c r="AG51" s="2"/>
      <c r="AI51" s="2"/>
    </row>
    <row r="52" spans="3:35" ht="24" x14ac:dyDescent="0.3">
      <c r="C52" s="9" t="s">
        <v>1443</v>
      </c>
      <c r="D52" s="38">
        <v>3924218</v>
      </c>
      <c r="E52" s="38">
        <v>152878772</v>
      </c>
      <c r="F52" s="38">
        <f>Table2123242526[[#This Row],[E]]/Table2123242526[[#This Row],[V]]</f>
        <v>38.957767381934438</v>
      </c>
      <c r="G52" s="38">
        <v>254555</v>
      </c>
      <c r="H52" s="39">
        <v>36008128</v>
      </c>
      <c r="I52" s="41">
        <v>486.47726599999999</v>
      </c>
      <c r="J52" s="181">
        <v>484.93</v>
      </c>
      <c r="K52" s="182">
        <v>482.00630699999999</v>
      </c>
      <c r="L52" s="173">
        <v>481.75678499999998</v>
      </c>
      <c r="M52" s="185">
        <v>450.831255</v>
      </c>
      <c r="N52" s="180">
        <v>220.903085</v>
      </c>
      <c r="O52" s="196">
        <f>Table2123242526[[#This Row],[G2AIMD (pingpong)]]/Table2123242526[[#This Row],[gpu-hybrid-copy]]</f>
        <v>1.0097984733105523</v>
      </c>
      <c r="P52" s="196">
        <f>Table2123242526[[#This Row],[G2AIMD (pingpong)]]/Table2123242526[[#This Row],[gpu-layered]]</f>
        <v>1.0031906996886149</v>
      </c>
      <c r="Q52" s="197">
        <f>Table2123242526[[#This Row],[gpu-hybrid-copy]]/Table2123242526[[#This Row],[CPU+GPU]]</f>
        <v>2.1808513221986012</v>
      </c>
      <c r="R52" s="197">
        <f>Table2123242526[[#This Row],[CPU Only]]/Table2123242526[[#This Row],[CPU+GPU]]</f>
        <v>2.040855404984498</v>
      </c>
      <c r="S52" s="106"/>
      <c r="T52" s="106"/>
      <c r="U52" s="34"/>
      <c r="Y52" s="35"/>
      <c r="AA52" s="2"/>
      <c r="AC52" s="2"/>
      <c r="AG52" s="2"/>
      <c r="AI52" s="2"/>
    </row>
    <row r="53" spans="3:35" ht="24" x14ac:dyDescent="0.3">
      <c r="C53" s="11" t="s">
        <v>1423</v>
      </c>
      <c r="D53" s="38">
        <v>7570051</v>
      </c>
      <c r="E53" s="38">
        <v>43881980</v>
      </c>
      <c r="F53" s="38">
        <f>Table2123242526[[#This Row],[E]]/Table2123242526[[#This Row],[V]]</f>
        <v>5.7967878948239582</v>
      </c>
      <c r="G53" s="38">
        <v>5669991</v>
      </c>
      <c r="H53" s="39">
        <v>41148109</v>
      </c>
      <c r="I53" s="41">
        <v>12.697224</v>
      </c>
      <c r="J53" s="181">
        <v>12.580476000000001</v>
      </c>
      <c r="K53" s="182">
        <v>12.918736000000001</v>
      </c>
      <c r="L53" s="173">
        <v>12.267455</v>
      </c>
      <c r="M53" s="180">
        <v>4.7210000000000001</v>
      </c>
      <c r="N53" s="180">
        <v>2.3150789999999999</v>
      </c>
      <c r="O53" s="196">
        <f>Table2123242526[[#This Row],[G2AIMD (pingpong)]]/Table2123242526[[#This Row],[gpu-hybrid-copy]]</f>
        <v>1.0350332648458869</v>
      </c>
      <c r="P53" s="196">
        <f>Table2123242526[[#This Row],[G2AIMD (pingpong)]]/Table2123242526[[#This Row],[gpu-layered]]</f>
        <v>1.009280094012341</v>
      </c>
      <c r="Q53" s="197">
        <f>Table2123242526[[#This Row],[gpu-hybrid-copy]]/Table2123242526[[#This Row],[CPU+GPU]]</f>
        <v>5.2989358030546692</v>
      </c>
      <c r="R53" s="197">
        <f>Table2123242526[[#This Row],[CPU Only]]/Table2123242526[[#This Row],[CPU+GPU]]</f>
        <v>2.039239265701084</v>
      </c>
      <c r="S53" s="106"/>
      <c r="T53" s="106"/>
      <c r="U53" s="34"/>
      <c r="Y53" s="35"/>
      <c r="AA53" s="2"/>
      <c r="AC53" s="2"/>
      <c r="AG53" s="2"/>
      <c r="AI53" s="2"/>
    </row>
    <row r="54" spans="3:35" ht="24" x14ac:dyDescent="0.3">
      <c r="C54" s="9" t="s">
        <v>1422</v>
      </c>
      <c r="D54" s="38">
        <v>2622756</v>
      </c>
      <c r="E54" s="38">
        <v>94934908</v>
      </c>
      <c r="F54" s="38">
        <f>Table2123242526[[#This Row],[E]]/Table2123242526[[#This Row],[V]]</f>
        <v>36.196622179112353</v>
      </c>
      <c r="G54" s="38">
        <v>900354</v>
      </c>
      <c r="H54" s="39">
        <v>104704438</v>
      </c>
      <c r="I54" s="41">
        <v>23.738012000000001</v>
      </c>
      <c r="J54" s="181">
        <v>27.719543999999999</v>
      </c>
      <c r="K54" s="182">
        <v>23.892412</v>
      </c>
      <c r="L54" s="173">
        <v>23.200935000000001</v>
      </c>
      <c r="M54" s="180">
        <v>31.811346</v>
      </c>
      <c r="N54" s="180">
        <v>17.874461</v>
      </c>
      <c r="O54" s="196">
        <f>Table2123242526[[#This Row],[G2AIMD (pingpong)]]/Table2123242526[[#This Row],[gpu-hybrid-copy]]</f>
        <v>1.023148937747552</v>
      </c>
      <c r="P54" s="196">
        <f>Table2123242526[[#This Row],[G2AIMD (pingpong)]]/Table2123242526[[#This Row],[gpu-layered]]</f>
        <v>0.85636372661830229</v>
      </c>
      <c r="Q54" s="197">
        <f>Table2123242526[[#This Row],[gpu-hybrid-copy]]/Table2123242526[[#This Row],[CPU+GPU]]</f>
        <v>1.297993545092073</v>
      </c>
      <c r="R54" s="197">
        <f>Table2123242526[[#This Row],[CPU Only]]/Table2123242526[[#This Row],[CPU+GPU]]</f>
        <v>1.779709385362725</v>
      </c>
      <c r="S54" s="106"/>
      <c r="T54" s="106"/>
      <c r="U54" s="34"/>
      <c r="Y54" s="35"/>
      <c r="AA54" s="2"/>
      <c r="AC54" s="2"/>
      <c r="AG54" s="2"/>
      <c r="AI54" s="2"/>
    </row>
    <row r="55" spans="3:35" ht="24" x14ac:dyDescent="0.3">
      <c r="C55" s="9" t="s">
        <v>1405</v>
      </c>
      <c r="D55" s="38">
        <v>2093449</v>
      </c>
      <c r="E55" s="38">
        <v>52098498</v>
      </c>
      <c r="F55" s="38">
        <f>Table2123242526[[#This Row],[E]]/Table2123242526[[#This Row],[V]]</f>
        <v>24.886442421095524</v>
      </c>
      <c r="G55" s="38">
        <v>1140084</v>
      </c>
      <c r="H55" s="39">
        <v>7254227</v>
      </c>
      <c r="I55" s="41">
        <v>17.421547</v>
      </c>
      <c r="J55" s="190">
        <v>17.122154999999999</v>
      </c>
      <c r="K55" s="182">
        <v>17.917183000000001</v>
      </c>
      <c r="L55" s="184">
        <v>17.204273000000001</v>
      </c>
      <c r="M55" s="180">
        <v>23.765003</v>
      </c>
      <c r="N55" s="180">
        <v>14.029244</v>
      </c>
      <c r="O55" s="196">
        <f>Table2123242526[[#This Row],[G2AIMD (pingpong)]]/Table2123242526[[#This Row],[gpu-hybrid-copy]]</f>
        <v>1.0126290718590667</v>
      </c>
      <c r="P55" s="196">
        <f>Table2123242526[[#This Row],[G2AIMD (pingpong)]]/Table2123242526[[#This Row],[gpu-layered]]</f>
        <v>1.0174856494407392</v>
      </c>
      <c r="Q55" s="197">
        <f>Table2123242526[[#This Row],[gpu-hybrid-copy]]/Table2123242526[[#This Row],[CPU+GPU]]</f>
        <v>1.2263150459140921</v>
      </c>
      <c r="R55" s="197">
        <f>Table2123242526[[#This Row],[CPU Only]]/Table2123242526[[#This Row],[CPU+GPU]]</f>
        <v>1.6939617701424252</v>
      </c>
      <c r="S55" s="106"/>
      <c r="T55" s="106"/>
      <c r="U55" s="34"/>
      <c r="Y55" s="35"/>
      <c r="AA55" s="2"/>
      <c r="AC55" s="2"/>
      <c r="AG55" s="2"/>
      <c r="AI55" s="2"/>
    </row>
    <row r="56" spans="3:35" ht="24" x14ac:dyDescent="0.3">
      <c r="C56" s="22" t="s">
        <v>3912</v>
      </c>
      <c r="D56" s="38">
        <v>4033138</v>
      </c>
      <c r="E56" s="38">
        <v>55866126</v>
      </c>
      <c r="F56" s="38">
        <f>Table2123242526[[#This Row],[E]]/Table2123242526[[#This Row],[V]]</f>
        <v>13.851776457934244</v>
      </c>
      <c r="G56" s="38">
        <v>2651</v>
      </c>
      <c r="H56" s="39">
        <v>38413666</v>
      </c>
      <c r="I56" s="41">
        <v>1.571016</v>
      </c>
      <c r="J56" s="181">
        <v>2.039167</v>
      </c>
      <c r="K56" s="182">
        <v>2.1893090000000002</v>
      </c>
      <c r="L56" s="172">
        <v>1.4397960000000001</v>
      </c>
      <c r="M56" s="180">
        <v>6.711659</v>
      </c>
      <c r="N56" s="180">
        <v>4.0897119999999996</v>
      </c>
      <c r="O56" s="196">
        <f>Table2123242526[[#This Row],[G2AIMD (pingpong)]]/Table2123242526[[#This Row],[gpu-hybrid-copy]]</f>
        <v>1.0911379112040871</v>
      </c>
      <c r="P56" s="196">
        <f>Table2123242526[[#This Row],[G2AIMD (pingpong)]]/Table2123242526[[#This Row],[gpu-layered]]</f>
        <v>0.77042047071181519</v>
      </c>
      <c r="Q56" s="197">
        <f>Table2123242526[[#This Row],[gpu-hybrid-copy]]/Table2123242526[[#This Row],[CPU+GPU]]</f>
        <v>0.35205315190898534</v>
      </c>
      <c r="R56" s="197">
        <f>Table2123242526[[#This Row],[CPU Only]]/Table2123242526[[#This Row],[CPU+GPU]]</f>
        <v>1.6411079802196342</v>
      </c>
      <c r="S56" s="106"/>
      <c r="T56" s="106"/>
      <c r="U56" s="34"/>
      <c r="Y56" s="35"/>
      <c r="AA56" s="2"/>
      <c r="AC56" s="2"/>
      <c r="AG56" s="2"/>
      <c r="AI56" s="2"/>
    </row>
    <row r="57" spans="3:35" ht="24" x14ac:dyDescent="0.3">
      <c r="C57" s="9" t="s">
        <v>1402</v>
      </c>
      <c r="D57" s="38">
        <v>2132864</v>
      </c>
      <c r="E57" s="38">
        <v>17441248</v>
      </c>
      <c r="F57" s="38">
        <f>Table2123242526[[#This Row],[E]]/Table2123242526[[#This Row],[V]]</f>
        <v>8.1773840244853861</v>
      </c>
      <c r="G57" s="38">
        <v>306136</v>
      </c>
      <c r="H57" s="39">
        <v>11329220</v>
      </c>
      <c r="I57" s="41">
        <v>0.99414100000000005</v>
      </c>
      <c r="J57" s="181">
        <v>0.85337799999999997</v>
      </c>
      <c r="K57" s="182">
        <v>1.5811599999999999</v>
      </c>
      <c r="L57" s="172">
        <v>0.791018</v>
      </c>
      <c r="M57" s="180">
        <v>1.8110040000000001</v>
      </c>
      <c r="N57" s="180">
        <v>1.1210039999999999</v>
      </c>
      <c r="O57" s="196">
        <f>Table2123242526[[#This Row],[G2AIMD (pingpong)]]/Table2123242526[[#This Row],[gpu-hybrid-copy]]</f>
        <v>1.2567868240672146</v>
      </c>
      <c r="P57" s="196">
        <f>Table2123242526[[#This Row],[G2AIMD (pingpong)]]/Table2123242526[[#This Row],[gpu-layered]]</f>
        <v>1.1649480066277782</v>
      </c>
      <c r="Q57" s="197">
        <f>Table2123242526[[#This Row],[gpu-hybrid-copy]]/Table2123242526[[#This Row],[CPU+GPU]]</f>
        <v>0.70563352137904956</v>
      </c>
      <c r="R57" s="197">
        <f>Table2123242526[[#This Row],[CPU Only]]/Table2123242526[[#This Row],[CPU+GPU]]</f>
        <v>1.6155196591626795</v>
      </c>
      <c r="S57" s="106"/>
      <c r="T57" s="106"/>
      <c r="U57" s="34"/>
      <c r="Y57" s="35"/>
      <c r="AA57" s="2"/>
      <c r="AC57" s="2"/>
      <c r="AG57" s="2"/>
      <c r="AI57" s="2"/>
    </row>
    <row r="58" spans="3:35" ht="21" customHeight="1" x14ac:dyDescent="0.3">
      <c r="C58" s="11" t="s">
        <v>1408</v>
      </c>
      <c r="D58" s="38">
        <v>4063587</v>
      </c>
      <c r="E58" s="38">
        <v>17652554</v>
      </c>
      <c r="F58" s="38">
        <f>Table2123242526[[#This Row],[E]]/Table2123242526[[#This Row],[V]]</f>
        <v>4.344081718934528</v>
      </c>
      <c r="G58" s="38">
        <v>4059644</v>
      </c>
      <c r="H58" s="39">
        <v>8823479</v>
      </c>
      <c r="I58" s="41">
        <v>1.682345</v>
      </c>
      <c r="J58" s="190">
        <v>1.511938</v>
      </c>
      <c r="K58" s="182">
        <v>2.263528</v>
      </c>
      <c r="L58" s="183">
        <v>1.5356030000000001</v>
      </c>
      <c r="M58" s="180">
        <v>0.16831399999999999</v>
      </c>
      <c r="N58" s="180">
        <v>0.108086</v>
      </c>
      <c r="O58" s="196">
        <f>Table2123242526[[#This Row],[G2AIMD (pingpong)]]/Table2123242526[[#This Row],[gpu-hybrid-copy]]</f>
        <v>1.0955598549885615</v>
      </c>
      <c r="P58" s="196">
        <f>Table2123242526[[#This Row],[G2AIMD (pingpong)]]/Table2123242526[[#This Row],[gpu-layered]]</f>
        <v>1.1127076639386007</v>
      </c>
      <c r="Q58" s="197">
        <f>Table2123242526[[#This Row],[gpu-hybrid-copy]]/Table2123242526[[#This Row],[CPU+GPU]]</f>
        <v>14.207233129174917</v>
      </c>
      <c r="R58" s="197">
        <f>Table2123242526[[#This Row],[CPU Only]]/Table2123242526[[#This Row],[CPU+GPU]]</f>
        <v>1.5572229520937031</v>
      </c>
      <c r="S58" s="106"/>
      <c r="T58" s="106"/>
      <c r="U58" s="34"/>
      <c r="Y58" s="35"/>
      <c r="AA58" s="2"/>
      <c r="AC58" s="2"/>
      <c r="AG58" s="2"/>
      <c r="AI58" s="2"/>
    </row>
    <row r="59" spans="3:35" ht="24" x14ac:dyDescent="0.3">
      <c r="C59" s="9" t="s">
        <v>1438</v>
      </c>
      <c r="D59" s="38">
        <v>7891015</v>
      </c>
      <c r="E59" s="38">
        <v>127830770</v>
      </c>
      <c r="F59" s="38">
        <f>Table2123242526[[#This Row],[E]]/Table2123242526[[#This Row],[V]]</f>
        <v>16.199534533897097</v>
      </c>
      <c r="G59" s="38">
        <v>3636005</v>
      </c>
      <c r="H59" s="39">
        <v>52252646</v>
      </c>
      <c r="I59" s="41">
        <v>11.282028</v>
      </c>
      <c r="J59" s="181">
        <v>11.195107</v>
      </c>
      <c r="K59" s="182">
        <v>11.34853</v>
      </c>
      <c r="L59" s="173">
        <v>10.717722999999999</v>
      </c>
      <c r="M59" s="180">
        <v>2.9514300000000002</v>
      </c>
      <c r="N59" s="180">
        <v>2.0402999999999998</v>
      </c>
      <c r="O59" s="196">
        <f>Table2123242526[[#This Row],[G2AIMD (pingpong)]]/Table2123242526[[#This Row],[gpu-hybrid-copy]]</f>
        <v>1.0526515753392769</v>
      </c>
      <c r="P59" s="196">
        <f>Table2123242526[[#This Row],[G2AIMD (pingpong)]]/Table2123242526[[#This Row],[gpu-layered]]</f>
        <v>1.0077641955543615</v>
      </c>
      <c r="Q59" s="197">
        <f>Table2123242526[[#This Row],[gpu-hybrid-copy]]/Table2123242526[[#This Row],[CPU+GPU]]</f>
        <v>5.2530132823604374</v>
      </c>
      <c r="R59" s="197">
        <f>Table2123242526[[#This Row],[CPU Only]]/Table2123242526[[#This Row],[CPU+GPU]]</f>
        <v>1.446566681370387</v>
      </c>
      <c r="S59" s="106"/>
      <c r="T59" s="106"/>
      <c r="U59" s="34"/>
      <c r="Y59" s="35"/>
      <c r="AA59" s="2"/>
      <c r="AC59" s="2"/>
      <c r="AG59" s="2"/>
      <c r="AI59" s="2"/>
    </row>
    <row r="60" spans="3:35" ht="24" x14ac:dyDescent="0.3">
      <c r="C60" s="11" t="s">
        <v>1409</v>
      </c>
      <c r="D60" s="38">
        <v>3411795</v>
      </c>
      <c r="E60" s="38">
        <v>26854686</v>
      </c>
      <c r="F60" s="38">
        <f>Table2123242526[[#This Row],[E]]/Table2123242526[[#This Row],[V]]</f>
        <v>7.8711311787490166</v>
      </c>
      <c r="G60" s="38">
        <v>2487058</v>
      </c>
      <c r="H60" s="39">
        <v>8209611</v>
      </c>
      <c r="I60" s="189">
        <v>4.5660360000000004</v>
      </c>
      <c r="J60" s="181">
        <v>2.5640559999999999</v>
      </c>
      <c r="K60" s="182">
        <v>3.286502</v>
      </c>
      <c r="L60" s="172">
        <v>2.5636969999999999</v>
      </c>
      <c r="M60" s="180">
        <v>0.94574000000000003</v>
      </c>
      <c r="N60" s="180">
        <v>0.85847099999999998</v>
      </c>
      <c r="O60" s="196">
        <f>Table2123242526[[#This Row],[G2AIMD (pingpong)]]/Table2123242526[[#This Row],[gpu-hybrid-copy]]</f>
        <v>1.7810357464240121</v>
      </c>
      <c r="P60" s="196">
        <f>Table2123242526[[#This Row],[G2AIMD (pingpong)]]/Table2123242526[[#This Row],[gpu-layered]]</f>
        <v>1.7807863790806444</v>
      </c>
      <c r="Q60" s="197">
        <f>Table2123242526[[#This Row],[gpu-hybrid-copy]]/Table2123242526[[#This Row],[CPU+GPU]]</f>
        <v>2.986352480165317</v>
      </c>
      <c r="R60" s="197">
        <f>Table2123242526[[#This Row],[CPU Only]]/Table2123242526[[#This Row],[CPU+GPU]]</f>
        <v>1.1016563168703428</v>
      </c>
      <c r="S60" s="106"/>
      <c r="T60" s="106"/>
      <c r="U60" s="34"/>
      <c r="Y60" s="35"/>
      <c r="AA60" s="2"/>
      <c r="AC60" s="2"/>
      <c r="AG60" s="2"/>
      <c r="AI60" s="2"/>
    </row>
    <row r="61" spans="3:35" ht="24" x14ac:dyDescent="0.3">
      <c r="C61" s="11" t="s">
        <v>1391</v>
      </c>
      <c r="D61" s="38">
        <v>8482737</v>
      </c>
      <c r="E61" s="38">
        <v>23585644</v>
      </c>
      <c r="F61" s="38">
        <f>Table2123242526[[#This Row],[E]]/Table2123242526[[#This Row],[V]]</f>
        <v>2.7804285338564663</v>
      </c>
      <c r="G61" s="38">
        <v>8421430</v>
      </c>
      <c r="H61" s="39">
        <v>12043741</v>
      </c>
      <c r="I61" s="41">
        <v>7.652196</v>
      </c>
      <c r="J61" s="190">
        <v>7.3640220000000003</v>
      </c>
      <c r="K61" s="182">
        <v>7.9706739999999998</v>
      </c>
      <c r="L61" s="183">
        <v>7.3661770000000004</v>
      </c>
      <c r="M61" s="180">
        <v>0.89532500000000004</v>
      </c>
      <c r="N61" s="180">
        <v>0.873803</v>
      </c>
      <c r="O61" s="196">
        <f>Table2123242526[[#This Row],[G2AIMD (pingpong)]]/Table2123242526[[#This Row],[gpu-hybrid-copy]]</f>
        <v>1.0388286895631207</v>
      </c>
      <c r="P61" s="196">
        <f>Table2123242526[[#This Row],[G2AIMD (pingpong)]]/Table2123242526[[#This Row],[gpu-layered]]</f>
        <v>1.0391326913472012</v>
      </c>
      <c r="Q61" s="197">
        <f>Table2123242526[[#This Row],[gpu-hybrid-copy]]/Table2123242526[[#This Row],[CPU+GPU]]</f>
        <v>8.4300202677262508</v>
      </c>
      <c r="R61" s="197">
        <f>Table2123242526[[#This Row],[CPU Only]]/Table2123242526[[#This Row],[CPU+GPU]]</f>
        <v>1.0246302656319559</v>
      </c>
      <c r="S61" s="106"/>
      <c r="T61" s="106"/>
      <c r="U61" s="34"/>
      <c r="Y61" s="35"/>
      <c r="AA61" s="2"/>
      <c r="AC61" s="2"/>
      <c r="AG61" s="2"/>
      <c r="AI61" s="2"/>
    </row>
    <row r="62" spans="3:35" ht="24" x14ac:dyDescent="0.3">
      <c r="C62" s="11" t="s">
        <v>1431</v>
      </c>
      <c r="D62" s="38">
        <v>4579069</v>
      </c>
      <c r="E62" s="38">
        <v>12530086</v>
      </c>
      <c r="F62" s="38">
        <f>Table2123242526[[#This Row],[E]]/Table2123242526[[#This Row],[V]]</f>
        <v>2.7363828760824527</v>
      </c>
      <c r="G62" s="38">
        <v>4043326</v>
      </c>
      <c r="H62" s="39">
        <v>6015927</v>
      </c>
      <c r="I62" s="41">
        <v>7.7896460000000003</v>
      </c>
      <c r="J62" s="181">
        <v>7.0005249999999997</v>
      </c>
      <c r="K62" s="182">
        <v>7.7192499999999997</v>
      </c>
      <c r="L62" s="172">
        <v>6.9008060000000002</v>
      </c>
      <c r="M62" s="180">
        <v>0.93807399999999996</v>
      </c>
      <c r="N62" s="180">
        <v>0.93605400000000005</v>
      </c>
      <c r="O62" s="196">
        <f>Table2123242526[[#This Row],[G2AIMD (pingpong)]]/Table2123242526[[#This Row],[gpu-hybrid-copy]]</f>
        <v>1.12880234569701</v>
      </c>
      <c r="P62" s="196">
        <f>Table2123242526[[#This Row],[G2AIMD (pingpong)]]/Table2123242526[[#This Row],[gpu-layered]]</f>
        <v>1.112723117194782</v>
      </c>
      <c r="Q62" s="197">
        <f>Table2123242526[[#This Row],[gpu-hybrid-copy]]/Table2123242526[[#This Row],[CPU+GPU]]</f>
        <v>7.372230661906257</v>
      </c>
      <c r="R62" s="197">
        <f>Table2123242526[[#This Row],[CPU Only]]/Table2123242526[[#This Row],[CPU+GPU]]</f>
        <v>1.002157995158399</v>
      </c>
      <c r="S62" s="106"/>
      <c r="T62" s="106"/>
      <c r="U62" s="34"/>
      <c r="Y62" s="35"/>
      <c r="AA62" s="2"/>
      <c r="AC62" s="2"/>
      <c r="AG62" s="2"/>
      <c r="AI62" s="2"/>
    </row>
    <row r="63" spans="3:35" ht="24" x14ac:dyDescent="0.3">
      <c r="C63" s="9" t="s">
        <v>18</v>
      </c>
      <c r="D63" s="38">
        <v>27665730</v>
      </c>
      <c r="E63" s="38">
        <v>281227494</v>
      </c>
      <c r="F63" s="38">
        <f>Table2123242526[[#This Row],[E]]/Table2123242526[[#This Row],[V]]</f>
        <v>10.165193327629526</v>
      </c>
      <c r="G63" s="38">
        <v>11571953</v>
      </c>
      <c r="H63" s="39">
        <v>134221196</v>
      </c>
      <c r="I63" s="41">
        <v>64.861952000000002</v>
      </c>
      <c r="J63" s="181">
        <v>62.440403000000003</v>
      </c>
      <c r="K63" s="191">
        <v>61.752085000000001</v>
      </c>
      <c r="L63" s="184">
        <v>62.276108000000001</v>
      </c>
      <c r="M63" s="180">
        <v>23.307552999999999</v>
      </c>
      <c r="N63" s="180">
        <v>23.874721000000001</v>
      </c>
      <c r="O63" s="196">
        <f>Table2123242526[[#This Row],[G2AIMD (pingpong)]]/Table2123242526[[#This Row],[gpu-hybrid-copy]]</f>
        <v>1.0415222479863386</v>
      </c>
      <c r="P63" s="196">
        <f>Table2123242526[[#This Row],[G2AIMD (pingpong)]]/Table2123242526[[#This Row],[gpu-layered]]</f>
        <v>1.0387817644290349</v>
      </c>
      <c r="Q63" s="197">
        <f>Table2123242526[[#This Row],[gpu-hybrid-copy]]/Table2123242526[[#This Row],[CPU+GPU]]</f>
        <v>2.6084538537644062</v>
      </c>
      <c r="R63" s="197">
        <f>Table2123242526[[#This Row],[CPU Only]]/Table2123242526[[#This Row],[CPU+GPU]]</f>
        <v>0.97624399464186395</v>
      </c>
      <c r="S63" s="106"/>
      <c r="T63" s="106"/>
      <c r="U63" s="34"/>
      <c r="Y63" s="35"/>
      <c r="AA63" s="2"/>
      <c r="AC63" s="2"/>
      <c r="AG63" s="2"/>
      <c r="AI63" s="2"/>
    </row>
    <row r="64" spans="3:35" ht="24" x14ac:dyDescent="0.3">
      <c r="C64" s="11" t="s">
        <v>1411</v>
      </c>
      <c r="D64" s="38">
        <v>3496954</v>
      </c>
      <c r="E64" s="38">
        <v>27305086</v>
      </c>
      <c r="F64" s="38">
        <f>Table2123242526[[#This Row],[E]]/Table2123242526[[#This Row],[V]]</f>
        <v>7.808248550023821</v>
      </c>
      <c r="G64" s="38">
        <v>2187803</v>
      </c>
      <c r="H64" s="39">
        <v>12230903</v>
      </c>
      <c r="I64" s="41">
        <v>1.9853620000000001</v>
      </c>
      <c r="J64" s="181">
        <v>1.8377460000000001</v>
      </c>
      <c r="K64" s="182">
        <v>2.5170659999999998</v>
      </c>
      <c r="L64" s="172">
        <v>1.808211</v>
      </c>
      <c r="M64" s="180">
        <v>0.65300999999999998</v>
      </c>
      <c r="N64" s="180">
        <v>0.72130399999999995</v>
      </c>
      <c r="O64" s="196">
        <f>Table2123242526[[#This Row],[G2AIMD (pingpong)]]/Table2123242526[[#This Row],[gpu-hybrid-copy]]</f>
        <v>1.0979703143051336</v>
      </c>
      <c r="P64" s="196">
        <f>Table2123242526[[#This Row],[G2AIMD (pingpong)]]/Table2123242526[[#This Row],[gpu-layered]]</f>
        <v>1.0803244844499729</v>
      </c>
      <c r="Q64" s="197">
        <f>Table2123242526[[#This Row],[gpu-hybrid-copy]]/Table2123242526[[#This Row],[CPU+GPU]]</f>
        <v>2.506863957499196</v>
      </c>
      <c r="R64" s="197">
        <f>Table2123242526[[#This Row],[CPU Only]]/Table2123242526[[#This Row],[CPU+GPU]]</f>
        <v>0.90531870057562414</v>
      </c>
      <c r="S64" s="106"/>
      <c r="T64" s="106"/>
      <c r="U64" s="34"/>
      <c r="Y64" s="35"/>
      <c r="AA64" s="2"/>
      <c r="AC64" s="2"/>
      <c r="AG64" s="2"/>
      <c r="AI64" s="2"/>
    </row>
    <row r="65" spans="3:35" ht="25" thickBot="1" x14ac:dyDescent="0.35">
      <c r="C65" s="9" t="s">
        <v>1446</v>
      </c>
      <c r="D65" s="38">
        <v>6100692</v>
      </c>
      <c r="E65" s="38">
        <v>199729748</v>
      </c>
      <c r="F65" s="38">
        <f>Table2123242526[[#This Row],[E]]/Table2123242526[[#This Row],[V]]</f>
        <v>32.738867656324892</v>
      </c>
      <c r="G65" s="38">
        <v>2732817</v>
      </c>
      <c r="H65" s="39">
        <v>97362094</v>
      </c>
      <c r="I65" s="41">
        <v>59.816648000000001</v>
      </c>
      <c r="J65" s="187">
        <v>61.136302999999998</v>
      </c>
      <c r="K65" s="188">
        <v>58.869190000000003</v>
      </c>
      <c r="L65" s="174">
        <v>58.558579999999999</v>
      </c>
      <c r="M65" s="180">
        <v>32.213045000000001</v>
      </c>
      <c r="N65" s="180">
        <v>53.737893</v>
      </c>
      <c r="O65" s="196">
        <f>Table2123242526[[#This Row],[G2AIMD (pingpong)]]/Table2123242526[[#This Row],[gpu-hybrid-copy]]</f>
        <v>1.0214839225951176</v>
      </c>
      <c r="P65" s="196">
        <f>Table2123242526[[#This Row],[G2AIMD (pingpong)]]/Table2123242526[[#This Row],[gpu-layered]]</f>
        <v>0.97841454364684111</v>
      </c>
      <c r="Q65" s="197">
        <f>Table2123242526[[#This Row],[gpu-hybrid-copy]]/Table2123242526[[#This Row],[CPU+GPU]]</f>
        <v>1.0897074062803318</v>
      </c>
      <c r="R65" s="197">
        <f>Table2123242526[[#This Row],[CPU Only]]/Table2123242526[[#This Row],[CPU+GPU]]</f>
        <v>0.59944748857198404</v>
      </c>
      <c r="S65" s="106"/>
      <c r="T65" s="106"/>
      <c r="U65" s="34"/>
      <c r="Y65" s="35"/>
      <c r="AA65" s="2"/>
      <c r="AC65" s="2"/>
      <c r="AG65" s="2"/>
      <c r="AI65" s="2"/>
    </row>
    <row r="66" spans="3:35" x14ac:dyDescent="0.3">
      <c r="D66" s="11"/>
      <c r="E66" s="11"/>
      <c r="F66" s="11"/>
      <c r="G66" s="11"/>
      <c r="H66" s="10"/>
      <c r="I66" s="19"/>
      <c r="N66" s="10"/>
      <c r="O66" s="10"/>
      <c r="P66" s="10"/>
      <c r="R66" s="10"/>
      <c r="U66" s="9"/>
      <c r="V66" s="9"/>
      <c r="W66" s="9"/>
      <c r="X66" s="9"/>
      <c r="Z66" s="15"/>
      <c r="AA66" s="9"/>
    </row>
    <row r="67" spans="3:35" x14ac:dyDescent="0.3">
      <c r="D67" s="11"/>
      <c r="E67" s="11"/>
      <c r="F67" s="11"/>
      <c r="G67" s="11"/>
      <c r="H67" s="10"/>
      <c r="I67" s="19"/>
      <c r="N67" s="10"/>
      <c r="O67" s="10"/>
      <c r="P67" s="10"/>
      <c r="R67" s="10"/>
      <c r="U67" s="9"/>
      <c r="V67" s="9"/>
      <c r="W67" s="9"/>
      <c r="X67" s="9"/>
      <c r="Z67" s="15"/>
      <c r="AA67" s="9"/>
    </row>
    <row r="68" spans="3:35" x14ac:dyDescent="0.3">
      <c r="D68" s="11"/>
      <c r="E68" s="11"/>
      <c r="F68" s="11"/>
      <c r="G68" s="11"/>
      <c r="H68" s="10"/>
      <c r="I68" s="19"/>
      <c r="N68" s="10"/>
      <c r="O68" s="10"/>
      <c r="P68" s="10"/>
      <c r="R68" s="10"/>
      <c r="U68" s="9"/>
      <c r="V68" s="9"/>
      <c r="W68" s="9"/>
      <c r="X68" s="9"/>
      <c r="Z68" s="15"/>
      <c r="AA68" s="9"/>
    </row>
    <row r="69" spans="3:35" x14ac:dyDescent="0.3">
      <c r="C69" s="11"/>
      <c r="D69" s="11"/>
      <c r="E69" s="11"/>
      <c r="F69" s="11"/>
      <c r="G69" s="10"/>
      <c r="H69" s="20"/>
      <c r="I69" s="9"/>
      <c r="N69" s="20"/>
      <c r="O69" s="20"/>
      <c r="P69" s="20"/>
      <c r="R69" s="20"/>
      <c r="U69" s="19"/>
      <c r="V69" s="19"/>
      <c r="W69" s="19"/>
      <c r="X69" s="19"/>
      <c r="Z69" s="9"/>
    </row>
    <row r="70" spans="3:35" x14ac:dyDescent="0.3">
      <c r="C70" s="11"/>
      <c r="D70" s="11"/>
      <c r="E70" s="11"/>
      <c r="F70" s="11"/>
      <c r="G70" s="10"/>
      <c r="H70" s="20"/>
      <c r="I70" s="9"/>
      <c r="N70" s="20"/>
      <c r="O70" s="20"/>
      <c r="P70" s="20"/>
      <c r="R70" s="20"/>
      <c r="U70" s="19"/>
      <c r="V70" s="19"/>
      <c r="W70" s="19"/>
      <c r="X70" s="19"/>
      <c r="Z70" s="9"/>
    </row>
    <row r="71" spans="3:35" x14ac:dyDescent="0.3">
      <c r="C71" s="11"/>
      <c r="D71" s="11"/>
      <c r="E71" s="11"/>
      <c r="F71" s="11"/>
      <c r="G71" s="10"/>
      <c r="H71" s="20"/>
      <c r="I71" s="9"/>
      <c r="N71" s="20"/>
      <c r="O71" s="20"/>
      <c r="P71" s="20"/>
      <c r="R71" s="20"/>
      <c r="U71" s="19"/>
      <c r="V71" s="19"/>
      <c r="W71" s="19"/>
      <c r="X71" s="19"/>
      <c r="Z71" s="9"/>
    </row>
    <row r="72" spans="3:35" x14ac:dyDescent="0.3">
      <c r="C72" s="11"/>
      <c r="D72" s="11"/>
      <c r="E72" s="11"/>
      <c r="F72" s="11"/>
      <c r="G72" s="10"/>
      <c r="H72" s="20"/>
      <c r="I72" s="9"/>
      <c r="N72" s="20"/>
      <c r="O72" s="20"/>
      <c r="P72" s="20"/>
      <c r="R72" s="20"/>
      <c r="U72" s="19"/>
      <c r="V72" s="19"/>
      <c r="W72" s="19"/>
      <c r="X72" s="19"/>
      <c r="Z72" s="9"/>
    </row>
    <row r="73" spans="3:35" x14ac:dyDescent="0.3">
      <c r="C73" s="11"/>
      <c r="D73" s="11"/>
      <c r="E73" s="11"/>
      <c r="F73" s="11"/>
      <c r="G73" s="10"/>
      <c r="H73" s="20"/>
      <c r="I73" s="9"/>
      <c r="N73" s="20"/>
      <c r="O73" s="20"/>
      <c r="P73" s="20"/>
      <c r="R73" s="20"/>
      <c r="U73" s="19"/>
      <c r="V73" s="19"/>
      <c r="W73" s="19"/>
      <c r="X73" s="19"/>
      <c r="Z73" s="9"/>
    </row>
    <row r="74" spans="3:35" x14ac:dyDescent="0.3">
      <c r="C74" s="11"/>
      <c r="D74" s="11"/>
      <c r="E74" s="11"/>
      <c r="F74" s="11"/>
      <c r="G74" s="10"/>
      <c r="H74" s="10"/>
      <c r="I74" s="9"/>
      <c r="N74" s="10"/>
      <c r="O74" s="10"/>
      <c r="P74" s="10"/>
      <c r="R74" s="10"/>
      <c r="U74" s="9"/>
      <c r="V74" s="9"/>
      <c r="W74" s="9"/>
      <c r="X74" s="9"/>
      <c r="Z74" s="9"/>
    </row>
    <row r="75" spans="3:35" x14ac:dyDescent="0.3">
      <c r="C75" s="11"/>
      <c r="D75" s="11"/>
      <c r="E75" s="11"/>
      <c r="F75" s="11"/>
      <c r="G75" s="10"/>
      <c r="H75" s="10"/>
      <c r="I75" s="9"/>
      <c r="N75" s="10"/>
      <c r="O75" s="10"/>
      <c r="P75" s="10"/>
      <c r="R75" s="10"/>
      <c r="U75" s="9"/>
      <c r="V75" s="9"/>
      <c r="W75" s="9"/>
      <c r="X75" s="9"/>
      <c r="Z75" s="9"/>
    </row>
    <row r="76" spans="3:35" x14ac:dyDescent="0.3">
      <c r="C76" s="11"/>
      <c r="D76" s="11"/>
      <c r="E76" s="11"/>
      <c r="F76" s="11"/>
      <c r="G76" s="10"/>
      <c r="H76" s="10"/>
      <c r="I76" s="9"/>
      <c r="N76" s="10"/>
      <c r="O76" s="10"/>
      <c r="P76" s="10"/>
      <c r="R76" s="10"/>
      <c r="U76" s="9"/>
      <c r="V76" s="9"/>
      <c r="W76" s="9"/>
      <c r="X76" s="9"/>
      <c r="Z76" s="9"/>
    </row>
    <row r="77" spans="3:35" x14ac:dyDescent="0.3">
      <c r="C77" s="11"/>
      <c r="D77" s="11"/>
      <c r="E77" s="11"/>
      <c r="F77" s="11"/>
      <c r="G77" s="10"/>
      <c r="H77" s="10"/>
      <c r="I77" s="9"/>
      <c r="N77" s="10"/>
      <c r="O77" s="10"/>
      <c r="P77" s="10"/>
      <c r="R77" s="10"/>
      <c r="U77" s="9"/>
      <c r="V77" s="9"/>
      <c r="W77" s="9"/>
      <c r="X77" s="9"/>
      <c r="Z77" s="9"/>
    </row>
    <row r="78" spans="3:35" x14ac:dyDescent="0.3">
      <c r="C78" s="11"/>
      <c r="D78" s="11"/>
      <c r="E78" s="11"/>
      <c r="F78" s="11"/>
      <c r="G78" s="10"/>
      <c r="H78" s="10"/>
      <c r="I78" s="9"/>
      <c r="N78" s="10"/>
      <c r="O78" s="10"/>
      <c r="P78" s="10"/>
      <c r="R78" s="10"/>
      <c r="U78" s="9"/>
      <c r="V78" s="9"/>
      <c r="W78" s="9"/>
      <c r="X78" s="9"/>
      <c r="Z78" s="9"/>
    </row>
    <row r="79" spans="3:35" x14ac:dyDescent="0.3">
      <c r="C79" s="11"/>
      <c r="D79" s="11"/>
      <c r="E79" s="11"/>
      <c r="F79" s="11"/>
      <c r="G79" s="10"/>
      <c r="H79" s="10"/>
      <c r="I79" s="9"/>
      <c r="N79" s="10"/>
      <c r="O79" s="10"/>
      <c r="P79" s="10"/>
      <c r="R79" s="10"/>
      <c r="U79" s="9"/>
      <c r="V79" s="9"/>
      <c r="W79" s="9"/>
      <c r="X79" s="9"/>
      <c r="Z79" s="9"/>
    </row>
    <row r="80" spans="3:35" x14ac:dyDescent="0.3">
      <c r="C80" s="11"/>
      <c r="D80" s="11"/>
      <c r="E80" s="11"/>
      <c r="F80" s="11"/>
      <c r="G80" s="10"/>
      <c r="H80" s="10"/>
      <c r="I80" s="9"/>
      <c r="N80" s="10"/>
      <c r="O80" s="10"/>
      <c r="P80" s="10"/>
      <c r="R80" s="10"/>
      <c r="U80" s="9"/>
      <c r="V80" s="9"/>
      <c r="W80" s="9"/>
      <c r="X80" s="9"/>
      <c r="Z80" s="9"/>
    </row>
    <row r="81" spans="3:26" x14ac:dyDescent="0.3">
      <c r="C81" s="11"/>
      <c r="D81" s="11"/>
      <c r="E81" s="11"/>
      <c r="F81" s="11"/>
      <c r="G81" s="10"/>
      <c r="H81" s="10"/>
      <c r="I81" s="9"/>
      <c r="N81" s="10"/>
      <c r="O81" s="10"/>
      <c r="P81" s="10"/>
      <c r="R81" s="10"/>
      <c r="U81" s="9"/>
      <c r="V81" s="9"/>
      <c r="W81" s="9"/>
      <c r="X81" s="9"/>
      <c r="Z81" s="9"/>
    </row>
    <row r="82" spans="3:26" x14ac:dyDescent="0.3">
      <c r="C82" s="11"/>
      <c r="D82" s="11"/>
      <c r="E82" s="11"/>
      <c r="F82" s="11"/>
      <c r="G82" s="10"/>
      <c r="H82" s="10"/>
      <c r="I82" s="9"/>
      <c r="N82" s="10"/>
      <c r="O82" s="10"/>
      <c r="P82" s="10"/>
      <c r="R82" s="10"/>
      <c r="U82" s="9"/>
      <c r="V82" s="9"/>
      <c r="W82" s="9"/>
      <c r="X82" s="9"/>
      <c r="Z82" s="9"/>
    </row>
    <row r="83" spans="3:26" x14ac:dyDescent="0.3">
      <c r="C83" s="11"/>
      <c r="D83" s="11"/>
      <c r="E83" s="11"/>
      <c r="F83" s="11"/>
      <c r="G83" s="10"/>
      <c r="H83" s="10"/>
      <c r="I83" s="9"/>
      <c r="N83" s="10"/>
      <c r="O83" s="10"/>
      <c r="P83" s="10"/>
      <c r="R83" s="10"/>
      <c r="U83" s="9"/>
      <c r="V83" s="9"/>
      <c r="W83" s="9"/>
      <c r="X83" s="9"/>
      <c r="Z83" s="9"/>
    </row>
    <row r="84" spans="3:26" x14ac:dyDescent="0.3">
      <c r="C84" s="11"/>
      <c r="D84" s="11"/>
      <c r="E84" s="11"/>
      <c r="F84" s="11"/>
      <c r="G84" s="10"/>
      <c r="H84" s="10"/>
      <c r="I84" s="9"/>
      <c r="N84" s="10"/>
      <c r="O84" s="10"/>
      <c r="P84" s="10"/>
      <c r="R84" s="10"/>
      <c r="U84" s="9"/>
      <c r="V84" s="9"/>
      <c r="W84" s="9"/>
      <c r="X84" s="9"/>
      <c r="Z84" s="9"/>
    </row>
    <row r="85" spans="3:26" x14ac:dyDescent="0.3">
      <c r="C85" s="11"/>
      <c r="D85" s="11"/>
      <c r="E85" s="11"/>
      <c r="F85" s="11"/>
      <c r="G85" s="10"/>
      <c r="H85" s="10"/>
      <c r="I85" s="9"/>
      <c r="N85" s="10"/>
      <c r="O85" s="10"/>
      <c r="P85" s="10"/>
      <c r="R85" s="10"/>
      <c r="U85" s="9"/>
      <c r="V85" s="9"/>
      <c r="W85" s="9"/>
      <c r="X85" s="9"/>
      <c r="Z85" s="9"/>
    </row>
    <row r="86" spans="3:26" x14ac:dyDescent="0.3">
      <c r="C86" s="11"/>
      <c r="D86" s="11"/>
      <c r="E86" s="11"/>
      <c r="F86" s="11"/>
      <c r="G86" s="10"/>
      <c r="H86" s="10"/>
      <c r="I86" s="9"/>
      <c r="N86" s="10"/>
      <c r="O86" s="10"/>
      <c r="P86" s="10"/>
      <c r="R86" s="10"/>
      <c r="U86" s="9"/>
      <c r="V86" s="9"/>
      <c r="W86" s="9"/>
      <c r="X86" s="9"/>
      <c r="Z86" s="9"/>
    </row>
    <row r="87" spans="3:26" x14ac:dyDescent="0.3">
      <c r="C87" s="11"/>
      <c r="D87" s="11"/>
      <c r="E87" s="11"/>
      <c r="F87" s="11"/>
      <c r="G87" s="10"/>
      <c r="H87" s="10"/>
      <c r="I87" s="9"/>
      <c r="N87" s="10"/>
      <c r="O87" s="10"/>
      <c r="P87" s="10"/>
      <c r="R87" s="10"/>
      <c r="U87" s="9"/>
      <c r="V87" s="9"/>
      <c r="W87" s="9"/>
      <c r="X87" s="9"/>
      <c r="Z87" s="9"/>
    </row>
    <row r="88" spans="3:26" x14ac:dyDescent="0.3">
      <c r="C88" s="11"/>
      <c r="D88" s="11"/>
      <c r="E88" s="11"/>
      <c r="F88" s="11"/>
      <c r="G88" s="10"/>
      <c r="H88" s="10"/>
      <c r="I88" s="9"/>
      <c r="N88" s="10"/>
      <c r="O88" s="10"/>
      <c r="P88" s="10"/>
      <c r="R88" s="10"/>
      <c r="U88" s="9"/>
      <c r="V88" s="9"/>
      <c r="W88" s="9"/>
      <c r="X88" s="9"/>
      <c r="Z88" s="9"/>
    </row>
    <row r="90" spans="3:26" x14ac:dyDescent="0.3">
      <c r="E90" s="3"/>
      <c r="F90" s="3"/>
    </row>
    <row r="91" spans="3:26" x14ac:dyDescent="0.3">
      <c r="E91" s="3"/>
      <c r="F91" s="3"/>
    </row>
    <row r="92" spans="3:26" x14ac:dyDescent="0.3">
      <c r="E92" s="3"/>
      <c r="F92" s="3"/>
    </row>
    <row r="93" spans="3:26" x14ac:dyDescent="0.3">
      <c r="E93" s="3"/>
      <c r="F93" s="3"/>
    </row>
    <row r="94" spans="3:26" x14ac:dyDescent="0.3">
      <c r="E94" s="3"/>
      <c r="F94" s="3"/>
    </row>
    <row r="95" spans="3:26" x14ac:dyDescent="0.3">
      <c r="E95" s="3"/>
      <c r="F95" s="3"/>
    </row>
    <row r="96" spans="3:26"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6"/>
  <sheetViews>
    <sheetView topLeftCell="A26" zoomScale="88" workbookViewId="0">
      <selection activeCell="E16" sqref="E16"/>
    </sheetView>
  </sheetViews>
  <sheetFormatPr baseColWidth="10" defaultRowHeight="16" x14ac:dyDescent="0.2"/>
  <cols>
    <col min="1" max="1" width="16.83203125" bestFit="1" customWidth="1"/>
    <col min="2" max="2" width="34.5" customWidth="1"/>
    <col min="3" max="3" width="18" bestFit="1" customWidth="1"/>
    <col min="4" max="4" width="23.1640625" bestFit="1" customWidth="1"/>
    <col min="5" max="5" width="13" bestFit="1" customWidth="1"/>
    <col min="6" max="6" width="11.83203125" bestFit="1" customWidth="1"/>
    <col min="7" max="7" width="23.83203125" bestFit="1" customWidth="1"/>
    <col min="8" max="8" width="19" customWidth="1"/>
    <col min="9" max="9" width="18.1640625" bestFit="1" customWidth="1"/>
    <col min="10" max="10" width="24.6640625" bestFit="1" customWidth="1"/>
    <col min="11" max="11" width="24.83203125" bestFit="1" customWidth="1"/>
    <col min="12" max="12" width="16.6640625" customWidth="1"/>
    <col min="13" max="13" width="13.5" bestFit="1" customWidth="1"/>
    <col min="14" max="14" width="15.1640625" bestFit="1" customWidth="1"/>
    <col min="15" max="15" width="14" customWidth="1"/>
    <col min="16" max="16" width="18" customWidth="1"/>
    <col min="17"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9" max="29" width="13.1640625" bestFit="1" customWidth="1"/>
    <col min="32" max="32" width="16.5" bestFit="1" customWidth="1"/>
  </cols>
  <sheetData>
    <row r="2" spans="2:45" ht="32" x14ac:dyDescent="0.4">
      <c r="B2" s="164" t="s">
        <v>4033</v>
      </c>
      <c r="AS2" s="35">
        <v>5.7128509999999997</v>
      </c>
    </row>
    <row r="3" spans="2:45" ht="27" x14ac:dyDescent="0.35">
      <c r="H3" s="155" t="s">
        <v>3979</v>
      </c>
      <c r="I3" s="155"/>
      <c r="J3" s="155"/>
      <c r="K3" s="155"/>
      <c r="L3" s="155"/>
      <c r="M3" s="155"/>
      <c r="N3" s="155"/>
      <c r="O3" s="91" t="s">
        <v>3980</v>
      </c>
      <c r="P3" s="91"/>
      <c r="AS3" s="35">
        <v>18.897711999999999</v>
      </c>
    </row>
    <row r="4" spans="2:45" ht="27" x14ac:dyDescent="0.35">
      <c r="B4" s="81" t="s">
        <v>3972</v>
      </c>
      <c r="C4" s="81" t="s">
        <v>4030</v>
      </c>
      <c r="D4" s="81" t="s">
        <v>4031</v>
      </c>
      <c r="E4" s="81" t="s">
        <v>3981</v>
      </c>
      <c r="F4" s="81" t="s">
        <v>3982</v>
      </c>
      <c r="G4" s="81" t="s">
        <v>4029</v>
      </c>
      <c r="H4" s="81" t="s">
        <v>3930</v>
      </c>
      <c r="I4" s="81" t="s">
        <v>3975</v>
      </c>
      <c r="J4" s="81" t="s">
        <v>4009</v>
      </c>
      <c r="K4" s="81" t="s">
        <v>4008</v>
      </c>
      <c r="L4" s="81" t="s">
        <v>3929</v>
      </c>
      <c r="M4" s="81" t="s">
        <v>3935</v>
      </c>
      <c r="O4" s="81" t="s">
        <v>3934</v>
      </c>
      <c r="P4" s="81" t="s">
        <v>3971</v>
      </c>
      <c r="Y4" s="98" t="s">
        <v>3972</v>
      </c>
      <c r="Z4" s="98" t="s">
        <v>3983</v>
      </c>
      <c r="AA4" s="99"/>
      <c r="AB4" s="99"/>
      <c r="AC4" s="100" t="s">
        <v>3942</v>
      </c>
      <c r="AD4" s="101" t="s">
        <v>3985</v>
      </c>
      <c r="AE4" s="99"/>
      <c r="AF4" s="100" t="s">
        <v>3938</v>
      </c>
      <c r="AG4" s="101" t="s">
        <v>3985</v>
      </c>
      <c r="AS4" s="35">
        <v>9.4467379999999999</v>
      </c>
    </row>
    <row r="5" spans="2:45" ht="27" x14ac:dyDescent="0.35">
      <c r="B5" s="142" t="s">
        <v>1531</v>
      </c>
      <c r="C5" s="161">
        <v>2523386</v>
      </c>
      <c r="D5" s="161">
        <v>15837602</v>
      </c>
      <c r="E5" s="88">
        <v>30</v>
      </c>
      <c r="F5" s="88">
        <v>0.95</v>
      </c>
      <c r="G5" s="165">
        <v>36085</v>
      </c>
      <c r="H5" s="47">
        <v>112.85599999999999</v>
      </c>
      <c r="I5" s="47">
        <v>126.065</v>
      </c>
      <c r="J5" s="47">
        <v>125.18131085860148</v>
      </c>
      <c r="K5" s="47">
        <v>129.19073894297208</v>
      </c>
      <c r="L5" s="47" t="s">
        <v>3902</v>
      </c>
      <c r="M5" s="93">
        <v>20.8201</v>
      </c>
      <c r="N5" s="86">
        <v>25.606200000000001</v>
      </c>
      <c r="O5" s="89" t="s">
        <v>3902</v>
      </c>
      <c r="P5" s="89">
        <v>396.8</v>
      </c>
      <c r="Y5" s="98" t="s">
        <v>3981</v>
      </c>
      <c r="Z5" s="98">
        <v>30</v>
      </c>
      <c r="AA5" s="99"/>
      <c r="AB5" s="99"/>
      <c r="AC5" s="102">
        <v>100</v>
      </c>
      <c r="AD5" s="95">
        <v>111.26600000000001</v>
      </c>
      <c r="AE5" s="99"/>
      <c r="AF5" s="102">
        <v>1</v>
      </c>
      <c r="AG5" s="94">
        <v>19.003499999999999</v>
      </c>
      <c r="AS5" s="35">
        <v>22.320332000000001</v>
      </c>
    </row>
    <row r="6" spans="2:45" ht="27" x14ac:dyDescent="0.35">
      <c r="B6" s="142" t="s">
        <v>3977</v>
      </c>
      <c r="C6" s="161">
        <v>50515</v>
      </c>
      <c r="D6" s="161">
        <v>1638180</v>
      </c>
      <c r="E6" s="88">
        <v>23</v>
      </c>
      <c r="F6" s="88">
        <v>0.9</v>
      </c>
      <c r="G6" s="165">
        <v>16009</v>
      </c>
      <c r="H6" s="47" t="s">
        <v>3904</v>
      </c>
      <c r="I6" s="47">
        <v>390.51600000000002</v>
      </c>
      <c r="J6" s="47">
        <v>390.10450995337078</v>
      </c>
      <c r="K6" s="47">
        <v>390.25024172041248</v>
      </c>
      <c r="L6" s="47" t="s">
        <v>3902</v>
      </c>
      <c r="M6" s="93">
        <v>275.56599999999997</v>
      </c>
      <c r="N6" s="86">
        <v>257.43</v>
      </c>
      <c r="O6" s="89" t="s">
        <v>3902</v>
      </c>
      <c r="P6" s="89" t="s">
        <v>3902</v>
      </c>
      <c r="Y6" s="98" t="s">
        <v>3982</v>
      </c>
      <c r="Z6" s="98">
        <v>0.95</v>
      </c>
      <c r="AA6" s="99"/>
      <c r="AB6" s="99"/>
      <c r="AC6" s="102">
        <v>1000</v>
      </c>
      <c r="AD6" s="95">
        <v>29.1617</v>
      </c>
      <c r="AE6" s="99"/>
      <c r="AF6" s="102">
        <v>10</v>
      </c>
      <c r="AG6" s="94">
        <v>18.909700000000001</v>
      </c>
      <c r="AH6" s="86"/>
      <c r="AL6" s="35"/>
      <c r="AS6" s="35">
        <v>8.3141999999999994E-2</v>
      </c>
    </row>
    <row r="7" spans="2:45" ht="27" x14ac:dyDescent="0.35">
      <c r="B7" s="142" t="s">
        <v>1514</v>
      </c>
      <c r="C7" s="161">
        <v>146005</v>
      </c>
      <c r="D7" s="161">
        <v>1313998</v>
      </c>
      <c r="E7" s="88">
        <v>5</v>
      </c>
      <c r="F7" s="88">
        <v>0.8</v>
      </c>
      <c r="G7" s="165">
        <v>94500</v>
      </c>
      <c r="H7" s="47">
        <v>48.034700000000001</v>
      </c>
      <c r="I7" s="47">
        <v>50.8005</v>
      </c>
      <c r="J7" s="47">
        <v>49.286268665653402</v>
      </c>
      <c r="K7" s="47">
        <v>48.925929149757124</v>
      </c>
      <c r="L7" s="47">
        <v>50.255800000000001</v>
      </c>
      <c r="M7" s="93">
        <v>8.9690399999999997</v>
      </c>
      <c r="N7" s="86">
        <v>8.5703300000000002</v>
      </c>
      <c r="O7" s="89">
        <v>235.078</v>
      </c>
      <c r="P7" s="89">
        <v>296.74</v>
      </c>
      <c r="Q7" s="155"/>
      <c r="R7" s="155"/>
      <c r="S7" s="155"/>
      <c r="T7" s="91"/>
      <c r="U7" s="156"/>
      <c r="V7" s="156"/>
      <c r="Y7" s="98" t="s">
        <v>3984</v>
      </c>
      <c r="Z7" s="94">
        <v>36085</v>
      </c>
      <c r="AA7" s="99"/>
      <c r="AB7" s="99"/>
      <c r="AC7" s="103">
        <v>10000</v>
      </c>
      <c r="AD7" s="96">
        <v>18.9161</v>
      </c>
      <c r="AE7" s="99"/>
      <c r="AF7" s="102">
        <v>20</v>
      </c>
      <c r="AG7" s="94">
        <v>17.566099999999999</v>
      </c>
      <c r="AH7" s="86"/>
      <c r="AS7" s="35">
        <v>22.697265999999999</v>
      </c>
    </row>
    <row r="8" spans="2:45" ht="27" x14ac:dyDescent="0.35">
      <c r="B8" s="142" t="s">
        <v>1528</v>
      </c>
      <c r="C8" s="161">
        <v>1402673</v>
      </c>
      <c r="D8" s="161">
        <v>5554838</v>
      </c>
      <c r="E8" s="88">
        <v>20</v>
      </c>
      <c r="F8" s="88">
        <v>0.8</v>
      </c>
      <c r="G8" s="165">
        <v>3785</v>
      </c>
      <c r="H8" s="47">
        <v>34.322899999999997</v>
      </c>
      <c r="I8" s="47">
        <v>30.9161</v>
      </c>
      <c r="J8" s="47">
        <v>32.211912020573102</v>
      </c>
      <c r="K8" s="47">
        <v>31.361574010748814</v>
      </c>
      <c r="L8" s="47">
        <v>1264.97</v>
      </c>
      <c r="M8" s="93">
        <v>30.710999999999999</v>
      </c>
      <c r="N8" s="86">
        <v>26.52</v>
      </c>
      <c r="O8" s="89" t="s">
        <v>3902</v>
      </c>
      <c r="P8" s="89" t="s">
        <v>3902</v>
      </c>
      <c r="Q8" s="81"/>
      <c r="R8" s="81"/>
      <c r="S8" s="81"/>
      <c r="T8" s="81"/>
      <c r="U8" s="81"/>
      <c r="V8" s="81"/>
      <c r="Y8" s="99"/>
      <c r="Z8" s="99"/>
      <c r="AA8" s="99"/>
      <c r="AB8" s="99"/>
      <c r="AC8" s="102">
        <v>20000</v>
      </c>
      <c r="AD8" s="95">
        <v>28.322800000000001</v>
      </c>
      <c r="AE8" s="99"/>
      <c r="AF8" s="102">
        <v>50</v>
      </c>
      <c r="AG8" s="94">
        <v>20.896999999999998</v>
      </c>
      <c r="AH8" s="86"/>
      <c r="AS8" s="35">
        <v>13.386818999999999</v>
      </c>
    </row>
    <row r="9" spans="2:45" ht="27" x14ac:dyDescent="0.35">
      <c r="B9" s="142" t="s">
        <v>3919</v>
      </c>
      <c r="C9" s="161">
        <v>2937612</v>
      </c>
      <c r="D9" s="161">
        <v>41919708</v>
      </c>
      <c r="E9" s="88">
        <v>20</v>
      </c>
      <c r="F9" s="88">
        <v>0.95</v>
      </c>
      <c r="G9" s="165">
        <v>399864</v>
      </c>
      <c r="H9" s="147">
        <v>1495.9010000000001</v>
      </c>
      <c r="I9" s="147">
        <v>1452.82</v>
      </c>
      <c r="J9" s="147">
        <v>1455.5143837058636</v>
      </c>
      <c r="K9" s="147">
        <v>1447.9560301116103</v>
      </c>
      <c r="L9" s="47">
        <v>1708.14</v>
      </c>
      <c r="M9" s="97">
        <v>639.14099999999996</v>
      </c>
      <c r="N9" s="86">
        <v>606.88300000000004</v>
      </c>
      <c r="O9" s="89" t="s">
        <v>3902</v>
      </c>
      <c r="P9" s="89" t="s">
        <v>3902</v>
      </c>
      <c r="Q9" s="89"/>
      <c r="R9" s="89"/>
      <c r="S9" s="92"/>
      <c r="T9" s="89"/>
      <c r="U9" s="89"/>
      <c r="V9" s="89"/>
      <c r="Y9" s="99"/>
      <c r="Z9" s="99"/>
      <c r="AA9" s="99"/>
      <c r="AB9" s="99"/>
      <c r="AC9" s="99"/>
      <c r="AD9" s="99"/>
      <c r="AE9" s="99"/>
      <c r="AF9" s="99"/>
      <c r="AG9" s="104"/>
      <c r="AH9" s="87"/>
      <c r="AS9" s="35">
        <v>290.598725</v>
      </c>
    </row>
    <row r="10" spans="2:45" ht="27" x14ac:dyDescent="0.35">
      <c r="B10" s="142" t="s">
        <v>3920</v>
      </c>
      <c r="C10" s="161">
        <v>1632803</v>
      </c>
      <c r="D10" s="161">
        <v>44603928</v>
      </c>
      <c r="E10" s="142">
        <v>20</v>
      </c>
      <c r="F10" s="142">
        <v>0.9</v>
      </c>
      <c r="G10" s="165">
        <v>573021</v>
      </c>
      <c r="H10" s="147">
        <v>582.32100000000003</v>
      </c>
      <c r="I10" s="147">
        <v>546.51199999999994</v>
      </c>
      <c r="J10" s="147">
        <v>551.61994410807802</v>
      </c>
      <c r="K10" s="147">
        <v>550.54640957520166</v>
      </c>
      <c r="L10" s="47">
        <v>362.80500000000001</v>
      </c>
      <c r="M10" s="97">
        <v>204.886</v>
      </c>
      <c r="N10" s="86">
        <v>209.047</v>
      </c>
      <c r="O10" s="89" t="s">
        <v>3902</v>
      </c>
      <c r="P10" s="89" t="s">
        <v>3902</v>
      </c>
      <c r="Q10" s="89"/>
      <c r="R10" s="89"/>
      <c r="S10" s="92"/>
      <c r="T10" s="89"/>
      <c r="U10" s="89"/>
      <c r="V10" s="89"/>
      <c r="Y10" s="98" t="s">
        <v>3972</v>
      </c>
      <c r="Z10" s="98" t="s">
        <v>1528</v>
      </c>
      <c r="AA10" s="99"/>
      <c r="AB10" s="99"/>
      <c r="AC10" s="100" t="s">
        <v>3942</v>
      </c>
      <c r="AD10" s="101" t="s">
        <v>3985</v>
      </c>
      <c r="AE10" s="99"/>
      <c r="AF10" s="100" t="s">
        <v>3938</v>
      </c>
      <c r="AG10" s="101" t="s">
        <v>3985</v>
      </c>
      <c r="AS10" s="35">
        <v>433.325399</v>
      </c>
    </row>
    <row r="11" spans="2:45" ht="27" x14ac:dyDescent="0.35">
      <c r="B11" s="142" t="s">
        <v>593</v>
      </c>
      <c r="C11" s="161">
        <v>5111</v>
      </c>
      <c r="D11" s="161">
        <v>53698</v>
      </c>
      <c r="E11" s="142">
        <v>10</v>
      </c>
      <c r="F11" s="142">
        <v>0.72</v>
      </c>
      <c r="G11" s="165">
        <v>1262</v>
      </c>
      <c r="H11" s="47">
        <v>38.341000000000001</v>
      </c>
      <c r="I11" s="78">
        <v>38.271000000000001</v>
      </c>
      <c r="J11" s="78">
        <v>39.500399999999999</v>
      </c>
      <c r="K11" s="78">
        <v>39.559600000000003</v>
      </c>
      <c r="L11" s="78">
        <v>715.40200000000004</v>
      </c>
      <c r="M11" s="97">
        <v>37.939399999999999</v>
      </c>
      <c r="N11" s="86">
        <v>33.93</v>
      </c>
      <c r="O11" s="89" t="s">
        <v>3902</v>
      </c>
      <c r="P11" s="89" t="s">
        <v>3902</v>
      </c>
      <c r="Q11" s="89"/>
      <c r="R11" s="89"/>
      <c r="S11" s="89"/>
      <c r="T11" s="89"/>
      <c r="U11" s="89"/>
      <c r="V11" s="92"/>
      <c r="Y11" s="98" t="s">
        <v>3981</v>
      </c>
      <c r="Z11" s="98">
        <v>20</v>
      </c>
      <c r="AA11" s="99"/>
      <c r="AB11" s="99"/>
      <c r="AC11" s="99">
        <v>10</v>
      </c>
      <c r="AD11" s="95">
        <v>112.94799999999999</v>
      </c>
      <c r="AE11" s="99"/>
      <c r="AF11" s="102">
        <v>1</v>
      </c>
      <c r="AG11" s="95">
        <v>23.771899999999999</v>
      </c>
      <c r="AS11" s="35" t="s">
        <v>3986</v>
      </c>
    </row>
    <row r="12" spans="2:45" ht="27" x14ac:dyDescent="0.35">
      <c r="B12" s="142" t="s">
        <v>595</v>
      </c>
      <c r="C12" s="161">
        <v>2022</v>
      </c>
      <c r="D12" s="161">
        <v>22234</v>
      </c>
      <c r="E12" s="142">
        <v>10</v>
      </c>
      <c r="F12" s="142">
        <v>0.7</v>
      </c>
      <c r="G12" s="165">
        <v>490</v>
      </c>
      <c r="H12" s="162" t="s">
        <v>3904</v>
      </c>
      <c r="I12" s="78">
        <v>112.27500000000001</v>
      </c>
      <c r="J12" s="78">
        <v>122.95</v>
      </c>
      <c r="K12" s="78">
        <v>118.2</v>
      </c>
      <c r="L12" s="78">
        <v>1021.56</v>
      </c>
      <c r="M12" s="78">
        <v>121.17</v>
      </c>
      <c r="N12" s="86">
        <v>106.2</v>
      </c>
      <c r="O12" s="89" t="s">
        <v>3902</v>
      </c>
      <c r="P12" s="89" t="s">
        <v>3902</v>
      </c>
      <c r="Y12" s="98" t="s">
        <v>3982</v>
      </c>
      <c r="Z12" s="98">
        <v>0.8</v>
      </c>
      <c r="AA12" s="99"/>
      <c r="AB12" s="99"/>
      <c r="AC12" s="102">
        <v>100</v>
      </c>
      <c r="AD12" s="95">
        <v>34.610700000000001</v>
      </c>
      <c r="AE12" s="99"/>
      <c r="AF12" s="102">
        <v>10</v>
      </c>
      <c r="AG12" s="95">
        <v>23.1478</v>
      </c>
      <c r="AS12" s="35" t="s">
        <v>3986</v>
      </c>
    </row>
    <row r="13" spans="2:45" ht="27" x14ac:dyDescent="0.35">
      <c r="B13" s="142" t="s">
        <v>829</v>
      </c>
      <c r="C13" s="161">
        <v>39884</v>
      </c>
      <c r="D13" s="161">
        <v>152908</v>
      </c>
      <c r="E13" s="142">
        <v>7</v>
      </c>
      <c r="F13" s="142">
        <v>0.6</v>
      </c>
      <c r="G13" s="165">
        <v>5294</v>
      </c>
      <c r="H13" s="162">
        <v>42.377000000000002</v>
      </c>
      <c r="I13" s="78">
        <v>40.567500000000003</v>
      </c>
      <c r="J13" s="78">
        <v>40.563899999999997</v>
      </c>
      <c r="K13" s="78">
        <v>40.704999999999998</v>
      </c>
      <c r="L13" s="78">
        <v>5.4308800000000002</v>
      </c>
      <c r="M13" s="78">
        <v>39.405000000000001</v>
      </c>
      <c r="N13" s="86">
        <v>7.05</v>
      </c>
      <c r="O13" s="78">
        <v>143.143</v>
      </c>
      <c r="P13" s="78">
        <v>406.05</v>
      </c>
      <c r="S13" s="90"/>
      <c r="T13" s="90"/>
      <c r="Y13" s="98" t="s">
        <v>3984</v>
      </c>
      <c r="Z13" s="94">
        <v>3785</v>
      </c>
      <c r="AA13" s="99"/>
      <c r="AB13" s="99"/>
      <c r="AC13" s="103">
        <v>1000</v>
      </c>
      <c r="AD13" s="96">
        <v>24.2639</v>
      </c>
      <c r="AE13" s="99"/>
      <c r="AF13" s="102">
        <v>20</v>
      </c>
      <c r="AG13" s="95">
        <v>23.116099999999999</v>
      </c>
      <c r="AS13" s="35" t="s">
        <v>3986</v>
      </c>
    </row>
    <row r="14" spans="2:45" ht="27" x14ac:dyDescent="0.35">
      <c r="B14" s="142" t="s">
        <v>898</v>
      </c>
      <c r="C14" s="161">
        <v>51083</v>
      </c>
      <c r="D14" s="161">
        <v>233146</v>
      </c>
      <c r="E14" s="142">
        <v>6</v>
      </c>
      <c r="F14" s="142">
        <v>0.7</v>
      </c>
      <c r="G14" s="165">
        <v>8421</v>
      </c>
      <c r="H14" s="162">
        <v>30.831440000000001</v>
      </c>
      <c r="I14" s="78">
        <v>28.845099999999999</v>
      </c>
      <c r="J14" s="78">
        <v>29.0578</v>
      </c>
      <c r="K14" s="78">
        <v>28.958400000000001</v>
      </c>
      <c r="L14" s="78">
        <v>2.7285699999999999</v>
      </c>
      <c r="M14" s="78">
        <v>26.541699999999999</v>
      </c>
      <c r="N14" s="86">
        <v>3.37</v>
      </c>
      <c r="O14" s="78">
        <v>67.516000000000005</v>
      </c>
      <c r="P14" s="78">
        <v>1.33</v>
      </c>
      <c r="Y14" s="99"/>
      <c r="Z14" s="99"/>
      <c r="AA14" s="99"/>
      <c r="AB14" s="99"/>
      <c r="AC14" s="102">
        <v>10000</v>
      </c>
      <c r="AD14" s="95">
        <v>30.773599999999998</v>
      </c>
      <c r="AE14" s="99"/>
      <c r="AF14" s="102">
        <v>50</v>
      </c>
      <c r="AG14" s="95">
        <v>24.661000000000001</v>
      </c>
      <c r="AS14" s="35" t="s">
        <v>3986</v>
      </c>
    </row>
    <row r="15" spans="2:45" ht="27" x14ac:dyDescent="0.35">
      <c r="B15" s="142"/>
      <c r="C15" s="161"/>
      <c r="D15" s="161"/>
      <c r="E15" s="142"/>
      <c r="F15" s="142"/>
      <c r="G15" s="142"/>
      <c r="H15" s="142"/>
      <c r="I15" s="142"/>
      <c r="J15" s="142"/>
      <c r="K15" s="142"/>
      <c r="L15" s="142"/>
      <c r="M15" s="142"/>
      <c r="AS15" s="35" t="s">
        <v>3986</v>
      </c>
    </row>
    <row r="16" spans="2:45" ht="27" x14ac:dyDescent="0.35">
      <c r="B16" s="142"/>
      <c r="C16" s="161"/>
      <c r="D16" s="161"/>
      <c r="E16" s="142"/>
      <c r="F16" s="142"/>
      <c r="G16" s="142"/>
      <c r="H16" s="142"/>
      <c r="I16" s="142"/>
      <c r="J16" s="142"/>
      <c r="K16" s="142"/>
      <c r="L16" s="142"/>
      <c r="M16" s="142"/>
      <c r="AS16" s="35" t="s">
        <v>3986</v>
      </c>
    </row>
    <row r="17" spans="2:45" ht="27" x14ac:dyDescent="0.35">
      <c r="B17" s="142"/>
      <c r="C17" s="161"/>
      <c r="D17" s="161"/>
      <c r="E17" s="142"/>
      <c r="F17" s="142"/>
      <c r="G17" s="142"/>
      <c r="H17" s="142"/>
      <c r="I17" s="142"/>
      <c r="J17" s="142"/>
      <c r="K17" s="142"/>
      <c r="L17" s="142"/>
      <c r="M17" s="142"/>
      <c r="AS17" s="35"/>
    </row>
    <row r="18" spans="2:45" ht="27" x14ac:dyDescent="0.35">
      <c r="B18" s="142"/>
      <c r="C18" s="161"/>
      <c r="D18" s="161"/>
      <c r="E18" s="142"/>
      <c r="F18" s="142"/>
      <c r="G18" s="142"/>
      <c r="H18" s="142"/>
      <c r="I18" s="142"/>
      <c r="J18" s="142"/>
      <c r="K18" s="142"/>
      <c r="L18" s="142"/>
      <c r="M18" s="142"/>
      <c r="AS18" s="35"/>
    </row>
    <row r="19" spans="2:45" ht="170" customHeight="1" x14ac:dyDescent="0.35">
      <c r="B19" s="142"/>
      <c r="C19" s="161"/>
      <c r="D19" s="161"/>
      <c r="E19" s="142"/>
      <c r="F19" s="142"/>
      <c r="G19" s="142"/>
      <c r="H19" s="142"/>
      <c r="I19" s="142"/>
      <c r="J19" s="142"/>
      <c r="K19" s="142"/>
      <c r="L19" s="142"/>
      <c r="M19" s="142"/>
      <c r="AS19" s="35"/>
    </row>
    <row r="20" spans="2:45" ht="27" x14ac:dyDescent="0.35">
      <c r="B20" s="142"/>
      <c r="C20" s="161"/>
      <c r="D20" s="161"/>
      <c r="E20" s="142"/>
      <c r="F20" s="142"/>
      <c r="G20" s="142"/>
      <c r="H20" s="142"/>
      <c r="I20" s="142"/>
      <c r="J20" s="142"/>
      <c r="K20" s="142"/>
      <c r="L20" s="142"/>
      <c r="M20" s="142"/>
      <c r="AS20" s="35"/>
    </row>
    <row r="21" spans="2:45" ht="27" x14ac:dyDescent="0.35">
      <c r="B21" s="142"/>
      <c r="C21" s="161"/>
      <c r="D21" s="161"/>
      <c r="E21" s="142"/>
      <c r="F21" s="142"/>
      <c r="G21" s="142"/>
      <c r="H21" s="142"/>
      <c r="I21" s="142"/>
      <c r="J21" s="142"/>
      <c r="K21" s="142"/>
      <c r="L21" s="142"/>
      <c r="M21" s="142"/>
      <c r="AS21" s="35"/>
    </row>
    <row r="22" spans="2:45" ht="27" x14ac:dyDescent="0.35">
      <c r="B22" s="142"/>
      <c r="C22" s="161"/>
      <c r="D22" s="161"/>
      <c r="E22" s="142"/>
      <c r="F22" s="142"/>
      <c r="G22" s="142"/>
      <c r="H22" s="142"/>
      <c r="I22" s="142"/>
      <c r="J22" s="142"/>
      <c r="K22" s="142"/>
      <c r="L22" s="142"/>
      <c r="M22" s="142"/>
      <c r="AS22" s="35" t="s">
        <v>3986</v>
      </c>
    </row>
    <row r="23" spans="2:45" ht="27" x14ac:dyDescent="0.35">
      <c r="B23" s="142"/>
      <c r="C23" s="161"/>
      <c r="D23" s="161"/>
      <c r="E23" s="142"/>
      <c r="F23" s="142"/>
      <c r="G23" s="142"/>
      <c r="H23" s="142"/>
      <c r="I23" s="142"/>
      <c r="J23" s="142"/>
      <c r="K23" s="142"/>
      <c r="L23" s="142"/>
      <c r="M23" s="142"/>
      <c r="AS23" s="35" t="s">
        <v>3986</v>
      </c>
    </row>
    <row r="24" spans="2:45" ht="27" x14ac:dyDescent="0.35">
      <c r="B24" s="142"/>
      <c r="C24" s="161"/>
      <c r="D24" s="161"/>
      <c r="E24" s="142"/>
      <c r="F24" s="142"/>
      <c r="G24" s="142"/>
      <c r="H24" s="142"/>
      <c r="I24" s="142"/>
      <c r="J24" s="142"/>
      <c r="K24" s="142"/>
      <c r="L24" s="142"/>
      <c r="M24" s="142"/>
      <c r="O24" s="91"/>
      <c r="Y24" s="81" t="s">
        <v>3972</v>
      </c>
      <c r="Z24" s="81" t="s">
        <v>3981</v>
      </c>
      <c r="AA24" s="81" t="s">
        <v>3982</v>
      </c>
      <c r="AB24" s="81" t="s">
        <v>3978</v>
      </c>
      <c r="AS24" s="35" t="s">
        <v>3986</v>
      </c>
    </row>
    <row r="25" spans="2:45" ht="27" x14ac:dyDescent="0.35">
      <c r="B25" s="142"/>
      <c r="C25" s="161"/>
      <c r="D25" s="161"/>
      <c r="E25" s="142"/>
      <c r="F25" s="142"/>
      <c r="G25" s="142"/>
      <c r="H25" s="142"/>
      <c r="I25" s="142"/>
      <c r="J25" s="142"/>
      <c r="K25" s="142"/>
      <c r="L25" s="142"/>
      <c r="M25" s="142"/>
      <c r="Y25" s="81" t="s">
        <v>1531</v>
      </c>
      <c r="Z25" s="88">
        <v>30</v>
      </c>
      <c r="AA25" s="88">
        <v>0.95</v>
      </c>
      <c r="AB25" s="88">
        <v>36085</v>
      </c>
      <c r="AS25" s="35" t="s">
        <v>3986</v>
      </c>
    </row>
    <row r="26" spans="2:45" ht="27" x14ac:dyDescent="0.35">
      <c r="B26" s="142"/>
      <c r="C26" s="161"/>
      <c r="D26" s="161"/>
      <c r="E26" s="142"/>
      <c r="F26" s="142"/>
      <c r="G26" s="142"/>
      <c r="H26" s="142"/>
      <c r="I26" s="142"/>
      <c r="J26" s="142"/>
      <c r="K26" s="142"/>
      <c r="L26" s="142"/>
      <c r="M26" s="142"/>
      <c r="Y26" s="81" t="s">
        <v>3977</v>
      </c>
      <c r="Z26" s="88">
        <v>23</v>
      </c>
      <c r="AA26" s="88">
        <v>0.9</v>
      </c>
      <c r="AB26" s="88">
        <v>16009</v>
      </c>
      <c r="AS26" s="35" t="s">
        <v>3986</v>
      </c>
    </row>
    <row r="27" spans="2:45" ht="27" x14ac:dyDescent="0.35">
      <c r="B27" s="142"/>
      <c r="C27" s="161"/>
      <c r="D27" s="161"/>
      <c r="E27" s="142"/>
      <c r="F27" s="142"/>
      <c r="G27" s="142"/>
      <c r="H27" s="142"/>
      <c r="I27" s="142"/>
      <c r="J27" s="142"/>
      <c r="K27" s="142"/>
      <c r="L27" s="142"/>
      <c r="M27" s="142"/>
      <c r="Y27" s="81" t="s">
        <v>1514</v>
      </c>
      <c r="Z27" s="88">
        <v>5</v>
      </c>
      <c r="AA27" s="88">
        <v>0.8</v>
      </c>
      <c r="AB27" s="88">
        <v>94500</v>
      </c>
      <c r="AS27" s="35" t="s">
        <v>3986</v>
      </c>
    </row>
    <row r="28" spans="2:45" ht="27" x14ac:dyDescent="0.35">
      <c r="B28" s="142"/>
      <c r="C28" s="161"/>
      <c r="D28" s="161"/>
      <c r="E28" s="142"/>
      <c r="F28" s="142"/>
      <c r="G28" s="142"/>
      <c r="H28" s="142"/>
      <c r="I28" s="142"/>
      <c r="J28" s="142"/>
      <c r="K28" s="142"/>
      <c r="L28" s="142"/>
      <c r="M28" s="142"/>
      <c r="Y28" s="81" t="s">
        <v>1528</v>
      </c>
      <c r="Z28" s="88">
        <v>20</v>
      </c>
      <c r="AA28" s="88">
        <v>0.8</v>
      </c>
      <c r="AB28" s="77">
        <v>3785</v>
      </c>
      <c r="AS28" s="35" t="s">
        <v>3986</v>
      </c>
    </row>
    <row r="29" spans="2:45" ht="32" x14ac:dyDescent="0.4">
      <c r="B29" s="164" t="s">
        <v>4032</v>
      </c>
      <c r="C29" s="161"/>
      <c r="D29" s="161"/>
      <c r="E29" s="142"/>
      <c r="F29" s="142"/>
      <c r="H29" s="142"/>
      <c r="I29" s="142"/>
      <c r="J29" s="142"/>
      <c r="K29" s="142"/>
      <c r="L29" s="142"/>
      <c r="M29" s="142"/>
      <c r="Y29" s="6" t="s">
        <v>3960</v>
      </c>
      <c r="Z29" s="88">
        <v>115</v>
      </c>
      <c r="AA29" s="88">
        <v>0.96</v>
      </c>
      <c r="AS29" s="35">
        <v>5.5105000000000001E-2</v>
      </c>
    </row>
    <row r="30" spans="2:45" ht="27" x14ac:dyDescent="0.35">
      <c r="B30" s="142"/>
      <c r="C30" s="161"/>
      <c r="D30" s="161"/>
      <c r="E30" s="142"/>
      <c r="F30" s="142"/>
      <c r="G30" s="142"/>
      <c r="H30" s="142"/>
      <c r="I30" s="142"/>
      <c r="J30" s="142"/>
      <c r="K30" s="142"/>
      <c r="L30" s="142"/>
      <c r="M30" s="142"/>
      <c r="Y30" s="77" t="s">
        <v>3919</v>
      </c>
      <c r="Z30" s="88">
        <v>20</v>
      </c>
      <c r="AA30" s="88">
        <v>0.95</v>
      </c>
      <c r="AS30" s="35">
        <v>34.506560999999998</v>
      </c>
    </row>
    <row r="31" spans="2:45" ht="27" x14ac:dyDescent="0.35">
      <c r="B31" s="81" t="s">
        <v>3972</v>
      </c>
      <c r="C31" s="81" t="s">
        <v>4030</v>
      </c>
      <c r="D31" s="81" t="s">
        <v>4031</v>
      </c>
      <c r="E31" s="81" t="s">
        <v>3981</v>
      </c>
      <c r="F31" s="81" t="s">
        <v>3982</v>
      </c>
      <c r="G31" s="81" t="s">
        <v>4029</v>
      </c>
      <c r="H31" s="81" t="s">
        <v>3930</v>
      </c>
      <c r="I31" s="81" t="s">
        <v>3975</v>
      </c>
      <c r="J31" s="81" t="s">
        <v>4009</v>
      </c>
      <c r="K31" s="81" t="s">
        <v>4008</v>
      </c>
      <c r="L31" s="81" t="s">
        <v>3929</v>
      </c>
      <c r="M31" s="81" t="s">
        <v>3935</v>
      </c>
      <c r="Y31" s="6" t="s">
        <v>3920</v>
      </c>
      <c r="Z31" s="88">
        <v>20</v>
      </c>
      <c r="AA31" s="88">
        <v>0.9</v>
      </c>
      <c r="AB31" s="77">
        <v>573021</v>
      </c>
      <c r="AS31" s="35">
        <v>5.5830380000000002</v>
      </c>
    </row>
    <row r="32" spans="2:45" ht="27" x14ac:dyDescent="0.35">
      <c r="B32" s="142" t="s">
        <v>1531</v>
      </c>
      <c r="C32" s="161">
        <v>2523386</v>
      </c>
      <c r="D32" s="161">
        <v>15837602</v>
      </c>
      <c r="E32" s="88">
        <v>30</v>
      </c>
      <c r="F32" s="88">
        <v>0.95</v>
      </c>
      <c r="G32" s="88">
        <v>41319</v>
      </c>
      <c r="H32" s="47">
        <v>112.85599999999999</v>
      </c>
      <c r="I32" s="78">
        <v>119.98699999999999</v>
      </c>
      <c r="J32" s="78">
        <v>120.72799999999999</v>
      </c>
      <c r="K32" s="78">
        <v>119.327</v>
      </c>
      <c r="L32" s="47" t="s">
        <v>3902</v>
      </c>
      <c r="M32" s="78">
        <v>120.184</v>
      </c>
      <c r="N32" s="78">
        <v>25.606200000000001</v>
      </c>
      <c r="AS32" s="35">
        <v>117.90758099999999</v>
      </c>
    </row>
    <row r="33" spans="2:45" ht="27" x14ac:dyDescent="0.35">
      <c r="B33" s="142" t="s">
        <v>3977</v>
      </c>
      <c r="C33" s="161">
        <v>50515</v>
      </c>
      <c r="D33" s="161">
        <v>1638180</v>
      </c>
      <c r="E33" s="88">
        <v>23</v>
      </c>
      <c r="F33" s="88">
        <v>0.9</v>
      </c>
      <c r="G33" s="88">
        <v>16009</v>
      </c>
      <c r="H33" s="47" t="s">
        <v>3904</v>
      </c>
      <c r="I33" s="78">
        <v>406.31</v>
      </c>
      <c r="J33" s="78">
        <v>572.83000000000004</v>
      </c>
      <c r="K33" s="78">
        <v>400.46</v>
      </c>
      <c r="L33" s="47" t="s">
        <v>3902</v>
      </c>
      <c r="M33" s="78">
        <v>571.02</v>
      </c>
      <c r="N33" s="78">
        <v>257.43</v>
      </c>
      <c r="AS33" s="35">
        <v>75.350153000000006</v>
      </c>
    </row>
    <row r="34" spans="2:45" ht="27" x14ac:dyDescent="0.35">
      <c r="B34" s="142" t="s">
        <v>1514</v>
      </c>
      <c r="C34" s="161">
        <v>146005</v>
      </c>
      <c r="D34" s="161">
        <v>1313998</v>
      </c>
      <c r="E34" s="88">
        <v>5</v>
      </c>
      <c r="F34" s="88">
        <v>0.8</v>
      </c>
      <c r="G34" s="88">
        <v>94500</v>
      </c>
      <c r="H34" s="47">
        <v>48.034700000000001</v>
      </c>
      <c r="I34" s="78">
        <v>49.295099999999998</v>
      </c>
      <c r="J34" s="78">
        <v>50.829799999999999</v>
      </c>
      <c r="K34" s="78">
        <v>49.511099999999999</v>
      </c>
      <c r="L34" s="47">
        <v>50.255800000000001</v>
      </c>
      <c r="M34" s="78">
        <v>49.611199999999997</v>
      </c>
      <c r="N34" s="78">
        <v>8.5703300000000002</v>
      </c>
      <c r="Y34" s="81" t="s">
        <v>3972</v>
      </c>
      <c r="Z34" s="81" t="s">
        <v>3970</v>
      </c>
      <c r="AA34" s="81"/>
      <c r="AB34" s="81" t="s">
        <v>3973</v>
      </c>
      <c r="AC34" s="81" t="s">
        <v>3934</v>
      </c>
      <c r="AD34" s="81" t="s">
        <v>3971</v>
      </c>
      <c r="AS34" s="35">
        <v>411.32039900000001</v>
      </c>
    </row>
    <row r="35" spans="2:45" ht="27" x14ac:dyDescent="0.35">
      <c r="B35" s="142" t="s">
        <v>1528</v>
      </c>
      <c r="C35" s="161">
        <v>1402673</v>
      </c>
      <c r="D35" s="161">
        <v>5554838</v>
      </c>
      <c r="E35" s="88">
        <v>20</v>
      </c>
      <c r="F35" s="88">
        <v>0.8</v>
      </c>
      <c r="G35" s="77">
        <v>3785</v>
      </c>
      <c r="H35" s="47">
        <v>34.322899999999997</v>
      </c>
      <c r="I35" s="78">
        <v>39.1892</v>
      </c>
      <c r="J35" s="78">
        <v>38.270000000000003</v>
      </c>
      <c r="K35" s="78">
        <v>38.831299999999999</v>
      </c>
      <c r="L35" s="47">
        <v>1264.97</v>
      </c>
      <c r="M35" s="78">
        <v>38.6203</v>
      </c>
      <c r="N35" s="78">
        <v>26.52</v>
      </c>
      <c r="Y35" s="79" t="s">
        <v>3965</v>
      </c>
      <c r="Z35" s="84">
        <v>360</v>
      </c>
      <c r="AA35" s="82"/>
      <c r="AB35" s="83">
        <v>0.115312</v>
      </c>
      <c r="AC35" s="83">
        <v>16</v>
      </c>
      <c r="AD35" s="83">
        <v>0.01</v>
      </c>
      <c r="AS35" s="35">
        <v>516.02195900000004</v>
      </c>
    </row>
    <row r="36" spans="2:45" ht="27" x14ac:dyDescent="0.35">
      <c r="B36" s="142" t="s">
        <v>3919</v>
      </c>
      <c r="C36" s="161">
        <v>2937612</v>
      </c>
      <c r="D36" s="161">
        <v>41919708</v>
      </c>
      <c r="E36" s="88">
        <v>20</v>
      </c>
      <c r="F36" s="88">
        <v>0.95</v>
      </c>
      <c r="G36" s="142">
        <v>399864</v>
      </c>
      <c r="H36" s="147">
        <v>1495.9010000000001</v>
      </c>
      <c r="I36" s="147">
        <v>801.23</v>
      </c>
      <c r="J36" s="147">
        <v>799.76</v>
      </c>
      <c r="K36" s="147">
        <v>802.3</v>
      </c>
      <c r="L36" s="47">
        <v>1708.14</v>
      </c>
      <c r="M36" s="78">
        <v>800.56200000000001</v>
      </c>
      <c r="N36" s="78">
        <v>606.88300000000004</v>
      </c>
      <c r="Y36" s="79" t="s">
        <v>3966</v>
      </c>
      <c r="Z36" s="84">
        <v>28717</v>
      </c>
      <c r="AA36" s="82"/>
      <c r="AB36" s="83">
        <v>60.854799999999997</v>
      </c>
      <c r="AC36" s="83" t="s">
        <v>3902</v>
      </c>
      <c r="AD36" s="83">
        <v>49.23</v>
      </c>
      <c r="AS36" s="35" t="s">
        <v>3986</v>
      </c>
    </row>
    <row r="37" spans="2:45" ht="27" x14ac:dyDescent="0.35">
      <c r="B37" s="142" t="s">
        <v>3920</v>
      </c>
      <c r="C37" s="161">
        <v>1632803</v>
      </c>
      <c r="D37" s="161">
        <v>44603928</v>
      </c>
      <c r="E37" s="142">
        <v>20</v>
      </c>
      <c r="F37" s="142">
        <v>0.9</v>
      </c>
      <c r="G37" s="142">
        <v>573021</v>
      </c>
      <c r="H37" s="147">
        <v>582.32100000000003</v>
      </c>
      <c r="I37" s="163">
        <v>239.16300000000001</v>
      </c>
      <c r="J37" s="163">
        <v>239.18899999999999</v>
      </c>
      <c r="K37" s="163">
        <v>240.10900000000001</v>
      </c>
      <c r="L37" s="47">
        <v>362.80500000000001</v>
      </c>
      <c r="M37" s="78">
        <v>241.98500000000001</v>
      </c>
      <c r="N37" s="78">
        <v>209.047</v>
      </c>
      <c r="Y37" s="79" t="s">
        <v>3967</v>
      </c>
      <c r="Z37" s="84">
        <v>2517</v>
      </c>
      <c r="AA37" s="82"/>
      <c r="AB37" s="83">
        <v>4.77996</v>
      </c>
      <c r="AC37" s="83">
        <v>263</v>
      </c>
      <c r="AD37" s="83">
        <v>0.49</v>
      </c>
      <c r="AS37" s="35" t="s">
        <v>3986</v>
      </c>
    </row>
    <row r="38" spans="2:45" ht="27" x14ac:dyDescent="0.35">
      <c r="B38" s="142" t="s">
        <v>593</v>
      </c>
      <c r="C38" s="161">
        <v>5111</v>
      </c>
      <c r="D38" s="161">
        <v>53698</v>
      </c>
      <c r="E38" s="142">
        <v>10</v>
      </c>
      <c r="F38" s="142">
        <v>0.72</v>
      </c>
      <c r="G38" s="142">
        <v>1262</v>
      </c>
      <c r="H38" s="47">
        <v>38.341000000000001</v>
      </c>
      <c r="I38" s="78">
        <v>38.271000000000001</v>
      </c>
      <c r="J38" s="78">
        <v>39.500399999999999</v>
      </c>
      <c r="K38" s="78">
        <v>39.559600000000003</v>
      </c>
      <c r="L38" s="78">
        <v>715.40200000000004</v>
      </c>
      <c r="M38" s="78">
        <v>39.469299999999997</v>
      </c>
      <c r="N38" s="78">
        <v>33.93</v>
      </c>
      <c r="Y38" s="79" t="s">
        <v>3968</v>
      </c>
      <c r="Z38" s="84">
        <v>24383</v>
      </c>
      <c r="AA38" s="82"/>
      <c r="AB38" s="83">
        <v>1.1475500000000001</v>
      </c>
      <c r="AC38" s="83" t="s">
        <v>3902</v>
      </c>
      <c r="AD38" s="83">
        <v>3.05</v>
      </c>
      <c r="AS38" s="35" t="s">
        <v>3986</v>
      </c>
    </row>
    <row r="39" spans="2:45" ht="27" x14ac:dyDescent="0.35">
      <c r="B39" s="142" t="s">
        <v>595</v>
      </c>
      <c r="C39" s="161">
        <v>2022</v>
      </c>
      <c r="D39" s="161">
        <v>22234</v>
      </c>
      <c r="E39" s="142">
        <v>10</v>
      </c>
      <c r="F39" s="142">
        <v>0.7</v>
      </c>
      <c r="G39" s="142">
        <v>490</v>
      </c>
      <c r="H39" s="162" t="s">
        <v>3904</v>
      </c>
      <c r="I39" s="78">
        <v>112.27500000000001</v>
      </c>
      <c r="J39" s="78">
        <v>122.95</v>
      </c>
      <c r="K39" s="78">
        <v>118.2</v>
      </c>
      <c r="L39" s="78">
        <v>1021.56</v>
      </c>
      <c r="M39" s="78">
        <v>122.74</v>
      </c>
      <c r="N39" s="78">
        <v>106.2</v>
      </c>
      <c r="Y39" s="79" t="s">
        <v>3969</v>
      </c>
      <c r="Z39" s="84">
        <v>8949</v>
      </c>
      <c r="AA39" s="82"/>
      <c r="AB39" s="83">
        <v>5.9763599999999997</v>
      </c>
      <c r="AC39" s="83">
        <v>20.440000000000001</v>
      </c>
      <c r="AD39" s="83">
        <v>0.47</v>
      </c>
      <c r="AS39" s="35" t="s">
        <v>3986</v>
      </c>
    </row>
    <row r="40" spans="2:45" ht="27" x14ac:dyDescent="0.35">
      <c r="B40" s="142" t="s">
        <v>829</v>
      </c>
      <c r="C40" s="161">
        <v>39884</v>
      </c>
      <c r="D40" s="161">
        <v>152908</v>
      </c>
      <c r="E40" s="142">
        <v>7</v>
      </c>
      <c r="F40" s="142">
        <v>0.6</v>
      </c>
      <c r="G40" s="142">
        <v>5294</v>
      </c>
      <c r="H40" s="162">
        <v>42.377000000000002</v>
      </c>
      <c r="I40" s="78">
        <v>40.567500000000003</v>
      </c>
      <c r="J40" s="78">
        <v>40.563899999999997</v>
      </c>
      <c r="K40" s="78">
        <v>40.704999999999998</v>
      </c>
      <c r="L40" s="78">
        <v>5.4308800000000002</v>
      </c>
      <c r="M40" s="78">
        <v>40.5261</v>
      </c>
      <c r="N40" s="78">
        <v>7.05</v>
      </c>
      <c r="AS40" s="35" t="s">
        <v>3986</v>
      </c>
    </row>
    <row r="41" spans="2:45" ht="27" x14ac:dyDescent="0.35">
      <c r="B41" s="142" t="s">
        <v>898</v>
      </c>
      <c r="C41" s="161">
        <v>51083</v>
      </c>
      <c r="D41" s="161">
        <v>233146</v>
      </c>
      <c r="E41" s="142">
        <v>6</v>
      </c>
      <c r="F41" s="142">
        <v>0.7</v>
      </c>
      <c r="G41" s="77">
        <v>8421</v>
      </c>
      <c r="H41" s="162">
        <v>30.831440000000001</v>
      </c>
      <c r="I41" s="78">
        <v>28.845099999999999</v>
      </c>
      <c r="J41" s="78">
        <v>29.0578</v>
      </c>
      <c r="K41" s="78">
        <v>28.958400000000001</v>
      </c>
      <c r="L41" s="78">
        <v>2.7285699999999999</v>
      </c>
      <c r="M41" s="78">
        <v>29.182400000000001</v>
      </c>
      <c r="N41" s="78">
        <v>3.37</v>
      </c>
      <c r="AS41" s="35" t="s">
        <v>3986</v>
      </c>
    </row>
    <row r="42" spans="2:45" ht="27" x14ac:dyDescent="0.35">
      <c r="B42" s="143" t="s">
        <v>1509</v>
      </c>
      <c r="C42" s="77">
        <v>154908</v>
      </c>
      <c r="D42" s="77">
        <v>654324</v>
      </c>
      <c r="E42" s="143">
        <v>8</v>
      </c>
      <c r="F42" s="143">
        <v>0.5</v>
      </c>
      <c r="G42" s="77">
        <v>20181</v>
      </c>
      <c r="H42" s="6"/>
      <c r="I42" s="78">
        <v>26.390599999999999</v>
      </c>
      <c r="J42" s="78">
        <v>26.387</v>
      </c>
      <c r="K42" s="78">
        <v>26.596</v>
      </c>
      <c r="L42" s="78">
        <v>73.567599999999999</v>
      </c>
      <c r="M42" s="78">
        <v>6.1809500000000002</v>
      </c>
      <c r="AS42" s="35" t="s">
        <v>3986</v>
      </c>
    </row>
    <row r="43" spans="2:45" ht="22" x14ac:dyDescent="0.25">
      <c r="I43" s="148"/>
      <c r="AS43" s="35" t="s">
        <v>3986</v>
      </c>
    </row>
    <row r="44" spans="2:45" ht="22" x14ac:dyDescent="0.25">
      <c r="AS44" s="35" t="s">
        <v>3986</v>
      </c>
    </row>
    <row r="45" spans="2:45" ht="22" x14ac:dyDescent="0.25">
      <c r="AS45" s="35" t="s">
        <v>3986</v>
      </c>
    </row>
    <row r="46" spans="2:45" ht="22" x14ac:dyDescent="0.25">
      <c r="AS46" s="35">
        <v>122.148618</v>
      </c>
    </row>
    <row r="47" spans="2:45" ht="22" x14ac:dyDescent="0.25">
      <c r="AS47" s="35">
        <v>398.639387</v>
      </c>
    </row>
    <row r="48" spans="2:45" ht="27" x14ac:dyDescent="0.35">
      <c r="H48" s="142"/>
      <c r="I48" s="88"/>
      <c r="J48" s="88"/>
      <c r="AS48" s="35">
        <v>681.58641899999998</v>
      </c>
    </row>
    <row r="49" spans="8:45" ht="27" x14ac:dyDescent="0.35">
      <c r="H49" s="142"/>
      <c r="I49" s="88"/>
      <c r="J49" s="88"/>
      <c r="AS49" s="35" t="s">
        <v>3986</v>
      </c>
    </row>
    <row r="50" spans="8:45" ht="27" x14ac:dyDescent="0.35">
      <c r="H50" s="142"/>
      <c r="I50" s="88"/>
      <c r="J50" s="88"/>
      <c r="AS50" s="35" t="s">
        <v>3986</v>
      </c>
    </row>
    <row r="51" spans="8:45" ht="27" x14ac:dyDescent="0.35">
      <c r="H51" s="142"/>
      <c r="I51" s="88"/>
      <c r="J51" s="88"/>
      <c r="AS51" s="35">
        <v>259.05960099999999</v>
      </c>
    </row>
    <row r="52" spans="8:45" ht="27" x14ac:dyDescent="0.35">
      <c r="H52" s="142"/>
      <c r="I52" s="88"/>
      <c r="J52" s="88"/>
      <c r="AS52" s="35" t="s">
        <v>3986</v>
      </c>
    </row>
    <row r="53" spans="8:45" ht="27" x14ac:dyDescent="0.35">
      <c r="H53" s="142"/>
      <c r="I53" s="142"/>
      <c r="J53" s="142"/>
      <c r="AS53" s="35" t="s">
        <v>3986</v>
      </c>
    </row>
    <row r="54" spans="8:45" ht="27" x14ac:dyDescent="0.35">
      <c r="H54" s="142"/>
      <c r="I54" s="142"/>
      <c r="J54" s="142"/>
      <c r="AS54" s="35" t="s">
        <v>3986</v>
      </c>
    </row>
    <row r="55" spans="8:45" ht="27" x14ac:dyDescent="0.35">
      <c r="H55" s="142"/>
      <c r="I55" s="142"/>
      <c r="J55" s="142"/>
      <c r="AS55" s="136">
        <v>2038.237151</v>
      </c>
    </row>
    <row r="56" spans="8:45" ht="27" x14ac:dyDescent="0.35">
      <c r="H56" s="142"/>
      <c r="I56" s="142"/>
      <c r="J56" s="142"/>
      <c r="AS56" s="35" t="s">
        <v>3986</v>
      </c>
    </row>
    <row r="57" spans="8:45" ht="27" x14ac:dyDescent="0.35">
      <c r="H57" s="142"/>
      <c r="I57" s="142"/>
      <c r="J57" s="142"/>
      <c r="AS57" s="35" t="s">
        <v>3986</v>
      </c>
    </row>
    <row r="58" spans="8:45" ht="27" x14ac:dyDescent="0.35">
      <c r="H58" s="143"/>
      <c r="I58" s="143"/>
      <c r="J58" s="143"/>
      <c r="AS58" s="35" t="s">
        <v>3986</v>
      </c>
    </row>
    <row r="59" spans="8:45" ht="22" x14ac:dyDescent="0.25">
      <c r="AS59" s="35">
        <v>142.51957999999999</v>
      </c>
    </row>
    <row r="60" spans="8:45" ht="22" x14ac:dyDescent="0.25">
      <c r="AS60" s="35">
        <v>126.505053</v>
      </c>
    </row>
    <row r="61" spans="8:45" ht="22" x14ac:dyDescent="0.25">
      <c r="AS61" s="136">
        <v>1844.568945</v>
      </c>
    </row>
    <row r="62" spans="8:45" ht="22" x14ac:dyDescent="0.25">
      <c r="AS62" s="35" t="s">
        <v>3986</v>
      </c>
    </row>
    <row r="63" spans="8:45" ht="22" x14ac:dyDescent="0.25">
      <c r="AS63" s="35">
        <v>579.55940199999998</v>
      </c>
    </row>
    <row r="64" spans="8:45" ht="22" x14ac:dyDescent="0.25">
      <c r="AS64" s="35" t="s">
        <v>3986</v>
      </c>
    </row>
    <row r="65" spans="45:45" ht="22" x14ac:dyDescent="0.25">
      <c r="AS65" s="35" t="s">
        <v>3986</v>
      </c>
    </row>
    <row r="66" spans="45:45" ht="22" x14ac:dyDescent="0.25">
      <c r="AS66" s="35" t="s">
        <v>3986</v>
      </c>
    </row>
    <row r="67" spans="45:45" ht="22" x14ac:dyDescent="0.25">
      <c r="AS67" s="35" t="s">
        <v>3986</v>
      </c>
    </row>
    <row r="68" spans="45:45" ht="22" x14ac:dyDescent="0.25">
      <c r="AS68" s="35" t="s">
        <v>3986</v>
      </c>
    </row>
    <row r="69" spans="45:45" ht="22" x14ac:dyDescent="0.25">
      <c r="AS69" s="35" t="s">
        <v>3986</v>
      </c>
    </row>
    <row r="70" spans="45:45" ht="22" x14ac:dyDescent="0.25">
      <c r="AS70" s="35" t="s">
        <v>3986</v>
      </c>
    </row>
    <row r="71" spans="45:45" ht="22" x14ac:dyDescent="0.25">
      <c r="AS71" s="35">
        <v>22.9221</v>
      </c>
    </row>
    <row r="72" spans="45:45" ht="22" x14ac:dyDescent="0.25">
      <c r="AS72" s="35">
        <v>18.058859000000002</v>
      </c>
    </row>
    <row r="73" spans="45:45" ht="22" x14ac:dyDescent="0.25">
      <c r="AS73" s="35" t="s">
        <v>3986</v>
      </c>
    </row>
    <row r="74" spans="45:45" ht="22" x14ac:dyDescent="0.25">
      <c r="AS74" s="35">
        <v>131.51616200000001</v>
      </c>
    </row>
    <row r="75" spans="45:45" ht="22" x14ac:dyDescent="0.25">
      <c r="AS75" s="35" t="s">
        <v>3986</v>
      </c>
    </row>
    <row r="76" spans="45:45" ht="22" x14ac:dyDescent="0.25">
      <c r="AS76" s="35" t="s">
        <v>3986</v>
      </c>
    </row>
    <row r="77" spans="45:45" ht="22" x14ac:dyDescent="0.25">
      <c r="AS77" s="35">
        <v>267.42445199999997</v>
      </c>
    </row>
    <row r="78" spans="45:45" ht="22" x14ac:dyDescent="0.25">
      <c r="AS78" s="35" t="s">
        <v>3986</v>
      </c>
    </row>
    <row r="79" spans="45:45" ht="22" x14ac:dyDescent="0.25">
      <c r="AS79" s="35" t="s">
        <v>3986</v>
      </c>
    </row>
    <row r="80" spans="45:45" ht="22" x14ac:dyDescent="0.25">
      <c r="AS80" s="35" t="s">
        <v>3986</v>
      </c>
    </row>
    <row r="81" spans="45:45" ht="22" x14ac:dyDescent="0.25">
      <c r="AS81" s="35">
        <v>784.80277100000001</v>
      </c>
    </row>
    <row r="82" spans="45:45" ht="22" x14ac:dyDescent="0.25">
      <c r="AS82" s="35" t="s">
        <v>3986</v>
      </c>
    </row>
    <row r="83" spans="45:45" ht="22" x14ac:dyDescent="0.25">
      <c r="AS83" s="35" t="s">
        <v>3986</v>
      </c>
    </row>
    <row r="84" spans="45:45" ht="22" x14ac:dyDescent="0.25">
      <c r="AS84" s="35" t="s">
        <v>3986</v>
      </c>
    </row>
    <row r="85" spans="45:45" ht="22" x14ac:dyDescent="0.25">
      <c r="AS85" s="35" t="s">
        <v>3986</v>
      </c>
    </row>
    <row r="86" spans="45:45" ht="22" x14ac:dyDescent="0.25">
      <c r="AS86" s="35" t="s">
        <v>3986</v>
      </c>
    </row>
  </sheetData>
  <mergeCells count="3">
    <mergeCell ref="Q7:S7"/>
    <mergeCell ref="U7:V7"/>
    <mergeCell ref="H3:N3"/>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170" zoomScale="91" workbookViewId="0">
      <selection activeCell="J183" sqref="J183"/>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3972</v>
      </c>
      <c r="E73" s="80" t="s">
        <v>3947</v>
      </c>
      <c r="F73" s="80" t="s">
        <v>3987</v>
      </c>
      <c r="G73" s="80" t="s">
        <v>3948</v>
      </c>
      <c r="H73" s="80" t="s">
        <v>3929</v>
      </c>
      <c r="I73" s="80" t="s">
        <v>3935</v>
      </c>
      <c r="J73" s="80" t="s">
        <v>3989</v>
      </c>
      <c r="K73" s="80" t="s">
        <v>3990</v>
      </c>
      <c r="M73" s="80" t="s">
        <v>3988</v>
      </c>
      <c r="V73" s="35"/>
    </row>
    <row r="74" spans="4:22" ht="27" x14ac:dyDescent="0.35">
      <c r="D74" s="80" t="s">
        <v>1346</v>
      </c>
      <c r="E74" s="80">
        <v>2</v>
      </c>
      <c r="F74" s="36">
        <v>2.4068320000000001</v>
      </c>
      <c r="G74" s="36">
        <v>0.53377600000000003</v>
      </c>
      <c r="H74" s="36">
        <v>22.320332000000001</v>
      </c>
      <c r="I74" s="36">
        <v>2.36</v>
      </c>
      <c r="J74" s="107">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07">
        <f>Table2[[#This Row],[CPU+GPU]]/Table2[[#This Row],[GPU Only]]</f>
        <v>1.1654744140904432</v>
      </c>
      <c r="K75" s="36">
        <f>Table2[[#This Row],[CPU Only]]/Table2[[#This Row],[CPU+GPU]]</f>
        <v>41.971469285714285</v>
      </c>
      <c r="V75" s="35"/>
    </row>
    <row r="76" spans="4:22" ht="27" x14ac:dyDescent="0.35">
      <c r="D76" s="80" t="s">
        <v>1346</v>
      </c>
      <c r="E76" s="80">
        <v>6</v>
      </c>
      <c r="F76" s="36" t="s">
        <v>3986</v>
      </c>
      <c r="G76" s="36" t="s">
        <v>3986</v>
      </c>
      <c r="H76" s="36" t="s">
        <v>3986</v>
      </c>
      <c r="I76" s="36" t="s">
        <v>3986</v>
      </c>
      <c r="J76" s="107"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3986</v>
      </c>
      <c r="I77" s="36">
        <v>28.14</v>
      </c>
      <c r="J77" s="107">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3986</v>
      </c>
      <c r="I78" s="36">
        <v>34.840000000000003</v>
      </c>
      <c r="J78" s="107">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07">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07">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07">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07">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07">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07">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07">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07">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3986</v>
      </c>
      <c r="I87" s="36">
        <v>62.99</v>
      </c>
      <c r="J87" s="107">
        <f>Table2[[#This Row],[CPU+GPU]]/Table2[[#This Row],[GPU Only]]</f>
        <v>1.0378790938246161</v>
      </c>
      <c r="K87" s="36" t="e">
        <f>Table2[[#This Row],[CPU Only]]/Table2[[#This Row],[CPU+GPU]]</f>
        <v>#VALUE!</v>
      </c>
      <c r="V87" s="35"/>
    </row>
    <row r="88" spans="4:22" ht="27" x14ac:dyDescent="0.35">
      <c r="D88" s="80" t="s">
        <v>3</v>
      </c>
      <c r="E88" s="80">
        <v>6</v>
      </c>
      <c r="F88" s="36" t="s">
        <v>3986</v>
      </c>
      <c r="G88" s="36" t="s">
        <v>3986</v>
      </c>
      <c r="H88" s="36" t="s">
        <v>3986</v>
      </c>
      <c r="I88" s="36" t="s">
        <v>3986</v>
      </c>
      <c r="J88" s="107"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3986</v>
      </c>
      <c r="I89" s="36">
        <v>267.39</v>
      </c>
      <c r="J89" s="107">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3986</v>
      </c>
      <c r="I90" s="36">
        <v>192.79</v>
      </c>
      <c r="J90" s="107">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3986</v>
      </c>
      <c r="I91" s="36">
        <v>13.57</v>
      </c>
      <c r="J91" s="107">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07">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3986</v>
      </c>
      <c r="I93" s="36">
        <v>45.52</v>
      </c>
      <c r="J93" s="107">
        <f>Table2[[#This Row],[CPU+GPU]]/Table2[[#This Row],[GPU Only]]</f>
        <v>1.0403258596783707</v>
      </c>
      <c r="K93" s="36" t="e">
        <f>Table2[[#This Row],[CPU Only]]/Table2[[#This Row],[CPU+GPU]]</f>
        <v>#VALUE!</v>
      </c>
      <c r="V93" s="35"/>
    </row>
    <row r="94" spans="4:22" ht="27" x14ac:dyDescent="0.35">
      <c r="D94" s="80" t="s">
        <v>4</v>
      </c>
      <c r="E94" s="80">
        <v>6</v>
      </c>
      <c r="F94" s="36" t="s">
        <v>3986</v>
      </c>
      <c r="G94" s="36" t="s">
        <v>3986</v>
      </c>
      <c r="H94" s="36" t="s">
        <v>3986</v>
      </c>
      <c r="I94" s="36" t="s">
        <v>3986</v>
      </c>
      <c r="J94" s="107"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3986</v>
      </c>
      <c r="I95" s="36">
        <v>195.36</v>
      </c>
      <c r="J95" s="107">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3986</v>
      </c>
      <c r="I96" s="36">
        <v>145.37</v>
      </c>
      <c r="J96" s="107">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3986</v>
      </c>
      <c r="I97" s="36">
        <v>8.3000000000000007</v>
      </c>
      <c r="J97" s="107">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07">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3986</v>
      </c>
      <c r="I99" s="36">
        <v>61.04</v>
      </c>
      <c r="J99" s="107">
        <f>Table2[[#This Row],[CPU+GPU]]/Table2[[#This Row],[GPU Only]]</f>
        <v>1.03370634597474</v>
      </c>
      <c r="K99" s="36" t="e">
        <f>Table2[[#This Row],[CPU Only]]/Table2[[#This Row],[CPU+GPU]]</f>
        <v>#VALUE!</v>
      </c>
      <c r="V99" s="35"/>
    </row>
    <row r="100" spans="4:22" ht="27" x14ac:dyDescent="0.35">
      <c r="D100" s="80" t="s">
        <v>6</v>
      </c>
      <c r="E100" s="80">
        <v>6</v>
      </c>
      <c r="F100" s="36" t="s">
        <v>3986</v>
      </c>
      <c r="G100" s="36" t="s">
        <v>3986</v>
      </c>
      <c r="H100" s="36" t="s">
        <v>3986</v>
      </c>
      <c r="I100" s="36" t="s">
        <v>3986</v>
      </c>
      <c r="J100" s="107"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3986</v>
      </c>
      <c r="I101" s="36">
        <v>184.52</v>
      </c>
      <c r="J101" s="107">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3986</v>
      </c>
      <c r="I102" s="36">
        <v>206.21</v>
      </c>
      <c r="J102" s="107">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3986</v>
      </c>
      <c r="I103" s="36">
        <v>25.19</v>
      </c>
      <c r="J103" s="107">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07">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07">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3986</v>
      </c>
      <c r="I106" s="36">
        <v>53.98</v>
      </c>
      <c r="J106" s="107">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3986</v>
      </c>
      <c r="I107" s="36">
        <v>20.329999999999998</v>
      </c>
      <c r="J107" s="107">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07">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07">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07">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07">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07">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07">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07">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07">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07">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3986</v>
      </c>
      <c r="I117" s="36">
        <v>39.369999999999997</v>
      </c>
      <c r="J117" s="107">
        <f>Table2[[#This Row],[CPU+GPU]]/Table2[[#This Row],[GPU Only]]</f>
        <v>1.0596966102332239</v>
      </c>
      <c r="K117" s="36" t="e">
        <f>Table2[[#This Row],[CPU Only]]/Table2[[#This Row],[CPU+GPU]]</f>
        <v>#VALUE!</v>
      </c>
      <c r="V117" s="35"/>
    </row>
    <row r="118" spans="4:22" ht="27" x14ac:dyDescent="0.35">
      <c r="D118" s="80" t="s">
        <v>3913</v>
      </c>
      <c r="E118" s="80">
        <v>6</v>
      </c>
      <c r="F118" s="36" t="s">
        <v>3986</v>
      </c>
      <c r="G118" s="36" t="s">
        <v>3986</v>
      </c>
      <c r="H118" s="36" t="s">
        <v>3986</v>
      </c>
      <c r="I118" s="36" t="s">
        <v>3986</v>
      </c>
      <c r="J118" s="107"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3986</v>
      </c>
      <c r="I119" s="36">
        <v>103.16</v>
      </c>
      <c r="J119" s="107">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3986</v>
      </c>
      <c r="I120" s="36">
        <v>111.83</v>
      </c>
      <c r="J120" s="107">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3986</v>
      </c>
      <c r="I121" s="36">
        <v>17.7</v>
      </c>
      <c r="J121" s="107">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07">
        <f>Table2[[#This Row],[CPU+GPU]]/Table2[[#This Row],[GPU Only]]</f>
        <v>1.1628603778584807</v>
      </c>
      <c r="K122" s="36">
        <f>Table2[[#This Row],[CPU Only]]/Table2[[#This Row],[CPU+GPU]]</f>
        <v>14.793808346173268</v>
      </c>
      <c r="M122" t="s">
        <v>3991</v>
      </c>
      <c r="V122" s="35"/>
    </row>
    <row r="123" spans="4:22" ht="27" x14ac:dyDescent="0.35">
      <c r="D123" s="80" t="s">
        <v>3919</v>
      </c>
      <c r="E123" s="80">
        <v>5</v>
      </c>
      <c r="F123" s="36">
        <v>3.7282199999999999</v>
      </c>
      <c r="G123" s="36">
        <v>1.8812679999999999</v>
      </c>
      <c r="H123" s="36">
        <v>34.506560999999998</v>
      </c>
      <c r="I123" s="36">
        <v>2.2555969999999999</v>
      </c>
      <c r="J123" s="107">
        <f>Table2[[#This Row],[CPU+GPU]]/Table2[[#This Row],[GPU Only]]</f>
        <v>1.1989769665991235</v>
      </c>
      <c r="K123" s="36">
        <f>Table2[[#This Row],[CPU Only]]/Table2[[#This Row],[CPU+GPU]]</f>
        <v>15.298194225298225</v>
      </c>
      <c r="M123" t="s">
        <v>3992</v>
      </c>
      <c r="V123" s="35"/>
    </row>
    <row r="124" spans="4:22" ht="27" x14ac:dyDescent="0.35">
      <c r="D124" s="80" t="s">
        <v>3919</v>
      </c>
      <c r="E124" s="80">
        <v>6</v>
      </c>
      <c r="F124" s="36">
        <v>18.152170999999999</v>
      </c>
      <c r="G124" s="36">
        <v>14.551477999999999</v>
      </c>
      <c r="H124" s="36">
        <v>122.148618</v>
      </c>
      <c r="I124" s="36">
        <v>14.177133</v>
      </c>
      <c r="J124" s="107">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07">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07">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07">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07">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3986</v>
      </c>
      <c r="I129" s="36">
        <v>33.020000000000003</v>
      </c>
      <c r="J129" s="107">
        <f>Table2[[#This Row],[CPU+GPU]]/Table2[[#This Row],[GPU Only]]</f>
        <v>1.0057292453820368</v>
      </c>
      <c r="K129" s="36" t="e">
        <f>Table2[[#This Row],[CPU Only]]/Table2[[#This Row],[CPU+GPU]]</f>
        <v>#VALUE!</v>
      </c>
    </row>
    <row r="130" spans="4:11" ht="27" x14ac:dyDescent="0.35">
      <c r="D130" s="80" t="s">
        <v>7</v>
      </c>
      <c r="E130" s="80">
        <v>6</v>
      </c>
      <c r="F130" s="36" t="s">
        <v>3986</v>
      </c>
      <c r="G130" s="36" t="s">
        <v>3986</v>
      </c>
      <c r="H130" s="36" t="s">
        <v>3986</v>
      </c>
      <c r="I130" s="36" t="s">
        <v>3986</v>
      </c>
      <c r="J130" s="107"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3986</v>
      </c>
      <c r="I131" s="36">
        <v>124.26</v>
      </c>
      <c r="J131" s="107">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3986</v>
      </c>
      <c r="I132" s="36">
        <v>96.26</v>
      </c>
      <c r="J132" s="107">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3986</v>
      </c>
      <c r="I133" s="36">
        <v>10.53</v>
      </c>
      <c r="J133" s="107">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07">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07">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07">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07">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07">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07">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07">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07">
        <f>Table2[[#This Row],[CPU+GPU]]/Table2[[#This Row],[GPU Only]]</f>
        <v>1.1249469976895319</v>
      </c>
      <c r="K141" s="36">
        <f>Table2[[#This Row],[CPU Only]]/Table2[[#This Row],[CPU+GPU]]</f>
        <v>25.633235076923079</v>
      </c>
    </row>
    <row r="142" spans="4:11" ht="27" x14ac:dyDescent="0.35">
      <c r="D142" s="80" t="s">
        <v>3917</v>
      </c>
      <c r="E142" s="80">
        <v>6</v>
      </c>
      <c r="F142" s="36" t="s">
        <v>3986</v>
      </c>
      <c r="G142" s="36" t="s">
        <v>3986</v>
      </c>
      <c r="H142" s="36" t="s">
        <v>3986</v>
      </c>
      <c r="I142" s="36" t="s">
        <v>3986</v>
      </c>
      <c r="J142" s="107"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3986</v>
      </c>
      <c r="I143" s="36">
        <v>18.46</v>
      </c>
      <c r="J143" s="107">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3986</v>
      </c>
      <c r="I144" s="36">
        <v>21.14</v>
      </c>
      <c r="J144" s="107">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07">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07">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3986</v>
      </c>
      <c r="I147" s="36">
        <v>29.58</v>
      </c>
      <c r="J147" s="107">
        <f>Table2[[#This Row],[CPU+GPU]]/Table2[[#This Row],[GPU Only]]</f>
        <v>1.0559858870592034</v>
      </c>
      <c r="K147" s="36" t="e">
        <f>Table2[[#This Row],[CPU Only]]/Table2[[#This Row],[CPU+GPU]]</f>
        <v>#VALUE!</v>
      </c>
    </row>
    <row r="148" spans="4:11" ht="27" x14ac:dyDescent="0.35">
      <c r="D148" s="80" t="s">
        <v>1434</v>
      </c>
      <c r="E148" s="80">
        <v>6</v>
      </c>
      <c r="F148" s="36" t="s">
        <v>3986</v>
      </c>
      <c r="G148" s="36" t="s">
        <v>3986</v>
      </c>
      <c r="H148" s="36" t="s">
        <v>3986</v>
      </c>
      <c r="I148" s="36" t="s">
        <v>3986</v>
      </c>
      <c r="J148" s="107"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3986</v>
      </c>
      <c r="I149" s="36">
        <v>76.33</v>
      </c>
      <c r="J149" s="107">
        <f>Table2[[#This Row],[CPU+GPU]]/Table2[[#This Row],[GPU Only]]</f>
        <v>1.0222097944652555</v>
      </c>
      <c r="K149" s="36" t="e">
        <f>Table2[[#This Row],[CPU Only]]/Table2[[#This Row],[CPU+GPU]]</f>
        <v>#VALUE!</v>
      </c>
    </row>
    <row r="150" spans="4:11" ht="27" x14ac:dyDescent="0.35">
      <c r="D150" s="80" t="s">
        <v>1434</v>
      </c>
      <c r="E150" s="80">
        <v>8</v>
      </c>
      <c r="F150" s="36" t="s">
        <v>3993</v>
      </c>
      <c r="G150" s="36">
        <v>91.631570999999994</v>
      </c>
      <c r="H150" s="36" t="s">
        <v>3986</v>
      </c>
      <c r="I150" s="36">
        <v>91.06</v>
      </c>
      <c r="J150" s="107">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3986</v>
      </c>
      <c r="I151" s="36">
        <v>13.88</v>
      </c>
      <c r="J151" s="107">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07">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07">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3986</v>
      </c>
      <c r="I154" s="36">
        <v>35.83</v>
      </c>
      <c r="J154" s="107">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3986</v>
      </c>
      <c r="I155" s="36">
        <v>10.25</v>
      </c>
      <c r="J155" s="107">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3986</v>
      </c>
      <c r="I156" s="36">
        <v>10.44</v>
      </c>
      <c r="J156" s="107">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07">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12" ht="22" x14ac:dyDescent="0.25">
      <c r="D161" s="77"/>
      <c r="F161" s="77"/>
      <c r="G161" s="77"/>
      <c r="H161" s="77"/>
      <c r="I161" s="77"/>
    </row>
    <row r="162" spans="4:12" ht="22" x14ac:dyDescent="0.25">
      <c r="D162" s="77"/>
      <c r="F162" s="77"/>
      <c r="G162" s="77"/>
      <c r="H162" s="77"/>
      <c r="I162" s="77"/>
    </row>
    <row r="163" spans="4:12" ht="22" x14ac:dyDescent="0.25">
      <c r="D163" s="77"/>
      <c r="F163" s="77"/>
      <c r="G163" s="77"/>
      <c r="H163" s="77"/>
      <c r="I163" s="77"/>
    </row>
    <row r="164" spans="4:12" ht="22" x14ac:dyDescent="0.25">
      <c r="D164" s="77"/>
      <c r="F164" s="77"/>
      <c r="G164" s="77"/>
      <c r="H164" s="77"/>
      <c r="I164" s="77"/>
    </row>
    <row r="165" spans="4:12" ht="22" x14ac:dyDescent="0.25">
      <c r="D165" s="77"/>
      <c r="F165" s="78"/>
      <c r="G165" s="78"/>
      <c r="H165" s="150">
        <v>200</v>
      </c>
      <c r="I165" s="150">
        <v>500</v>
      </c>
      <c r="J165" s="151">
        <v>1000</v>
      </c>
      <c r="K165" s="150">
        <v>2000</v>
      </c>
      <c r="L165" s="150">
        <v>5000</v>
      </c>
    </row>
    <row r="166" spans="4:12" ht="26" x14ac:dyDescent="0.35">
      <c r="D166" s="138" t="s">
        <v>1371</v>
      </c>
      <c r="E166" s="149">
        <v>8</v>
      </c>
      <c r="F166" s="78"/>
      <c r="G166" s="78"/>
      <c r="H166" s="47">
        <v>13.54364</v>
      </c>
      <c r="I166" s="47">
        <v>11.058916</v>
      </c>
      <c r="J166" s="152">
        <v>10.54932</v>
      </c>
      <c r="K166" s="152">
        <v>9.5753540000000008</v>
      </c>
      <c r="L166" s="153">
        <v>9.3826490000000007</v>
      </c>
    </row>
    <row r="167" spans="4:12" ht="26" x14ac:dyDescent="0.35">
      <c r="D167" s="138" t="s">
        <v>1448</v>
      </c>
      <c r="E167" s="149">
        <v>2</v>
      </c>
      <c r="F167" s="78"/>
      <c r="G167" s="78"/>
      <c r="H167" s="47">
        <v>12.788163000000001</v>
      </c>
      <c r="I167" s="47">
        <v>12.079632</v>
      </c>
      <c r="J167" s="152">
        <v>12.000914</v>
      </c>
      <c r="K167" s="153">
        <v>11.897131999999999</v>
      </c>
      <c r="L167" s="152">
        <v>11.965807</v>
      </c>
    </row>
    <row r="168" spans="4:12" ht="26" x14ac:dyDescent="0.35">
      <c r="D168" s="138" t="s">
        <v>1434</v>
      </c>
      <c r="E168" s="149">
        <v>9</v>
      </c>
      <c r="F168" s="78"/>
      <c r="G168" s="78"/>
      <c r="H168" s="47">
        <v>12.858482</v>
      </c>
      <c r="I168" s="47">
        <v>11.344144</v>
      </c>
      <c r="J168" s="152">
        <v>11.346026999999999</v>
      </c>
      <c r="K168" s="152">
        <v>10.822958</v>
      </c>
      <c r="L168" s="153">
        <v>10.63264</v>
      </c>
    </row>
    <row r="169" spans="4:12" ht="26" x14ac:dyDescent="0.35">
      <c r="D169" s="138" t="s">
        <v>1448</v>
      </c>
      <c r="E169" s="149">
        <v>9</v>
      </c>
      <c r="F169" s="78"/>
      <c r="G169" s="78"/>
      <c r="H169" s="47">
        <v>16.193763000000001</v>
      </c>
      <c r="I169" s="47">
        <v>15.150978</v>
      </c>
      <c r="J169" s="152">
        <v>14.904210000000001</v>
      </c>
      <c r="K169" s="152">
        <v>14.751607</v>
      </c>
      <c r="L169" s="153">
        <v>14.47226</v>
      </c>
    </row>
    <row r="170" spans="4:12" ht="26" x14ac:dyDescent="0.35">
      <c r="D170" s="138" t="s">
        <v>3919</v>
      </c>
      <c r="E170" s="149">
        <v>6</v>
      </c>
      <c r="F170" s="78"/>
      <c r="G170" s="78"/>
      <c r="H170" s="47">
        <v>15.882463</v>
      </c>
      <c r="I170" s="47">
        <v>14.860891000000001</v>
      </c>
      <c r="J170" s="152">
        <v>14.487270000000001</v>
      </c>
      <c r="K170" s="152">
        <v>14.476464999999999</v>
      </c>
      <c r="L170" s="153">
        <v>14.203853000000001</v>
      </c>
    </row>
    <row r="171" spans="4:12" ht="26" x14ac:dyDescent="0.35">
      <c r="D171" s="138" t="s">
        <v>1450</v>
      </c>
      <c r="E171" s="149">
        <v>2</v>
      </c>
      <c r="F171" s="78"/>
      <c r="G171" s="78"/>
      <c r="H171" s="47">
        <v>20.029174000000001</v>
      </c>
      <c r="I171" s="47">
        <v>19.578617999999999</v>
      </c>
      <c r="J171" s="152">
        <v>19.384395000000001</v>
      </c>
      <c r="K171" s="152">
        <v>19.237888000000002</v>
      </c>
      <c r="L171" s="153">
        <v>19.073582999999999</v>
      </c>
    </row>
    <row r="172" spans="4:12" ht="26" x14ac:dyDescent="0.35">
      <c r="D172" s="138" t="s">
        <v>3912</v>
      </c>
      <c r="E172" s="149">
        <v>7</v>
      </c>
      <c r="F172" s="78"/>
      <c r="G172" s="78"/>
      <c r="H172" s="47">
        <v>34.568080000000002</v>
      </c>
      <c r="I172" s="47">
        <v>24.588723000000002</v>
      </c>
      <c r="J172" s="152">
        <v>20.152498000000001</v>
      </c>
      <c r="K172" s="152">
        <v>19.448477</v>
      </c>
      <c r="L172" s="153">
        <v>19.217057</v>
      </c>
    </row>
    <row r="173" spans="4:12" ht="26" x14ac:dyDescent="0.35">
      <c r="D173" s="138" t="s">
        <v>1391</v>
      </c>
      <c r="E173" s="149">
        <v>8</v>
      </c>
      <c r="F173" s="78"/>
      <c r="G173" s="78"/>
      <c r="H173" s="47">
        <v>21.110434000000001</v>
      </c>
      <c r="I173" s="47">
        <v>21.207367000000001</v>
      </c>
      <c r="J173" s="152">
        <v>21.139455000000002</v>
      </c>
      <c r="K173" s="152">
        <v>20.869388000000001</v>
      </c>
      <c r="L173" s="153">
        <v>20.502189000000001</v>
      </c>
    </row>
    <row r="174" spans="4:12" ht="26" x14ac:dyDescent="0.35">
      <c r="D174" s="138" t="s">
        <v>3912</v>
      </c>
      <c r="E174" s="149">
        <v>8</v>
      </c>
      <c r="F174" s="78"/>
      <c r="G174" s="78"/>
      <c r="H174" s="47">
        <v>75.953047999999995</v>
      </c>
      <c r="I174" s="47">
        <v>43.493969</v>
      </c>
      <c r="J174" s="152">
        <v>31.078979</v>
      </c>
      <c r="K174" s="152">
        <v>21.583165000000001</v>
      </c>
      <c r="L174" s="153">
        <v>20.553267000000002</v>
      </c>
    </row>
    <row r="175" spans="4:12" ht="26" x14ac:dyDescent="0.35">
      <c r="D175" s="138" t="s">
        <v>1433</v>
      </c>
      <c r="E175" s="149">
        <v>2</v>
      </c>
      <c r="F175" s="78"/>
      <c r="G175" s="78"/>
      <c r="H175" s="47">
        <v>27.189132000000001</v>
      </c>
      <c r="I175" s="47">
        <v>26.578852999999999</v>
      </c>
      <c r="J175" s="152">
        <v>26.350819999999999</v>
      </c>
      <c r="K175" s="152">
        <v>26.263749000000001</v>
      </c>
      <c r="L175" s="153">
        <v>26.237069999999999</v>
      </c>
    </row>
    <row r="176" spans="4:12" ht="26" x14ac:dyDescent="0.35">
      <c r="D176" s="138" t="s">
        <v>1436</v>
      </c>
      <c r="E176" s="149">
        <v>2</v>
      </c>
      <c r="F176" s="78"/>
      <c r="G176" s="78"/>
      <c r="H176" s="47">
        <v>28.438599</v>
      </c>
      <c r="I176" s="47">
        <v>27.813835999999998</v>
      </c>
      <c r="J176" s="152">
        <v>27.514925000000002</v>
      </c>
      <c r="K176" s="152">
        <v>27.423697000000001</v>
      </c>
      <c r="L176" s="153">
        <v>27.150742000000001</v>
      </c>
    </row>
    <row r="177" spans="4:12" ht="26" x14ac:dyDescent="0.35">
      <c r="D177" s="138" t="s">
        <v>1346</v>
      </c>
      <c r="E177" s="149">
        <v>7</v>
      </c>
      <c r="F177" s="78"/>
      <c r="G177" s="78"/>
      <c r="H177" s="47">
        <v>33.335923000000001</v>
      </c>
      <c r="I177" s="47">
        <v>30.186503999999999</v>
      </c>
      <c r="J177" s="152">
        <v>29.310683999999998</v>
      </c>
      <c r="K177" s="152">
        <v>28.614498999999999</v>
      </c>
      <c r="L177" s="153">
        <v>27.933095999999999</v>
      </c>
    </row>
    <row r="178" spans="4:12" ht="26" x14ac:dyDescent="0.35">
      <c r="D178" s="138" t="s">
        <v>1434</v>
      </c>
      <c r="E178" s="149">
        <v>5</v>
      </c>
      <c r="F178" s="78"/>
      <c r="G178" s="78"/>
      <c r="H178" s="47">
        <v>30.512947</v>
      </c>
      <c r="I178" s="47">
        <v>28.925176</v>
      </c>
      <c r="J178" s="152">
        <v>27.991232</v>
      </c>
      <c r="K178" s="152">
        <v>27.713788999999998</v>
      </c>
      <c r="L178" s="153">
        <v>27.702086999999999</v>
      </c>
    </row>
    <row r="179" spans="4:12" ht="26" x14ac:dyDescent="0.35">
      <c r="D179" s="138" t="s">
        <v>1450</v>
      </c>
      <c r="E179" s="149">
        <v>9</v>
      </c>
      <c r="F179" s="78"/>
      <c r="G179" s="78"/>
      <c r="H179" s="47">
        <v>31.849429000000001</v>
      </c>
      <c r="I179" s="47">
        <v>30.483691</v>
      </c>
      <c r="J179" s="152">
        <v>30.275549000000002</v>
      </c>
      <c r="K179" s="152">
        <v>29.833859</v>
      </c>
      <c r="L179" s="153">
        <v>29.272964999999999</v>
      </c>
    </row>
    <row r="180" spans="4:12" ht="26" x14ac:dyDescent="0.35">
      <c r="D180" s="138" t="s">
        <v>1346</v>
      </c>
      <c r="E180" s="149">
        <v>8</v>
      </c>
      <c r="F180" s="78"/>
      <c r="G180" s="78"/>
      <c r="H180" s="47">
        <v>46.730649</v>
      </c>
      <c r="I180" s="47">
        <v>36.440928999999997</v>
      </c>
      <c r="J180" s="152">
        <v>35.511445000000002</v>
      </c>
      <c r="K180" s="152">
        <v>34.324876000000003</v>
      </c>
      <c r="L180" s="153">
        <v>33.138596</v>
      </c>
    </row>
    <row r="181" spans="4:12" ht="26" x14ac:dyDescent="0.35">
      <c r="D181" s="138" t="s">
        <v>1411</v>
      </c>
      <c r="E181" s="149">
        <v>2</v>
      </c>
      <c r="F181" s="78"/>
      <c r="G181" s="78"/>
      <c r="H181" s="47">
        <v>43.553358000000003</v>
      </c>
      <c r="I181" s="47">
        <v>43.348028999999997</v>
      </c>
      <c r="J181" s="153">
        <v>43.087567</v>
      </c>
      <c r="K181" s="152">
        <v>43.217061000000001</v>
      </c>
      <c r="L181" s="152">
        <v>43.196444</v>
      </c>
    </row>
    <row r="182" spans="4:12" ht="26" x14ac:dyDescent="0.35">
      <c r="D182" s="138" t="s">
        <v>1449</v>
      </c>
      <c r="E182" s="149">
        <v>2</v>
      </c>
      <c r="F182" s="78"/>
      <c r="G182" s="78"/>
      <c r="H182" s="47">
        <v>45.849173999999998</v>
      </c>
      <c r="I182" s="47">
        <v>45.076729</v>
      </c>
      <c r="J182" s="152">
        <v>44.855058999999997</v>
      </c>
      <c r="K182" s="152">
        <v>44.669365999999997</v>
      </c>
      <c r="L182" s="153">
        <v>44.600904</v>
      </c>
    </row>
    <row r="183" spans="4:12" ht="26" x14ac:dyDescent="0.35">
      <c r="D183" s="138" t="s">
        <v>1371</v>
      </c>
      <c r="E183" s="149">
        <v>6</v>
      </c>
      <c r="F183" s="78"/>
      <c r="G183" s="78"/>
      <c r="H183" s="47">
        <v>182.14</v>
      </c>
      <c r="I183" s="47">
        <v>323.20999999999998</v>
      </c>
      <c r="J183" s="153">
        <v>37.100543999999999</v>
      </c>
      <c r="K183" s="152">
        <v>414.23</v>
      </c>
      <c r="L183" s="152">
        <v>252.63</v>
      </c>
    </row>
    <row r="184" spans="4:12" ht="26" x14ac:dyDescent="0.35">
      <c r="D184" s="138" t="s">
        <v>1409</v>
      </c>
      <c r="E184" s="149">
        <v>9</v>
      </c>
      <c r="F184" s="78"/>
      <c r="G184" s="78"/>
      <c r="H184" s="47">
        <v>53.351044000000002</v>
      </c>
      <c r="I184" s="47">
        <v>52.702143</v>
      </c>
      <c r="J184" s="152">
        <v>52.645966000000001</v>
      </c>
      <c r="K184" s="153">
        <v>52.436013000000003</v>
      </c>
      <c r="L184" s="152">
        <v>52.632058999999998</v>
      </c>
    </row>
    <row r="185" spans="4:12" ht="26" x14ac:dyDescent="0.35">
      <c r="D185" s="138" t="s">
        <v>1436</v>
      </c>
      <c r="E185" s="149">
        <v>9</v>
      </c>
      <c r="F185" s="78"/>
      <c r="G185" s="78"/>
      <c r="H185" s="47">
        <v>51.488273999999997</v>
      </c>
      <c r="I185" s="47">
        <v>50.519238999999999</v>
      </c>
      <c r="J185" s="152">
        <v>49.816206000000001</v>
      </c>
      <c r="K185" s="152">
        <v>49.518030000000003</v>
      </c>
      <c r="L185" s="153">
        <v>49.189014999999998</v>
      </c>
    </row>
    <row r="186" spans="4:12" ht="26" x14ac:dyDescent="0.35">
      <c r="D186" s="138" t="s">
        <v>18</v>
      </c>
      <c r="E186" s="149">
        <v>2</v>
      </c>
      <c r="F186" s="78"/>
      <c r="G186" s="78"/>
      <c r="H186" s="47">
        <v>67.527128000000005</v>
      </c>
      <c r="I186" s="47">
        <v>65.895708999999997</v>
      </c>
      <c r="J186" s="152">
        <v>65.688942999999995</v>
      </c>
      <c r="K186" s="152">
        <v>65.747546</v>
      </c>
      <c r="L186" s="153">
        <v>65.533439000000001</v>
      </c>
    </row>
    <row r="187" spans="4:12" ht="26" x14ac:dyDescent="0.35">
      <c r="D187" s="138" t="s">
        <v>1455</v>
      </c>
      <c r="E187" s="149">
        <v>2</v>
      </c>
      <c r="F187" s="78"/>
      <c r="G187" s="78"/>
      <c r="H187" s="47">
        <v>66.708554000000007</v>
      </c>
      <c r="I187" s="47">
        <v>65.846018999999998</v>
      </c>
      <c r="J187" s="152">
        <v>65.728926999999999</v>
      </c>
      <c r="K187" s="152">
        <v>65.258746000000002</v>
      </c>
      <c r="L187" s="153">
        <v>65.123788000000005</v>
      </c>
    </row>
    <row r="188" spans="4:12" ht="26" x14ac:dyDescent="0.35">
      <c r="D188" s="138" t="s">
        <v>3912</v>
      </c>
      <c r="E188" s="149">
        <v>6</v>
      </c>
      <c r="F188" s="78"/>
      <c r="G188" s="78"/>
      <c r="H188" s="47">
        <v>58.977201999999998</v>
      </c>
      <c r="I188" s="47">
        <v>57.302773000000002</v>
      </c>
      <c r="J188" s="152">
        <v>56.745190999999998</v>
      </c>
      <c r="K188" s="152">
        <v>56.760914999999997</v>
      </c>
      <c r="L188" s="153">
        <v>56.493558999999998</v>
      </c>
    </row>
    <row r="189" spans="4:12" ht="26" x14ac:dyDescent="0.35">
      <c r="D189" s="138" t="s">
        <v>1</v>
      </c>
      <c r="E189" s="149">
        <v>5</v>
      </c>
      <c r="F189" s="78"/>
      <c r="G189" s="78"/>
      <c r="H189" s="47">
        <v>66.516069999999999</v>
      </c>
      <c r="I189" s="47">
        <v>62.025692999999997</v>
      </c>
      <c r="J189" s="152">
        <v>58.782516999999999</v>
      </c>
      <c r="K189" s="152">
        <v>56.222129000000002</v>
      </c>
      <c r="L189" s="153">
        <v>55.325994000000001</v>
      </c>
    </row>
    <row r="190" spans="4:12" ht="26" x14ac:dyDescent="0.35">
      <c r="D190" s="138" t="s">
        <v>1434</v>
      </c>
      <c r="E190" s="149">
        <v>7</v>
      </c>
      <c r="F190" s="78"/>
      <c r="G190" s="78"/>
      <c r="H190" s="47">
        <v>86.230993999999995</v>
      </c>
      <c r="I190" s="47">
        <v>78.584799000000004</v>
      </c>
      <c r="J190" s="152">
        <v>76.246281999999994</v>
      </c>
      <c r="K190" s="152">
        <v>75.104703999999998</v>
      </c>
      <c r="L190" s="153">
        <v>73.942231000000007</v>
      </c>
    </row>
    <row r="191" spans="4:12" ht="26" x14ac:dyDescent="0.35">
      <c r="D191" s="138" t="s">
        <v>1438</v>
      </c>
      <c r="E191" s="149">
        <v>2</v>
      </c>
      <c r="F191" s="78"/>
      <c r="G191" s="78"/>
      <c r="H191" s="47">
        <v>103.158689</v>
      </c>
      <c r="I191" s="47">
        <v>101.854315</v>
      </c>
      <c r="J191" s="152">
        <v>101.68702999999999</v>
      </c>
      <c r="K191" s="153">
        <v>101.487123</v>
      </c>
      <c r="L191" s="152">
        <v>101.760442</v>
      </c>
    </row>
    <row r="192" spans="4:12" ht="26" x14ac:dyDescent="0.35">
      <c r="D192" s="138" t="s">
        <v>1434</v>
      </c>
      <c r="E192" s="149">
        <v>8</v>
      </c>
      <c r="F192" s="78"/>
      <c r="G192" s="78"/>
      <c r="H192" s="47">
        <v>150.038915</v>
      </c>
      <c r="I192" s="47">
        <v>109.63044600000001</v>
      </c>
      <c r="J192" s="152">
        <v>91.936704000000006</v>
      </c>
      <c r="K192" s="152">
        <v>87.450755000000001</v>
      </c>
      <c r="L192" s="153">
        <v>83.806042000000005</v>
      </c>
    </row>
    <row r="193" spans="4:12" ht="26" x14ac:dyDescent="0.35">
      <c r="D193" s="138" t="s">
        <v>1409</v>
      </c>
      <c r="E193" s="149">
        <v>2</v>
      </c>
      <c r="F193" s="78"/>
      <c r="G193" s="78"/>
      <c r="H193" s="154">
        <v>110.92055999999999</v>
      </c>
      <c r="I193" s="47">
        <v>110.981557</v>
      </c>
      <c r="J193" s="152">
        <v>111.50702099999999</v>
      </c>
      <c r="K193" s="152">
        <v>111.404892</v>
      </c>
      <c r="L193" s="152">
        <v>111.08095299999999</v>
      </c>
    </row>
    <row r="194" spans="4:12" ht="26" x14ac:dyDescent="0.35">
      <c r="D194" s="138" t="s">
        <v>1425</v>
      </c>
      <c r="E194" s="149">
        <v>5</v>
      </c>
      <c r="F194" s="78"/>
      <c r="G194" s="78"/>
      <c r="H194" s="47">
        <v>111.48347099999999</v>
      </c>
      <c r="I194" s="47">
        <v>110.17731499999999</v>
      </c>
      <c r="J194" s="152">
        <v>108.6473</v>
      </c>
      <c r="K194" s="152">
        <v>106.658112</v>
      </c>
      <c r="L194" s="153">
        <v>105.072243</v>
      </c>
    </row>
    <row r="195" spans="4:12" ht="26" x14ac:dyDescent="0.35">
      <c r="D195" s="138" t="s">
        <v>1440</v>
      </c>
      <c r="E195" s="149">
        <v>9</v>
      </c>
      <c r="F195" s="78"/>
      <c r="G195" s="78"/>
      <c r="H195" s="47">
        <v>141.467356</v>
      </c>
      <c r="I195" s="47">
        <v>140.31502399999999</v>
      </c>
      <c r="J195" s="152">
        <v>139.541595</v>
      </c>
      <c r="K195" s="153">
        <v>139.316845</v>
      </c>
      <c r="L195" s="152">
        <v>139.42422500000001</v>
      </c>
    </row>
    <row r="196" spans="4:12" ht="26" x14ac:dyDescent="0.35">
      <c r="D196" s="138" t="s">
        <v>1461</v>
      </c>
      <c r="E196" s="149">
        <v>5</v>
      </c>
      <c r="F196" s="78"/>
      <c r="G196" s="78"/>
      <c r="H196" s="47">
        <v>140.789737</v>
      </c>
      <c r="I196" s="47">
        <v>136.64110400000001</v>
      </c>
      <c r="J196" s="152">
        <v>134.059369</v>
      </c>
      <c r="K196" s="152">
        <v>133.23129599999999</v>
      </c>
      <c r="L196" s="153">
        <v>132.552098</v>
      </c>
    </row>
    <row r="197" spans="4:12" ht="26" x14ac:dyDescent="0.35">
      <c r="D197" s="138" t="s">
        <v>1423</v>
      </c>
      <c r="E197" s="149">
        <v>5</v>
      </c>
      <c r="F197" s="78"/>
      <c r="G197" s="78"/>
      <c r="H197" s="47">
        <v>172.945031</v>
      </c>
      <c r="I197" s="47">
        <v>171.09279699999999</v>
      </c>
      <c r="J197" s="152">
        <v>170.19131300000001</v>
      </c>
      <c r="K197" s="152">
        <v>167.26216500000001</v>
      </c>
      <c r="L197" s="153">
        <v>164.30501599999999</v>
      </c>
    </row>
    <row r="198" spans="4:12" ht="26" x14ac:dyDescent="0.35">
      <c r="D198" s="138" t="s">
        <v>1440</v>
      </c>
      <c r="E198" s="149">
        <v>2</v>
      </c>
      <c r="F198" s="78"/>
      <c r="G198" s="78"/>
      <c r="H198" s="47">
        <v>255.78950499999999</v>
      </c>
      <c r="I198" s="47">
        <v>255.00335100000001</v>
      </c>
      <c r="J198" s="153">
        <v>254.48178100000001</v>
      </c>
      <c r="K198" s="152">
        <v>254.788084</v>
      </c>
      <c r="L198" s="152">
        <v>255.08629500000001</v>
      </c>
    </row>
    <row r="199" spans="4:12" ht="26" x14ac:dyDescent="0.35">
      <c r="D199" s="138" t="s">
        <v>1</v>
      </c>
      <c r="E199" s="149">
        <v>8</v>
      </c>
      <c r="F199" s="78"/>
      <c r="G199" s="78"/>
      <c r="H199" s="47">
        <v>334.20178499999997</v>
      </c>
      <c r="I199" s="47">
        <v>247.02874199999999</v>
      </c>
      <c r="J199" s="152">
        <v>230.81816599999999</v>
      </c>
      <c r="K199" s="152">
        <v>215.448431</v>
      </c>
      <c r="L199" s="153">
        <v>210.977701</v>
      </c>
    </row>
    <row r="200" spans="4:12" ht="26" x14ac:dyDescent="0.35">
      <c r="D200" s="138" t="s">
        <v>1411</v>
      </c>
      <c r="E200" s="149">
        <v>5</v>
      </c>
      <c r="F200" s="78"/>
      <c r="G200" s="78"/>
      <c r="H200" s="47">
        <v>253.70969099999999</v>
      </c>
      <c r="I200" s="47">
        <v>241.22706700000001</v>
      </c>
      <c r="J200" s="152">
        <v>239.10316599999999</v>
      </c>
      <c r="K200" s="152">
        <v>240.61417299999999</v>
      </c>
      <c r="L200" s="153">
        <v>238.252419</v>
      </c>
    </row>
    <row r="201" spans="4:12" ht="26" x14ac:dyDescent="0.35">
      <c r="D201" s="138" t="s">
        <v>1448</v>
      </c>
      <c r="E201" s="149">
        <v>5</v>
      </c>
      <c r="F201" s="78"/>
      <c r="G201" s="78"/>
      <c r="H201" s="47">
        <v>322.00268299999999</v>
      </c>
      <c r="I201" s="47">
        <v>320.498245</v>
      </c>
      <c r="J201" s="152">
        <v>318.40613100000002</v>
      </c>
      <c r="K201" s="152">
        <v>314.05160100000001</v>
      </c>
      <c r="L201" s="153">
        <v>308.617322</v>
      </c>
    </row>
    <row r="202" spans="4:12" ht="26" x14ac:dyDescent="0.35">
      <c r="D202" s="138" t="s">
        <v>1425</v>
      </c>
      <c r="E202" s="149">
        <v>7</v>
      </c>
      <c r="F202" s="78"/>
      <c r="G202" s="78"/>
      <c r="H202" s="47">
        <v>484.22759600000001</v>
      </c>
      <c r="I202" s="47">
        <v>460.89117299999998</v>
      </c>
      <c r="J202" s="152">
        <v>446.67361699999998</v>
      </c>
      <c r="K202" s="152">
        <v>435.329408</v>
      </c>
      <c r="L202" s="153">
        <v>425.68783300000001</v>
      </c>
    </row>
    <row r="203" spans="4:12" ht="26" x14ac:dyDescent="0.35">
      <c r="D203" s="138" t="s">
        <v>1425</v>
      </c>
      <c r="E203" s="149">
        <v>8</v>
      </c>
      <c r="F203" s="78"/>
      <c r="G203" s="78"/>
      <c r="H203" s="47">
        <v>467.814437</v>
      </c>
      <c r="I203" s="47">
        <v>443.12676299999998</v>
      </c>
      <c r="J203" s="152">
        <v>426.74191200000001</v>
      </c>
      <c r="K203" s="152">
        <v>412.03268100000003</v>
      </c>
      <c r="L203" s="153">
        <v>388.18367000000001</v>
      </c>
    </row>
    <row r="204" spans="4:12" ht="26" x14ac:dyDescent="0.35">
      <c r="D204" s="138" t="s">
        <v>1461</v>
      </c>
      <c r="E204" s="149">
        <v>7</v>
      </c>
      <c r="F204" s="78"/>
      <c r="G204" s="78"/>
      <c r="H204" s="47">
        <v>528.18291099999999</v>
      </c>
      <c r="I204" s="47">
        <v>495.16969599999999</v>
      </c>
      <c r="J204" s="152">
        <v>484.41130900000002</v>
      </c>
      <c r="K204" s="152">
        <v>473.17317000000003</v>
      </c>
      <c r="L204" s="153">
        <v>461.25565499999999</v>
      </c>
    </row>
    <row r="205" spans="4:12" ht="26" x14ac:dyDescent="0.35">
      <c r="D205" s="138" t="s">
        <v>18</v>
      </c>
      <c r="E205" s="149">
        <v>5</v>
      </c>
      <c r="F205" s="78"/>
      <c r="G205" s="78"/>
      <c r="H205" s="47">
        <v>535.30194400000005</v>
      </c>
      <c r="I205" s="47">
        <v>524.99729600000001</v>
      </c>
      <c r="J205" s="152">
        <v>518.47945700000002</v>
      </c>
      <c r="K205" s="152">
        <v>516.59616900000003</v>
      </c>
      <c r="L205" s="153">
        <v>515.24298899999997</v>
      </c>
    </row>
    <row r="206" spans="4:12" ht="26" x14ac:dyDescent="0.35">
      <c r="D206" s="138" t="s">
        <v>1450</v>
      </c>
      <c r="E206" s="149">
        <v>5</v>
      </c>
      <c r="F206" s="78"/>
      <c r="G206" s="78"/>
      <c r="H206" s="47">
        <v>570.61415799999997</v>
      </c>
      <c r="I206" s="47">
        <v>570.125901</v>
      </c>
      <c r="J206" s="152">
        <v>568.85147700000005</v>
      </c>
      <c r="K206" s="152">
        <v>561.15225999999996</v>
      </c>
      <c r="L206" s="153">
        <v>551.44410100000005</v>
      </c>
    </row>
    <row r="207" spans="4:12" ht="22" x14ac:dyDescent="0.25">
      <c r="D207" s="77"/>
      <c r="F207" s="78"/>
      <c r="G207" s="78"/>
      <c r="H207" s="78"/>
      <c r="I207" s="78"/>
    </row>
    <row r="208" spans="4:12"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57" t="s">
        <v>3911</v>
      </c>
      <c r="J4" s="157"/>
      <c r="K4" s="157"/>
      <c r="L4" s="157"/>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zoomScale="89" workbookViewId="0">
      <selection activeCell="AO37" sqref="AO3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40" max="40" width="55" customWidth="1"/>
    <col min="41" max="41" width="50" bestFit="1" customWidth="1"/>
    <col min="42" max="44" width="18.664062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4006</v>
      </c>
    </row>
    <row r="4" spans="3:110" ht="30" thickBot="1" x14ac:dyDescent="0.4">
      <c r="H4" s="37"/>
      <c r="I4" s="158"/>
      <c r="J4" s="158"/>
      <c r="K4" s="159"/>
      <c r="L4" s="159"/>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AQ4" s="145" t="s">
        <v>4023</v>
      </c>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AP5" s="144">
        <v>1000</v>
      </c>
      <c r="AQ5" s="144">
        <v>2000</v>
      </c>
      <c r="AR5" s="144">
        <v>5000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1443</v>
      </c>
      <c r="D16" s="38">
        <v>3924218</v>
      </c>
      <c r="E16" s="38">
        <v>152878772</v>
      </c>
      <c r="F16" s="38">
        <v>254555</v>
      </c>
      <c r="G16" s="39">
        <v>36008128</v>
      </c>
      <c r="H16" s="41">
        <v>486.47726599999999</v>
      </c>
      <c r="I16" s="51">
        <v>450.831255</v>
      </c>
      <c r="J16" s="41">
        <v>481.75678499999998</v>
      </c>
      <c r="K16" s="42"/>
      <c r="L16" s="48">
        <v>220.903085</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AO16" s="77" t="s">
        <v>1443</v>
      </c>
      <c r="AP16" s="146">
        <v>482.62</v>
      </c>
      <c r="AQ16" s="78">
        <v>482.83</v>
      </c>
      <c r="AR16" s="78">
        <v>482.79</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1452</v>
      </c>
      <c r="D17" s="38">
        <v>3175009</v>
      </c>
      <c r="E17" s="38">
        <v>206621674</v>
      </c>
      <c r="F17" s="38">
        <v>369566</v>
      </c>
      <c r="G17" s="39">
        <v>67547002</v>
      </c>
      <c r="H17" s="40">
        <v>433.71</v>
      </c>
      <c r="I17" s="51">
        <v>346.19295299999999</v>
      </c>
      <c r="J17" s="41">
        <v>408.18284899999998</v>
      </c>
      <c r="K17" s="42"/>
      <c r="L17" s="48">
        <v>102.65375299999999</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AO17" s="77" t="s">
        <v>1452</v>
      </c>
      <c r="AP17" s="78">
        <v>531.99</v>
      </c>
      <c r="AQ17" s="146">
        <v>493.76</v>
      </c>
      <c r="AR17" s="78">
        <v>585.07000000000005</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AO18" s="77" t="s">
        <v>1451</v>
      </c>
      <c r="AP18" s="146">
        <v>244.43</v>
      </c>
      <c r="AQ18" s="78">
        <v>285.64999999999998</v>
      </c>
      <c r="AR18" s="78">
        <v>497.42</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AO19" s="77" t="s">
        <v>3915</v>
      </c>
      <c r="AP19" s="78">
        <v>297.82518900000002</v>
      </c>
      <c r="AQ19" s="78">
        <v>221.24317099999999</v>
      </c>
      <c r="AR19" s="146">
        <v>177.541134</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1442</v>
      </c>
      <c r="D20" s="38">
        <v>3370462</v>
      </c>
      <c r="E20" s="38">
        <v>143901836</v>
      </c>
      <c r="F20" s="38">
        <v>282591</v>
      </c>
      <c r="G20" s="39">
        <v>563203047</v>
      </c>
      <c r="H20" s="41">
        <v>127.82051300000001</v>
      </c>
      <c r="I20" s="53">
        <v>200.62130099999999</v>
      </c>
      <c r="J20" s="41">
        <v>68.150000000000006</v>
      </c>
      <c r="K20" s="42"/>
      <c r="L20" s="48">
        <v>47.39</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AO20" s="77" t="s">
        <v>1442</v>
      </c>
      <c r="AP20" s="146">
        <v>72.59</v>
      </c>
      <c r="AQ20" s="78">
        <v>147.78</v>
      </c>
      <c r="AR20" s="78">
        <v>192.34</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9" t="s">
        <v>10</v>
      </c>
      <c r="D21" s="38">
        <v>3603726</v>
      </c>
      <c r="E21" s="38">
        <v>155093964</v>
      </c>
      <c r="F21" s="38">
        <v>434234</v>
      </c>
      <c r="G21" s="39">
        <v>1237624958</v>
      </c>
      <c r="H21" s="41">
        <v>107.39003200000001</v>
      </c>
      <c r="I21" s="51">
        <v>196.60153800000001</v>
      </c>
      <c r="J21" s="41">
        <v>98.4</v>
      </c>
      <c r="K21" s="42"/>
      <c r="L21" s="48">
        <v>68.88</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AO21" s="77" t="s">
        <v>10</v>
      </c>
      <c r="AP21" s="146">
        <v>101.242086</v>
      </c>
      <c r="AQ21" s="78">
        <v>144.38999999999999</v>
      </c>
      <c r="AR21" s="78">
        <v>251.95</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1455</v>
      </c>
      <c r="D22" s="38">
        <v>8833229</v>
      </c>
      <c r="E22" s="38">
        <v>105882456</v>
      </c>
      <c r="F22" s="38">
        <v>2126384</v>
      </c>
      <c r="G22" s="39">
        <v>2115046340</v>
      </c>
      <c r="H22" s="41">
        <v>105.59741699999999</v>
      </c>
      <c r="I22" s="51">
        <v>306.40025200000002</v>
      </c>
      <c r="J22" s="41">
        <v>87.62</v>
      </c>
      <c r="K22" s="42"/>
      <c r="L22" s="48">
        <v>46.755004999999997</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AO22" s="77" t="s">
        <v>1455</v>
      </c>
      <c r="AP22" s="78">
        <v>83.448556999999994</v>
      </c>
      <c r="AQ22" s="146">
        <v>74.262550000000005</v>
      </c>
      <c r="AR22" s="78">
        <v>82.009750999999994</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6</v>
      </c>
      <c r="D23" s="38">
        <v>3072441</v>
      </c>
      <c r="E23" s="38">
        <v>234369798</v>
      </c>
      <c r="F23" s="38">
        <v>33313</v>
      </c>
      <c r="G23" s="39">
        <v>2270456447</v>
      </c>
      <c r="H23" s="41">
        <v>85.151685000000001</v>
      </c>
      <c r="I23" s="52">
        <v>281.76346699999999</v>
      </c>
      <c r="J23" s="41">
        <v>73.239999999999995</v>
      </c>
      <c r="K23" s="42"/>
      <c r="L23" s="48">
        <v>51.644970999999998</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AO23" s="77" t="s">
        <v>6</v>
      </c>
      <c r="AP23" s="78">
        <v>81.149410000000003</v>
      </c>
      <c r="AQ23" s="146">
        <v>74.39</v>
      </c>
      <c r="AR23" s="78">
        <v>179.46</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1456</v>
      </c>
      <c r="D24" s="38">
        <v>5829441</v>
      </c>
      <c r="E24" s="38">
        <v>110439216</v>
      </c>
      <c r="F24" s="38">
        <v>818185</v>
      </c>
      <c r="G24" s="39">
        <v>1508704249</v>
      </c>
      <c r="H24" s="41">
        <v>84.078997999999999</v>
      </c>
      <c r="I24" s="52">
        <v>245.51799</v>
      </c>
      <c r="J24" s="41">
        <v>52.7</v>
      </c>
      <c r="K24" s="42"/>
      <c r="L24" s="48">
        <v>37.410254999999999</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AO24" s="77" t="s">
        <v>1456</v>
      </c>
      <c r="AP24" s="78">
        <v>58.818009000000004</v>
      </c>
      <c r="AQ24" s="146">
        <v>52.129280000000001</v>
      </c>
      <c r="AR24" s="78">
        <v>57.299970999999999</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7</v>
      </c>
      <c r="D25" s="38">
        <v>2584164</v>
      </c>
      <c r="E25" s="38">
        <v>56367036</v>
      </c>
      <c r="F25" s="38">
        <v>44065</v>
      </c>
      <c r="G25" s="39">
        <v>918563917</v>
      </c>
      <c r="H25" s="41">
        <v>71.662347999999994</v>
      </c>
      <c r="I25" s="52">
        <v>129.14542800000001</v>
      </c>
      <c r="J25" s="41">
        <v>28.33</v>
      </c>
      <c r="K25" s="42"/>
      <c r="L25" s="48">
        <v>21.417175</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AO25" s="77" t="s">
        <v>7</v>
      </c>
      <c r="AP25" s="78">
        <v>36.127685</v>
      </c>
      <c r="AQ25" s="146">
        <v>34.270000000000003</v>
      </c>
      <c r="AR25" s="78">
        <v>107.75</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AO26" s="77" t="s">
        <v>3</v>
      </c>
      <c r="AP26" s="78">
        <v>71.657591999999994</v>
      </c>
      <c r="AQ26" s="78">
        <v>58.822899999999997</v>
      </c>
      <c r="AR26" s="146">
        <v>50.87</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18</v>
      </c>
      <c r="D27" s="38">
        <v>27665730</v>
      </c>
      <c r="E27" s="38">
        <v>281227494</v>
      </c>
      <c r="F27" s="38">
        <v>11571953</v>
      </c>
      <c r="G27" s="39">
        <v>134221196</v>
      </c>
      <c r="H27" s="41">
        <v>64.861952000000002</v>
      </c>
      <c r="I27" s="52">
        <v>23.307552999999999</v>
      </c>
      <c r="J27" s="41">
        <v>62.276108000000001</v>
      </c>
      <c r="K27" s="42"/>
      <c r="L27" s="48">
        <v>23.874721000000001</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AO27" s="77" t="s">
        <v>18</v>
      </c>
      <c r="AP27" s="78">
        <v>64.677471999999995</v>
      </c>
      <c r="AQ27" s="78">
        <v>64.492125000000001</v>
      </c>
      <c r="AR27" s="146">
        <v>63.427695</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AO28" s="77" t="s">
        <v>3913</v>
      </c>
      <c r="AP28" s="78">
        <v>37.385236999999996</v>
      </c>
      <c r="AQ28" s="146">
        <v>32.501784000000001</v>
      </c>
      <c r="AR28" s="78">
        <v>101.51</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1446</v>
      </c>
      <c r="D29" s="38">
        <v>6100692</v>
      </c>
      <c r="E29" s="38">
        <v>199729748</v>
      </c>
      <c r="F29" s="38">
        <v>2732817</v>
      </c>
      <c r="G29" s="39">
        <v>97362094</v>
      </c>
      <c r="H29" s="41">
        <v>59.816648000000001</v>
      </c>
      <c r="I29" s="52">
        <v>32.213045000000001</v>
      </c>
      <c r="J29" s="41">
        <v>58.558579999999999</v>
      </c>
      <c r="K29" s="42"/>
      <c r="L29" s="48">
        <v>53.737893</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AO29" s="77" t="s">
        <v>1446</v>
      </c>
      <c r="AP29" s="78">
        <v>64.532178999999999</v>
      </c>
      <c r="AQ29" s="78">
        <v>62.667752</v>
      </c>
      <c r="AR29" s="146">
        <v>60.092629000000002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11" t="s">
        <v>1450</v>
      </c>
      <c r="D30" s="38">
        <v>5867547</v>
      </c>
      <c r="E30" s="38">
        <v>61171040</v>
      </c>
      <c r="F30" s="38">
        <v>959344</v>
      </c>
      <c r="G30" s="39">
        <v>994503898</v>
      </c>
      <c r="H30" s="41">
        <v>57.130594000000002</v>
      </c>
      <c r="I30" s="52">
        <v>123.493318</v>
      </c>
      <c r="J30" s="41">
        <v>35</v>
      </c>
      <c r="K30" s="42"/>
      <c r="L30" s="48">
        <v>20.122519</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AO30" s="77" t="s">
        <v>1450</v>
      </c>
      <c r="AP30" s="78">
        <v>33.566386000000001</v>
      </c>
      <c r="AQ30" s="78">
        <v>29.500713000000001</v>
      </c>
      <c r="AR30" s="146">
        <v>26.508717000000001</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1445</v>
      </c>
      <c r="D31" s="38">
        <v>2148791</v>
      </c>
      <c r="E31" s="38">
        <v>155750262</v>
      </c>
      <c r="F31" s="38">
        <v>286585</v>
      </c>
      <c r="G31" s="39">
        <v>147929073</v>
      </c>
      <c r="H31" s="41">
        <v>33.766888999999999</v>
      </c>
      <c r="I31" s="52">
        <v>110.60061399999999</v>
      </c>
      <c r="J31" s="41">
        <v>31.719238000000001</v>
      </c>
      <c r="K31" s="42"/>
      <c r="L31" s="48">
        <v>23.840702</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AO31" s="77" t="s">
        <v>1445</v>
      </c>
      <c r="AP31" s="78">
        <v>44.298772</v>
      </c>
      <c r="AQ31" s="78">
        <v>38.003773000000002</v>
      </c>
      <c r="AR31" s="146">
        <v>34.437351999999997</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1422</v>
      </c>
      <c r="D32" s="38">
        <v>2622756</v>
      </c>
      <c r="E32" s="38">
        <v>94934908</v>
      </c>
      <c r="F32" s="38">
        <v>900354</v>
      </c>
      <c r="G32" s="39">
        <v>104704438</v>
      </c>
      <c r="H32" s="41">
        <v>23.738012000000001</v>
      </c>
      <c r="I32" s="52">
        <v>31.811346</v>
      </c>
      <c r="J32" s="41">
        <v>23.200935000000001</v>
      </c>
      <c r="K32" s="42"/>
      <c r="L32" s="48">
        <v>17.874461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AO32" s="77" t="s">
        <v>1422</v>
      </c>
      <c r="AP32" s="78">
        <v>31.232164000000001</v>
      </c>
      <c r="AQ32" s="78">
        <v>27.994147000000002</v>
      </c>
      <c r="AR32" s="146">
        <v>25.256180000000001</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1405</v>
      </c>
      <c r="D33" s="38">
        <v>2093449</v>
      </c>
      <c r="E33" s="38">
        <v>52098498</v>
      </c>
      <c r="F33" s="38">
        <v>1140084</v>
      </c>
      <c r="G33" s="39">
        <v>7254227</v>
      </c>
      <c r="H33" s="41">
        <v>17.421547</v>
      </c>
      <c r="I33" s="52">
        <v>23.765003</v>
      </c>
      <c r="J33" s="41">
        <v>17.204273000000001</v>
      </c>
      <c r="K33" s="42"/>
      <c r="L33" s="48">
        <v>14.029244</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AO33" s="77" t="s">
        <v>1405</v>
      </c>
      <c r="AP33" s="146">
        <v>17.693947999999999</v>
      </c>
      <c r="AQ33" s="78">
        <v>17.725624</v>
      </c>
      <c r="AR33" s="78">
        <v>17.760722999999999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AO34" s="116" t="s">
        <v>5</v>
      </c>
      <c r="AP34" s="78">
        <v>32.667997999999997</v>
      </c>
      <c r="AQ34" s="78">
        <v>24.962723</v>
      </c>
      <c r="AR34" s="146">
        <v>20.012726000000001</v>
      </c>
      <c r="AT34" t="s">
        <v>4034</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1423</v>
      </c>
      <c r="D35" s="38">
        <v>7570051</v>
      </c>
      <c r="E35" s="38">
        <v>43881980</v>
      </c>
      <c r="F35" s="38">
        <v>5669991</v>
      </c>
      <c r="G35" s="39">
        <v>41148109</v>
      </c>
      <c r="H35" s="41">
        <v>12.697224</v>
      </c>
      <c r="I35" s="52">
        <v>4.7210000000000001</v>
      </c>
      <c r="J35" s="41">
        <v>12.267455</v>
      </c>
      <c r="K35" s="42"/>
      <c r="L35" s="48">
        <v>2.3150789999999999</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AO35" s="77" t="s">
        <v>1423</v>
      </c>
      <c r="AP35" s="78">
        <v>13.161386</v>
      </c>
      <c r="AQ35" s="146">
        <v>13.086696</v>
      </c>
      <c r="AR35" s="78">
        <v>13.145464</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1438</v>
      </c>
      <c r="D36" s="38">
        <v>7891015</v>
      </c>
      <c r="E36" s="38">
        <v>127830770</v>
      </c>
      <c r="F36" s="38">
        <v>3636005</v>
      </c>
      <c r="G36" s="39">
        <v>52252646</v>
      </c>
      <c r="H36" s="41">
        <v>11.282028</v>
      </c>
      <c r="I36" s="52">
        <v>2.9514300000000002</v>
      </c>
      <c r="J36" s="41">
        <v>10.717722999999999</v>
      </c>
      <c r="K36" s="42"/>
      <c r="L36" s="48">
        <v>2.0402999999999998</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AO36" s="77" t="s">
        <v>1438</v>
      </c>
      <c r="AP36" s="78">
        <v>12.084013000000001</v>
      </c>
      <c r="AQ36" s="78">
        <v>11.82198</v>
      </c>
      <c r="AR36" s="146">
        <v>11.731083999999999</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1436</v>
      </c>
      <c r="D37" s="38">
        <v>3790750</v>
      </c>
      <c r="E37" s="38">
        <v>44273578</v>
      </c>
      <c r="F37" s="38">
        <v>866662</v>
      </c>
      <c r="G37" s="39">
        <v>489911259</v>
      </c>
      <c r="H37" s="41">
        <v>11.255535999999999</v>
      </c>
      <c r="I37" s="52">
        <v>72.252588000000003</v>
      </c>
      <c r="J37" s="41">
        <v>11.012378999999999</v>
      </c>
      <c r="K37" s="42"/>
      <c r="L37" s="48">
        <v>12.491521000000001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AO37" s="116" t="s">
        <v>1436</v>
      </c>
      <c r="AP37" s="78">
        <v>20.474717999999999</v>
      </c>
      <c r="AQ37" s="78">
        <v>18.352577</v>
      </c>
      <c r="AR37" s="146">
        <v>16.848234000000001</v>
      </c>
      <c r="AT37" t="s">
        <v>4034</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AO38" s="77" t="s">
        <v>1414</v>
      </c>
      <c r="AP38" s="78">
        <v>13.964745000000001</v>
      </c>
      <c r="AQ38" s="78">
        <v>11.749542999999999</v>
      </c>
      <c r="AR38" s="146">
        <v>10.476564</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1431</v>
      </c>
      <c r="D39" s="38">
        <v>4579069</v>
      </c>
      <c r="E39" s="38">
        <v>12530086</v>
      </c>
      <c r="F39" s="38">
        <v>4043326</v>
      </c>
      <c r="G39" s="39">
        <v>6015927</v>
      </c>
      <c r="H39" s="41">
        <v>7.7896460000000003</v>
      </c>
      <c r="I39" s="52">
        <v>0.93807399999999996</v>
      </c>
      <c r="J39" s="40">
        <v>6.9008060000000002</v>
      </c>
      <c r="K39" s="42"/>
      <c r="L39" s="48">
        <v>0.93605400000000005</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AO39" s="77" t="s">
        <v>1431</v>
      </c>
      <c r="AP39" s="78">
        <v>7.8232140000000001</v>
      </c>
      <c r="AQ39" s="78">
        <v>7.9384430000000004</v>
      </c>
      <c r="AR39" s="146">
        <v>7.5581139999999998</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1391</v>
      </c>
      <c r="D40" s="38">
        <v>8482737</v>
      </c>
      <c r="E40" s="38">
        <v>23585644</v>
      </c>
      <c r="F40" s="38">
        <v>8421430</v>
      </c>
      <c r="G40" s="39">
        <v>12043741</v>
      </c>
      <c r="H40" s="41">
        <v>7.652196</v>
      </c>
      <c r="I40" s="52">
        <v>0.89532500000000004</v>
      </c>
      <c r="J40" s="40">
        <v>7.3661770000000004</v>
      </c>
      <c r="K40" s="42"/>
      <c r="L40" s="48">
        <v>0.873803</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AO40" s="77" t="s">
        <v>1391</v>
      </c>
      <c r="AP40" s="146">
        <v>7.9266969999999999</v>
      </c>
      <c r="AQ40" s="78">
        <v>8.0538519999999991</v>
      </c>
      <c r="AR40" s="78">
        <v>8.0061540000000004</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2</v>
      </c>
      <c r="D41" s="38">
        <v>4382070</v>
      </c>
      <c r="E41" s="38">
        <v>38996662</v>
      </c>
      <c r="F41" s="38">
        <v>699764</v>
      </c>
      <c r="G41" s="39">
        <v>287608260</v>
      </c>
      <c r="H41" s="41">
        <v>7.5799459999999996</v>
      </c>
      <c r="I41" s="52">
        <v>38.782924999999999</v>
      </c>
      <c r="J41" s="41">
        <v>7.4260539999999997</v>
      </c>
      <c r="K41" s="42"/>
      <c r="L41" s="48">
        <v>8.0992370000000005</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AO41" s="77" t="s">
        <v>2</v>
      </c>
      <c r="AP41" s="78">
        <v>12.588696000000001</v>
      </c>
      <c r="AQ41" s="78">
        <v>14.476660000000001</v>
      </c>
      <c r="AR41" s="146">
        <v>10.712068</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1</v>
      </c>
      <c r="D42" s="38">
        <v>18268991</v>
      </c>
      <c r="E42" s="38">
        <v>253780418</v>
      </c>
      <c r="F42" s="38">
        <v>612308</v>
      </c>
      <c r="G42" s="39">
        <v>240680701</v>
      </c>
      <c r="H42" s="41">
        <v>6.968604</v>
      </c>
      <c r="I42" s="52">
        <v>45.206122000000001</v>
      </c>
      <c r="J42" s="41">
        <v>6.9283619999999999</v>
      </c>
      <c r="K42" s="42"/>
      <c r="L42" s="48">
        <v>10.693218999999999</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AO42" s="77" t="s">
        <v>1</v>
      </c>
      <c r="AP42" s="78">
        <v>13.445164999999999</v>
      </c>
      <c r="AQ42" s="78">
        <v>11.850719</v>
      </c>
      <c r="AR42" s="146">
        <v>9.3214760000000005</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1449</v>
      </c>
      <c r="D43" s="38">
        <v>4799646</v>
      </c>
      <c r="E43" s="38">
        <v>63844012</v>
      </c>
      <c r="F43" s="38">
        <v>1076572</v>
      </c>
      <c r="G43" s="39">
        <v>157475935</v>
      </c>
      <c r="H43" s="41">
        <v>6.8452809999999999</v>
      </c>
      <c r="I43" s="52">
        <v>23.708839000000001</v>
      </c>
      <c r="J43" s="41">
        <v>5.0708260000000003</v>
      </c>
      <c r="K43" s="42"/>
      <c r="L43" s="48">
        <v>7.6292460000000002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AO43" s="77" t="s">
        <v>1449</v>
      </c>
      <c r="AP43" s="78">
        <v>7.7751479999999997</v>
      </c>
      <c r="AQ43" s="78">
        <v>7.3410700000000002</v>
      </c>
      <c r="AR43" s="146">
        <v>6.7645090000000003</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AO44" s="77" t="s">
        <v>1440</v>
      </c>
      <c r="AP44" s="78">
        <v>6.7338509999999996</v>
      </c>
      <c r="AQ44" s="78">
        <v>6.460134</v>
      </c>
      <c r="AR44" s="146">
        <v>6.3358189999999999</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1409</v>
      </c>
      <c r="D45" s="38">
        <v>3411795</v>
      </c>
      <c r="E45" s="38">
        <v>26854686</v>
      </c>
      <c r="F45" s="38">
        <v>2487058</v>
      </c>
      <c r="G45" s="39">
        <v>8209611</v>
      </c>
      <c r="H45" s="41">
        <v>4.5660360000000004</v>
      </c>
      <c r="I45" s="52">
        <v>0.94574000000000003</v>
      </c>
      <c r="J45" s="40">
        <v>2.5636969999999999</v>
      </c>
      <c r="K45" s="42"/>
      <c r="L45" s="48">
        <v>0.85847099999999998</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AO45" s="77" t="s">
        <v>1409</v>
      </c>
      <c r="AP45" s="146">
        <v>3.2835920000000001</v>
      </c>
      <c r="AQ45" s="78">
        <v>3.2967770000000001</v>
      </c>
      <c r="AR45" s="78">
        <v>3.352395</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1447</v>
      </c>
      <c r="D46" s="38">
        <v>7489073</v>
      </c>
      <c r="E46" s="38">
        <v>224610814</v>
      </c>
      <c r="F46" s="38">
        <v>1053720</v>
      </c>
      <c r="G46" s="39">
        <v>148627058</v>
      </c>
      <c r="H46" s="41">
        <v>4.1408459999999998</v>
      </c>
      <c r="I46" s="52">
        <v>37.416477</v>
      </c>
      <c r="J46" s="41">
        <v>3.9712429999999999</v>
      </c>
      <c r="K46" s="42"/>
      <c r="L46" s="48">
        <v>5.235112</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AO46" s="77" t="s">
        <v>1447</v>
      </c>
      <c r="AP46" s="78">
        <v>7.5447680000000004</v>
      </c>
      <c r="AQ46" s="78">
        <v>6.5274619999999999</v>
      </c>
      <c r="AR46" s="146">
        <v>5.4487550000000002</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4</v>
      </c>
      <c r="D47" s="38">
        <v>1203995</v>
      </c>
      <c r="E47" s="38">
        <v>40033816</v>
      </c>
      <c r="F47" s="38">
        <v>81090</v>
      </c>
      <c r="G47" s="39">
        <v>148294115</v>
      </c>
      <c r="H47" s="41">
        <v>3.9173870000000002</v>
      </c>
      <c r="I47" s="52">
        <v>28.647296999999998</v>
      </c>
      <c r="J47" s="41">
        <v>3.7129669999999999</v>
      </c>
      <c r="K47" s="42"/>
      <c r="L47" s="48">
        <v>7.8326770000000003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AO47" s="77" t="s">
        <v>4</v>
      </c>
      <c r="AP47" s="78">
        <v>8.5708660000000005</v>
      </c>
      <c r="AQ47" s="78">
        <v>6.9221019999999998</v>
      </c>
      <c r="AR47" s="146">
        <v>6.2284980000000001</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1461</v>
      </c>
      <c r="D48" s="38">
        <v>33777768</v>
      </c>
      <c r="E48" s="38">
        <v>274478882</v>
      </c>
      <c r="F48" s="38">
        <v>1057783</v>
      </c>
      <c r="G48" s="39">
        <v>152479402</v>
      </c>
      <c r="H48" s="41">
        <v>3.8363990000000001</v>
      </c>
      <c r="I48" s="52">
        <v>18.665141999999999</v>
      </c>
      <c r="J48" s="40">
        <v>4.2303030000000001</v>
      </c>
      <c r="K48" s="42"/>
      <c r="L48" s="48">
        <v>7.6161149999999997</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AO48" s="77" t="s">
        <v>1461</v>
      </c>
      <c r="AP48" s="78">
        <v>6.0517450000000004</v>
      </c>
      <c r="AQ48" s="78">
        <v>5.2383490000000004</v>
      </c>
      <c r="AR48" s="146">
        <v>5.086544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1433</v>
      </c>
      <c r="D49" s="38">
        <v>2646291</v>
      </c>
      <c r="E49" s="38">
        <v>42433496</v>
      </c>
      <c r="F49" s="38">
        <v>850681</v>
      </c>
      <c r="G49" s="39">
        <v>110149144</v>
      </c>
      <c r="H49" s="41">
        <v>3.8337750000000002</v>
      </c>
      <c r="I49" s="52">
        <v>15.348898999999999</v>
      </c>
      <c r="J49" s="40">
        <v>3.679964</v>
      </c>
      <c r="K49" s="42"/>
      <c r="L49" s="48">
        <v>4.8238430000000001</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AO49" s="77" t="s">
        <v>1433</v>
      </c>
      <c r="AP49" s="78">
        <v>5.5699509999999997</v>
      </c>
      <c r="AQ49" s="78">
        <v>5.4812570000000003</v>
      </c>
      <c r="AR49" s="146">
        <v>5.1453819999999997</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1404</v>
      </c>
      <c r="D50" s="38">
        <v>2939627</v>
      </c>
      <c r="E50" s="38">
        <v>20974994</v>
      </c>
      <c r="F50" s="38">
        <v>916719</v>
      </c>
      <c r="G50" s="39">
        <v>49558992</v>
      </c>
      <c r="H50" s="41">
        <v>3.7311160000000001</v>
      </c>
      <c r="I50" s="52">
        <v>5.7104470000000003</v>
      </c>
      <c r="J50" s="40">
        <v>3.2534559999999999</v>
      </c>
      <c r="K50" s="42"/>
      <c r="L50" s="48">
        <v>2.0374910000000002</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AO50" s="77" t="s">
        <v>1404</v>
      </c>
      <c r="AP50" s="78">
        <v>4.6500659999999998</v>
      </c>
      <c r="AQ50" s="78">
        <v>4.2792620000000001</v>
      </c>
      <c r="AR50" s="146">
        <v>4.2346159999999999</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1448</v>
      </c>
      <c r="D51" s="38">
        <v>5267977</v>
      </c>
      <c r="E51" s="38">
        <v>55363430</v>
      </c>
      <c r="F51" s="38">
        <v>590528</v>
      </c>
      <c r="G51" s="39">
        <v>99655585</v>
      </c>
      <c r="H51" s="41">
        <v>3.4353509999999998</v>
      </c>
      <c r="I51" s="52">
        <v>16.841013</v>
      </c>
      <c r="J51" s="40">
        <v>3.20539</v>
      </c>
      <c r="K51" s="42"/>
      <c r="L51" s="48">
        <v>5.4122669999999999</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AO51" s="77" t="s">
        <v>1448</v>
      </c>
      <c r="AP51" s="78">
        <v>5.7697799999999999</v>
      </c>
      <c r="AQ51" s="78">
        <v>4.8103480000000003</v>
      </c>
      <c r="AR51" s="146">
        <v>4.4678779999999998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11</v>
      </c>
      <c r="D52" s="38">
        <v>2394385</v>
      </c>
      <c r="E52" s="38">
        <v>9319130</v>
      </c>
      <c r="F52" s="38">
        <v>100029</v>
      </c>
      <c r="G52" s="39">
        <v>86333306</v>
      </c>
      <c r="H52" s="41">
        <v>3.3782510000000001</v>
      </c>
      <c r="I52" s="52">
        <v>11.48353</v>
      </c>
      <c r="J52" s="40">
        <v>1.765601</v>
      </c>
      <c r="K52" s="42"/>
      <c r="L52" s="48">
        <v>2.5116809999999998</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AO52" s="77" t="s">
        <v>11</v>
      </c>
      <c r="AP52" s="78">
        <v>3.8667319999999998</v>
      </c>
      <c r="AQ52" s="78">
        <v>3.493598</v>
      </c>
      <c r="AR52" s="146">
        <v>3.2306919999999999</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AO53" s="77" t="s">
        <v>1425</v>
      </c>
      <c r="AP53" s="78">
        <v>4.2081900000000001</v>
      </c>
      <c r="AQ53" s="146">
        <v>3.8599019999999999</v>
      </c>
      <c r="AR53" s="78">
        <v>4.116053</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9" t="s">
        <v>1434</v>
      </c>
      <c r="D54" s="38">
        <v>7825669</v>
      </c>
      <c r="E54" s="38">
        <v>124492028</v>
      </c>
      <c r="F54" s="38">
        <v>204282</v>
      </c>
      <c r="G54" s="39">
        <v>74995873</v>
      </c>
      <c r="H54" s="41">
        <v>2.4138410000000001</v>
      </c>
      <c r="I54" s="52">
        <v>11.794521</v>
      </c>
      <c r="J54" s="40">
        <v>2.4274909999999998</v>
      </c>
      <c r="K54" s="42"/>
      <c r="L54" s="48">
        <v>4.758845</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AO54" s="77" t="s">
        <v>1434</v>
      </c>
      <c r="AP54" s="78">
        <v>5.0392320000000002</v>
      </c>
      <c r="AQ54" s="78">
        <v>4.5123189999999997</v>
      </c>
      <c r="AR54" s="146">
        <v>3.6422150000000002</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22" t="s">
        <v>3920</v>
      </c>
      <c r="D55" s="38">
        <v>1632803</v>
      </c>
      <c r="E55" s="38">
        <v>44603928</v>
      </c>
      <c r="F55" s="38">
        <v>14854</v>
      </c>
      <c r="G55" s="39">
        <v>19376873</v>
      </c>
      <c r="H55" s="41">
        <v>2.154563</v>
      </c>
      <c r="I55" s="52">
        <v>2.2659929999999999</v>
      </c>
      <c r="J55" s="40">
        <v>0.34845199999999998</v>
      </c>
      <c r="K55" s="42"/>
      <c r="L55" s="48">
        <v>0.96733800000000003</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AO55" s="77" t="s">
        <v>3920</v>
      </c>
      <c r="AP55" s="78">
        <v>2.402288</v>
      </c>
      <c r="AQ55" s="146">
        <v>1.1485879999999999</v>
      </c>
      <c r="AR55" s="78">
        <v>1.1681729999999999</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1411</v>
      </c>
      <c r="D56" s="38">
        <v>3496954</v>
      </c>
      <c r="E56" s="38">
        <v>27305086</v>
      </c>
      <c r="F56" s="38">
        <v>2187803</v>
      </c>
      <c r="G56" s="39">
        <v>12230903</v>
      </c>
      <c r="H56" s="41">
        <v>1.9853620000000001</v>
      </c>
      <c r="I56" s="52">
        <v>0.65300999999999998</v>
      </c>
      <c r="J56" s="40">
        <v>1.808211</v>
      </c>
      <c r="K56" s="42"/>
      <c r="L56" s="48">
        <v>0.72130399999999995</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AO56" s="77" t="s">
        <v>1411</v>
      </c>
      <c r="AP56" s="78">
        <v>3.4687429999999999</v>
      </c>
      <c r="AQ56" s="146">
        <v>2.591666</v>
      </c>
      <c r="AR56" s="78">
        <v>3.5129899999999998</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1462</v>
      </c>
      <c r="D57" s="38">
        <v>33778221</v>
      </c>
      <c r="E57" s="38">
        <v>203595714</v>
      </c>
      <c r="F57" s="38">
        <v>29319</v>
      </c>
      <c r="G57" s="39">
        <v>103359042</v>
      </c>
      <c r="H57" s="41">
        <v>1.6937089999999999</v>
      </c>
      <c r="I57" s="52">
        <v>25.699197000000002</v>
      </c>
      <c r="J57" s="40">
        <v>2.310222</v>
      </c>
      <c r="K57" s="42"/>
      <c r="L57" s="48">
        <v>7.0814329999999996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AO57" s="77" t="s">
        <v>1462</v>
      </c>
      <c r="AP57" s="78">
        <v>2.611996</v>
      </c>
      <c r="AQ57" s="146">
        <v>2.327521</v>
      </c>
      <c r="AR57" s="78">
        <v>3.254823</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1408</v>
      </c>
      <c r="D58" s="38">
        <v>4063587</v>
      </c>
      <c r="E58" s="38">
        <v>17652554</v>
      </c>
      <c r="F58" s="38">
        <v>4059644</v>
      </c>
      <c r="G58" s="39">
        <v>8823479</v>
      </c>
      <c r="H58" s="41">
        <v>1.682345</v>
      </c>
      <c r="I58" s="52">
        <v>0.16831399999999999</v>
      </c>
      <c r="J58" s="40">
        <v>1.5356030000000001</v>
      </c>
      <c r="K58" s="42"/>
      <c r="L58" s="48">
        <v>0.108086</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AO58" s="77" t="s">
        <v>1408</v>
      </c>
      <c r="AP58" s="78">
        <v>2.2859129999999999</v>
      </c>
      <c r="AQ58" s="78">
        <v>2.2792669999999999</v>
      </c>
      <c r="AR58" s="146">
        <v>2.2744740000000001</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22" t="s">
        <v>3912</v>
      </c>
      <c r="D59" s="38">
        <v>4033138</v>
      </c>
      <c r="E59" s="38">
        <v>55866126</v>
      </c>
      <c r="F59" s="38">
        <v>2651</v>
      </c>
      <c r="G59" s="39">
        <v>38413666</v>
      </c>
      <c r="H59" s="41">
        <v>1.571016</v>
      </c>
      <c r="I59" s="52">
        <v>6.711659</v>
      </c>
      <c r="J59" s="40">
        <v>1.4397960000000001</v>
      </c>
      <c r="K59" s="42"/>
      <c r="L59" s="48">
        <v>4.0897119999999996</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AO59" s="77" t="s">
        <v>3912</v>
      </c>
      <c r="AP59" s="78">
        <v>2.6181109999999999</v>
      </c>
      <c r="AQ59" s="146">
        <v>2.3589120000000001</v>
      </c>
      <c r="AR59" s="78">
        <v>2.4806240000000002</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AO60" s="77" t="s">
        <v>1437</v>
      </c>
      <c r="AP60" s="78">
        <v>2.3037390000000002</v>
      </c>
      <c r="AQ60" s="78">
        <v>2.2455539999999998</v>
      </c>
      <c r="AR60" s="146">
        <v>2.2039140000000002</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3917</v>
      </c>
      <c r="D61" s="38">
        <v>1791489</v>
      </c>
      <c r="E61" s="38">
        <v>50888414</v>
      </c>
      <c r="F61" s="38">
        <v>238342</v>
      </c>
      <c r="G61" s="39">
        <v>27229873</v>
      </c>
      <c r="H61" s="41">
        <v>1.3038989999999999</v>
      </c>
      <c r="I61" s="52">
        <v>4.5417589999999999</v>
      </c>
      <c r="J61" s="40">
        <v>1.1079509999999999</v>
      </c>
      <c r="K61" s="42"/>
      <c r="L61" s="48">
        <v>1.3929849999999999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AO61" s="77" t="s">
        <v>3917</v>
      </c>
      <c r="AP61" s="78">
        <v>2.4666739999999998</v>
      </c>
      <c r="AQ61" s="78">
        <v>2.299417</v>
      </c>
      <c r="AR61" s="146">
        <v>1.9127430000000001</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11" t="s">
        <v>1346</v>
      </c>
      <c r="D62" s="38">
        <v>1696415</v>
      </c>
      <c r="E62" s="38">
        <v>22190596</v>
      </c>
      <c r="F62" s="38">
        <v>35455</v>
      </c>
      <c r="G62" s="39">
        <v>37322355</v>
      </c>
      <c r="H62" s="41">
        <v>1.300643</v>
      </c>
      <c r="I62" s="52">
        <v>7.0529869999999999</v>
      </c>
      <c r="J62" s="40">
        <v>1.085415</v>
      </c>
      <c r="K62" s="42"/>
      <c r="L62" s="48">
        <v>2.076346</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AO62" s="77" t="s">
        <v>1346</v>
      </c>
      <c r="AP62" s="78">
        <v>2.4157470000000001</v>
      </c>
      <c r="AQ62" s="78">
        <v>2.1838299999999999</v>
      </c>
      <c r="AR62" s="146">
        <v>2.0846650000000002</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9" t="s">
        <v>1402</v>
      </c>
      <c r="D63" s="38">
        <v>2132864</v>
      </c>
      <c r="E63" s="38">
        <v>17441248</v>
      </c>
      <c r="F63" s="38">
        <v>306136</v>
      </c>
      <c r="G63" s="39">
        <v>11329220</v>
      </c>
      <c r="H63" s="41">
        <v>0.99414100000000005</v>
      </c>
      <c r="I63" s="52">
        <v>1.8110040000000001</v>
      </c>
      <c r="J63" s="40">
        <v>0.791018</v>
      </c>
      <c r="K63" s="42"/>
      <c r="L63" s="48">
        <v>1.1210039999999999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AO63" s="77" t="s">
        <v>1402</v>
      </c>
      <c r="AP63" s="78">
        <v>1.66544</v>
      </c>
      <c r="AQ63" s="78">
        <v>1.6737820000000001</v>
      </c>
      <c r="AR63" s="146">
        <v>1.602886</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9" t="s">
        <v>1371</v>
      </c>
      <c r="D64" s="38">
        <v>2140198</v>
      </c>
      <c r="E64" s="38">
        <v>34029892</v>
      </c>
      <c r="F64" s="38">
        <v>97848</v>
      </c>
      <c r="G64" s="39">
        <v>19365288</v>
      </c>
      <c r="H64" s="41">
        <v>0.85894899999999996</v>
      </c>
      <c r="I64" s="52">
        <v>3.3648449999999999</v>
      </c>
      <c r="J64" s="40">
        <v>0.71303899999999998</v>
      </c>
      <c r="K64" s="42"/>
      <c r="L64" s="48">
        <v>1.127974</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AO64" s="77" t="s">
        <v>1371</v>
      </c>
      <c r="AP64" s="78">
        <v>1.7990200000000001</v>
      </c>
      <c r="AQ64" s="78">
        <v>1.5453190000000001</v>
      </c>
      <c r="AR64" s="146">
        <v>1.5209250000000001</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3919</v>
      </c>
      <c r="D65" s="38">
        <v>2937612</v>
      </c>
      <c r="E65" s="38">
        <v>41919708</v>
      </c>
      <c r="F65" s="38">
        <v>4356</v>
      </c>
      <c r="G65" s="39">
        <v>27593398</v>
      </c>
      <c r="H65" s="41">
        <v>0.62366100000000002</v>
      </c>
      <c r="I65" s="52">
        <v>3.6801520000000001</v>
      </c>
      <c r="J65" s="40">
        <v>0.48078500000000002</v>
      </c>
      <c r="K65" s="42"/>
      <c r="L65" s="48">
        <v>1.075196</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AO65" s="77" t="s">
        <v>3919</v>
      </c>
      <c r="AP65" s="78">
        <v>1.462917</v>
      </c>
      <c r="AQ65" s="146">
        <v>1.318945</v>
      </c>
      <c r="AR65" s="78">
        <v>1.3714489999999999</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60"/>
      <c r="I4" s="160"/>
      <c r="J4" s="160"/>
      <c r="K4" s="160"/>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109" t="s">
        <v>25</v>
      </c>
      <c r="B4" s="109" t="s">
        <v>13</v>
      </c>
      <c r="C4" s="109" t="s">
        <v>14</v>
      </c>
      <c r="D4" s="109" t="s">
        <v>3997</v>
      </c>
      <c r="E4" s="109" t="s">
        <v>15</v>
      </c>
    </row>
    <row r="5" spans="1:5" ht="22" x14ac:dyDescent="0.3">
      <c r="A5" s="140" t="s">
        <v>1346</v>
      </c>
      <c r="B5" s="139">
        <v>1696415</v>
      </c>
      <c r="C5" s="139">
        <v>22190596</v>
      </c>
      <c r="D5" s="139">
        <v>13.080877025963575</v>
      </c>
      <c r="E5" s="139">
        <v>35455</v>
      </c>
    </row>
    <row r="6" spans="1:5" ht="22" x14ac:dyDescent="0.3">
      <c r="A6" s="140" t="s">
        <v>1</v>
      </c>
      <c r="B6" s="139">
        <v>18268991</v>
      </c>
      <c r="C6" s="139">
        <v>253780418</v>
      </c>
      <c r="D6" s="139">
        <v>13.891320982094742</v>
      </c>
      <c r="E6" s="139">
        <v>612308</v>
      </c>
    </row>
    <row r="7" spans="1:5" ht="22" x14ac:dyDescent="0.3">
      <c r="A7" s="140" t="s">
        <v>1461</v>
      </c>
      <c r="B7" s="139">
        <v>33777768</v>
      </c>
      <c r="C7" s="139">
        <v>274478882</v>
      </c>
      <c r="D7" s="139">
        <v>8.1260218851642296</v>
      </c>
      <c r="E7" s="139">
        <v>1057783</v>
      </c>
    </row>
    <row r="8" spans="1:5" ht="22" x14ac:dyDescent="0.3">
      <c r="A8" s="140" t="s">
        <v>1391</v>
      </c>
      <c r="B8" s="139">
        <v>8482737</v>
      </c>
      <c r="C8" s="139">
        <v>23585644</v>
      </c>
      <c r="D8" s="139">
        <v>2.7804285338564663</v>
      </c>
      <c r="E8" s="139">
        <v>8421430</v>
      </c>
    </row>
    <row r="9" spans="1:5" ht="22" x14ac:dyDescent="0.3">
      <c r="A9" s="140" t="s">
        <v>1440</v>
      </c>
      <c r="B9" s="139">
        <v>5812931</v>
      </c>
      <c r="C9" s="139">
        <v>54238524</v>
      </c>
      <c r="D9" s="139">
        <v>9.3306670937604448</v>
      </c>
      <c r="E9" s="139">
        <v>3504033</v>
      </c>
    </row>
    <row r="10" spans="1:5" ht="22" x14ac:dyDescent="0.3">
      <c r="A10" s="140" t="s">
        <v>1450</v>
      </c>
      <c r="B10" s="139">
        <v>5867547</v>
      </c>
      <c r="C10" s="139">
        <v>61171040</v>
      </c>
      <c r="D10" s="139">
        <v>10.425317428220003</v>
      </c>
      <c r="E10" s="139">
        <v>959344</v>
      </c>
    </row>
    <row r="11" spans="1:5" ht="22" x14ac:dyDescent="0.3">
      <c r="A11" s="140" t="s">
        <v>1455</v>
      </c>
      <c r="B11" s="139">
        <v>8833229</v>
      </c>
      <c r="C11" s="139">
        <v>105882456</v>
      </c>
      <c r="D11" s="139">
        <v>11.986834712425093</v>
      </c>
      <c r="E11" s="139">
        <v>2126384</v>
      </c>
    </row>
    <row r="12" spans="1:5" ht="22" x14ac:dyDescent="0.3">
      <c r="A12" s="140" t="s">
        <v>1409</v>
      </c>
      <c r="B12" s="139">
        <v>3411795</v>
      </c>
      <c r="C12" s="139">
        <v>26854686</v>
      </c>
      <c r="D12" s="139">
        <v>7.8711311787490166</v>
      </c>
      <c r="E12" s="139">
        <v>2487058</v>
      </c>
    </row>
    <row r="13" spans="1:5" ht="22" x14ac:dyDescent="0.3">
      <c r="A13" s="140" t="s">
        <v>1449</v>
      </c>
      <c r="B13" s="139">
        <v>4799646</v>
      </c>
      <c r="C13" s="139">
        <v>63844012</v>
      </c>
      <c r="D13" s="139">
        <v>13.301816842325454</v>
      </c>
      <c r="E13" s="139">
        <v>1076572</v>
      </c>
    </row>
    <row r="14" spans="1:5" ht="22" x14ac:dyDescent="0.3">
      <c r="A14" s="140" t="s">
        <v>1437</v>
      </c>
      <c r="B14" s="139">
        <v>2981204</v>
      </c>
      <c r="C14" s="139">
        <v>42832752</v>
      </c>
      <c r="D14" s="139">
        <v>14.367601814568879</v>
      </c>
      <c r="E14" s="139">
        <v>385104</v>
      </c>
    </row>
    <row r="15" spans="1:5" ht="22" x14ac:dyDescent="0.3">
      <c r="A15" s="140" t="s">
        <v>1408</v>
      </c>
      <c r="B15" s="139">
        <v>4063587</v>
      </c>
      <c r="C15" s="139">
        <v>17652554</v>
      </c>
      <c r="D15" s="139">
        <v>4.344081718934528</v>
      </c>
      <c r="E15" s="139">
        <v>4059644</v>
      </c>
    </row>
    <row r="16" spans="1:5" ht="22" x14ac:dyDescent="0.3">
      <c r="A16" s="140" t="s">
        <v>1436</v>
      </c>
      <c r="B16" s="139">
        <v>3790750</v>
      </c>
      <c r="C16" s="139">
        <v>44273578</v>
      </c>
      <c r="D16" s="139">
        <v>11.679371628305745</v>
      </c>
      <c r="E16" s="139">
        <v>866662</v>
      </c>
    </row>
    <row r="17" spans="1:5" ht="22" x14ac:dyDescent="0.3">
      <c r="A17" s="140" t="s">
        <v>1433</v>
      </c>
      <c r="B17" s="139">
        <v>2646291</v>
      </c>
      <c r="C17" s="139">
        <v>42433496</v>
      </c>
      <c r="D17" s="139">
        <f>Table2123242526[[#This Row],[E]]/Table2123242526[[#This Row],[V]]</f>
        <v>29.991804593171945</v>
      </c>
      <c r="E17" s="139">
        <v>850681</v>
      </c>
    </row>
    <row r="18" spans="1:5" ht="22" x14ac:dyDescent="0.3">
      <c r="A18" s="140" t="s">
        <v>1448</v>
      </c>
      <c r="B18" s="139">
        <v>5267977</v>
      </c>
      <c r="C18" s="139">
        <v>55363430</v>
      </c>
      <c r="D18" s="139">
        <v>10.509428951569074</v>
      </c>
      <c r="E18" s="139">
        <v>590528</v>
      </c>
    </row>
    <row r="19" spans="1:5" ht="22" x14ac:dyDescent="0.3">
      <c r="A19" s="140" t="s">
        <v>1431</v>
      </c>
      <c r="B19" s="139">
        <v>4579069</v>
      </c>
      <c r="C19" s="139">
        <v>12530086</v>
      </c>
      <c r="D19" s="139">
        <v>2.7363828760824527</v>
      </c>
      <c r="E19" s="139">
        <v>4043326</v>
      </c>
    </row>
    <row r="20" spans="1:5" ht="22" x14ac:dyDescent="0.3">
      <c r="A20" s="140" t="s">
        <v>1423</v>
      </c>
      <c r="B20" s="139">
        <v>7570051</v>
      </c>
      <c r="C20" s="139">
        <v>43881980</v>
      </c>
      <c r="D20" s="139">
        <v>5.7967878948239582</v>
      </c>
      <c r="E20" s="139">
        <v>5669991</v>
      </c>
    </row>
    <row r="21" spans="1:5" ht="22" x14ac:dyDescent="0.3">
      <c r="A21" s="140" t="s">
        <v>1411</v>
      </c>
      <c r="B21" s="139">
        <v>3496954</v>
      </c>
      <c r="C21" s="139">
        <v>27305086</v>
      </c>
      <c r="D21" s="139">
        <v>7.808248550023821</v>
      </c>
      <c r="E21" s="139">
        <v>2187803</v>
      </c>
    </row>
    <row r="22" spans="1:5" ht="22" x14ac:dyDescent="0.3">
      <c r="A22" s="140" t="s">
        <v>1425</v>
      </c>
      <c r="B22" s="139">
        <v>5005932</v>
      </c>
      <c r="C22" s="139">
        <v>33083838</v>
      </c>
      <c r="D22" s="139">
        <v>6.6089267692809255</v>
      </c>
      <c r="E22" s="139">
        <v>1208022</v>
      </c>
    </row>
    <row r="23" spans="1:5" ht="22" x14ac:dyDescent="0.3">
      <c r="A23" s="141" t="s">
        <v>3912</v>
      </c>
      <c r="B23" s="139">
        <v>4033138</v>
      </c>
      <c r="C23" s="139">
        <v>55866126</v>
      </c>
      <c r="D23" s="139">
        <v>13.851776457934244</v>
      </c>
      <c r="E23" s="139">
        <v>2651</v>
      </c>
    </row>
    <row r="24" spans="1:5" ht="22" x14ac:dyDescent="0.3">
      <c r="A24" s="141" t="s">
        <v>3919</v>
      </c>
      <c r="B24" s="139">
        <v>2937612</v>
      </c>
      <c r="C24" s="139">
        <v>41919708</v>
      </c>
      <c r="D24" s="139">
        <v>14.269994812112696</v>
      </c>
      <c r="E24" s="139">
        <v>4356</v>
      </c>
    </row>
    <row r="25" spans="1:5" ht="22" x14ac:dyDescent="0.3">
      <c r="A25" s="141" t="s">
        <v>18</v>
      </c>
      <c r="B25" s="139">
        <v>27665730</v>
      </c>
      <c r="C25" s="139">
        <v>281227494</v>
      </c>
      <c r="D25" s="139">
        <v>10.165193327629526</v>
      </c>
      <c r="E25" s="139">
        <v>11571953</v>
      </c>
    </row>
    <row r="26" spans="1:5" ht="22" x14ac:dyDescent="0.3">
      <c r="A26" s="141" t="s">
        <v>1438</v>
      </c>
      <c r="B26" s="139">
        <v>7891015</v>
      </c>
      <c r="C26" s="139">
        <v>127830770</v>
      </c>
      <c r="D26" s="139">
        <f>Table2123242526[[#This Row],[E]]/Table2123242526[[#This Row],[V]]</f>
        <v>8.9103145706747853</v>
      </c>
      <c r="E26" s="139">
        <v>3636005</v>
      </c>
    </row>
    <row r="27" spans="1:5" ht="22" x14ac:dyDescent="0.3">
      <c r="A27" s="141" t="s">
        <v>1434</v>
      </c>
      <c r="B27" s="139">
        <v>7825669</v>
      </c>
      <c r="C27" s="139">
        <v>124492028</v>
      </c>
      <c r="D27" s="139">
        <f>Table2123242526[[#This Row],[E]]/Table2123242526[[#This Row],[V]]</f>
        <v>60.275991728557983</v>
      </c>
      <c r="E27" s="139">
        <v>204282</v>
      </c>
    </row>
    <row r="28" spans="1:5" ht="22" x14ac:dyDescent="0.3">
      <c r="A28" s="141"/>
      <c r="B28" s="139"/>
      <c r="C28" s="139"/>
      <c r="D28" s="139"/>
      <c r="E28" s="139"/>
    </row>
    <row r="29" spans="1:5" ht="22" x14ac:dyDescent="0.3">
      <c r="A29" s="140"/>
      <c r="B29" s="139"/>
      <c r="C29" s="139"/>
      <c r="D29" s="139"/>
      <c r="E29" s="139"/>
    </row>
    <row r="30" spans="1:5" ht="22" x14ac:dyDescent="0.3">
      <c r="A30" s="140"/>
      <c r="B30" s="139"/>
      <c r="C30" s="139"/>
      <c r="D30" s="139"/>
      <c r="E30" s="139"/>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Y1"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110" t="s">
        <v>25</v>
      </c>
      <c r="Y1" s="109" t="s">
        <v>13</v>
      </c>
      <c r="Z1" s="109" t="s">
        <v>14</v>
      </c>
      <c r="AA1" s="109" t="s">
        <v>3997</v>
      </c>
      <c r="AB1" s="109" t="s">
        <v>15</v>
      </c>
      <c r="AC1" s="108" t="s">
        <v>3998</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3977</v>
      </c>
      <c r="R2" t="s">
        <v>3976</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15">
        <v>4579069</v>
      </c>
      <c r="Z6" s="115">
        <v>12530086</v>
      </c>
      <c r="AA6" s="115">
        <f>Table4[[#This Row],[E]]/Table4[[#This Row],[V]]</f>
        <v>2.7363828760824527</v>
      </c>
      <c r="AB6" s="115">
        <v>4043326</v>
      </c>
      <c r="AC6" s="115">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15">
        <v>8482737</v>
      </c>
      <c r="Z7" s="115">
        <v>23585644</v>
      </c>
      <c r="AA7" s="115">
        <f>Table4[[#This Row],[E]]/Table4[[#This Row],[V]]</f>
        <v>2.7804285338564663</v>
      </c>
      <c r="AB7" s="115">
        <v>8421430</v>
      </c>
      <c r="AC7" s="115">
        <v>1</v>
      </c>
      <c r="AE7" s="35"/>
      <c r="AK7" s="47">
        <v>331.87</v>
      </c>
      <c r="AL7" s="152">
        <v>280.97000000000003</v>
      </c>
      <c r="AM7" s="152" t="s">
        <v>4024</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15">
        <v>4063587</v>
      </c>
      <c r="Z8" s="115">
        <v>17652554</v>
      </c>
      <c r="AA8" s="115">
        <f>Table4[[#This Row],[E]]/Table4[[#This Row],[V]]</f>
        <v>4.344081718934528</v>
      </c>
      <c r="AB8" s="115">
        <v>4059644</v>
      </c>
      <c r="AC8" s="115">
        <v>1</v>
      </c>
      <c r="AE8" s="35"/>
      <c r="AK8" s="47">
        <v>234.39</v>
      </c>
      <c r="AL8" s="152">
        <v>175.57</v>
      </c>
      <c r="AM8" s="152" t="s">
        <v>4028</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15">
        <v>7570051</v>
      </c>
      <c r="Z9" s="115">
        <v>43881980</v>
      </c>
      <c r="AA9" s="115">
        <f>Table4[[#This Row],[E]]/Table4[[#This Row],[V]]</f>
        <v>5.7967878948239582</v>
      </c>
      <c r="AB9" s="115">
        <v>5669991</v>
      </c>
      <c r="AC9" s="115">
        <v>1</v>
      </c>
      <c r="AE9" s="35"/>
      <c r="AK9" s="47">
        <v>149.72999999999999</v>
      </c>
      <c r="AL9" s="152">
        <v>429.71</v>
      </c>
      <c r="AM9" s="152" t="s">
        <v>4025</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15">
        <v>5005932</v>
      </c>
      <c r="Z10" s="115">
        <v>33083838</v>
      </c>
      <c r="AA10" s="115">
        <f>Table4[[#This Row],[E]]/Table4[[#This Row],[V]]</f>
        <v>6.6089267692809255</v>
      </c>
      <c r="AB10" s="115">
        <v>1208022</v>
      </c>
      <c r="AC10" s="115">
        <v>1</v>
      </c>
      <c r="AE10" s="35"/>
      <c r="AK10" s="47">
        <v>42.43</v>
      </c>
      <c r="AL10" s="152">
        <v>177.48</v>
      </c>
      <c r="AM10" s="152" t="s">
        <v>4026</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15">
        <v>3496954</v>
      </c>
      <c r="Z11" s="115">
        <v>27305086</v>
      </c>
      <c r="AA11" s="115">
        <f>Table4[[#This Row],[E]]/Table4[[#This Row],[V]]</f>
        <v>7.808248550023821</v>
      </c>
      <c r="AB11" s="115">
        <v>2187803</v>
      </c>
      <c r="AC11" s="115">
        <v>1</v>
      </c>
      <c r="AE11" s="35"/>
      <c r="AK11" s="47">
        <v>191.64</v>
      </c>
      <c r="AL11" s="152">
        <v>41.58</v>
      </c>
      <c r="AM11" s="152" t="s">
        <v>4027</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15">
        <v>3411795</v>
      </c>
      <c r="Z12" s="115">
        <v>26854686</v>
      </c>
      <c r="AA12" s="115">
        <f>Table4[[#This Row],[E]]/Table4[[#This Row],[V]]</f>
        <v>7.8711311787490166</v>
      </c>
      <c r="AB12" s="115">
        <v>2487058</v>
      </c>
      <c r="AC12" s="115">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15">
        <v>33777768</v>
      </c>
      <c r="Z13" s="115">
        <v>274478882</v>
      </c>
      <c r="AA13" s="115">
        <f>Table4[[#This Row],[E]]/Table4[[#This Row],[V]]</f>
        <v>8.1260218851642296</v>
      </c>
      <c r="AB13" s="115">
        <v>1057783</v>
      </c>
      <c r="AC13" s="115">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15">
        <v>5812931</v>
      </c>
      <c r="Z14" s="115">
        <v>54238524</v>
      </c>
      <c r="AA14" s="115">
        <f>Table4[[#This Row],[E]]/Table4[[#This Row],[V]]</f>
        <v>9.3306670937604448</v>
      </c>
      <c r="AB14" s="115">
        <v>3504033</v>
      </c>
      <c r="AC14" s="115">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15">
        <v>27665730</v>
      </c>
      <c r="Z15" s="115">
        <v>281227494</v>
      </c>
      <c r="AA15" s="115">
        <f>Table4[[#This Row],[E]]/Table4[[#This Row],[V]]</f>
        <v>10.165193327629526</v>
      </c>
      <c r="AB15" s="115">
        <v>11571953</v>
      </c>
      <c r="AC15" s="115">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15">
        <v>5867547</v>
      </c>
      <c r="Z16" s="115">
        <v>61171040</v>
      </c>
      <c r="AA16" s="115">
        <f>Table4[[#This Row],[E]]/Table4[[#This Row],[V]]</f>
        <v>10.425317428220003</v>
      </c>
      <c r="AB16" s="115">
        <v>959344</v>
      </c>
      <c r="AC16" s="115">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15">
        <v>5267977</v>
      </c>
      <c r="Z17" s="115">
        <v>55363430</v>
      </c>
      <c r="AA17" s="115">
        <f>Table4[[#This Row],[E]]/Table4[[#This Row],[V]]</f>
        <v>10.509428951569074</v>
      </c>
      <c r="AB17" s="115">
        <v>590528</v>
      </c>
      <c r="AC17" s="115">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15">
        <v>3790750</v>
      </c>
      <c r="Z18" s="115">
        <v>44273578</v>
      </c>
      <c r="AA18" s="115">
        <f>Table4[[#This Row],[E]]/Table4[[#This Row],[V]]</f>
        <v>11.679371628305745</v>
      </c>
      <c r="AB18" s="115">
        <v>866662</v>
      </c>
      <c r="AC18" s="115">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15">
        <v>8833229</v>
      </c>
      <c r="Z19" s="115">
        <v>105882456</v>
      </c>
      <c r="AA19" s="115">
        <f>Table4[[#This Row],[E]]/Table4[[#This Row],[V]]</f>
        <v>11.986834712425093</v>
      </c>
      <c r="AB19" s="115">
        <v>2126384</v>
      </c>
      <c r="AC19" s="115">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15">
        <v>1696415</v>
      </c>
      <c r="Z20" s="115">
        <v>22190596</v>
      </c>
      <c r="AA20" s="115">
        <f>Table4[[#This Row],[E]]/Table4[[#This Row],[V]]</f>
        <v>13.080877025963575</v>
      </c>
      <c r="AB20" s="115">
        <v>35455</v>
      </c>
      <c r="AC20" s="115">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15">
        <v>4799646</v>
      </c>
      <c r="Z21" s="115">
        <v>63844012</v>
      </c>
      <c r="AA21" s="115">
        <f>Table4[[#This Row],[E]]/Table4[[#This Row],[V]]</f>
        <v>13.301816842325454</v>
      </c>
      <c r="AB21" s="115">
        <v>1076572</v>
      </c>
      <c r="AC21" s="115">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15">
        <v>18268991</v>
      </c>
      <c r="Z22" s="115">
        <v>253780418</v>
      </c>
      <c r="AA22" s="115">
        <f>Table4[[#This Row],[E]]/Table4[[#This Row],[V]]</f>
        <v>13.891320982094742</v>
      </c>
      <c r="AB22" s="115">
        <v>612308</v>
      </c>
      <c r="AC22" s="115">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15">
        <v>2981204</v>
      </c>
      <c r="Z23" s="115">
        <v>42832752</v>
      </c>
      <c r="AA23" s="115">
        <f>Table4[[#This Row],[E]]/Table4[[#This Row],[V]]</f>
        <v>14.367601814568879</v>
      </c>
      <c r="AB23" s="115">
        <v>385104</v>
      </c>
      <c r="AC23" s="115">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15">
        <v>2140198</v>
      </c>
      <c r="Z24" s="115">
        <v>34029892</v>
      </c>
      <c r="AA24" s="115">
        <f>Table4[[#This Row],[E]]/Table4[[#This Row],[V]]</f>
        <v>15.900347537938078</v>
      </c>
      <c r="AB24" s="115">
        <v>97848</v>
      </c>
      <c r="AC24" s="115">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15">
        <v>7825669</v>
      </c>
      <c r="Z25" s="115">
        <v>124492028</v>
      </c>
      <c r="AA25" s="115">
        <f>Table4[[#This Row],[E]]/Table4[[#This Row],[V]]</f>
        <v>15.90816427323977</v>
      </c>
      <c r="AB25" s="115">
        <v>204282</v>
      </c>
      <c r="AC25" s="115">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15">
        <v>2646291</v>
      </c>
      <c r="Z26" s="115">
        <v>42433496</v>
      </c>
      <c r="AA26" s="115">
        <f>Table4[[#This Row],[E]]/Table4[[#This Row],[V]]</f>
        <v>16.035083065316702</v>
      </c>
      <c r="AB26" s="115">
        <v>850681</v>
      </c>
      <c r="AC26" s="115">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15">
        <v>7891015</v>
      </c>
      <c r="Z27" s="115">
        <v>127830770</v>
      </c>
      <c r="AA27" s="115">
        <f>Table4[[#This Row],[E]]/Table4[[#This Row],[V]]</f>
        <v>16.199534533897097</v>
      </c>
      <c r="AB27" s="115">
        <v>3636005</v>
      </c>
      <c r="AC27" s="115">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15">
        <v>4033138</v>
      </c>
      <c r="Z28" s="115">
        <v>55866126</v>
      </c>
      <c r="AA28" s="115">
        <f>Table4[[#This Row],[E]]/Table4[[#This Row],[V]]</f>
        <v>13.851776457934244</v>
      </c>
      <c r="AB28" s="115">
        <v>2651</v>
      </c>
      <c r="AC28" s="115">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15">
        <v>2937612</v>
      </c>
      <c r="Z29" s="115">
        <v>41919708</v>
      </c>
      <c r="AA29" s="115">
        <f>Table4[[#This Row],[E]]/Table4[[#This Row],[V]]</f>
        <v>14.269994812112696</v>
      </c>
      <c r="AB29" s="115">
        <v>4356</v>
      </c>
      <c r="AC29" s="115">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36"/>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36"/>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36"/>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vt:lpstr>
      <vt:lpstr>AIMD-ampere</vt:lpstr>
      <vt:lpstr>mce-gpu</vt:lpstr>
      <vt:lpstr>MC - para</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2026-08-04T22:02:02Z</dcterms:modified>
</cp:coreProperties>
</file>