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83A969B9-DD53-F44B-93C7-9F5947427883}" xr6:coauthVersionLast="47" xr6:coauthVersionMax="47" xr10:uidLastSave="{00000000-0000-0000-0000-000000000000}"/>
  <bookViews>
    <workbookView xWindow="0" yWindow="760" windowWidth="30240" windowHeight="18880" xr2:uid="{93E1CCD5-64A0-5F4C-A5F1-EE4B217F183B}"/>
  </bookViews>
  <sheets>
    <sheet name="SM-pingpong" sheetId="33" r:id="rId1"/>
    <sheet name="QC" sheetId="31" r:id="rId2"/>
    <sheet name="MC - para" sheetId="29" r:id="rId3"/>
    <sheet name="MC" sheetId="28" r:id="rId4"/>
    <sheet name="SM" sheetId="30" r:id="rId5"/>
    <sheet name="SM2" sheetId="32" r:id="rId6"/>
    <sheet name="AIMD-ampere" sheetId="11" r:id="rId7"/>
    <sheet name="mce-gpu" sheetId="9" r:id="rId8"/>
    <sheet name="MQC" sheetId="27"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218" i="33" l="1"/>
  <c r="AM217" i="33"/>
  <c r="AM216" i="33"/>
  <c r="AM215" i="33"/>
  <c r="AM214" i="33"/>
  <c r="AM213" i="33"/>
  <c r="AM212" i="33"/>
  <c r="AM211" i="33"/>
  <c r="AM210" i="33"/>
  <c r="AM209" i="33"/>
  <c r="AM208" i="33"/>
  <c r="AM207" i="33"/>
  <c r="AM206" i="33"/>
  <c r="AM205" i="33"/>
  <c r="AM204" i="33"/>
  <c r="AM203" i="33"/>
  <c r="AM202" i="33"/>
  <c r="AM201" i="33"/>
  <c r="AM200" i="33"/>
  <c r="AM199" i="33"/>
  <c r="AM198" i="33"/>
  <c r="AM197" i="33"/>
  <c r="AM196" i="33"/>
  <c r="AM195" i="33"/>
  <c r="AM194" i="33"/>
  <c r="AM193" i="33"/>
  <c r="AM192" i="33"/>
  <c r="AM191" i="33"/>
  <c r="AM190" i="33"/>
  <c r="AM189" i="33"/>
  <c r="AM188" i="33"/>
  <c r="AM187" i="33"/>
  <c r="AM186" i="33"/>
  <c r="AM185" i="33"/>
  <c r="AM184" i="33"/>
  <c r="AM183" i="33"/>
  <c r="AM182" i="33"/>
  <c r="AM181" i="33"/>
  <c r="AM180" i="33"/>
  <c r="AM179" i="33"/>
  <c r="AM178" i="33"/>
  <c r="AM177" i="33"/>
  <c r="AM176" i="33"/>
  <c r="AM175" i="33"/>
  <c r="AM174" i="33"/>
  <c r="AM173" i="33"/>
  <c r="AM172" i="33"/>
  <c r="AM171" i="33"/>
  <c r="AM170" i="33"/>
  <c r="AM169" i="33"/>
  <c r="AM168" i="33"/>
  <c r="AM167" i="33"/>
  <c r="AM166" i="33"/>
  <c r="AM165" i="33"/>
  <c r="AM164" i="33"/>
  <c r="AM163" i="33"/>
  <c r="AM162" i="33"/>
  <c r="AM161" i="33"/>
  <c r="AM160" i="33"/>
  <c r="AM159" i="33"/>
  <c r="AM158" i="33"/>
  <c r="AM157" i="33"/>
  <c r="AM156" i="33"/>
  <c r="AM155" i="33"/>
  <c r="AM154" i="33"/>
  <c r="AM153" i="33"/>
  <c r="AM152" i="33"/>
  <c r="AM151" i="33"/>
  <c r="AM150" i="33"/>
  <c r="AM149" i="33"/>
  <c r="AM148" i="33"/>
  <c r="AM147" i="33"/>
  <c r="AM146" i="33"/>
  <c r="AM145" i="33"/>
  <c r="AM144" i="33"/>
  <c r="AM143" i="33"/>
  <c r="AM142" i="33"/>
  <c r="AM141" i="33"/>
  <c r="AM140" i="33"/>
  <c r="AM139" i="33"/>
  <c r="AM138" i="33"/>
  <c r="AM137" i="33"/>
  <c r="AM136" i="33"/>
  <c r="AM135" i="33"/>
  <c r="AM134" i="33"/>
  <c r="AM90" i="33"/>
  <c r="AM89" i="33"/>
  <c r="AM88" i="33"/>
  <c r="N88" i="33"/>
  <c r="M88" i="33"/>
  <c r="L88" i="33"/>
  <c r="J88" i="33"/>
  <c r="I88" i="33"/>
  <c r="AM87" i="33"/>
  <c r="N87" i="33"/>
  <c r="M87" i="33"/>
  <c r="L87" i="33"/>
  <c r="J87" i="33"/>
  <c r="I87" i="33"/>
  <c r="AM86" i="33"/>
  <c r="N86" i="33"/>
  <c r="M86" i="33"/>
  <c r="L86" i="33"/>
  <c r="J86" i="33"/>
  <c r="I86" i="33"/>
  <c r="AM85" i="33"/>
  <c r="N85" i="33"/>
  <c r="M85" i="33"/>
  <c r="L85" i="33"/>
  <c r="J85" i="33"/>
  <c r="I85" i="33"/>
  <c r="AM84" i="33"/>
  <c r="N84" i="33"/>
  <c r="M84" i="33"/>
  <c r="L84" i="33"/>
  <c r="J84" i="33"/>
  <c r="I84" i="33"/>
  <c r="AM83" i="33"/>
  <c r="N83" i="33"/>
  <c r="M83" i="33"/>
  <c r="L83" i="33"/>
  <c r="J83" i="33"/>
  <c r="I83" i="33"/>
  <c r="AM82" i="33"/>
  <c r="N82" i="33"/>
  <c r="M82" i="33"/>
  <c r="L82" i="33"/>
  <c r="J82" i="33"/>
  <c r="I82" i="33"/>
  <c r="AM81" i="33"/>
  <c r="N81" i="33"/>
  <c r="M81" i="33"/>
  <c r="L81" i="33"/>
  <c r="J81" i="33"/>
  <c r="I81" i="33"/>
  <c r="AM80" i="33"/>
  <c r="N80" i="33"/>
  <c r="M80" i="33"/>
  <c r="L80" i="33"/>
  <c r="J80" i="33"/>
  <c r="I80" i="33"/>
  <c r="AM79" i="33"/>
  <c r="N79" i="33"/>
  <c r="M79" i="33"/>
  <c r="L79" i="33"/>
  <c r="J79" i="33"/>
  <c r="I79" i="33"/>
  <c r="AM78" i="33"/>
  <c r="N78" i="33"/>
  <c r="M78" i="33"/>
  <c r="L78" i="33"/>
  <c r="J78" i="33"/>
  <c r="I78" i="33"/>
  <c r="AM77" i="33"/>
  <c r="N77" i="33"/>
  <c r="M77" i="33"/>
  <c r="L77" i="33"/>
  <c r="J77" i="33"/>
  <c r="I77" i="33"/>
  <c r="AM76" i="33"/>
  <c r="N76" i="33"/>
  <c r="M76" i="33"/>
  <c r="L76" i="33"/>
  <c r="J76" i="33"/>
  <c r="I76" i="33"/>
  <c r="AM75" i="33"/>
  <c r="N75" i="33"/>
  <c r="M75" i="33"/>
  <c r="L75" i="33"/>
  <c r="J75" i="33"/>
  <c r="I75" i="33"/>
  <c r="AM74" i="33"/>
  <c r="N74" i="33"/>
  <c r="M74" i="33"/>
  <c r="L74" i="33"/>
  <c r="J74" i="33"/>
  <c r="I74" i="33"/>
  <c r="AM73" i="33"/>
  <c r="N73" i="33"/>
  <c r="M73" i="33"/>
  <c r="L73" i="33"/>
  <c r="J73" i="33"/>
  <c r="I73" i="33"/>
  <c r="AM72" i="33"/>
  <c r="N72" i="33"/>
  <c r="M72" i="33"/>
  <c r="L72" i="33"/>
  <c r="J72" i="33"/>
  <c r="I72" i="33"/>
  <c r="AM71" i="33"/>
  <c r="N71" i="33"/>
  <c r="M71" i="33"/>
  <c r="L71" i="33"/>
  <c r="J71" i="33"/>
  <c r="I71" i="33"/>
  <c r="AM70" i="33"/>
  <c r="N70" i="33"/>
  <c r="M70" i="33"/>
  <c r="L70" i="33"/>
  <c r="J70" i="33"/>
  <c r="I70" i="33"/>
  <c r="AM69" i="33"/>
  <c r="N69" i="33"/>
  <c r="M69" i="33"/>
  <c r="L69" i="33"/>
  <c r="J69" i="33"/>
  <c r="I69" i="33"/>
  <c r="AM68" i="33"/>
  <c r="N68" i="33"/>
  <c r="M68" i="33"/>
  <c r="L68" i="33"/>
  <c r="J68" i="33"/>
  <c r="I68" i="33"/>
  <c r="AM67" i="33"/>
  <c r="N67" i="33"/>
  <c r="M67" i="33"/>
  <c r="L67" i="33"/>
  <c r="J67" i="33"/>
  <c r="I67" i="33"/>
  <c r="AM66" i="33"/>
  <c r="N66" i="33"/>
  <c r="M66" i="33"/>
  <c r="L66" i="33"/>
  <c r="J66" i="33"/>
  <c r="I66" i="33"/>
  <c r="AM65" i="33"/>
  <c r="N65" i="33"/>
  <c r="M65" i="33"/>
  <c r="L65" i="33"/>
  <c r="J65" i="33"/>
  <c r="I65" i="33"/>
  <c r="AM64" i="33"/>
  <c r="N64" i="33"/>
  <c r="M64" i="33"/>
  <c r="L64" i="33"/>
  <c r="J64" i="33"/>
  <c r="I64" i="33"/>
  <c r="AM63" i="33"/>
  <c r="N63" i="33"/>
  <c r="M63" i="33"/>
  <c r="L63" i="33"/>
  <c r="J63" i="33"/>
  <c r="I63" i="33"/>
  <c r="AM62" i="33"/>
  <c r="N62" i="33"/>
  <c r="M62" i="33"/>
  <c r="L62" i="33"/>
  <c r="J62" i="33"/>
  <c r="I62" i="33"/>
  <c r="AM61" i="33"/>
  <c r="N61" i="33"/>
  <c r="M61" i="33"/>
  <c r="L61" i="33"/>
  <c r="J61" i="33"/>
  <c r="I61" i="33"/>
  <c r="AM60" i="33"/>
  <c r="N60" i="33"/>
  <c r="M60" i="33"/>
  <c r="L60" i="33"/>
  <c r="J60" i="33"/>
  <c r="I60" i="33"/>
  <c r="AM59" i="33"/>
  <c r="N59" i="33"/>
  <c r="M59" i="33"/>
  <c r="L59" i="33"/>
  <c r="J59" i="33"/>
  <c r="I59" i="33"/>
  <c r="AM58" i="33"/>
  <c r="N58" i="33"/>
  <c r="M58" i="33"/>
  <c r="L58" i="33"/>
  <c r="J58" i="33"/>
  <c r="I58" i="33"/>
  <c r="AM57" i="33"/>
  <c r="N57" i="33"/>
  <c r="M57" i="33"/>
  <c r="L57" i="33"/>
  <c r="J57" i="33"/>
  <c r="I57" i="33"/>
  <c r="AM56" i="33"/>
  <c r="N56" i="33"/>
  <c r="M56" i="33"/>
  <c r="L56" i="33"/>
  <c r="J56" i="33"/>
  <c r="I56" i="33"/>
  <c r="AM55" i="33"/>
  <c r="N55" i="33"/>
  <c r="M55" i="33"/>
  <c r="L55" i="33"/>
  <c r="J55" i="33"/>
  <c r="I55" i="33"/>
  <c r="AM54" i="33"/>
  <c r="N54" i="33"/>
  <c r="M54" i="33"/>
  <c r="L54" i="33"/>
  <c r="J54" i="33"/>
  <c r="I54" i="33"/>
  <c r="AM53" i="33"/>
  <c r="N53" i="33"/>
  <c r="M53" i="33"/>
  <c r="L53" i="33"/>
  <c r="J53" i="33"/>
  <c r="I53" i="33"/>
  <c r="AM52" i="33"/>
  <c r="N52" i="33"/>
  <c r="M52" i="33"/>
  <c r="L52" i="33"/>
  <c r="J52" i="33"/>
  <c r="I52" i="33"/>
  <c r="AM51" i="33"/>
  <c r="N51" i="33"/>
  <c r="M51" i="33"/>
  <c r="L51" i="33"/>
  <c r="J51" i="33"/>
  <c r="I51" i="33"/>
  <c r="AM50" i="33"/>
  <c r="N50" i="33"/>
  <c r="M50" i="33"/>
  <c r="L50" i="33"/>
  <c r="J50" i="33"/>
  <c r="I50" i="33"/>
  <c r="AM49" i="33"/>
  <c r="N49" i="33"/>
  <c r="M49" i="33"/>
  <c r="L49" i="33"/>
  <c r="J49" i="33"/>
  <c r="I49" i="33"/>
  <c r="AM48" i="33"/>
  <c r="N48" i="33"/>
  <c r="M48" i="33"/>
  <c r="L48" i="33"/>
  <c r="J48" i="33"/>
  <c r="I48" i="33"/>
  <c r="AM47" i="33"/>
  <c r="N47" i="33"/>
  <c r="M47" i="33"/>
  <c r="L47" i="33"/>
  <c r="J47" i="33"/>
  <c r="I47" i="33"/>
  <c r="AM46" i="33"/>
  <c r="N46" i="33"/>
  <c r="M46" i="33"/>
  <c r="L46" i="33"/>
  <c r="J46" i="33"/>
  <c r="I46" i="33"/>
  <c r="AM45" i="33"/>
  <c r="N45" i="33"/>
  <c r="M45" i="33"/>
  <c r="L45" i="33"/>
  <c r="J45" i="33"/>
  <c r="I45" i="33"/>
  <c r="AM44" i="33"/>
  <c r="N44" i="33"/>
  <c r="M44" i="33"/>
  <c r="L44" i="33"/>
  <c r="J44" i="33"/>
  <c r="I44" i="33"/>
  <c r="AM43" i="33"/>
  <c r="N43" i="33"/>
  <c r="M43" i="33"/>
  <c r="L43" i="33"/>
  <c r="J43" i="33"/>
  <c r="I43" i="33"/>
  <c r="AM42" i="33"/>
  <c r="N42" i="33"/>
  <c r="M42" i="33"/>
  <c r="L42" i="33"/>
  <c r="J42" i="33"/>
  <c r="I42" i="33"/>
  <c r="AM41" i="33"/>
  <c r="N41" i="33"/>
  <c r="M41" i="33"/>
  <c r="L41" i="33"/>
  <c r="J41" i="33"/>
  <c r="I41" i="33"/>
  <c r="AM40" i="33"/>
  <c r="N40" i="33"/>
  <c r="M40" i="33"/>
  <c r="L40" i="33"/>
  <c r="J40" i="33"/>
  <c r="I40" i="33"/>
  <c r="AM39" i="33"/>
  <c r="N39" i="33"/>
  <c r="M39" i="33"/>
  <c r="L39" i="33"/>
  <c r="J39" i="33"/>
  <c r="I39" i="33"/>
  <c r="AM38" i="33"/>
  <c r="N38" i="33"/>
  <c r="M38" i="33"/>
  <c r="L38" i="33"/>
  <c r="J38" i="33"/>
  <c r="I38" i="33"/>
  <c r="AM37" i="33"/>
  <c r="N37" i="33"/>
  <c r="M37" i="33"/>
  <c r="L37" i="33"/>
  <c r="J37" i="33"/>
  <c r="I37" i="33"/>
  <c r="AM36" i="33"/>
  <c r="N36" i="33"/>
  <c r="M36" i="33"/>
  <c r="L36" i="33"/>
  <c r="J36" i="33"/>
  <c r="I36" i="33"/>
  <c r="AM35" i="33"/>
  <c r="N35" i="33"/>
  <c r="M35" i="33"/>
  <c r="L35" i="33"/>
  <c r="J35" i="33"/>
  <c r="I35" i="33"/>
  <c r="AM34" i="33"/>
  <c r="N34" i="33"/>
  <c r="M34" i="33"/>
  <c r="L34" i="33"/>
  <c r="J34" i="33"/>
  <c r="I34" i="33"/>
  <c r="AM33" i="33"/>
  <c r="N33" i="33"/>
  <c r="M33" i="33"/>
  <c r="L33" i="33"/>
  <c r="J33" i="33"/>
  <c r="I33" i="33"/>
  <c r="AM32" i="33"/>
  <c r="N32" i="33"/>
  <c r="M32" i="33"/>
  <c r="L32" i="33"/>
  <c r="J32" i="33"/>
  <c r="I32" i="33"/>
  <c r="AM31" i="33"/>
  <c r="N31" i="33"/>
  <c r="M31" i="33"/>
  <c r="L31" i="33"/>
  <c r="J31" i="33"/>
  <c r="I31" i="33"/>
  <c r="AM30" i="33"/>
  <c r="N30" i="33"/>
  <c r="M30" i="33"/>
  <c r="L30" i="33"/>
  <c r="J30" i="33"/>
  <c r="I30" i="33"/>
  <c r="AM29" i="33"/>
  <c r="N29" i="33"/>
  <c r="M29" i="33"/>
  <c r="L29" i="33"/>
  <c r="J29" i="33"/>
  <c r="I29" i="33"/>
  <c r="AM28" i="33"/>
  <c r="N28" i="33"/>
  <c r="M28" i="33"/>
  <c r="L28" i="33"/>
  <c r="J28" i="33"/>
  <c r="I28" i="33"/>
  <c r="AM27" i="33"/>
  <c r="N27" i="33"/>
  <c r="M27" i="33"/>
  <c r="L27" i="33"/>
  <c r="J27" i="33"/>
  <c r="I27" i="33"/>
  <c r="AM26" i="33"/>
  <c r="N26" i="33"/>
  <c r="M26" i="33"/>
  <c r="L26" i="33"/>
  <c r="J26" i="33"/>
  <c r="I26" i="33"/>
  <c r="AM25" i="33"/>
  <c r="N25" i="33"/>
  <c r="M25" i="33"/>
  <c r="L25" i="33"/>
  <c r="J25" i="33"/>
  <c r="I25" i="33"/>
  <c r="AM24" i="33"/>
  <c r="N24" i="33"/>
  <c r="M24" i="33"/>
  <c r="L24" i="33"/>
  <c r="J24" i="33"/>
  <c r="I24" i="33"/>
  <c r="AM23" i="33"/>
  <c r="N23" i="33"/>
  <c r="M23" i="33"/>
  <c r="L23" i="33"/>
  <c r="J23" i="33"/>
  <c r="I23" i="33"/>
  <c r="AM22" i="33"/>
  <c r="N22" i="33"/>
  <c r="M22" i="33"/>
  <c r="L22" i="33"/>
  <c r="J22" i="33"/>
  <c r="I22" i="33"/>
  <c r="AM21" i="33"/>
  <c r="N21" i="33"/>
  <c r="M21" i="33"/>
  <c r="L21" i="33"/>
  <c r="J21" i="33"/>
  <c r="I21" i="33"/>
  <c r="AM20" i="33"/>
  <c r="N20" i="33"/>
  <c r="M20" i="33"/>
  <c r="L20" i="33"/>
  <c r="J20" i="33"/>
  <c r="I20" i="33"/>
  <c r="AM19" i="33"/>
  <c r="N19" i="33"/>
  <c r="M19" i="33"/>
  <c r="L19" i="33"/>
  <c r="J19" i="33"/>
  <c r="I19" i="33"/>
  <c r="AM18" i="33"/>
  <c r="N18" i="33"/>
  <c r="M18" i="33"/>
  <c r="L18" i="33"/>
  <c r="J18" i="33"/>
  <c r="I18" i="33"/>
  <c r="AM17" i="33"/>
  <c r="N17" i="33"/>
  <c r="M17" i="33"/>
  <c r="L17" i="33"/>
  <c r="J17" i="33"/>
  <c r="I17" i="33"/>
  <c r="AM16" i="33"/>
  <c r="N16" i="33"/>
  <c r="M16" i="33"/>
  <c r="L16" i="33"/>
  <c r="J16" i="33"/>
  <c r="I16" i="33"/>
  <c r="AM15" i="33"/>
  <c r="N15" i="33"/>
  <c r="M15" i="33"/>
  <c r="L15" i="33"/>
  <c r="J15" i="33"/>
  <c r="I15" i="33"/>
  <c r="AM14" i="33"/>
  <c r="N14" i="33"/>
  <c r="M14" i="33"/>
  <c r="L14" i="33"/>
  <c r="J14" i="33"/>
  <c r="I14" i="33"/>
  <c r="AM13" i="33"/>
  <c r="N13" i="33"/>
  <c r="M13" i="33"/>
  <c r="L13" i="33"/>
  <c r="J13" i="33"/>
  <c r="I13" i="33"/>
  <c r="AM12" i="33"/>
  <c r="N12" i="33"/>
  <c r="M12" i="33"/>
  <c r="L12" i="33"/>
  <c r="J12" i="33"/>
  <c r="I12" i="33"/>
  <c r="AM11" i="33"/>
  <c r="N11" i="33"/>
  <c r="M11" i="33"/>
  <c r="L11" i="33"/>
  <c r="J11" i="33"/>
  <c r="I11" i="33"/>
  <c r="AM10" i="33"/>
  <c r="N10" i="33"/>
  <c r="M10" i="33"/>
  <c r="L10" i="33"/>
  <c r="J10" i="33"/>
  <c r="I10" i="33"/>
  <c r="AM9" i="33"/>
  <c r="N9" i="33"/>
  <c r="M9" i="33"/>
  <c r="L9" i="33"/>
  <c r="J9" i="33"/>
  <c r="I9" i="33"/>
  <c r="AM8" i="33"/>
  <c r="N8" i="33"/>
  <c r="M8" i="33"/>
  <c r="L8" i="33"/>
  <c r="J8" i="33"/>
  <c r="I8" i="33"/>
  <c r="AM7" i="33"/>
  <c r="N7" i="33"/>
  <c r="M7" i="33"/>
  <c r="L7" i="33"/>
  <c r="J7" i="33"/>
  <c r="I7" i="33"/>
  <c r="AM6" i="33"/>
  <c r="N6" i="33"/>
  <c r="M6" i="33"/>
  <c r="L6" i="33"/>
  <c r="J6" i="33"/>
  <c r="I6" i="33"/>
  <c r="AM5" i="33"/>
  <c r="N5" i="33"/>
  <c r="M5" i="33"/>
  <c r="L5" i="33"/>
  <c r="J5" i="33"/>
  <c r="I5" i="33"/>
  <c r="AM4" i="33"/>
  <c r="AM3" i="33"/>
  <c r="AP3" i="32"/>
  <c r="AP4" i="32"/>
  <c r="AP5" i="32"/>
  <c r="AP6" i="32"/>
  <c r="AP7" i="32"/>
  <c r="AP8" i="32"/>
  <c r="AP9" i="32"/>
  <c r="AP10" i="32"/>
  <c r="AP11" i="32"/>
  <c r="AP12" i="32"/>
  <c r="AP13" i="32"/>
  <c r="AP14" i="32"/>
  <c r="AP15" i="32"/>
  <c r="AP16" i="32"/>
  <c r="AP17" i="32"/>
  <c r="AP18" i="32"/>
  <c r="AP19" i="32"/>
  <c r="AP20" i="32"/>
  <c r="AP21" i="32"/>
  <c r="AP22" i="32"/>
  <c r="AP23" i="32"/>
  <c r="AP24" i="32"/>
  <c r="AP25" i="32"/>
  <c r="AP26" i="32"/>
  <c r="AP27" i="32"/>
  <c r="AP28" i="32"/>
  <c r="AP29" i="32"/>
  <c r="AP30" i="32"/>
  <c r="AP31" i="32"/>
  <c r="AP32" i="32"/>
  <c r="AP33" i="32"/>
  <c r="AP34" i="32"/>
  <c r="AP35" i="32"/>
  <c r="AP36" i="32"/>
  <c r="AP37" i="32"/>
  <c r="AP38" i="32"/>
  <c r="AP39" i="32"/>
  <c r="AP40" i="32"/>
  <c r="AP41" i="32"/>
  <c r="AP42" i="32"/>
  <c r="AP43" i="32"/>
  <c r="AP44" i="32"/>
  <c r="AP45" i="32"/>
  <c r="AP46" i="32"/>
  <c r="AP47" i="32"/>
  <c r="AP48" i="32"/>
  <c r="AP49" i="32"/>
  <c r="AP50" i="32"/>
  <c r="AP51" i="32"/>
  <c r="AP52" i="32"/>
  <c r="AP53" i="32"/>
  <c r="AP54" i="32"/>
  <c r="AP55" i="32"/>
  <c r="AP56" i="32"/>
  <c r="AP57" i="32"/>
  <c r="AP58" i="32"/>
  <c r="AP59" i="32"/>
  <c r="AP60" i="32"/>
  <c r="AP61" i="32"/>
  <c r="AP62" i="32"/>
  <c r="AP63" i="32"/>
  <c r="AP64" i="32"/>
  <c r="AP65" i="32"/>
  <c r="AP66" i="32"/>
  <c r="AP67" i="32"/>
  <c r="AP68" i="32"/>
  <c r="AP69" i="32"/>
  <c r="AP70" i="32"/>
  <c r="AP71" i="32"/>
  <c r="AP72" i="32"/>
  <c r="AP73" i="32"/>
  <c r="AP74" i="32"/>
  <c r="AP75" i="32"/>
  <c r="AP76" i="32"/>
  <c r="AP77" i="32"/>
  <c r="AP78" i="32"/>
  <c r="AP79" i="32"/>
  <c r="AP80" i="32"/>
  <c r="AP81" i="32"/>
  <c r="AP82" i="32"/>
  <c r="AP83" i="32"/>
  <c r="AP84" i="32"/>
  <c r="AP85" i="32"/>
  <c r="AP86" i="32"/>
  <c r="AP87" i="32"/>
  <c r="AP88" i="32"/>
  <c r="AP89" i="32"/>
  <c r="AP90" i="32"/>
  <c r="AP91" i="32"/>
  <c r="AP92" i="32"/>
  <c r="AP93" i="32"/>
  <c r="AP94" i="32"/>
  <c r="AP95" i="32"/>
  <c r="AP96" i="32"/>
  <c r="AP97" i="32"/>
  <c r="AP98" i="32"/>
  <c r="AP99" i="32"/>
  <c r="AP100" i="32"/>
  <c r="AP101" i="32"/>
  <c r="AP102" i="32"/>
  <c r="AP103" i="32"/>
  <c r="AP104" i="32"/>
  <c r="AP105" i="32"/>
  <c r="AP106" i="32"/>
  <c r="AP107" i="32"/>
  <c r="AP108" i="32"/>
  <c r="AP109" i="32"/>
  <c r="AP110" i="32"/>
  <c r="AP111" i="32"/>
  <c r="AP112" i="32"/>
  <c r="AP113" i="32"/>
  <c r="AP114" i="32"/>
  <c r="AP115" i="32"/>
  <c r="AP116" i="32"/>
  <c r="AP117" i="32"/>
  <c r="AP118" i="32"/>
  <c r="AP119" i="32"/>
  <c r="AP120" i="32"/>
  <c r="AP121" i="32"/>
  <c r="AP122" i="32"/>
  <c r="AP123" i="32"/>
  <c r="AP124" i="32"/>
  <c r="AP125" i="32"/>
  <c r="AP126" i="32"/>
  <c r="AP127" i="32"/>
  <c r="AP128" i="32"/>
  <c r="AP129" i="32"/>
  <c r="AP130" i="32"/>
  <c r="AP131" i="32"/>
  <c r="AP132" i="32"/>
  <c r="AP133" i="32"/>
  <c r="AP134" i="32"/>
  <c r="AP135" i="32"/>
  <c r="AP136" i="32"/>
  <c r="AP137" i="32"/>
  <c r="AP138" i="32"/>
  <c r="AP139" i="32"/>
  <c r="AP140" i="32"/>
  <c r="AP141" i="32"/>
  <c r="AP142" i="32"/>
  <c r="AP143" i="32"/>
  <c r="AP144" i="32"/>
  <c r="AP145" i="32"/>
  <c r="AP146" i="32"/>
  <c r="AP147" i="32"/>
  <c r="AP148" i="32"/>
  <c r="AP149" i="32"/>
  <c r="AP150" i="32"/>
  <c r="AP151" i="32"/>
  <c r="AP152" i="32"/>
  <c r="AP153" i="32"/>
  <c r="AP154" i="32"/>
  <c r="AP155" i="32"/>
  <c r="AP156" i="32"/>
  <c r="AP157" i="32"/>
  <c r="AP158" i="32"/>
  <c r="AP159" i="32"/>
  <c r="AP160" i="32"/>
  <c r="AP161" i="32"/>
  <c r="AP162" i="32"/>
  <c r="AP163" i="32"/>
  <c r="AP164" i="32"/>
  <c r="AP165" i="32"/>
  <c r="AP166" i="32"/>
  <c r="AP167" i="32"/>
  <c r="AP168" i="32"/>
  <c r="AP169" i="32"/>
  <c r="AP170" i="32"/>
  <c r="AP171" i="32"/>
  <c r="AP172" i="32"/>
  <c r="AP173" i="32"/>
  <c r="AP174" i="32"/>
  <c r="AP175" i="32"/>
  <c r="AP176" i="32"/>
  <c r="AP177" i="32"/>
  <c r="AP178" i="32"/>
  <c r="AP179" i="32"/>
  <c r="AP180" i="32"/>
  <c r="AP181" i="32"/>
  <c r="AP182" i="32"/>
  <c r="AP183" i="32"/>
  <c r="AP184" i="32"/>
  <c r="AP185" i="32"/>
  <c r="AP186" i="32"/>
  <c r="AP187" i="32"/>
  <c r="AP188" i="32"/>
  <c r="AP189" i="32"/>
  <c r="AP190" i="32"/>
  <c r="AP191" i="32"/>
  <c r="AP192" i="32"/>
  <c r="AP193" i="32"/>
  <c r="AP194" i="32"/>
  <c r="AP195" i="32"/>
  <c r="AP196" i="32"/>
  <c r="AP197" i="32"/>
  <c r="AP198" i="32"/>
  <c r="AP199" i="32"/>
  <c r="AP200" i="32"/>
  <c r="AP201" i="32"/>
  <c r="AP202" i="32"/>
  <c r="AP203" i="32"/>
  <c r="AP204" i="32"/>
  <c r="AP205" i="32"/>
  <c r="AP206" i="32"/>
  <c r="AP207" i="32"/>
  <c r="AP208" i="32"/>
  <c r="AP209" i="32"/>
  <c r="AP210" i="32"/>
  <c r="AP211" i="32"/>
  <c r="AP212" i="32"/>
  <c r="AP213" i="32"/>
  <c r="AP214" i="32"/>
  <c r="AP215" i="32"/>
  <c r="AP216" i="32"/>
  <c r="AP217" i="32"/>
  <c r="AP218" i="32"/>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AM56" i="32"/>
  <c r="AM62" i="32"/>
  <c r="AM193" i="32"/>
  <c r="AM48" i="32"/>
  <c r="AM50" i="32"/>
  <c r="AM194" i="32"/>
  <c r="AM46" i="32"/>
  <c r="AM49" i="32"/>
  <c r="AM54" i="32"/>
  <c r="AM77" i="32"/>
  <c r="AM144" i="32"/>
  <c r="AM89" i="32"/>
  <c r="AM16" i="32"/>
  <c r="AM145" i="32"/>
  <c r="AM45" i="32"/>
  <c r="AM52" i="32"/>
  <c r="AM37" i="32"/>
  <c r="AM38" i="32"/>
  <c r="AM68" i="32"/>
  <c r="AM6" i="32"/>
  <c r="AM42" i="32"/>
  <c r="AM3" i="32"/>
  <c r="AM67" i="32"/>
  <c r="AM33" i="32"/>
  <c r="AM43" i="32"/>
  <c r="AM87" i="32"/>
  <c r="AM195" i="32"/>
  <c r="AM196" i="32"/>
  <c r="AM197" i="32"/>
  <c r="AM85" i="32"/>
  <c r="AM198" i="32"/>
  <c r="AM23" i="32"/>
  <c r="AM32" i="32"/>
  <c r="AM74" i="32"/>
  <c r="AM203" i="32"/>
  <c r="AM78" i="32"/>
  <c r="AM204" i="32"/>
  <c r="AM8" i="32"/>
  <c r="AM25" i="32"/>
  <c r="AM199" i="32"/>
  <c r="AM200" i="32"/>
  <c r="AM201" i="32"/>
  <c r="AM75" i="32"/>
  <c r="AM202" i="32"/>
  <c r="AM15" i="32"/>
  <c r="AM11" i="32"/>
  <c r="AM161" i="32"/>
  <c r="AM162" i="32"/>
  <c r="AM163" i="32"/>
  <c r="AM164" i="32"/>
  <c r="AM165" i="32"/>
  <c r="AM22" i="32"/>
  <c r="AM20" i="32"/>
  <c r="AM80" i="32"/>
  <c r="AM141" i="32"/>
  <c r="AM142" i="32"/>
  <c r="AM84" i="32"/>
  <c r="AM143" i="32"/>
  <c r="AM64" i="32"/>
  <c r="AM66" i="32"/>
  <c r="AM146" i="32"/>
  <c r="AM147" i="32"/>
  <c r="AM148" i="32"/>
  <c r="AM149" i="32"/>
  <c r="AM150" i="32"/>
  <c r="AM35" i="32"/>
  <c r="AM47" i="32"/>
  <c r="AM206" i="32"/>
  <c r="AM207" i="32"/>
  <c r="AM208" i="32"/>
  <c r="AM81" i="32"/>
  <c r="AM209" i="32"/>
  <c r="AM72" i="32"/>
  <c r="AM69" i="32"/>
  <c r="AM151" i="32"/>
  <c r="AM152" i="32"/>
  <c r="AM153" i="32"/>
  <c r="AM154" i="32"/>
  <c r="AM30" i="32"/>
  <c r="AM63" i="32"/>
  <c r="AM189" i="32"/>
  <c r="AM190" i="32"/>
  <c r="AM191" i="32"/>
  <c r="AM192" i="32"/>
  <c r="AM18" i="32"/>
  <c r="AM44" i="32"/>
  <c r="AM179" i="32"/>
  <c r="AM180" i="32"/>
  <c r="AM181" i="32"/>
  <c r="AM182" i="32"/>
  <c r="AM183" i="32"/>
  <c r="AM17" i="32"/>
  <c r="AM58" i="32"/>
  <c r="AM155" i="32"/>
  <c r="AM156" i="32"/>
  <c r="AM157" i="32"/>
  <c r="AM158" i="32"/>
  <c r="AM159" i="32"/>
  <c r="AM160" i="32"/>
  <c r="AM41" i="32"/>
  <c r="AM82" i="32"/>
  <c r="AM29" i="32"/>
  <c r="AM86" i="32"/>
  <c r="AM135" i="32"/>
  <c r="AM51" i="32"/>
  <c r="AM136" i="32"/>
  <c r="AM4" i="32"/>
  <c r="AM19" i="32"/>
  <c r="AM166" i="32"/>
  <c r="AM167" i="32"/>
  <c r="AM168" i="32"/>
  <c r="AM169" i="32"/>
  <c r="AM170" i="32"/>
  <c r="AM171" i="32"/>
  <c r="AM31" i="32"/>
  <c r="AM59" i="32"/>
  <c r="AM24" i="32"/>
  <c r="AM90" i="32"/>
  <c r="AM79" i="32"/>
  <c r="AM205" i="32"/>
  <c r="AM21" i="32"/>
  <c r="AM61" i="32"/>
  <c r="AM70" i="32"/>
  <c r="AM137" i="32"/>
  <c r="AM138" i="32"/>
  <c r="AM139" i="32"/>
  <c r="AM140" i="32"/>
  <c r="AM57" i="32"/>
  <c r="AM76" i="32"/>
  <c r="AM12" i="32"/>
  <c r="AM55" i="32"/>
  <c r="AM71" i="32"/>
  <c r="AM83" i="32"/>
  <c r="AM34" i="32"/>
  <c r="AM7" i="32"/>
  <c r="AM26" i="32"/>
  <c r="AM172" i="32"/>
  <c r="AM173" i="32"/>
  <c r="AM174" i="32"/>
  <c r="AM175" i="32"/>
  <c r="AM176" i="32"/>
  <c r="AM177" i="32"/>
  <c r="AM178" i="32"/>
  <c r="AM10" i="32"/>
  <c r="AM27" i="32"/>
  <c r="AM13" i="32"/>
  <c r="AM65" i="32"/>
  <c r="AM88" i="32"/>
  <c r="AM28" i="32"/>
  <c r="AM218" i="32"/>
  <c r="AM5" i="32"/>
  <c r="AM9" i="32"/>
  <c r="AM60" i="32"/>
  <c r="AM216" i="32"/>
  <c r="AM217" i="32"/>
  <c r="AM36" i="32"/>
  <c r="AM73" i="32"/>
  <c r="AM134" i="32"/>
  <c r="AM184" i="32"/>
  <c r="AM185" i="32"/>
  <c r="AM186" i="32"/>
  <c r="AM187" i="32"/>
  <c r="AM188" i="32"/>
  <c r="AM14" i="32"/>
  <c r="AM40" i="32"/>
  <c r="AM210" i="32"/>
  <c r="AM211" i="32"/>
  <c r="AM212" i="32"/>
  <c r="AM213" i="32"/>
  <c r="AM214" i="32"/>
  <c r="AM215" i="32"/>
  <c r="AM39" i="32"/>
  <c r="AM53" i="32"/>
  <c r="F6" i="28"/>
  <c r="F7" i="28"/>
  <c r="F8" i="28"/>
  <c r="F9" i="28"/>
  <c r="F10" i="28"/>
  <c r="F11" i="28"/>
  <c r="F12" i="28"/>
  <c r="F13" i="28"/>
  <c r="F14" i="28"/>
  <c r="F15" i="28"/>
  <c r="F31" i="28"/>
  <c r="F17" i="28"/>
  <c r="F20" i="28"/>
  <c r="F58" i="28"/>
  <c r="F19" i="28"/>
  <c r="F16" i="28"/>
  <c r="F45" i="28"/>
  <c r="F30" i="28"/>
  <c r="F54" i="28"/>
  <c r="F25" i="28"/>
  <c r="F24" i="28"/>
  <c r="F35" i="28"/>
  <c r="F22" i="28"/>
  <c r="F48" i="28"/>
  <c r="F37" i="28"/>
  <c r="F26" i="28"/>
  <c r="F53" i="28"/>
  <c r="F32" i="28"/>
  <c r="F23" i="28"/>
  <c r="F56" i="28"/>
  <c r="F34" i="28"/>
  <c r="F44" i="28"/>
  <c r="F46" i="28"/>
  <c r="F28" i="28"/>
  <c r="F39" i="28"/>
  <c r="F33" i="28"/>
  <c r="F60" i="28"/>
  <c r="F61" i="28"/>
  <c r="F41" i="28"/>
  <c r="F62" i="28"/>
  <c r="F64" i="28"/>
  <c r="F27" i="28"/>
  <c r="F63" i="28"/>
  <c r="F59" i="28"/>
  <c r="F29" i="28"/>
  <c r="F52" i="28"/>
  <c r="F57" i="28"/>
  <c r="F51" i="28"/>
  <c r="F43" i="28"/>
  <c r="F49" i="28"/>
  <c r="F18" i="28"/>
  <c r="F42" i="28"/>
  <c r="F55" i="28"/>
  <c r="F47" i="28"/>
  <c r="F36" i="28"/>
  <c r="F65" i="28"/>
  <c r="F21" i="28"/>
  <c r="F50" i="28"/>
  <c r="F40" i="28"/>
  <c r="F38" i="28"/>
  <c r="N35" i="32"/>
  <c r="N9" i="32"/>
  <c r="N8" i="32"/>
  <c r="N42" i="32"/>
  <c r="N43" i="32"/>
  <c r="N7" i="32"/>
  <c r="N6" i="32"/>
  <c r="N5" i="32"/>
  <c r="N72" i="32"/>
  <c r="N86" i="32"/>
  <c r="N87" i="32"/>
  <c r="N84" i="32"/>
  <c r="N69" i="32"/>
  <c r="N80" i="32"/>
  <c r="N46" i="32"/>
  <c r="N39" i="32"/>
  <c r="N75" i="32"/>
  <c r="N47" i="32"/>
  <c r="N67" i="32"/>
  <c r="N65" i="32"/>
  <c r="N22" i="32"/>
  <c r="N63" i="32"/>
  <c r="N41" i="32"/>
  <c r="N48" i="32"/>
  <c r="N54" i="32"/>
  <c r="N83" i="32"/>
  <c r="N36" i="32"/>
  <c r="N44" i="32"/>
  <c r="N53" i="32"/>
  <c r="N60" i="32"/>
  <c r="N58" i="32"/>
  <c r="N71" i="32"/>
  <c r="N85" i="32"/>
  <c r="N73" i="32"/>
  <c r="N61" i="32"/>
  <c r="N77" i="32"/>
  <c r="N15" i="32"/>
  <c r="N45" i="32"/>
  <c r="N50" i="32"/>
  <c r="N70" i="32"/>
  <c r="N52" i="32"/>
  <c r="N49" i="32"/>
  <c r="N24" i="32"/>
  <c r="N51" i="32"/>
  <c r="N56" i="32"/>
  <c r="N40" i="32"/>
  <c r="N81" i="32"/>
  <c r="N30" i="32"/>
  <c r="N57" i="32"/>
  <c r="N64" i="32"/>
  <c r="N79" i="32"/>
  <c r="N19" i="32"/>
  <c r="N12" i="32"/>
  <c r="N34" i="32"/>
  <c r="N37" i="32"/>
  <c r="N76" i="32"/>
  <c r="N29" i="32"/>
  <c r="N26" i="32"/>
  <c r="N21" i="32"/>
  <c r="N68" i="32"/>
  <c r="N32" i="32"/>
  <c r="N13" i="32"/>
  <c r="N38" i="32"/>
  <c r="N31" i="32"/>
  <c r="N28" i="32"/>
  <c r="N66" i="32"/>
  <c r="N25" i="32"/>
  <c r="N59" i="32"/>
  <c r="N82" i="32"/>
  <c r="N27" i="32"/>
  <c r="N20" i="32"/>
  <c r="N17" i="32"/>
  <c r="N62" i="32"/>
  <c r="N11" i="32"/>
  <c r="N88" i="32"/>
  <c r="N14" i="32"/>
  <c r="N78" i="32"/>
  <c r="N74" i="32"/>
  <c r="N10" i="32"/>
  <c r="N55" i="32"/>
  <c r="N16" i="32"/>
  <c r="N33" i="32"/>
  <c r="N18" i="32"/>
  <c r="N23" i="32"/>
  <c r="M35" i="32"/>
  <c r="M48" i="32"/>
  <c r="M37" i="32"/>
  <c r="M64" i="32"/>
  <c r="M14" i="32"/>
  <c r="M12" i="32"/>
  <c r="M9" i="32"/>
  <c r="M22" i="32"/>
  <c r="M60" i="32"/>
  <c r="M45" i="32"/>
  <c r="M36" i="32"/>
  <c r="M13" i="32"/>
  <c r="M8" i="32"/>
  <c r="M29" i="32"/>
  <c r="M26" i="32"/>
  <c r="M65" i="32"/>
  <c r="M11" i="32"/>
  <c r="M10" i="32"/>
  <c r="M87" i="32"/>
  <c r="M18" i="32"/>
  <c r="M55" i="32"/>
  <c r="M33" i="32"/>
  <c r="M30" i="32"/>
  <c r="M23" i="32"/>
  <c r="M61" i="32"/>
  <c r="M70" i="32"/>
  <c r="M67" i="32"/>
  <c r="M83" i="32"/>
  <c r="M39" i="32"/>
  <c r="M21" i="32"/>
  <c r="M69" i="32"/>
  <c r="M28" i="32"/>
  <c r="M72" i="32"/>
  <c r="M38" i="32"/>
  <c r="M62" i="32"/>
  <c r="M66" i="32"/>
  <c r="M63" i="32"/>
  <c r="M41" i="32"/>
  <c r="M50" i="32"/>
  <c r="M42" i="32"/>
  <c r="M25" i="32"/>
  <c r="M19" i="32"/>
  <c r="M56" i="32"/>
  <c r="M78" i="32"/>
  <c r="M82" i="32"/>
  <c r="M17" i="32"/>
  <c r="M74" i="32"/>
  <c r="M88" i="32"/>
  <c r="M54" i="32"/>
  <c r="M44" i="32"/>
  <c r="M84" i="32"/>
  <c r="M46" i="32"/>
  <c r="M80" i="32"/>
  <c r="M15" i="32"/>
  <c r="M20" i="32"/>
  <c r="M43" i="32"/>
  <c r="M47" i="32"/>
  <c r="M75" i="32"/>
  <c r="M58" i="32"/>
  <c r="M71" i="32"/>
  <c r="M7" i="32"/>
  <c r="M77" i="32"/>
  <c r="M52" i="32"/>
  <c r="M57" i="32"/>
  <c r="M59" i="32"/>
  <c r="M32" i="32"/>
  <c r="M6" i="32"/>
  <c r="M85" i="32"/>
  <c r="M49" i="32"/>
  <c r="M53" i="32"/>
  <c r="M27" i="32"/>
  <c r="M68" i="32"/>
  <c r="M86" i="32"/>
  <c r="M76" i="32"/>
  <c r="M79" i="32"/>
  <c r="M24" i="32"/>
  <c r="M51" i="32"/>
  <c r="M81" i="32"/>
  <c r="M5" i="32"/>
  <c r="M40" i="32"/>
  <c r="M73" i="32"/>
  <c r="M34" i="32"/>
  <c r="M31" i="32"/>
  <c r="M16" i="32"/>
  <c r="J5" i="32"/>
  <c r="J16" i="32"/>
  <c r="J31" i="32"/>
  <c r="J34" i="32"/>
  <c r="J40" i="32"/>
  <c r="J73" i="32"/>
  <c r="J24" i="32"/>
  <c r="J51" i="32"/>
  <c r="J76" i="32"/>
  <c r="J79" i="32"/>
  <c r="J81" i="32"/>
  <c r="J86" i="32"/>
  <c r="J6" i="32"/>
  <c r="J27" i="32"/>
  <c r="J49" i="32"/>
  <c r="J53" i="32"/>
  <c r="J68" i="32"/>
  <c r="J85" i="32"/>
  <c r="J7" i="32"/>
  <c r="J32" i="32"/>
  <c r="J52" i="32"/>
  <c r="J57" i="32"/>
  <c r="J59" i="32"/>
  <c r="J77" i="32"/>
  <c r="J20" i="32"/>
  <c r="J43" i="32"/>
  <c r="J47" i="32"/>
  <c r="J58" i="32"/>
  <c r="J71" i="32"/>
  <c r="J75" i="32"/>
  <c r="J15" i="32"/>
  <c r="J44" i="32"/>
  <c r="J46" i="32"/>
  <c r="J54" i="32"/>
  <c r="J80" i="32"/>
  <c r="J84" i="32"/>
  <c r="J17" i="32"/>
  <c r="J56" i="32"/>
  <c r="J74" i="32"/>
  <c r="J78" i="32"/>
  <c r="J82" i="32"/>
  <c r="J88" i="32"/>
  <c r="J19" i="32"/>
  <c r="J25" i="32"/>
  <c r="J41" i="32"/>
  <c r="J42" i="32"/>
  <c r="J50" i="32"/>
  <c r="J63" i="32"/>
  <c r="J28" i="32"/>
  <c r="J38" i="32"/>
  <c r="J62" i="32"/>
  <c r="J66" i="32"/>
  <c r="J69" i="32"/>
  <c r="J72" i="32"/>
  <c r="J21" i="32"/>
  <c r="J39" i="32"/>
  <c r="J61" i="32"/>
  <c r="J67" i="32"/>
  <c r="J70" i="32"/>
  <c r="J83" i="32"/>
  <c r="J18" i="32"/>
  <c r="J23" i="32"/>
  <c r="J30" i="32"/>
  <c r="J33" i="32"/>
  <c r="J55" i="32"/>
  <c r="J87" i="32"/>
  <c r="J8" i="32"/>
  <c r="J10" i="32"/>
  <c r="J11" i="32"/>
  <c r="J26" i="32"/>
  <c r="J29" i="32"/>
  <c r="J65" i="32"/>
  <c r="J9" i="32"/>
  <c r="J13" i="32"/>
  <c r="J22" i="32"/>
  <c r="J36" i="32"/>
  <c r="J45" i="32"/>
  <c r="J60" i="32"/>
  <c r="J12" i="32"/>
  <c r="J14" i="32"/>
  <c r="J35" i="32"/>
  <c r="J37" i="32"/>
  <c r="J48" i="32"/>
  <c r="J64" i="32"/>
  <c r="I5" i="32"/>
  <c r="I16" i="32"/>
  <c r="I31" i="32"/>
  <c r="I34" i="32"/>
  <c r="I40" i="32"/>
  <c r="I73" i="32"/>
  <c r="I24" i="32"/>
  <c r="I51" i="32"/>
  <c r="I76" i="32"/>
  <c r="I79" i="32"/>
  <c r="I81" i="32"/>
  <c r="I86" i="32"/>
  <c r="I6" i="32"/>
  <c r="I27" i="32"/>
  <c r="I49" i="32"/>
  <c r="I53" i="32"/>
  <c r="I68" i="32"/>
  <c r="I85" i="32"/>
  <c r="I7" i="32"/>
  <c r="I32" i="32"/>
  <c r="I52" i="32"/>
  <c r="I57" i="32"/>
  <c r="I59" i="32"/>
  <c r="I77" i="32"/>
  <c r="I20" i="32"/>
  <c r="I43" i="32"/>
  <c r="I47" i="32"/>
  <c r="I58" i="32"/>
  <c r="I71" i="32"/>
  <c r="I75" i="32"/>
  <c r="I15" i="32"/>
  <c r="I44" i="32"/>
  <c r="I46" i="32"/>
  <c r="I54" i="32"/>
  <c r="I80" i="32"/>
  <c r="I84" i="32"/>
  <c r="I17" i="32"/>
  <c r="I56" i="32"/>
  <c r="I74" i="32"/>
  <c r="I78" i="32"/>
  <c r="I82" i="32"/>
  <c r="I88" i="32"/>
  <c r="I19" i="32"/>
  <c r="I25" i="32"/>
  <c r="I41" i="32"/>
  <c r="I42" i="32"/>
  <c r="I50" i="32"/>
  <c r="I63" i="32"/>
  <c r="I28" i="32"/>
  <c r="I38" i="32"/>
  <c r="I62" i="32"/>
  <c r="I66" i="32"/>
  <c r="I69" i="32"/>
  <c r="I72" i="32"/>
  <c r="I21" i="32"/>
  <c r="I39" i="32"/>
  <c r="I61" i="32"/>
  <c r="I67" i="32"/>
  <c r="I70" i="32"/>
  <c r="I83" i="32"/>
  <c r="I18" i="32"/>
  <c r="I23" i="32"/>
  <c r="I30" i="32"/>
  <c r="I33" i="32"/>
  <c r="I55" i="32"/>
  <c r="I87" i="32"/>
  <c r="I8" i="32"/>
  <c r="I10" i="32"/>
  <c r="I11" i="32"/>
  <c r="I26" i="32"/>
  <c r="I29" i="32"/>
  <c r="I65" i="32"/>
  <c r="I9" i="32"/>
  <c r="I13" i="32"/>
  <c r="I22" i="32"/>
  <c r="I36" i="32"/>
  <c r="I45" i="32"/>
  <c r="I60" i="32"/>
  <c r="I12" i="32"/>
  <c r="I14" i="32"/>
  <c r="I35" i="32"/>
  <c r="I37" i="32"/>
  <c r="I48" i="32"/>
  <c r="I64" i="32"/>
  <c r="L16" i="32"/>
  <c r="L34" i="32"/>
  <c r="L5" i="32"/>
  <c r="L40" i="32"/>
  <c r="L73" i="32"/>
  <c r="L31" i="32"/>
  <c r="L51" i="32"/>
  <c r="L24" i="32"/>
  <c r="L86" i="32"/>
  <c r="L79" i="32"/>
  <c r="L76" i="32"/>
  <c r="L81" i="32"/>
  <c r="L68" i="32"/>
  <c r="L53" i="32"/>
  <c r="L6" i="32"/>
  <c r="L49" i="32"/>
  <c r="L85" i="32"/>
  <c r="L27" i="32"/>
  <c r="L32" i="32"/>
  <c r="L57" i="32"/>
  <c r="L7" i="32"/>
  <c r="L52" i="32"/>
  <c r="L77" i="32"/>
  <c r="L59" i="32"/>
  <c r="L20" i="32"/>
  <c r="L47" i="32"/>
  <c r="L43" i="32"/>
  <c r="L71" i="32"/>
  <c r="L75" i="32"/>
  <c r="L58" i="32"/>
  <c r="L15" i="32"/>
  <c r="L46" i="32"/>
  <c r="L84" i="32"/>
  <c r="L44" i="32"/>
  <c r="L54" i="32"/>
  <c r="L80" i="32"/>
  <c r="L17" i="32"/>
  <c r="L88" i="32"/>
  <c r="L56" i="32"/>
  <c r="L82" i="32"/>
  <c r="L78" i="32"/>
  <c r="L74" i="32"/>
  <c r="L19" i="32"/>
  <c r="L41" i="32"/>
  <c r="L63" i="32"/>
  <c r="L50" i="32"/>
  <c r="L42" i="32"/>
  <c r="L25" i="32"/>
  <c r="L66" i="32"/>
  <c r="L28" i="32"/>
  <c r="L72" i="32"/>
  <c r="L38" i="32"/>
  <c r="L69" i="32"/>
  <c r="L62" i="32"/>
  <c r="L21" i="32"/>
  <c r="L67" i="32"/>
  <c r="L61" i="32"/>
  <c r="L70" i="32"/>
  <c r="L83" i="32"/>
  <c r="L39" i="32"/>
  <c r="L23" i="32"/>
  <c r="L33" i="32"/>
  <c r="L87" i="32"/>
  <c r="L30" i="32"/>
  <c r="L55" i="32"/>
  <c r="L18" i="32"/>
  <c r="L10" i="32"/>
  <c r="L29" i="32"/>
  <c r="L8" i="32"/>
  <c r="L26" i="32"/>
  <c r="L65" i="32"/>
  <c r="L11" i="32"/>
  <c r="L13" i="32"/>
  <c r="L36" i="32"/>
  <c r="L9" i="32"/>
  <c r="L45" i="32"/>
  <c r="L60" i="32"/>
  <c r="L22" i="32"/>
  <c r="L12" i="32"/>
  <c r="L64" i="32"/>
  <c r="L35" i="32"/>
  <c r="L37" i="32"/>
  <c r="L48" i="32"/>
  <c r="L14" i="32"/>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M6" i="28"/>
  <c r="M7" i="28"/>
  <c r="M8" i="28"/>
  <c r="M9" i="28"/>
  <c r="M10" i="28"/>
  <c r="M11" i="28"/>
  <c r="M12" i="28"/>
  <c r="M13" i="28"/>
  <c r="M14" i="28"/>
  <c r="M15" i="28"/>
  <c r="M50" i="28"/>
  <c r="M47" i="28"/>
  <c r="M29" i="28"/>
  <c r="M25" i="28"/>
  <c r="M32" i="28"/>
  <c r="M46" i="28"/>
  <c r="M59" i="28"/>
  <c r="M18" i="28"/>
  <c r="M35" i="28"/>
  <c r="M27" i="28"/>
  <c r="M60" i="28"/>
  <c r="M16" i="28"/>
  <c r="M19" i="28"/>
  <c r="M24" i="28"/>
  <c r="M23" i="28"/>
  <c r="M17" i="28"/>
  <c r="M31" i="28"/>
  <c r="M48" i="28"/>
  <c r="M49" i="28"/>
  <c r="M65" i="28"/>
  <c r="M20" i="28"/>
  <c r="M45" i="28"/>
  <c r="M57" i="28"/>
  <c r="M42" i="28"/>
  <c r="M41" i="28"/>
  <c r="M54" i="28"/>
  <c r="M40" i="28"/>
  <c r="M30" i="28"/>
  <c r="M61" i="28"/>
  <c r="M22" i="28"/>
  <c r="M37" i="28"/>
  <c r="M51" i="28"/>
  <c r="M33" i="28"/>
  <c r="M62" i="28"/>
  <c r="M63" i="28"/>
  <c r="M56" i="28"/>
  <c r="M44" i="28"/>
  <c r="M26" i="28"/>
  <c r="M52" i="28"/>
  <c r="M36" i="28"/>
  <c r="M38" i="28"/>
  <c r="M53" i="28"/>
  <c r="M28" i="28"/>
  <c r="M55" i="28"/>
  <c r="M58" i="28"/>
  <c r="M21" i="28"/>
  <c r="M43" i="28"/>
  <c r="M39" i="28"/>
  <c r="M64" i="28"/>
  <c r="M34" i="28"/>
  <c r="L6" i="28"/>
  <c r="L7" i="28"/>
  <c r="L8" i="28"/>
  <c r="L9" i="28"/>
  <c r="L10" i="28"/>
  <c r="L11" i="28"/>
  <c r="L12" i="28"/>
  <c r="L13" i="28"/>
  <c r="L14" i="28"/>
  <c r="L15" i="28"/>
  <c r="L64" i="28"/>
  <c r="L61" i="28"/>
  <c r="L60" i="28"/>
  <c r="L32" i="28"/>
  <c r="L46" i="28"/>
  <c r="L19" i="28"/>
  <c r="L35" i="28"/>
  <c r="L43" i="28"/>
  <c r="L48" i="28"/>
  <c r="L17" i="28"/>
  <c r="L25" i="28"/>
  <c r="L31" i="28"/>
  <c r="L39" i="28"/>
  <c r="L57" i="28"/>
  <c r="L16" i="28"/>
  <c r="L29" i="28"/>
  <c r="L24" i="28"/>
  <c r="L28" i="28"/>
  <c r="L54" i="28"/>
  <c r="L34" i="28"/>
  <c r="L58" i="28"/>
  <c r="L56" i="28"/>
  <c r="L20" i="28"/>
  <c r="L49" i="28"/>
  <c r="L44" i="28"/>
  <c r="L53" i="28"/>
  <c r="L45" i="28"/>
  <c r="L55" i="28"/>
  <c r="L30" i="28"/>
  <c r="L52" i="28"/>
  <c r="L62" i="28"/>
  <c r="L63" i="28"/>
  <c r="L33" i="28"/>
  <c r="L27" i="28"/>
  <c r="L22" i="28"/>
  <c r="L23" i="28"/>
  <c r="L38" i="28"/>
  <c r="L41" i="28"/>
  <c r="L65" i="28"/>
  <c r="L51" i="28"/>
  <c r="L47" i="28"/>
  <c r="L59" i="28"/>
  <c r="L26" i="28"/>
  <c r="L36" i="28"/>
  <c r="L42" i="28"/>
  <c r="L50" i="28"/>
  <c r="L21" i="28"/>
  <c r="L40" i="28"/>
  <c r="L37" i="28"/>
  <c r="L18" i="28"/>
  <c r="K14" i="28"/>
  <c r="J6" i="28"/>
  <c r="K6" i="28" s="1"/>
  <c r="J7" i="28"/>
  <c r="K7" i="28" s="1"/>
  <c r="J8" i="28"/>
  <c r="K8" i="28" s="1"/>
  <c r="J9" i="28"/>
  <c r="K9" i="28" s="1"/>
  <c r="J10" i="28"/>
  <c r="K10" i="28" s="1"/>
  <c r="J11" i="28"/>
  <c r="K11" i="28" s="1"/>
  <c r="J12" i="28"/>
  <c r="K12" i="28" s="1"/>
  <c r="J13" i="28"/>
  <c r="K13" i="28" s="1"/>
  <c r="J14" i="28"/>
  <c r="J15" i="28"/>
  <c r="K15" i="28" s="1"/>
  <c r="J62" i="28"/>
  <c r="K62" i="28" s="1"/>
  <c r="J57" i="28"/>
  <c r="K57" i="28" s="1"/>
  <c r="J61" i="28"/>
  <c r="K61" i="28" s="1"/>
  <c r="J58" i="28"/>
  <c r="K58" i="28" s="1"/>
  <c r="J60" i="28"/>
  <c r="K60" i="28" s="1"/>
  <c r="J35" i="28"/>
  <c r="K35" i="28" s="1"/>
  <c r="J65" i="28"/>
  <c r="K65" i="28" s="1"/>
  <c r="J59" i="28"/>
  <c r="K59" i="28" s="1"/>
  <c r="J49" i="28"/>
  <c r="K49" i="28" s="1"/>
  <c r="J46" i="28"/>
  <c r="K46" i="28" s="1"/>
  <c r="J54" i="28"/>
  <c r="K54" i="28" s="1"/>
  <c r="J47" i="28"/>
  <c r="K47" i="28" s="1"/>
  <c r="J29" i="28"/>
  <c r="K29" i="28" s="1"/>
  <c r="J32" i="28"/>
  <c r="K32" i="28" s="1"/>
  <c r="J63" i="28"/>
  <c r="K63" i="28" s="1"/>
  <c r="J56" i="28"/>
  <c r="K56" i="28" s="1"/>
  <c r="J31" i="28"/>
  <c r="K31" i="28" s="1"/>
  <c r="J34" i="28"/>
  <c r="K34" i="28" s="1"/>
  <c r="J64" i="28"/>
  <c r="K64" i="28" s="1"/>
  <c r="J48" i="28"/>
  <c r="K48" i="28" s="1"/>
  <c r="J28" i="28"/>
  <c r="K28" i="28" s="1"/>
  <c r="J39" i="28"/>
  <c r="K39" i="28" s="1"/>
  <c r="J52" i="28"/>
  <c r="K52" i="28" s="1"/>
  <c r="J20" i="28"/>
  <c r="K20" i="28" s="1"/>
  <c r="J45" i="28"/>
  <c r="K45" i="28" s="1"/>
  <c r="J37" i="28"/>
  <c r="K37" i="28" s="1"/>
  <c r="J55" i="28"/>
  <c r="K55" i="28" s="1"/>
  <c r="J53" i="28"/>
  <c r="K53" i="28" s="1"/>
  <c r="J30" i="28"/>
  <c r="K30" i="28" s="1"/>
  <c r="J26" i="28"/>
  <c r="K26" i="28" s="1"/>
  <c r="J44" i="28"/>
  <c r="K44" i="28" s="1"/>
  <c r="J17" i="28"/>
  <c r="K17" i="28" s="1"/>
  <c r="J33" i="28"/>
  <c r="K33" i="28" s="1"/>
  <c r="J18" i="28"/>
  <c r="K18" i="28" s="1"/>
  <c r="J43" i="28"/>
  <c r="K43" i="28" s="1"/>
  <c r="J21" i="28"/>
  <c r="K21" i="28" s="1"/>
  <c r="J16" i="28"/>
  <c r="K16" i="28" s="1"/>
  <c r="J22" i="28"/>
  <c r="K22" i="28" s="1"/>
  <c r="J25" i="28"/>
  <c r="K25" i="28" s="1"/>
  <c r="J23" i="28"/>
  <c r="K23" i="28" s="1"/>
  <c r="J38" i="28"/>
  <c r="K38" i="28" s="1"/>
  <c r="J36" i="28"/>
  <c r="K36" i="28" s="1"/>
  <c r="J24" i="28"/>
  <c r="K24" i="28" s="1"/>
  <c r="J51" i="28"/>
  <c r="K51" i="28" s="1"/>
  <c r="J41" i="28"/>
  <c r="K41" i="28" s="1"/>
  <c r="J27" i="28"/>
  <c r="K27" i="28" s="1"/>
  <c r="J42" i="28"/>
  <c r="K42" i="28" s="1"/>
  <c r="J40" i="28"/>
  <c r="K40" i="28" s="1"/>
  <c r="J19" i="28"/>
  <c r="K19" i="28" s="1"/>
  <c r="J50" i="28"/>
  <c r="K50"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<sst xmlns="http://schemas.openxmlformats.org/spreadsheetml/2006/main" count="7427" uniqueCount="4029">
  <si>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</si>
  <si>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</si>
  <si>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</si>
  <si>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</si>
  <si>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</si>
  <si>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</si>
  <si>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</si>
  <si>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</si>
  <si>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</si>
  <si>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</si>
  <si>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</si>
  <si>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</si>
  <si>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</si>
  <si>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</si>
  <si>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</si>
  <si>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</si>
  <si>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</si>
  <si>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</si>
  <si>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</si>
  <si>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</si>
  <si>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</si>
  <si>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</si>
  <si>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</si>
  <si>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</si>
  <si>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</si>
  <si>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</si>
  <si>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</si>
  <si>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</si>
  <si>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</si>
  <si>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</si>
  <si>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</si>
  <si>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</si>
  <si>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</si>
  <si>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</si>
  <si>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</si>
  <si>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</si>
  <si>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</si>
  <si>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</si>
  <si>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</si>
  <si>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</si>
  <si>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</si>
  <si>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</si>
  <si>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</si>
  <si>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</si>
  <si>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</si>
  <si>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</si>
  <si>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</si>
  <si>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</si>
  <si>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</si>
  <si>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</si>
  <si>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</si>
  <si>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</si>
  <si>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</si>
  <si>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</si>
  <si>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</si>
  <si>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</si>
  <si>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</si>
  <si>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</si>
  <si>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</si>
  <si>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</si>
  <si>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</si>
  <si>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</si>
  <si>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</si>
  <si>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</si>
  <si>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</si>
  <si>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</si>
  <si>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</si>
  <si>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</si>
  <si>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</si>
  <si>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</si>
  <si>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</si>
  <si>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</si>
  <si>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</si>
  <si>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</si>
  <si>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</si>
  <si>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</si>
  <si>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</si>
  <si>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</si>
  <si>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</si>
  <si>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</si>
  <si>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</si>
  <si>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</si>
  <si>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</si>
  <si>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</si>
  <si>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</si>
  <si>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</si>
  <si>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</si>
  <si>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</si>
  <si>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</si>
  <si>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</si>
  <si>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</si>
  <si>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</si>
  <si>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</si>
  <si>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</si>
  <si>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</si>
  <si>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</si>
  <si>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</si>
  <si>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</si>
  <si>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</si>
  <si>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</si>
  <si>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</si>
  <si>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</si>
  <si>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</si>
  <si>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</si>
  <si>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</si>
  <si>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</si>
  <si>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</si>
  <si>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</si>
  <si>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</si>
  <si>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</si>
  <si>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</si>
  <si>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</si>
  <si>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</si>
  <si>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</si>
  <si>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</si>
  <si>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</si>
  <si>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</si>
  <si>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</si>
  <si>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</si>
  <si>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</si>
  <si>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</si>
  <si>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</si>
  <si>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</si>
  <si>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</si>
  <si>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</si>
  <si>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</si>
  <si>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</si>
  <si>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</si>
  <si>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</si>
  <si>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</si>
  <si>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</si>
  <si>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</si>
  <si>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</si>
  <si>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</si>
  <si>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</si>
  <si>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</si>
  <si>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</si>
  <si>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</si>
  <si>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</si>
  <si>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</si>
  <si>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</si>
  <si>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</si>
  <si>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</si>
  <si>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</si>
  <si>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</si>
  <si>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</si>
  <si>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</si>
  <si>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</si>
  <si>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</si>
  <si>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</si>
  <si>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</si>
  <si>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</si>
  <si>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</si>
  <si>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</si>
  <si>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</si>
  <si>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</si>
  <si>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</si>
  <si>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</si>
  <si>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</si>
  <si>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</si>
  <si>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</si>
  <si>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</si>
  <si>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</si>
  <si>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</si>
  <si>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</si>
  <si>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</si>
  <si>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</si>
  <si>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</si>
  <si>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</si>
  <si>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</si>
  <si>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</si>
  <si>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</si>
  <si>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</si>
  <si>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</si>
  <si>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</si>
  <si>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</si>
  <si>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</si>
  <si>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</si>
  <si>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</si>
  <si>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</si>
  <si>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</si>
  <si>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</si>
  <si>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</si>
  <si>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</si>
  <si>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</si>
  <si>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</si>
  <si>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</si>
  <si>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</si>
  <si>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</si>
  <si>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</si>
  <si>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</si>
  <si>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</si>
  <si>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</si>
  <si>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</si>
  <si>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</si>
  <si>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</si>
  <si>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</si>
  <si>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</si>
  <si>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</si>
  <si>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</si>
  <si>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</si>
  <si>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</si>
  <si>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</si>
  <si>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</si>
  <si>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</si>
  <si>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</si>
  <si>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</si>
  <si>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</si>
  <si>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</si>
  <si>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</si>
  <si>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</si>
  <si>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</si>
  <si>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</si>
  <si>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</si>
  <si>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</si>
  <si>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</si>
  <si>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</si>
  <si>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</si>
  <si>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</si>
  <si>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</si>
  <si>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</si>
  <si>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</si>
  <si>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</si>
  <si>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</si>
  <si>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</si>
  <si>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</si>
  <si>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</si>
  <si>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</si>
  <si>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</si>
  <si>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</si>
  <si>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</si>
  <si>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</si>
  <si>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</si>
  <si>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</si>
  <si>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</si>
  <si>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</si>
  <si>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</si>
  <si>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</si>
  <si>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</si>
  <si>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</si>
  <si>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</si>
  <si>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</si>
  <si>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</si>
  <si>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</si>
  <si>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</si>
  <si>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</si>
  <si>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</si>
  <si>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</si>
  <si>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</si>
  <si>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</si>
  <si>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</si>
  <si>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</si>
  <si>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</si>
  <si>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</si>
  <si>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</si>
  <si>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</si>
  <si>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</si>
  <si>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</si>
  <si>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</si>
  <si>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</si>
  <si>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</si>
  <si>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</si>
  <si>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</si>
  <si>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</si>
  <si>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</si>
  <si>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</si>
  <si>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</si>
  <si>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</si>
  <si>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</si>
  <si>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</si>
  <si>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</si>
  <si>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</si>
  <si>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</si>
  <si>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</si>
  <si>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</si>
  <si>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</si>
  <si>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</si>
  <si>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</si>
  <si>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</si>
  <si>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</si>
  <si>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</si>
  <si>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</si>
  <si>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</si>
  <si>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</si>
  <si>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</si>
  <si>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</si>
  <si>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</si>
  <si>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</si>
  <si>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</si>
  <si>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</si>
  <si>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</si>
  <si>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</si>
  <si>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</si>
  <si>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</si>
  <si>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</si>
  <si>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</si>
  <si>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</si>
  <si>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</si>
  <si>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</si>
  <si>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</si>
  <si>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</si>
  <si>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</si>
  <si>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</si>
  <si>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</si>
  <si>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</si>
  <si>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</si>
  <si>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</si>
  <si>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</si>
  <si>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</si>
  <si>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</si>
  <si>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</si>
  <si>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</si>
  <si>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</si>
  <si>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</si>
  <si>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</si>
  <si>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</si>
  <si>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</si>
  <si>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</si>
  <si>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</si>
  <si>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</si>
  <si>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</si>
  <si>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</si>
  <si>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</si>
  <si>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</si>
  <si>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</si>
  <si>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</si>
  <si>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</si>
  <si>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</si>
  <si>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</si>
  <si>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</si>
  <si>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</si>
  <si>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</si>
  <si>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</si>
  <si>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</si>
  <si>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</si>
  <si>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</si>
  <si>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</si>
  <si>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</si>
  <si>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</si>
  <si>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</si>
  <si>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</si>
  <si>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</si>
  <si>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</si>
  <si>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</si>
  <si>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</si>
  <si>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</si>
  <si>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</si>
  <si>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</si>
  <si>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</si>
  <si>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</si>
  <si>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</si>
  <si>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</si>
  <si>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</si>
  <si>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</si>
  <si>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</si>
  <si>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</si>
  <si>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</si>
  <si>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</si>
  <si>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</si>
  <si>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</si>
  <si>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</si>
  <si>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</si>
  <si>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</si>
  <si>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</si>
  <si>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</si>
  <si>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</si>
  <si>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</si>
  <si>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</si>
  <si>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</si>
  <si>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</si>
  <si>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</si>
  <si>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</si>
  <si>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</si>
  <si>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</si>
  <si>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</si>
  <si>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</si>
  <si>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</si>
  <si>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</si>
  <si>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</si>
  <si>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</si>
  <si>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</si>
  <si>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</si>
  <si>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</si>
  <si>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</si>
  <si>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</si>
  <si>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</si>
  <si>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</si>
  <si>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</si>
  <si>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</si>
  <si>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</si>
  <si>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</si>
  <si>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</si>
  <si>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</si>
  <si>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</si>
  <si>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</si>
  <si>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</si>
  <si>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</si>
  <si>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</si>
  <si>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</si>
  <si>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</si>
  <si>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</si>
  <si>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</si>
  <si>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</si>
  <si>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</si>
  <si>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</si>
  <si>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</si>
  <si>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</si>
  <si>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</si>
  <si>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</si>
  <si>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</si>
  <si>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</si>
  <si>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</si>
  <si>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</si>
  <si>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</si>
  <si>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</si>
  <si>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</si>
  <si>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</si>
  <si>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</si>
  <si>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</si>
  <si>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</si>
  <si>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</si>
  <si>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</si>
  <si>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</si>
  <si>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</si>
  <si>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</si>
  <si>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</si>
  <si>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</si>
  <si>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</si>
  <si>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</si>
  <si>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</si>
  <si>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</si>
  <si>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</si>
  <si>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</si>
  <si>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</si>
  <si>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</si>
  <si>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</si>
  <si>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</si>
  <si>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</si>
  <si>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</si>
  <si>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</si>
  <si>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</si>
  <si>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</si>
  <si>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</si>
  <si>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</si>
  <si>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</si>
  <si>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</si>
  <si>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</si>
  <si>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</si>
  <si>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</si>
  <si>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</si>
  <si>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</si>
  <si>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</si>
  <si>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</si>
  <si>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</si>
  <si>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</si>
  <si>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</si>
  <si>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</si>
  <si>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</si>
  <si>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</si>
  <si>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</si>
  <si>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</si>
  <si>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</si>
  <si>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</si>
  <si>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</si>
  <si>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</si>
  <si>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</si>
  <si>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</si>
  <si>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</si>
  <si>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</si>
  <si>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</si>
  <si>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</si>
  <si>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</si>
  <si>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</si>
  <si>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</si>
  <si>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</si>
  <si>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</si>
  <si>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</si>
  <si>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</si>
  <si>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</si>
  <si>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</si>
  <si>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</si>
  <si>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</si>
  <si>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</si>
  <si>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</si>
  <si>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</si>
  <si>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</si>
  <si>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</si>
  <si>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</si>
  <si>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</si>
  <si>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</si>
  <si>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</si>
  <si>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</si>
  <si>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</si>
  <si>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</si>
  <si>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</si>
  <si>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</si>
  <si>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</si>
  <si>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</si>
  <si>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</si>
  <si>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</si>
  <si>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</si>
  <si>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</si>
  <si>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</si>
  <si>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</si>
  <si>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</si>
  <si>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</si>
  <si>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</si>
  <si>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</si>
  <si>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</si>
  <si>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</si>
  <si>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</si>
  <si>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</si>
  <si>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</si>
  <si>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</si>
  <si>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</si>
  <si>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</si>
  <si>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</si>
  <si>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</si>
  <si>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</si>
  <si>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</si>
  <si>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</si>
  <si>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</si>
  <si>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</si>
  <si>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</si>
  <si>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</si>
  <si>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</si>
  <si>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</si>
  <si>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</si>
  <si>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</si>
  <si>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</si>
  <si>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</si>
  <si>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</si>
  <si>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</si>
  <si>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</si>
  <si>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</si>
  <si>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</si>
  <si>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</si>
  <si>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</si>
  <si>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</si>
  <si>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</si>
  <si>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</si>
  <si>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</si>
  <si>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</si>
  <si>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</si>
  <si>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</si>
  <si>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</si>
  <si>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</si>
  <si>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</si>
  <si>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</si>
  <si>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</si>
  <si>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</si>
  <si>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</si>
  <si>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</si>
  <si>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</si>
  <si>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</si>
  <si>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</si>
  <si>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</si>
  <si>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</si>
  <si>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</si>
  <si>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</si>
  <si>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</si>
  <si>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</si>
  <si>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</si>
  <si>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</si>
  <si>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</si>
  <si>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</si>
  <si>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</si>
  <si>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</si>
  <si>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</si>
  <si>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</si>
  <si>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</si>
  <si>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</si>
  <si>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</si>
  <si>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</si>
  <si>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</si>
  <si>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</si>
  <si>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</si>
  <si>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</si>
  <si>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</si>
  <si>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</si>
  <si>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</si>
  <si>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</si>
  <si>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</si>
  <si>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</si>
  <si>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</si>
  <si>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</si>
  <si>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</si>
  <si>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</si>
  <si>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</si>
  <si>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</si>
  <si>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</si>
  <si>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</si>
  <si>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</si>
  <si>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</si>
  <si>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</si>
  <si>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</si>
  <si>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</si>
  <si>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</si>
  <si>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</si>
  <si>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</si>
  <si>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</si>
  <si>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</si>
  <si>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</si>
  <si>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</si>
  <si>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</si>
  <si>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</si>
  <si>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</si>
  <si>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</si>
  <si>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</si>
  <si>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</si>
  <si>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</si>
  <si>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</si>
  <si>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</si>
  <si>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</si>
  <si>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</si>
  <si>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</si>
  <si>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</si>
  <si>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</si>
  <si>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</si>
  <si>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</si>
  <si>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</si>
  <si>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</si>
  <si>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</si>
  <si>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</si>
  <si>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</si>
  <si>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</si>
  <si>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</si>
  <si>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</si>
  <si>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</si>
  <si>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</si>
  <si>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</si>
  <si>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</si>
  <si>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</si>
  <si>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</si>
  <si>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</si>
  <si>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</si>
  <si>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</si>
  <si>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</si>
  <si>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</si>
  <si>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</si>
  <si>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</si>
  <si>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</si>
  <si>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</si>
  <si>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</si>
  <si>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</si>
  <si>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</si>
  <si>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</si>
  <si>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</si>
  <si>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</si>
  <si>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</si>
  <si>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</si>
  <si>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</si>
  <si>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</si>
  <si>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</si>
  <si>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</si>
  <si>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</si>
  <si>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</si>
  <si>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</si>
  <si>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</si>
  <si>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</si>
  <si>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</si>
  <si>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</si>
  <si>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</si>
  <si>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</si>
  <si>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</si>
  <si>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</si>
  <si>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</si>
  <si>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</si>
  <si>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</si>
  <si>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</si>
  <si>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</si>
  <si>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</si>
  <si>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</si>
  <si>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</si>
  <si>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</si>
  <si>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</si>
  <si>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</si>
  <si>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</si>
  <si>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</si>
  <si>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</si>
  <si>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</si>
  <si>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</si>
  <si>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</si>
  <si>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</si>
  <si>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</si>
  <si>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</si>
  <si>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</si>
  <si>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</si>
  <si>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</si>
  <si>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</si>
  <si>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</si>
  <si>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</si>
  <si>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</si>
  <si>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</si>
  <si>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</si>
  <si>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</si>
  <si>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</si>
  <si>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</si>
  <si>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</si>
  <si>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</si>
  <si>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</si>
  <si>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</si>
  <si>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</si>
  <si>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</si>
  <si>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</si>
  <si>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</si>
  <si>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</si>
  <si>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</si>
  <si>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</si>
  <si>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</si>
  <si>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</si>
  <si>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</si>
  <si>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</si>
  <si>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</si>
  <si>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</si>
  <si>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</si>
  <si>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</si>
  <si>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</si>
  <si>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</si>
  <si>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</si>
  <si>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</si>
  <si>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</si>
  <si>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</si>
  <si>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</si>
  <si>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</si>
  <si>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</si>
  <si>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</si>
  <si>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</si>
  <si>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</si>
  <si>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</si>
  <si>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</si>
  <si>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</si>
  <si>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</si>
  <si>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</si>
  <si>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</si>
  <si>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</si>
  <si>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</si>
  <si>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</si>
  <si>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</si>
  <si>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</si>
  <si>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</si>
  <si>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</si>
  <si>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</si>
  <si>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</si>
  <si>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</si>
  <si>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</si>
  <si>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</si>
  <si>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</si>
  <si>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</si>
  <si>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</si>
  <si>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</si>
  <si>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</si>
  <si>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</si>
  <si>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</si>
  <si>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</si>
  <si>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</si>
  <si>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</si>
  <si>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</si>
  <si>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</si>
  <si>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</si>
  <si>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</si>
  <si>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</si>
  <si>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</si>
  <si>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</si>
  <si>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</si>
  <si>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</si>
  <si>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</si>
  <si>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</si>
  <si>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</si>
  <si>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</si>
  <si>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</si>
  <si>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</si>
  <si>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</si>
  <si>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</si>
  <si>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</si>
  <si>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</si>
  <si>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</si>
  <si>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</si>
  <si>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</si>
  <si>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</si>
  <si>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</si>
  <si>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</si>
  <si>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</si>
  <si>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</si>
  <si>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</si>
  <si>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</si>
  <si>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</si>
  <si>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</si>
  <si>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</si>
  <si>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</si>
  <si>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</si>
  <si>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</si>
  <si>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</si>
  <si>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</si>
  <si>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</si>
  <si>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</si>
  <si>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</si>
  <si>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</si>
  <si>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</si>
  <si>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</si>
  <si>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</si>
  <si>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</si>
  <si>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</si>
  <si>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</si>
  <si>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</si>
  <si>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</si>
  <si>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</si>
  <si>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</si>
  <si>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</si>
  <si>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</si>
  <si>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</si>
  <si>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</si>
  <si>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</si>
  <si>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</si>
  <si>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</si>
  <si>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</si>
  <si>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</si>
  <si>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</si>
  <si>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</si>
  <si>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</si>
  <si>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</si>
  <si>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</si>
  <si>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</si>
  <si>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</si>
  <si>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</si>
  <si>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</si>
  <si>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</si>
  <si>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</si>
  <si>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</si>
  <si>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</si>
  <si>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</si>
  <si>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</si>
  <si>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</si>
  <si>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</si>
  <si>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</si>
  <si>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</si>
  <si>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</si>
  <si>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</si>
  <si>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</si>
  <si>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</si>
  <si>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</si>
  <si>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</si>
  <si>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</si>
  <si>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</si>
  <si>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</si>
  <si>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</si>
  <si>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</si>
  <si>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</si>
  <si>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</si>
  <si>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</si>
  <si>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</si>
  <si>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</si>
  <si>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</si>
  <si>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</si>
  <si>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</si>
  <si>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</si>
  <si>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</si>
  <si>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</si>
  <si>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</si>
  <si>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</si>
  <si>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</si>
  <si>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</si>
  <si>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</si>
  <si>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</si>
  <si>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</si>
  <si>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</si>
  <si>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</si>
  <si>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</si>
  <si>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</si>
  <si>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</si>
  <si>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</si>
  <si>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</si>
  <si>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</si>
  <si>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</si>
  <si>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</si>
  <si>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</si>
  <si>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</si>
  <si>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</si>
  <si>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</si>
  <si>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</si>
  <si>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</si>
  <si>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</si>
  <si>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</si>
  <si>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</si>
  <si>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</si>
  <si>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</si>
  <si>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</si>
  <si>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</si>
  <si>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</si>
  <si>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</si>
  <si>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</si>
  <si>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</si>
  <si>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</si>
  <si>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</si>
  <si>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</si>
  <si>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</si>
  <si>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</si>
  <si>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</si>
  <si>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</si>
  <si>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</si>
  <si>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</si>
  <si>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</si>
  <si>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</si>
  <si>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</si>
  <si>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</si>
  <si>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</si>
  <si>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</si>
  <si>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</si>
  <si>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</si>
  <si>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</si>
  <si>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</si>
  <si>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</si>
  <si>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</si>
  <si>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</si>
  <si>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</si>
  <si>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</si>
  <si>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</si>
  <si>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</si>
  <si>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</si>
  <si>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</si>
  <si>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</si>
  <si>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</si>
  <si>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</si>
  <si>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</si>
  <si>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</si>
  <si>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</si>
  <si>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</si>
  <si>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</si>
  <si>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</si>
  <si>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</si>
  <si>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</si>
  <si>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</si>
  <si>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</si>
  <si>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</si>
  <si>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</si>
  <si>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</si>
  <si>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</si>
  <si>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</si>
  <si>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</si>
  <si>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</si>
  <si>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</si>
  <si>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</si>
  <si>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</si>
  <si>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</si>
  <si>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</si>
  <si>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</si>
  <si>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</si>
  <si>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</si>
  <si>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</si>
  <si>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</si>
  <si>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</si>
  <si>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</si>
  <si>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</si>
  <si>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</si>
  <si>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</si>
  <si>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</si>
  <si>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</si>
  <si>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</si>
  <si>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</si>
  <si>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</si>
  <si>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</si>
  <si>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</si>
  <si>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</si>
  <si>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</si>
  <si>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</si>
  <si>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</si>
  <si>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</si>
  <si>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</si>
  <si>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</si>
  <si>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</si>
  <si>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</si>
  <si>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</si>
  <si>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</si>
  <si>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</si>
  <si>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</si>
  <si>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</si>
  <si>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</si>
  <si>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</si>
  <si>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</si>
  <si>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</si>
  <si>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</si>
  <si>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</si>
  <si>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</si>
  <si>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</si>
  <si>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</si>
  <si>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</si>
  <si>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</si>
  <si>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</si>
  <si>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</si>
  <si>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</si>
  <si>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</si>
  <si>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</si>
  <si>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</si>
  <si>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</si>
  <si>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</si>
  <si>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</si>
  <si>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</si>
  <si>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</si>
  <si>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</si>
  <si>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</si>
  <si>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</si>
  <si>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</si>
  <si>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</si>
  <si>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</si>
  <si>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</si>
  <si>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</si>
  <si>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</si>
  <si>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</si>
  <si>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</si>
  <si>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</si>
  <si>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</si>
  <si>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</si>
  <si>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</si>
  <si>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</si>
  <si>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</si>
  <si>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</si>
  <si>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</si>
  <si>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</si>
  <si>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</si>
  <si>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</si>
  <si>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</si>
  <si>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</si>
  <si>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</si>
  <si>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</si>
  <si>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</si>
  <si>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</si>
  <si>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</si>
  <si>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</si>
  <si>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</si>
  <si>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</si>
  <si>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</si>
  <si>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</si>
  <si>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</si>
  <si>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</si>
  <si>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</si>
  <si>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</si>
  <si>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</si>
  <si>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</si>
  <si>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</si>
  <si>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</si>
  <si>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</si>
  <si>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</si>
  <si>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</si>
  <si>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</si>
  <si>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</si>
  <si>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</si>
  <si>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</si>
  <si>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</si>
  <si>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</si>
  <si>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</si>
  <si>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</si>
  <si>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</si>
  <si>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</si>
  <si>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</si>
  <si>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</si>
  <si>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</si>
  <si>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</si>
  <si>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</si>
  <si>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</si>
  <si>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</si>
  <si>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</si>
  <si>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</si>
  <si>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</si>
  <si>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</si>
  <si>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</si>
  <si>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</si>
  <si>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</si>
  <si>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</si>
  <si>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</si>
  <si>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</si>
  <si>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</si>
  <si>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</si>
  <si>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</si>
  <si>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</si>
  <si>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</si>
  <si>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</si>
  <si>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</si>
  <si>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</si>
  <si>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</si>
  <si>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</si>
  <si>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</si>
  <si>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</si>
  <si>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</si>
  <si>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</si>
  <si>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</si>
  <si>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</si>
  <si>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</si>
  <si>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</si>
  <si>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</si>
  <si>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</si>
  <si>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</si>
  <si>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</si>
  <si>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</si>
  <si>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</si>
  <si>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</si>
  <si>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</si>
  <si>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</si>
  <si>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</si>
  <si>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</si>
  <si>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</si>
  <si>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</si>
  <si>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</si>
  <si>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</si>
  <si>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</si>
  <si>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</si>
  <si>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</si>
  <si>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</si>
  <si>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</si>
  <si>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</si>
  <si>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</si>
  <si>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</si>
  <si>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</si>
  <si>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</si>
  <si>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</si>
  <si>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</si>
  <si>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</si>
  <si>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</si>
  <si>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</si>
  <si>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</si>
  <si>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</si>
  <si>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</si>
  <si>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</si>
  <si>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</si>
  <si>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</si>
  <si>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</si>
  <si>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</si>
  <si>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</si>
  <si>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</si>
  <si>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</si>
  <si>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</si>
  <si>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</si>
  <si>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</si>
  <si>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</si>
  <si>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</si>
  <si>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</si>
  <si>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</si>
  <si>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</si>
  <si>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</si>
  <si>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</si>
  <si>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</si>
  <si>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</si>
  <si>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</si>
  <si>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</si>
  <si>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</si>
  <si>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</si>
  <si>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</si>
  <si>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</si>
  <si>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</si>
  <si>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</si>
  <si>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</si>
  <si>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</si>
  <si>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</si>
  <si>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</si>
  <si>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</si>
  <si>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</si>
  <si>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</si>
  <si>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</si>
  <si>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</si>
  <si>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</si>
  <si>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</si>
  <si>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</si>
  <si>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</si>
  <si>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</si>
  <si>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</si>
  <si>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</si>
  <si>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</si>
  <si>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</si>
  <si>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</si>
  <si>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</si>
  <si>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</si>
  <si>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</si>
  <si>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</si>
  <si>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</si>
  <si>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</si>
  <si>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</si>
  <si>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</si>
  <si>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</si>
  <si>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</si>
  <si>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</si>
  <si>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</si>
  <si>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</si>
  <si>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</si>
  <si>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</si>
  <si>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</si>
  <si>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</si>
  <si>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</si>
  <si>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</si>
  <si>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</si>
  <si>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</si>
  <si>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</si>
  <si>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</si>
  <si>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</si>
  <si>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</si>
  <si>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</si>
  <si>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</si>
  <si>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</si>
  <si>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</si>
  <si>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</si>
  <si>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</si>
  <si>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</si>
  <si>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</si>
  <si>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</si>
  <si>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</si>
  <si>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</si>
  <si>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</si>
  <si>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</si>
  <si>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</si>
  <si>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</si>
  <si>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</si>
  <si>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</si>
  <si>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</si>
  <si>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</si>
  <si>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</si>
  <si>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</si>
  <si>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</si>
  <si>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</si>
  <si>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</si>
  <si>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</si>
  <si>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</si>
  <si>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</si>
  <si>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</si>
  <si>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</si>
  <si>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</si>
  <si>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</si>
  <si>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</si>
  <si>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</si>
  <si>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</si>
  <si>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</si>
  <si>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</si>
  <si>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</si>
  <si>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</si>
  <si>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</si>
  <si>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</si>
  <si>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</si>
  <si>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</si>
  <si>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</si>
  <si>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</si>
  <si>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</si>
  <si>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</si>
  <si>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</si>
  <si>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</si>
  <si>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</si>
  <si>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</si>
  <si>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</si>
  <si>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</si>
  <si>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</si>
  <si>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</si>
  <si>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</si>
  <si>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</si>
  <si>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</si>
  <si>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</si>
  <si>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</si>
  <si>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</si>
  <si>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</si>
  <si>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</si>
  <si>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</si>
  <si>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</si>
  <si>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</si>
  <si>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</si>
  <si>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</si>
  <si>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</si>
  <si>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</si>
  <si>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</si>
  <si>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</si>
  <si>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</si>
  <si>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</si>
  <si>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</si>
  <si>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</si>
  <si>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</si>
  <si>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</si>
  <si>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</si>
  <si>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</si>
  <si>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</si>
  <si>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</si>
  <si>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</si>
  <si>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</si>
  <si>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</si>
  <si>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</si>
  <si>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</si>
  <si>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</si>
  <si>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</si>
  <si>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</si>
  <si>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</si>
  <si>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</si>
  <si>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</si>
  <si>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</si>
  <si>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</si>
  <si>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</si>
  <si>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</si>
  <si>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</si>
  <si>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</si>
  <si>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</si>
  <si>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</si>
  <si>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</si>
  <si>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</si>
  <si>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</si>
  <si>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</si>
  <si>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</si>
  <si>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</si>
  <si>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</si>
  <si>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</si>
  <si>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</si>
  <si>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</si>
  <si>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</si>
  <si>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</si>
  <si>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</si>
  <si>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</si>
  <si>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</si>
  <si>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</si>
  <si>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</si>
  <si>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</si>
  <si>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</si>
  <si>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</si>
  <si>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</si>
  <si>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</si>
  <si>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</si>
  <si>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</si>
  <si>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</si>
  <si>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</si>
  <si>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</si>
  <si>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</si>
  <si>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</si>
  <si>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</si>
  <si>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</si>
  <si>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</si>
  <si>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</si>
  <si>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</si>
  <si>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</si>
  <si>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</si>
  <si>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</si>
  <si>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</si>
  <si>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</si>
  <si>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</si>
  <si>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</si>
  <si>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</si>
  <si>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</si>
  <si>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</si>
  <si>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</si>
  <si>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</si>
  <si>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</si>
  <si>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</si>
  <si>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</si>
  <si>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</si>
  <si>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</si>
  <si>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</si>
  <si>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</si>
  <si>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</si>
  <si>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</si>
  <si>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</si>
  <si>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</si>
  <si>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</si>
  <si>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</si>
  <si>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</si>
  <si>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</si>
  <si>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</si>
  <si>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</si>
  <si>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</si>
  <si>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</si>
  <si>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</si>
  <si>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</si>
  <si>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</si>
  <si>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</si>
  <si>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</si>
  <si>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</si>
  <si>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</si>
  <si>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</si>
  <si>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</si>
  <si>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</si>
  <si>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</si>
  <si>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</si>
  <si>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</si>
  <si>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</si>
  <si>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</si>
  <si>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</si>
  <si>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</si>
  <si>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</si>
  <si>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</si>
  <si>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</si>
  <si>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</si>
  <si>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</si>
  <si>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</si>
  <si>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</si>
  <si>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</si>
  <si>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</si>
  <si>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</si>
  <si>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</si>
  <si>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</si>
  <si>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</si>
  <si>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</si>
  <si>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</si>
  <si>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</si>
  <si>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</si>
  <si>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</si>
  <si>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</si>
  <si>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</si>
  <si>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</si>
  <si>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</si>
  <si>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</si>
  <si>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</si>
  <si>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</si>
  <si>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</si>
  <si>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</si>
  <si>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</si>
  <si>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</si>
  <si>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</si>
  <si>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</si>
  <si>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</si>
  <si>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</si>
  <si>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</si>
  <si>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</si>
  <si>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</si>
  <si>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</si>
  <si>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</si>
  <si>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</si>
  <si>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</si>
  <si>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</si>
  <si>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</si>
  <si>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</si>
  <si>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</si>
  <si>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</si>
  <si>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</si>
  <si>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</si>
  <si>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</si>
  <si>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</si>
  <si>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</si>
  <si>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</si>
  <si>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</si>
  <si>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</si>
  <si>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</si>
  <si>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</si>
  <si>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</si>
  <si>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</si>
  <si>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</si>
  <si>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</si>
  <si>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</si>
  <si>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</si>
  <si>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</si>
  <si>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</si>
  <si>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</si>
  <si>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</si>
  <si>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</si>
  <si>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</si>
  <si>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</si>
  <si>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</si>
  <si>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</si>
  <si>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</si>
  <si>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</si>
  <si>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</si>
  <si>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</si>
  <si>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</si>
  <si>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</si>
  <si>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</si>
  <si>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</si>
  <si>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</si>
  <si>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</si>
  <si>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</si>
  <si>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</si>
  <si>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</si>
  <si>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</si>
  <si>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</si>
  <si>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</si>
  <si>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</si>
  <si>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</si>
  <si>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</si>
  <si>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</si>
  <si>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</si>
  <si>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</si>
  <si>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</si>
  <si>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</si>
  <si>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</si>
  <si>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</si>
  <si>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</si>
  <si>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</si>
  <si>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</si>
  <si>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</si>
  <si>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</si>
  <si>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</si>
  <si>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</si>
  <si>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</si>
  <si>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</si>
  <si>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</si>
  <si>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</si>
  <si>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</si>
  <si>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</si>
  <si>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</si>
  <si>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</si>
  <si>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</si>
  <si>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</si>
  <si>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</si>
  <si>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</si>
  <si>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</si>
  <si>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</si>
  <si>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</si>
  <si>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</si>
  <si>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</si>
  <si>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</si>
  <si>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</si>
  <si>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</si>
  <si>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</si>
  <si>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</si>
  <si>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</si>
  <si>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</si>
  <si>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</si>
  <si>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</si>
  <si>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</si>
  <si>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</si>
  <si>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</si>
  <si>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</si>
  <si>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</si>
  <si>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</si>
  <si>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</si>
  <si>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</si>
  <si>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</si>
  <si>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</si>
  <si>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</si>
  <si>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</si>
  <si>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</si>
  <si>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</si>
  <si>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</si>
  <si>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</si>
  <si>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</si>
  <si>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</si>
  <si>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</si>
  <si>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</si>
  <si>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</si>
  <si>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</si>
  <si>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</si>
  <si>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</si>
  <si>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</si>
  <si>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</si>
  <si>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</si>
  <si>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</si>
  <si>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</si>
  <si>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</si>
  <si>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</si>
  <si>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</si>
  <si>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</si>
  <si>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</si>
  <si>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</si>
  <si>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</si>
  <si>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</si>
  <si>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</si>
  <si>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</si>
  <si>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</si>
  <si>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</si>
  <si>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</si>
  <si>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</si>
  <si>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</si>
  <si>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</si>
  <si>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</si>
  <si>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</si>
  <si>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</si>
  <si>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</si>
  <si>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</si>
  <si>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</si>
  <si>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</si>
  <si>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</si>
  <si>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</si>
  <si>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</si>
  <si>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</si>
  <si>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</si>
  <si>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</si>
  <si>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</si>
  <si>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</si>
  <si>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</si>
  <si>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</si>
  <si>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</si>
  <si>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</si>
  <si>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</si>
  <si>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</si>
  <si>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</si>
  <si>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</si>
  <si>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</si>
  <si>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</si>
  <si>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</si>
  <si>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</si>
  <si>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</si>
  <si>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</si>
  <si>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</si>
  <si>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</si>
  <si>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</si>
  <si>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</si>
  <si>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</si>
  <si>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</si>
  <si>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</si>
  <si>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</si>
  <si>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</si>
  <si>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</si>
  <si>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</si>
  <si>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</si>
  <si>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</si>
  <si>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</si>
  <si>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</si>
  <si>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</si>
  <si>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</si>
  <si>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</si>
  <si>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</si>
  <si>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</si>
  <si>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</si>
  <si>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</si>
  <si>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</si>
  <si>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</si>
  <si>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</si>
  <si>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</si>
  <si>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</si>
  <si>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</si>
  <si>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</si>
  <si>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</si>
  <si>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</si>
  <si>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</si>
  <si>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</si>
  <si>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</si>
  <si>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</si>
  <si>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</si>
  <si>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</si>
  <si>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</si>
  <si>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</si>
  <si>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</si>
  <si>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</si>
  <si>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</si>
  <si>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</si>
  <si>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</si>
  <si>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</si>
  <si>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</si>
  <si>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</si>
  <si>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</si>
  <si>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</si>
  <si>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</si>
  <si>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</si>
  <si>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</si>
  <si>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</si>
  <si>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</si>
  <si>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</si>
  <si>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</si>
  <si>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</si>
  <si>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</si>
  <si>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</si>
  <si>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</si>
  <si>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</si>
  <si>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</si>
  <si>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</si>
  <si>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</si>
  <si>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</si>
  <si>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</si>
  <si>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</si>
  <si>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</si>
  <si>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</si>
  <si>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</si>
  <si>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</si>
  <si>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</si>
  <si>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</si>
  <si>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</si>
  <si>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</si>
  <si>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</si>
  <si>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</si>
  <si>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</si>
  <si>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</si>
  <si>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</si>
  <si>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</si>
  <si>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</si>
  <si>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</si>
  <si>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</si>
  <si>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</si>
  <si>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</si>
  <si>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</si>
  <si>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</si>
  <si>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</si>
  <si>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</si>
  <si>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</si>
  <si>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</si>
  <si>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</si>
  <si>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</si>
  <si>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</si>
  <si>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</si>
  <si>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</si>
  <si>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</si>
  <si>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</si>
  <si>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</si>
  <si>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</si>
  <si>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</si>
  <si>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</si>
  <si>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</si>
  <si>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</si>
  <si>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</si>
  <si>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</si>
  <si>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</si>
  <si>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</si>
  <si>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</si>
  <si>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</si>
  <si>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</si>
  <si>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</si>
  <si>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</si>
  <si>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</si>
  <si>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</si>
  <si>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</si>
  <si>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</si>
  <si>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</si>
  <si>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</si>
  <si>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</si>
  <si>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</si>
  <si>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</si>
  <si>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</si>
  <si>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</si>
  <si>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</si>
  <si>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</si>
  <si>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</si>
  <si>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</si>
  <si>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</si>
  <si>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</si>
  <si>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</si>
  <si>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</si>
  <si>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</si>
  <si>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</si>
  <si>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</si>
  <si>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</si>
  <si>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</si>
  <si>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</si>
  <si>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</si>
  <si>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</si>
  <si>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</si>
  <si>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</si>
  <si>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</si>
  <si>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</si>
  <si>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</si>
  <si>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</si>
  <si>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</si>
  <si>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</si>
  <si>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</si>
  <si>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</si>
  <si>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</si>
  <si>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</si>
  <si>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</si>
  <si>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</si>
  <si>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</si>
  <si>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</si>
  <si>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</si>
  <si>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</si>
  <si>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</si>
  <si>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</si>
  <si>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</si>
  <si>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</si>
  <si>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</si>
  <si>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</si>
  <si>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</si>
  <si>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</si>
  <si>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</si>
  <si>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</si>
  <si>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</si>
  <si>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</si>
  <si>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</si>
  <si>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</si>
  <si>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</si>
  <si>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</si>
  <si>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</si>
  <si>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</si>
  <si>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</si>
  <si>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</si>
  <si>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</si>
  <si>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</si>
  <si>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</si>
  <si>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</si>
  <si>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</si>
  <si>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</si>
  <si>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</si>
  <si>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</si>
  <si>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</si>
  <si>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</si>
  <si>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</si>
  <si>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</si>
  <si>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</si>
  <si>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</si>
  <si>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</si>
  <si>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</si>
  <si>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</si>
  <si>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</si>
  <si>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</si>
  <si>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</si>
  <si>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</si>
  <si>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</si>
  <si>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</si>
  <si>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</si>
  <si>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</si>
  <si>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</si>
  <si>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</si>
  <si>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</si>
  <si>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</si>
  <si>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</si>
  <si>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</si>
  <si>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</si>
  <si>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</si>
  <si>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</si>
  <si>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</si>
  <si>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</si>
  <si>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</si>
  <si>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</si>
  <si>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</si>
  <si>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</si>
  <si>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</si>
  <si>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</si>
  <si>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</si>
  <si>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</si>
  <si>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</si>
  <si>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</si>
  <si>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</si>
  <si>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</si>
  <si>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</si>
  <si>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</si>
  <si>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</si>
  <si>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</si>
  <si>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</si>
  <si>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</si>
  <si>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</si>
  <si>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</si>
  <si>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</si>
  <si>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</si>
  <si>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</si>
  <si>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</si>
  <si>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</si>
  <si>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</si>
  <si>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</si>
  <si>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</si>
  <si>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</si>
  <si>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</si>
  <si>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</si>
  <si>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</si>
  <si>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</si>
  <si>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</si>
  <si>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</si>
  <si>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</si>
  <si>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</si>
  <si>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</si>
  <si>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</si>
  <si>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</si>
  <si>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</si>
  <si>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</si>
  <si>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</si>
  <si>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</si>
  <si>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</si>
  <si>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</si>
  <si>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</si>
  <si>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</si>
  <si>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</si>
  <si>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</si>
  <si>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</si>
  <si>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</si>
  <si>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</si>
  <si>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</si>
  <si>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</si>
  <si>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</si>
  <si>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</si>
  <si>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</si>
  <si>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</si>
  <si>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</si>
  <si>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</si>
  <si>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</si>
  <si>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</si>
  <si>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</si>
  <si>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</si>
  <si>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</si>
  <si>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</si>
  <si>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</si>
  <si>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</si>
  <si>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</si>
  <si>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</si>
  <si>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</si>
  <si>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</si>
  <si>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</si>
  <si>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</si>
  <si>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</si>
  <si>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</si>
  <si>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</si>
  <si>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</si>
  <si>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</si>
  <si>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</si>
  <si>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</si>
  <si>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</si>
  <si>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</si>
  <si>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</si>
  <si>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</si>
  <si>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</si>
  <si>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</si>
  <si>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</si>
  <si>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</si>
  <si>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</si>
  <si>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</si>
  <si>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</si>
  <si>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</si>
  <si>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</si>
  <si>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</si>
  <si>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</si>
  <si>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</si>
  <si>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</si>
  <si>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</si>
  <si>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</si>
  <si>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</si>
  <si>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</si>
  <si>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</si>
  <si>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</si>
  <si>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</si>
  <si>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</si>
  <si>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</si>
  <si>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</si>
  <si>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</si>
  <si>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</si>
  <si>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</si>
  <si>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</si>
  <si>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</si>
  <si>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</si>
  <si>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</si>
  <si>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</si>
  <si>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</si>
  <si>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</si>
  <si>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</si>
  <si>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</si>
  <si>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</si>
  <si>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</si>
  <si>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</si>
  <si>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</si>
  <si>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</si>
  <si>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</si>
  <si>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</si>
  <si>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</si>
  <si>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</si>
  <si>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</si>
  <si>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</si>
  <si>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</si>
  <si>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</si>
  <si>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</si>
  <si>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</si>
  <si>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</si>
  <si>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</si>
  <si>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</si>
  <si>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</si>
  <si>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</si>
  <si>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</si>
  <si>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</si>
  <si>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</si>
  <si>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</si>
  <si>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</si>
  <si>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</si>
  <si>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</si>
  <si>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</si>
  <si>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</si>
  <si>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</si>
  <si>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</si>
  <si>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</si>
  <si>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</si>
  <si>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</si>
  <si>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</si>
  <si>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</si>
  <si>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</si>
  <si>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</si>
  <si>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</si>
  <si>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</si>
  <si>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</si>
  <si>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</si>
  <si>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</si>
  <si>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</si>
  <si>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</si>
  <si>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</si>
  <si>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</si>
  <si>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</si>
  <si>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</si>
  <si>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</si>
  <si>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</si>
  <si>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</si>
  <si>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</si>
  <si>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</si>
  <si>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</si>
  <si>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</si>
  <si>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</si>
  <si>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</si>
  <si>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</si>
  <si>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</si>
  <si>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</si>
  <si>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</si>
  <si>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</si>
  <si>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</si>
  <si>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</si>
  <si>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</si>
  <si>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</si>
  <si>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</si>
  <si>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</si>
  <si>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</si>
  <si>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</si>
  <si>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</si>
  <si>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</si>
  <si>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</si>
  <si>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</si>
  <si>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</si>
  <si>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</si>
  <si>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</si>
  <si>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</si>
  <si>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</si>
  <si>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</si>
  <si>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</si>
  <si>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</si>
  <si>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</si>
  <si>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</si>
  <si>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</si>
  <si>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</si>
  <si>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</si>
  <si>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</si>
  <si>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</si>
  <si>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</si>
  <si>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</si>
  <si>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</si>
  <si>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</si>
  <si>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</si>
  <si>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</si>
  <si>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</si>
  <si>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</si>
  <si>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</si>
  <si>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</si>
  <si>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</si>
  <si>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</si>
  <si>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</si>
  <si>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</si>
  <si>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</si>
  <si>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</si>
  <si>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</si>
  <si>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</si>
  <si>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</si>
  <si>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</si>
  <si>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</si>
  <si>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</si>
  <si>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</si>
  <si>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</si>
  <si>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</si>
  <si>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</si>
  <si>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</si>
  <si>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</si>
  <si>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</si>
  <si>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</si>
  <si>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</si>
  <si>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</si>
  <si>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</si>
  <si>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</si>
  <si>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</si>
  <si>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</si>
  <si>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</si>
  <si>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</si>
  <si>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</si>
  <si>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</si>
  <si>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</si>
  <si>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</si>
  <si>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</si>
  <si>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</si>
  <si>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</si>
  <si>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</si>
  <si>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</si>
  <si>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</si>
  <si>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</si>
  <si>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</si>
  <si>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</si>
  <si>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</si>
  <si>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</si>
  <si>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</si>
  <si>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</si>
  <si>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</si>
  <si>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</si>
  <si>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</si>
  <si>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</si>
  <si>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</si>
  <si>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</si>
  <si>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</si>
  <si>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</si>
  <si>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</si>
  <si>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</si>
  <si>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</si>
  <si>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</si>
  <si>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</si>
  <si>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</si>
  <si>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</si>
  <si>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</si>
  <si>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</si>
  <si>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</si>
  <si>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</si>
  <si>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</si>
  <si>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</si>
  <si>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</si>
  <si>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</si>
  <si>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</si>
  <si>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</si>
  <si>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</si>
  <si>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</si>
  <si>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</si>
  <si>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</si>
  <si>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</si>
  <si>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</si>
  <si>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</si>
  <si>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</si>
  <si>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</si>
  <si>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</si>
  <si>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</si>
  <si>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</si>
  <si>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</si>
  <si>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</si>
  <si>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</si>
  <si>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</si>
  <si>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</si>
  <si>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</si>
  <si>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</si>
  <si>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</si>
  <si>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</si>
  <si>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</si>
  <si>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</si>
  <si>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</si>
  <si>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</si>
  <si>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</si>
  <si>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</si>
  <si>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</si>
  <si>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</si>
  <si>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</si>
  <si>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</si>
  <si>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</si>
  <si>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</si>
  <si>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</si>
  <si>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</si>
  <si>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</si>
  <si>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</si>
  <si>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</si>
  <si>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</si>
  <si>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</si>
  <si>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</si>
  <si>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</si>
  <si>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</si>
  <si>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</si>
  <si>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</si>
  <si>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</si>
  <si>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</si>
  <si>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</si>
  <si>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</si>
  <si>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</si>
  <si>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</si>
  <si>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</si>
  <si>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</si>
  <si>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</si>
  <si>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</si>
  <si>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</si>
  <si>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</si>
  <si>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</si>
  <si>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</si>
  <si>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</si>
  <si>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</si>
  <si>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</si>
  <si>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</si>
  <si>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</si>
  <si>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</si>
  <si>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</si>
  <si>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</si>
  <si>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</si>
  <si>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</si>
  <si>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</si>
  <si>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</si>
  <si>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</si>
  <si>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</si>
  <si>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</si>
  <si>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</si>
  <si>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</si>
  <si>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</si>
  <si>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</si>
  <si>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</si>
  <si>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</si>
  <si>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</si>
  <si>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</si>
  <si>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</si>
  <si>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</si>
  <si>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</si>
  <si>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</si>
  <si>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</si>
  <si>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</si>
  <si>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</si>
  <si>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</si>
  <si>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</si>
  <si>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</si>
  <si>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</si>
  <si>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</si>
  <si>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</si>
  <si>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</si>
  <si>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</si>
  <si>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</si>
  <si>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</si>
  <si>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</si>
  <si>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</si>
  <si>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</si>
  <si>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</si>
  <si>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</si>
  <si>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</si>
  <si>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</si>
  <si>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</si>
  <si>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</si>
  <si>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</si>
  <si>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</si>
  <si>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</si>
  <si>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</si>
  <si>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</si>
  <si>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</si>
  <si>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</si>
  <si>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</si>
  <si>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</si>
  <si>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</si>
  <si>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</si>
  <si>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</si>
  <si>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</si>
  <si>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</si>
  <si>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</si>
  <si>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</si>
  <si>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</si>
  <si>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</si>
  <si>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</si>
  <si>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</si>
  <si>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</si>
  <si>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</si>
  <si>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</si>
  <si>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</si>
  <si>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</si>
  <si>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</si>
  <si>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</si>
  <si>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</si>
  <si>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</si>
  <si>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</si>
  <si>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</si>
  <si>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</si>
  <si>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</si>
  <si>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</si>
  <si>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</si>
  <si>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</si>
  <si>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</si>
  <si>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</si>
  <si>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</si>
  <si>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</si>
  <si>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</si>
  <si>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</si>
  <si>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</si>
  <si>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</si>
  <si>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</si>
  <si>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</si>
  <si>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</si>
  <si>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</si>
  <si>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</si>
  <si>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</si>
  <si>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</si>
  <si>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</si>
  <si>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</si>
  <si>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</si>
  <si>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</si>
  <si>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</si>
  <si>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</si>
  <si>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</si>
  <si>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</si>
  <si>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</si>
  <si>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</si>
  <si>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</si>
  <si>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</si>
  <si>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</si>
  <si>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</si>
  <si>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</si>
  <si>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</si>
  <si>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</si>
  <si>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</si>
  <si>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</si>
  <si>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</si>
  <si>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</si>
  <si>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</si>
  <si>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</si>
  <si>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</si>
  <si>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</si>
  <si>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</si>
  <si>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</si>
  <si>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</si>
  <si>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</si>
  <si>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</si>
  <si>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</si>
  <si>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</si>
  <si>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</si>
  <si>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</si>
  <si>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</si>
  <si>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</si>
  <si>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</si>
  <si>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</si>
  <si>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</si>
  <si>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</si>
  <si>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</si>
  <si>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</si>
  <si>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</si>
  <si>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</si>
  <si>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</si>
  <si>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</si>
  <si>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</si>
  <si>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</si>
  <si>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</si>
  <si>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</si>
  <si>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</si>
  <si>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</si>
  <si>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</si>
  <si>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</si>
  <si>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</si>
  <si>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</si>
  <si>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</si>
  <si>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</si>
  <si>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</si>
  <si>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</si>
  <si>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</si>
  <si>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</si>
  <si>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</si>
  <si>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</si>
  <si>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</si>
  <si>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</si>
  <si>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</si>
  <si>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</si>
  <si>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</si>
  <si>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</si>
  <si>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</si>
  <si>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</si>
  <si>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</si>
  <si>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</si>
  <si>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</si>
  <si>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</si>
  <si>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</si>
  <si>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</si>
  <si>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</si>
  <si>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</si>
  <si>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</si>
  <si>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</si>
  <si>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</si>
  <si>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</si>
  <si>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</si>
  <si>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</si>
  <si>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</si>
  <si>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</si>
  <si>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</si>
  <si>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</si>
  <si>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</si>
  <si>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</si>
  <si>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</si>
  <si>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</si>
  <si>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</si>
  <si>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</si>
  <si>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</si>
  <si>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</si>
  <si>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</si>
  <si>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</si>
  <si>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</si>
  <si>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</si>
  <si>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</si>
  <si>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</si>
  <si>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</si>
  <si>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</si>
  <si>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</si>
  <si>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</si>
  <si>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</si>
  <si>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</si>
  <si>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</si>
  <si>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</si>
  <si>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</si>
  <si>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</si>
  <si>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</si>
  <si>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</si>
  <si>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</si>
  <si>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</si>
  <si>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</si>
  <si>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</si>
  <si>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</si>
  <si>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</si>
  <si>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</si>
  <si>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</si>
  <si>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</si>
  <si>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</si>
  <si>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</si>
  <si>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</si>
  <si>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</si>
  <si>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</si>
  <si>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</si>
  <si>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</si>
  <si>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</si>
  <si>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</si>
  <si>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</si>
  <si>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</si>
  <si>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</si>
  <si>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</si>
  <si>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</si>
  <si>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</si>
  <si>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</si>
  <si>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</si>
  <si>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</si>
  <si>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</si>
  <si>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</si>
  <si>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</si>
  <si>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</si>
  <si>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</si>
  <si>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</si>
  <si>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</si>
  <si>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</si>
  <si>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</si>
  <si>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</si>
  <si>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</si>
  <si>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</si>
  <si>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</si>
  <si>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</si>
  <si>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</si>
  <si>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</si>
  <si>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</si>
  <si>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</si>
  <si>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</si>
  <si>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</si>
  <si>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</si>
  <si>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</si>
  <si>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</si>
  <si>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</si>
  <si>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</si>
  <si>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</si>
  <si>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</si>
  <si>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</si>
  <si>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</si>
  <si>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</si>
  <si>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</si>
  <si>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</si>
  <si>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</si>
  <si>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</si>
  <si>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</si>
  <si>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</si>
  <si>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</si>
  <si>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</si>
  <si>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</si>
  <si>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</si>
  <si>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</si>
  <si>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</si>
  <si>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</si>
  <si>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</si>
  <si>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</si>
  <si>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</si>
  <si>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</si>
  <si>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</si>
  <si>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</si>
  <si>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</si>
  <si>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</si>
  <si>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</si>
  <si>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</si>
  <si>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</si>
  <si>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</si>
  <si>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</si>
  <si>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</si>
  <si>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</si>
  <si>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</si>
  <si>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</si>
  <si>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</si>
  <si>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</si>
  <si>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</si>
  <si>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</si>
  <si>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</si>
  <si>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</si>
  <si>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</si>
  <si>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</si>
  <si>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</si>
  <si>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</si>
  <si>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</si>
  <si>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</si>
  <si>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</si>
  <si>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</si>
  <si>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</si>
  <si>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</si>
  <si>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</si>
  <si>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</si>
  <si>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</si>
  <si>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</si>
  <si>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</si>
  <si>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</si>
  <si>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</si>
  <si>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</si>
  <si>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</si>
  <si>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</si>
  <si>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</si>
  <si>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</si>
  <si>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</si>
  <si>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</si>
  <si>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</si>
  <si>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</si>
  <si>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</si>
  <si>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</si>
  <si>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</si>
  <si>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</si>
  <si>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</si>
  <si>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</si>
  <si>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</si>
  <si>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</si>
  <si>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</si>
  <si>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</si>
  <si>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</si>
  <si>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</si>
  <si>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</si>
  <si>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</si>
  <si>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</si>
  <si>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</si>
  <si>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</si>
  <si>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</si>
  <si>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</si>
  <si>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</si>
  <si>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</si>
  <si>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</si>
  <si>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</si>
  <si>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</si>
  <si>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</si>
  <si>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</si>
  <si>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</si>
  <si>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</si>
  <si>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</si>
  <si>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</si>
  <si>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</si>
  <si>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</si>
  <si>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</si>
  <si>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</si>
  <si>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</si>
  <si>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</si>
  <si>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</si>
  <si>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</si>
  <si>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</si>
  <si>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</si>
  <si>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</si>
  <si>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</si>
  <si>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</si>
  <si>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</si>
  <si>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</si>
  <si>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</si>
  <si>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</si>
  <si>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</si>
  <si>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</si>
  <si>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</si>
  <si>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</si>
  <si>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</si>
  <si>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</si>
  <si>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</si>
  <si>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</si>
  <si>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</si>
  <si>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</si>
  <si>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</si>
  <si>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</si>
  <si>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</si>
  <si>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</si>
  <si>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</si>
  <si>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</si>
  <si>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</si>
  <si>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</si>
  <si>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</si>
  <si>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</si>
  <si>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</si>
  <si>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</si>
  <si>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</si>
  <si>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</si>
  <si>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</si>
  <si>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</si>
  <si>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</si>
  <si>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</si>
  <si>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</si>
  <si>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</si>
  <si>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</si>
  <si>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</si>
  <si>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</si>
  <si>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</si>
  <si>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</si>
  <si>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</si>
  <si>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</si>
  <si>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</si>
  <si>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</si>
  <si>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</si>
  <si>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</si>
  <si>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</si>
  <si>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</si>
  <si>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</si>
  <si>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</si>
  <si>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</si>
  <si>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</si>
  <si>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</si>
  <si>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</si>
  <si>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</si>
  <si>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</si>
  <si>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</si>
  <si>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</si>
  <si>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</si>
  <si>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</si>
  <si>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</si>
  <si>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</si>
  <si>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</si>
  <si>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</si>
  <si>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</si>
  <si>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</si>
  <si>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</si>
  <si>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</si>
  <si>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</si>
  <si>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</si>
  <si>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</si>
  <si>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</si>
  <si>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</si>
  <si>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</si>
  <si>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</si>
  <si>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</si>
  <si>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</si>
  <si>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</si>
  <si>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</si>
  <si>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</si>
  <si>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</si>
  <si>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</si>
  <si>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</si>
  <si>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</si>
  <si>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</si>
  <si>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</si>
  <si>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</si>
  <si>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</si>
  <si>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</si>
  <si>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</si>
  <si>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</si>
  <si>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</si>
  <si>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</si>
  <si>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</si>
  <si>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</si>
  <si>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</si>
  <si>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</si>
  <si>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</si>
  <si>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</si>
  <si>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</si>
  <si>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</si>
  <si>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</si>
  <si>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</si>
  <si>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</si>
  <si>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</si>
  <si>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</si>
  <si>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</si>
  <si>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</si>
  <si>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</si>
  <si>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</si>
  <si>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</si>
  <si>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</si>
  <si>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</si>
  <si>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</si>
  <si>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</si>
  <si>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</si>
  <si>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</si>
  <si>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</si>
  <si>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</si>
  <si>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</si>
  <si>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</si>
  <si>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</si>
  <si>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</si>
  <si>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</si>
  <si>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</si>
  <si>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</si>
  <si>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</si>
  <si>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</si>
  <si>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</si>
  <si>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</si>
  <si>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</si>
  <si>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</si>
  <si>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</si>
  <si>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</si>
  <si>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</si>
  <si>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</si>
  <si>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</si>
  <si>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</si>
  <si>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</si>
  <si>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</si>
  <si>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</si>
  <si>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</si>
  <si>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</si>
  <si>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</si>
  <si>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</si>
  <si>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</si>
  <si>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</si>
  <si>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</si>
  <si>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</si>
  <si>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</si>
  <si>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</si>
  <si>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</si>
  <si>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</si>
  <si>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</si>
  <si>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</si>
  <si>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</si>
  <si>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</si>
  <si>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</si>
  <si>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</si>
  <si>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</si>
  <si>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</si>
  <si>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</si>
  <si>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</si>
  <si>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</si>
  <si>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</si>
  <si>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</si>
  <si>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</si>
  <si>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</si>
  <si>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</si>
  <si>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</si>
  <si>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</si>
  <si>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</si>
  <si>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</si>
  <si>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</si>
  <si>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</si>
  <si>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</si>
  <si>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</si>
  <si>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</si>
  <si>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</si>
  <si>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</si>
  <si>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</si>
  <si>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</si>
  <si>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</si>
  <si>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</si>
  <si>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</si>
  <si>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</si>
  <si>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</si>
  <si>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</si>
  <si>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</si>
  <si>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</si>
  <si>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</si>
  <si>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</si>
  <si>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</si>
  <si>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</si>
  <si>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</si>
  <si>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</si>
  <si>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</si>
  <si>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</si>
  <si>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</si>
  <si>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</si>
  <si>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</si>
  <si>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</si>
  <si>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</si>
  <si>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</si>
  <si>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</si>
  <si>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</si>
  <si>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</si>
  <si>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</si>
  <si>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</si>
  <si>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</si>
  <si>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</si>
  <si>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</si>
  <si>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</si>
  <si>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</si>
  <si>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</si>
  <si>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</si>
  <si>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</si>
  <si>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</si>
  <si>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</si>
  <si>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</si>
  <si>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</si>
  <si>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</si>
  <si>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</si>
  <si>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</si>
  <si>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</si>
  <si>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</si>
  <si>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</si>
  <si>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</si>
  <si>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</si>
  <si>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</si>
  <si>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</si>
  <si>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</si>
  <si>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</si>
  <si>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</si>
  <si>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</si>
  <si>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</si>
  <si>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</si>
  <si>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</si>
  <si>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</si>
  <si>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</si>
  <si>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</si>
  <si>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</si>
  <si>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</si>
  <si>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</si>
  <si>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</si>
  <si>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</si>
  <si>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</si>
  <si>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</si>
  <si>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</si>
  <si>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</si>
  <si>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</si>
  <si>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</si>
  <si>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</si>
  <si>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</si>
  <si>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</si>
  <si>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</si>
  <si>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</si>
  <si>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</si>
  <si>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</si>
  <si>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</si>
  <si>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</si>
  <si>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</si>
  <si>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</si>
  <si>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</si>
  <si>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</si>
  <si>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</si>
  <si>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</si>
  <si>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</si>
  <si>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</si>
  <si>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</si>
  <si>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</si>
  <si>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</si>
  <si>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</si>
  <si>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</si>
  <si>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</si>
  <si>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</si>
  <si>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</si>
  <si>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</si>
  <si>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</si>
  <si>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</si>
  <si>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</si>
  <si>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</si>
  <si>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</si>
  <si>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</si>
  <si>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</si>
  <si>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</si>
  <si>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</si>
  <si>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</si>
  <si>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</si>
  <si>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</si>
  <si>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</si>
  <si>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</si>
  <si>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</si>
  <si>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</si>
  <si>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</si>
  <si>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</si>
  <si>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</si>
  <si>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</si>
  <si>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</si>
  <si>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</si>
  <si>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</si>
  <si>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</si>
  <si>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</si>
  <si>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</si>
  <si>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</si>
  <si>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</si>
  <si>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</si>
  <si>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</si>
  <si>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</si>
  <si>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</si>
  <si>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</si>
  <si>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</si>
  <si>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</si>
  <si>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</si>
  <si>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</si>
  <si>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</si>
  <si>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</si>
  <si>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</si>
  <si>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</si>
  <si>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</si>
  <si>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</si>
  <si>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</si>
  <si>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</si>
  <si>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</si>
  <si>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</si>
  <si>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</si>
  <si>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</si>
  <si>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</si>
  <si>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</si>
  <si>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</si>
  <si>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</si>
  <si>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</si>
  <si>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</si>
  <si>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</si>
  <si>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</si>
  <si>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</si>
  <si>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</si>
  <si>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</si>
  <si>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</si>
  <si>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</si>
  <si>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</si>
  <si>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</si>
  <si>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</si>
  <si>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</si>
  <si>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</si>
  <si>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</si>
  <si>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</si>
  <si>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</si>
  <si>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</si>
  <si>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</si>
  <si>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</si>
  <si>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</si>
  <si>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</si>
  <si>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</si>
  <si>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</si>
  <si>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</si>
  <si>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</si>
  <si>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</si>
  <si>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</si>
  <si>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</si>
  <si>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</si>
  <si>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</si>
  <si>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</si>
  <si>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</si>
  <si>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</si>
  <si>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</si>
  <si>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</si>
  <si>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</si>
  <si>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</si>
  <si>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</si>
  <si>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</si>
  <si>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</si>
  <si>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</si>
  <si>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</si>
  <si>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</si>
  <si>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</si>
  <si>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</si>
  <si>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</si>
  <si>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</si>
  <si>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</si>
  <si>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</si>
  <si>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</si>
  <si>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</si>
  <si>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</si>
  <si>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</si>
  <si>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</si>
  <si>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</si>
  <si>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</si>
  <si>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</si>
  <si>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</si>
  <si>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</si>
  <si>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</si>
  <si>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</si>
  <si>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</si>
  <si>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</si>
  <si>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</si>
  <si>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</si>
  <si>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</si>
  <si>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</si>
  <si>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</si>
  <si>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</si>
  <si>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</si>
  <si>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</si>
  <si>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</si>
  <si>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</si>
  <si>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</si>
  <si>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</si>
  <si>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</si>
  <si>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</si>
  <si>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</si>
  <si>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</si>
  <si>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</si>
  <si>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</si>
  <si>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</si>
  <si>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</si>
  <si>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</si>
  <si>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</si>
  <si>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</si>
  <si>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</si>
  <si>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</si>
  <si>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</si>
  <si>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</si>
  <si>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</si>
  <si>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</si>
  <si>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</si>
  <si>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</si>
  <si>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</si>
  <si>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</si>
  <si>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</si>
  <si>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</si>
  <si>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</si>
  <si>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</si>
  <si>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</si>
  <si>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</si>
  <si>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</si>
  <si>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</si>
  <si>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</si>
  <si>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</si>
  <si>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</si>
  <si>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</si>
  <si>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</si>
  <si>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</si>
  <si>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</si>
  <si>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</si>
  <si>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</si>
  <si>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</si>
  <si>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</si>
  <si>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</si>
  <si>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</si>
  <si>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</si>
  <si>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</si>
  <si>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</si>
  <si>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</si>
  <si>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</si>
  <si>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</si>
  <si>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</si>
  <si>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</si>
  <si>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</si>
  <si>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</si>
  <si>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</si>
  <si>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</si>
  <si>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</si>
  <si>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</si>
  <si>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</si>
  <si>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</si>
  <si>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</si>
  <si>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</si>
  <si>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</si>
  <si>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</si>
  <si>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</si>
  <si>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</si>
  <si>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</si>
  <si>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</si>
  <si>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</si>
  <si>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</si>
  <si>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</si>
  <si>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</si>
  <si>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</si>
  <si>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</si>
  <si>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</si>
  <si>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</si>
  <si>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</si>
  <si>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</si>
  <si>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</si>
  <si>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</si>
  <si>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</si>
  <si>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</si>
  <si>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</si>
  <si>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</si>
  <si>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</si>
  <si>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</si>
  <si>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</si>
  <si>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</si>
  <si>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</si>
  <si>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</si>
  <si>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</si>
  <si>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</si>
  <si>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</si>
  <si>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</si>
  <si>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</si>
  <si>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</si>
  <si>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</si>
  <si>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</si>
  <si>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</si>
  <si>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</si>
  <si>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</si>
  <si>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</si>
  <si>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</si>
  <si>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</si>
  <si>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</si>
  <si>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</si>
  <si>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</si>
  <si>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</si>
  <si>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</si>
  <si>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</si>
  <si>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</si>
  <si>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</si>
  <si>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</si>
  <si>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</si>
  <si>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</si>
  <si>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</si>
  <si>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</si>
  <si>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</si>
  <si>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</si>
  <si>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</si>
  <si>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</si>
  <si>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</si>
  <si>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</si>
  <si>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</si>
  <si>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</si>
  <si>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</si>
  <si>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</si>
  <si>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</si>
  <si>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</si>
  <si>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</si>
  <si>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</si>
  <si>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</si>
  <si>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</si>
  <si>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</si>
  <si>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</si>
  <si>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</si>
  <si>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</si>
  <si>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</si>
  <si>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</si>
  <si>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</si>
  <si>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</si>
  <si>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</si>
  <si>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</si>
  <si>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</si>
  <si>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</si>
  <si>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</si>
  <si>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</si>
  <si>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</si>
  <si>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</si>
  <si>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</si>
  <si>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</si>
  <si>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</si>
  <si>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</si>
  <si>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</si>
  <si>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</si>
  <si>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</si>
  <si>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</si>
  <si>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</si>
  <si>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</si>
  <si>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</si>
  <si>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</si>
  <si>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</si>
  <si>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</si>
  <si>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</si>
  <si>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</si>
  <si>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</si>
  <si>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</si>
  <si>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</si>
  <si>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</si>
  <si>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</si>
  <si>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</si>
  <si>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</si>
  <si>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</si>
  <si>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</si>
  <si>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</si>
  <si>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</si>
  <si>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</si>
  <si>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</si>
  <si>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</si>
  <si>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</si>
  <si>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</si>
  <si>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</si>
  <si>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</si>
  <si>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</si>
  <si>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</si>
  <si>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</si>
  <si>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</si>
  <si>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</si>
  <si>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</si>
  <si>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</si>
  <si>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</si>
  <si>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</si>
  <si>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</si>
  <si>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</si>
  <si>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</si>
  <si>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</si>
  <si>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</si>
  <si>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</si>
  <si>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</si>
  <si>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</si>
  <si>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</si>
  <si>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</si>
  <si>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</si>
  <si>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</si>
  <si>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</si>
  <si>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</si>
  <si>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</si>
  <si>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</si>
  <si>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</si>
  <si>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</si>
  <si>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</si>
  <si>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</si>
  <si>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</si>
  <si>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</si>
  <si>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</si>
  <si>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</si>
  <si>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</si>
  <si>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</si>
  <si>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</si>
  <si>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</si>
  <si>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</si>
  <si>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</si>
  <si>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</si>
  <si>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</si>
  <si>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</si>
  <si>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</si>
  <si>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</si>
  <si>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</si>
  <si>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</si>
  <si>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</si>
  <si>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</si>
  <si>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</si>
  <si>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</si>
  <si>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</si>
  <si>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</si>
  <si>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</si>
  <si>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</si>
  <si>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</si>
  <si>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</si>
  <si>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</si>
  <si>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</si>
  <si>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</si>
  <si>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</si>
  <si>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</si>
  <si>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</si>
  <si>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</si>
  <si>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</si>
  <si>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</si>
  <si>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</si>
  <si>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</si>
  <si>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</si>
  <si>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</si>
  <si>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</si>
  <si>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</si>
  <si>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</si>
  <si>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</si>
  <si>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</si>
  <si>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</si>
  <si>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</si>
  <si>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</si>
  <si>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</si>
  <si>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</si>
  <si>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</si>
  <si>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</si>
  <si>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</si>
  <si>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</si>
  <si>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</si>
  <si>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</si>
  <si>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</si>
  <si>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</si>
  <si>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</si>
  <si>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</si>
  <si>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</si>
  <si>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</si>
  <si>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</si>
  <si>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</si>
  <si>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</si>
  <si>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</si>
  <si>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</si>
  <si>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</si>
  <si>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</si>
  <si>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</si>
  <si>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</si>
  <si>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</si>
  <si>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</si>
  <si>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</si>
  <si>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</si>
  <si>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</si>
  <si>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</si>
  <si>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</si>
  <si>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</si>
  <si>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</si>
  <si>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</si>
  <si>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</si>
  <si>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</si>
  <si>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</si>
  <si>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</si>
  <si>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</si>
  <si>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</si>
  <si>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</si>
  <si>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</si>
  <si>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</si>
  <si>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</si>
  <si>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</si>
  <si>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</si>
  <si>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</si>
  <si>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</si>
  <si>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</si>
  <si>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</si>
  <si>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</si>
  <si>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</si>
  <si>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</si>
  <si>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</si>
  <si>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</si>
  <si>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</si>
  <si>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</si>
  <si>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</si>
  <si>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</si>
  <si>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</si>
  <si>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</si>
  <si>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</si>
  <si>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</si>
  <si>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</si>
  <si>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</si>
  <si>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</si>
  <si>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</si>
  <si>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</si>
  <si>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</si>
  <si>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</si>
  <si>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</si>
  <si>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</si>
  <si>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</si>
  <si>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</si>
  <si>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</si>
  <si>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</si>
  <si>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</si>
  <si>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</si>
  <si>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</si>
  <si>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</si>
  <si>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</si>
  <si>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</si>
  <si>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</si>
  <si>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</si>
  <si>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</si>
  <si>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</si>
  <si>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</si>
  <si>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</si>
  <si>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</si>
  <si>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</si>
  <si>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</si>
  <si>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</si>
  <si>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</si>
  <si>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</si>
  <si>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</si>
  <si>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</si>
  <si>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</si>
  <si>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</si>
  <si>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</si>
  <si>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</si>
  <si>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</si>
  <si>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</si>
  <si>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</si>
  <si>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</si>
  <si>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</si>
  <si>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</si>
  <si>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</si>
  <si>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</si>
  <si>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</si>
  <si>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</si>
  <si>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</si>
  <si>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</si>
  <si>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</si>
  <si>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</si>
  <si>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</si>
  <si>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</si>
  <si>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</si>
  <si>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</si>
  <si>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</si>
  <si>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</si>
  <si>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</si>
  <si>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</si>
  <si>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</si>
  <si>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</si>
  <si>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</si>
  <si>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</si>
  <si>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</si>
  <si>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</si>
  <si>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</si>
  <si>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</si>
  <si>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</si>
  <si>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</si>
  <si>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</si>
  <si>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</si>
  <si>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</si>
  <si>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</si>
  <si>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</si>
  <si>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</si>
  <si>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</si>
  <si>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</si>
  <si>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</si>
  <si>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</si>
  <si>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</si>
  <si>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</si>
  <si>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</si>
  <si>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</si>
  <si>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</si>
  <si>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</si>
  <si>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</si>
  <si>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</si>
  <si>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</si>
  <si>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</si>
  <si>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</si>
  <si>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</si>
  <si>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</si>
  <si>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</si>
  <si>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</si>
  <si>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</si>
  <si>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</si>
  <si>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</si>
  <si>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</si>
  <si>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</si>
  <si>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</si>
  <si>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</si>
  <si>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</si>
  <si>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</si>
  <si>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</si>
  <si>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</si>
  <si>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</si>
  <si>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</si>
  <si>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</si>
  <si>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</si>
  <si>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</si>
  <si>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</si>
  <si>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</si>
  <si>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</si>
  <si>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</si>
  <si>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</si>
  <si>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</si>
  <si>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</si>
  <si>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</si>
  <si>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</si>
  <si>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</si>
  <si>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</si>
  <si>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</si>
  <si>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</si>
  <si>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</si>
  <si>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</si>
  <si>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</si>
  <si>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</si>
  <si>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</si>
  <si>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</si>
  <si>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</si>
  <si>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</si>
  <si>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</si>
  <si>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</si>
  <si>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</si>
  <si>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</si>
  <si>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</si>
  <si>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</si>
  <si>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</si>
  <si>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</si>
  <si>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</si>
  <si>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</si>
  <si>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</si>
  <si>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</si>
  <si>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</si>
  <si>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</si>
  <si>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</si>
  <si>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</si>
  <si>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</si>
  <si>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</si>
  <si>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</si>
  <si>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</si>
  <si>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</si>
  <si>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</si>
  <si>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</si>
  <si>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</si>
  <si>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</si>
  <si>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</si>
  <si>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</si>
  <si>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</si>
  <si>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</si>
  <si>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</si>
  <si>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</si>
  <si>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</si>
  <si>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</si>
  <si>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</si>
  <si>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</si>
  <si>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</si>
  <si>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</si>
  <si>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</si>
  <si>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</si>
  <si>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</si>
  <si>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</si>
  <si>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</si>
  <si>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</si>
  <si>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</si>
  <si>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</si>
  <si>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</si>
  <si>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</si>
  <si>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</si>
  <si>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</si>
  <si>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</si>
  <si>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</si>
  <si>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</si>
  <si>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</si>
  <si>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</si>
  <si>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</si>
  <si>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</si>
  <si>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</si>
  <si>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</si>
  <si>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</si>
  <si>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</si>
  <si>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</si>
  <si>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</si>
  <si>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</si>
  <si>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</si>
  <si>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</si>
  <si>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</si>
  <si>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</si>
  <si>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</si>
  <si>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</si>
  <si>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</si>
  <si>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</si>
  <si>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</si>
  <si>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</si>
  <si>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</si>
  <si>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</si>
  <si>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</si>
  <si>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</si>
  <si>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</si>
  <si>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</si>
  <si>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</si>
  <si>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</si>
  <si>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</si>
  <si>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</si>
  <si>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</si>
  <si>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</si>
  <si>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</si>
  <si>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</si>
  <si>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</si>
  <si>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</si>
  <si>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</si>
  <si>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</si>
  <si>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</si>
  <si>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</si>
  <si>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</si>
  <si>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</si>
  <si>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</si>
  <si>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</si>
  <si>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</si>
  <si>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</si>
  <si>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</si>
  <si>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</si>
  <si>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</si>
  <si>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</si>
  <si>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</si>
  <si>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</si>
  <si>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</si>
  <si>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</si>
  <si>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</si>
  <si>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</si>
  <si>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</si>
  <si>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</si>
  <si>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</si>
  <si>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</si>
  <si>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</si>
  <si>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</si>
  <si>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</si>
  <si>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</si>
  <si>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</si>
  <si>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</si>
  <si>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</si>
  <si>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</si>
  <si>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</si>
  <si>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</si>
  <si>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</si>
  <si>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</si>
  <si>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</si>
  <si>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</si>
  <si>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</si>
  <si>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</si>
  <si>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</si>
  <si>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</si>
  <si>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</si>
  <si>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</si>
  <si>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</si>
  <si>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</si>
  <si>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</si>
  <si>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</si>
  <si>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</si>
  <si>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</si>
  <si>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</si>
  <si>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</si>
  <si>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</si>
  <si>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</si>
  <si>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</si>
  <si>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</si>
  <si>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</si>
  <si>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</si>
  <si>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</si>
  <si>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</si>
  <si>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</si>
  <si>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</si>
  <si>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</si>
  <si>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</si>
  <si>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</si>
  <si>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</si>
  <si>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</si>
  <si>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</si>
  <si>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</si>
  <si>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</si>
  <si>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</si>
  <si>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</si>
  <si>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</si>
  <si>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</si>
  <si>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</si>
  <si>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</si>
  <si>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</si>
  <si>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</si>
  <si>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</si>
  <si>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</si>
  <si>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</si>
  <si>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</si>
  <si>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</si>
  <si>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</si>
  <si>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</si>
  <si>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</si>
  <si>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</si>
  <si>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</si>
  <si>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</si>
  <si>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</si>
  <si>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</si>
  <si>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</si>
  <si>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</si>
  <si>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</si>
  <si>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</si>
  <si>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</si>
  <si>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</si>
  <si>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</si>
  <si>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</si>
  <si>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</si>
  <si>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</si>
  <si>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</si>
  <si>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</si>
  <si>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</si>
  <si>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</si>
  <si>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</si>
  <si>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</si>
  <si>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</si>
  <si>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</si>
  <si>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</si>
  <si>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</si>
  <si>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</si>
  <si>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</si>
  <si>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</si>
  <si>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</si>
  <si>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</si>
  <si>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</si>
  <si>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</si>
  <si>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</si>
  <si>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</si>
  <si>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</si>
  <si>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</si>
  <si>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</si>
  <si>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</si>
  <si>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</si>
  <si>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</si>
  <si>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</si>
  <si>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</si>
  <si>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</si>
  <si>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</si>
  <si>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</si>
  <si>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</si>
  <si>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</si>
  <si>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</si>
  <si>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</si>
  <si>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</si>
  <si>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</si>
  <si>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</si>
  <si>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</si>
  <si>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</si>
  <si>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</si>
  <si>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</si>
  <si>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</si>
  <si>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</si>
  <si>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</si>
  <si>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</si>
  <si>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</si>
  <si>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</si>
  <si>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</si>
  <si>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</si>
  <si>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</si>
  <si>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</si>
  <si>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</si>
  <si>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</si>
  <si>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</si>
  <si>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</si>
  <si>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</si>
  <si>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</si>
  <si>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</si>
  <si>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</si>
  <si>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</si>
  <si>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</si>
  <si>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</si>
  <si>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</si>
  <si>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</si>
  <si>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</si>
  <si>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</si>
  <si>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</si>
  <si>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</si>
  <si>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</si>
  <si>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</si>
  <si>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</si>
  <si>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</si>
  <si>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</si>
  <si>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</si>
  <si>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</si>
  <si>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</si>
  <si>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</si>
  <si>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</si>
  <si>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</si>
  <si>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</si>
  <si>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</si>
  <si>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</si>
  <si>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</si>
  <si>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</si>
  <si>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</si>
  <si>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</si>
  <si>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</si>
  <si>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</si>
  <si>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</si>
  <si>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</si>
  <si>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</si>
  <si>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</si>
  <si>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</si>
  <si>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</si>
  <si>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</si>
  <si>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</si>
  <si>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</si>
  <si>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</si>
  <si>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</si>
  <si>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</si>
  <si>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</si>
  <si>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</si>
  <si>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</si>
  <si>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</si>
  <si>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</si>
  <si>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</si>
  <si>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</si>
  <si>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</si>
  <si>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</si>
  <si>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</si>
  <si>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</si>
  <si>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</si>
  <si>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</si>
  <si>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</si>
  <si>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</si>
  <si>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</si>
  <si>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</si>
  <si>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</si>
  <si>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</si>
  <si>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</si>
  <si>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</si>
  <si>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</si>
  <si>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</si>
  <si>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</si>
  <si>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</si>
  <si>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</si>
  <si>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</si>
  <si>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</si>
  <si>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</si>
  <si>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</si>
  <si>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</si>
  <si>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</si>
  <si>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</si>
  <si>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</si>
  <si>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</si>
  <si>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</si>
  <si>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</si>
  <si>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</si>
  <si>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</si>
  <si>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</si>
  <si>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</si>
  <si>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</si>
  <si>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</si>
  <si>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</si>
  <si>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</si>
  <si>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</si>
  <si>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</si>
  <si>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</si>
  <si>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</si>
  <si>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</si>
  <si>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</si>
  <si>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</si>
  <si>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</si>
  <si>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</si>
  <si>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</si>
  <si>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</si>
  <si>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</si>
  <si>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</si>
  <si>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</si>
  <si>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</si>
  <si>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</si>
  <si>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</si>
  <si>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</si>
  <si>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</si>
  <si>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</si>
  <si>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</si>
  <si>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</si>
  <si>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</si>
  <si>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</si>
  <si>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</si>
  <si>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</si>
  <si>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</si>
  <si>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</si>
  <si>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</si>
  <si>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</si>
  <si>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</si>
  <si>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</si>
  <si>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</si>
  <si>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</si>
  <si>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</si>
  <si>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</si>
  <si>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</si>
  <si>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</si>
  <si>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</si>
  <si>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</si>
  <si>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</si>
  <si>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</si>
  <si>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</si>
  <si>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</si>
  <si>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</si>
  <si>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</si>
  <si>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</si>
  <si>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</si>
  <si>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</si>
  <si>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</si>
  <si>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</si>
  <si>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</si>
  <si>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</si>
  <si>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</si>
  <si>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</si>
  <si>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</si>
  <si>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</si>
  <si>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</si>
  <si>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</si>
  <si>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</si>
  <si>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</si>
  <si>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</si>
  <si>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</si>
  <si>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</si>
  <si>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</si>
  <si>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</si>
  <si>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</si>
  <si>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</si>
  <si>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</si>
  <si>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</si>
  <si>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</si>
  <si>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</si>
  <si>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</si>
  <si>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</si>
  <si>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</si>
  <si>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</si>
  <si>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</si>
  <si>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</si>
  <si>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</si>
  <si>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</si>
  <si>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</si>
  <si>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</si>
  <si>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</si>
  <si>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</si>
  <si>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</si>
  <si>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</si>
  <si>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</si>
  <si>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</si>
  <si>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</si>
  <si>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</si>
  <si>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</si>
  <si>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</si>
  <si>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</si>
  <si>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</si>
  <si>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</si>
  <si>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</si>
  <si>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</si>
  <si>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</si>
  <si>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</si>
  <si>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</si>
  <si>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</si>
  <si>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</si>
  <si>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</si>
  <si>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</si>
  <si>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</si>
  <si>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</si>
  <si>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</si>
  <si>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</si>
  <si>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</si>
  <si>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</si>
  <si>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</si>
  <si>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</si>
  <si>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</si>
  <si>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</si>
  <si>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</si>
  <si>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</si>
  <si>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</si>
  <si>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</si>
  <si>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</si>
  <si>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</si>
  <si>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</si>
  <si>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</si>
  <si>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</si>
  <si>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</si>
  <si>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</si>
  <si>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</si>
  <si>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</si>
  <si>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</si>
  <si>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</si>
  <si>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</si>
  <si>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</si>
  <si>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</si>
  <si>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</si>
  <si>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</si>
  <si>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</si>
  <si>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</si>
  <si>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</si>
  <si>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</si>
  <si>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</si>
  <si>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</si>
  <si>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</si>
  <si>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</si>
  <si>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</si>
  <si>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</si>
  <si>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</si>
  <si>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</si>
  <si>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</si>
  <si>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</si>
  <si>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</si>
  <si>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</si>
  <si>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</si>
  <si>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</si>
  <si>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</si>
  <si>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</si>
  <si>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</si>
  <si>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</si>
  <si>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</si>
  <si>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</si>
  <si>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</si>
  <si>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</si>
  <si>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</si>
  <si>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</si>
  <si>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</si>
  <si>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</si>
  <si>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</si>
  <si>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</si>
  <si>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</si>
  <si>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</si>
  <si>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</si>
  <si>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</si>
  <si>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</si>
  <si>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</si>
  <si>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</si>
  <si>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</si>
  <si>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</si>
  <si>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</si>
  <si>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</si>
  <si>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</si>
  <si>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</si>
  <si>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</si>
  <si>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</si>
  <si>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</si>
  <si>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</si>
  <si>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</si>
  <si>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</si>
  <si>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</si>
  <si>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</si>
  <si>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</si>
  <si>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</si>
  <si>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</si>
  <si>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</si>
  <si>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</si>
  <si>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</si>
  <si>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</si>
  <si>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</si>
  <si>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</si>
  <si>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</si>
  <si>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</si>
  <si>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</si>
  <si>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</si>
  <si>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</si>
  <si>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</si>
  <si>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</si>
  <si>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</si>
  <si>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</si>
  <si>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</si>
  <si>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</si>
  <si>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</si>
  <si>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</si>
  <si>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</si>
  <si>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</si>
  <si>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</si>
  <si>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</si>
  <si>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</si>
  <si>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</si>
  <si>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</si>
  <si>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</si>
  <si>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</si>
  <si>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</si>
  <si>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</si>
  <si>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</si>
  <si>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</si>
  <si>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</si>
  <si>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</si>
  <si>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</si>
  <si>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</si>
  <si>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</si>
  <si>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</si>
  <si>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</si>
  <si>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</si>
  <si>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</si>
  <si>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</si>
  <si>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</si>
  <si>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</si>
  <si>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</si>
  <si>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</si>
  <si>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</si>
  <si>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</si>
  <si>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</si>
  <si>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</si>
  <si>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</si>
  <si>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</si>
  <si>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</si>
  <si>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</si>
  <si>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</si>
  <si>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</si>
  <si>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</si>
  <si>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</si>
  <si>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</si>
  <si>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</si>
  <si>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</si>
  <si>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</si>
  <si>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</si>
  <si>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</si>
  <si>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</si>
  <si>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</si>
  <si>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</si>
  <si>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</si>
  <si>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</si>
  <si>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</si>
  <si>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</si>
  <si>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</si>
  <si>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</si>
  <si>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</si>
  <si>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</si>
  <si>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</si>
  <si>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</si>
  <si>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</si>
  <si>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</si>
  <si>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</si>
  <si>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</si>
  <si>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</si>
  <si>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</si>
  <si>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</si>
  <si>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</si>
  <si>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</si>
  <si>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</si>
  <si>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</si>
  <si>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</si>
  <si>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</si>
  <si>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</si>
  <si>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</si>
  <si>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</si>
  <si>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 xml:space="preserve">profile this dataset to find why CPU is much faster than GPU, may be some tasks are going too deep in the recursion… </t>
  </si>
  <si>
    <t>why CPU is too slow in this case??</t>
  </si>
  <si>
    <t>X: &gt;=10m</t>
  </si>
  <si>
    <t>GPU_H_ratio</t>
  </si>
  <si>
    <t>CPU_H_ratio</t>
  </si>
  <si>
    <t>add experiments with 1 task to CPU</t>
  </si>
  <si>
    <t>select more a</t>
  </si>
  <si>
    <t>XX</t>
  </si>
  <si>
    <t>Memory overflow</t>
  </si>
  <si>
    <t>CPU+GPU (10)</t>
  </si>
  <si>
    <t>CPU+GPU (1)</t>
  </si>
  <si>
    <t>&gt; 1hr</t>
  </si>
  <si>
    <t>&gt; 30m</t>
  </si>
  <si>
    <t>Overflow</t>
  </si>
  <si>
    <t>CG_10_1_ratio</t>
  </si>
  <si>
    <t>H2L_ratio</t>
  </si>
  <si>
    <t>C2CG_ratio</t>
  </si>
  <si>
    <t>G2CG_ratio</t>
  </si>
  <si>
    <t>g2aimd_L_ratio</t>
  </si>
  <si>
    <t>CPU+GPU is using gpu-layered</t>
  </si>
  <si>
    <t>overflow: pong buffer overflows even after stopping expansion when it is 90% full</t>
  </si>
  <si>
    <t>avg_degree</t>
  </si>
  <si>
    <t>selected</t>
  </si>
  <si>
    <t>query</t>
  </si>
  <si>
    <t>GPU</t>
  </si>
  <si>
    <t>cpuchunk=1</t>
  </si>
  <si>
    <t>cpuchunk=10</t>
  </si>
  <si>
    <t>cpuchunk=100</t>
  </si>
  <si>
    <t>GPU_chunk10_ratio</t>
  </si>
  <si>
    <t>expand mode</t>
  </si>
  <si>
    <t>no pingpong</t>
  </si>
  <si>
    <t>pingpong+hostcopy</t>
  </si>
  <si>
    <t>pingpong+discard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</si>
</sst>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00"/>
  </numFmts>
  <fonts count="50"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sz val="14"/>
      <color theme="1"/>
      <name val="Aptos Narrow"/>
      <family val="2"/>
      <scheme val="minor"/>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b/>
      <sz val="16"/>
      <color theme="0" tint="-0.34998626667073579"/>
      <name val="Aptos Narrow"/>
      <family val="2"/>
      <scheme val="minor"/>
    </font>
    <font>
      <sz val="16"/>
      <color theme="0" tint="-0.34998626667073579"/>
      <name val="Aptos Narrow"/>
      <family val="2"/>
      <scheme val="minor"/>
    </font>
    <font>
      <sz val="12"/>
      <color theme="0" tint="-0.34998626667073579"/>
      <name val="Aptos Narrow"/>
      <family val="2"/>
      <scheme val="minor"/>
    </font>
    <font>
      <sz val="14"/>
      <name val="Aptos Narrow"/>
      <scheme val="minor"/>
    </font>
    <font>
      <b/>
      <sz val="24"/>
      <color theme="1"/>
      <name val="Aptos Narrow"/>
      <scheme val="minor"/>
    </font>
  </fonts>
  <fills count="13">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3" tint="0.749992370372631"/>
        <bgColor indexed="64"/>
      </patternFill>
    </fill>
  </fills>
  <borders count="12">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43" fontId="1" fillId="0" borderId="0" applyFont="0" applyFill="0" applyBorder="0" applyAlignment="0" applyProtection="0"/>
  </cellStyleXfs>
  <cellXfs count="148">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30" fillId="0" borderId="0" xfId="0" applyNumberFormat="1" applyFont="1"/>
    <xf numFmtId="164" fontId="30" fillId="0" borderId="0" xfId="0" applyNumberFormat="1" applyFont="1" applyAlignment="1">
      <alignment horizontal="center"/>
    </xf>
    <xf numFmtId="1" fontId="30" fillId="0" borderId="0" xfId="0" applyNumberFormat="1" applyFont="1"/>
    <xf numFmtId="2" fontId="21" fillId="0" borderId="0" xfId="0" applyNumberFormat="1" applyFont="1" applyAlignment="1">
      <alignment horizontal="center"/>
    </xf>
    <xf numFmtId="2" fontId="27" fillId="0" borderId="0" xfId="0" applyNumberFormat="1" applyFont="1"/>
    <xf numFmtId="164" fontId="9" fillId="0" borderId="0" xfId="0" applyNumberFormat="1" applyFont="1"/>
    <xf numFmtId="2" fontId="9" fillId="0" borderId="0" xfId="0" applyNumberFormat="1" applyFont="1"/>
    <xf numFmtId="0" fontId="31" fillId="0" borderId="0" xfId="0" applyFont="1"/>
    <xf numFmtId="164" fontId="31" fillId="0" borderId="0" xfId="0" applyNumberFormat="1" applyFont="1"/>
    <xf numFmtId="0" fontId="32" fillId="0" borderId="0" xfId="0" applyFont="1"/>
    <xf numFmtId="0" fontId="33" fillId="0" borderId="0" xfId="0" applyFont="1" applyAlignment="1">
      <alignment horizontal="center"/>
    </xf>
    <xf numFmtId="164" fontId="35" fillId="0" borderId="0" xfId="0" applyNumberFormat="1" applyFont="1"/>
    <xf numFmtId="164" fontId="29" fillId="0" borderId="0" xfId="0" applyNumberFormat="1" applyFont="1"/>
    <xf numFmtId="164" fontId="36" fillId="0" borderId="0" xfId="0" applyNumberFormat="1" applyFont="1"/>
    <xf numFmtId="0" fontId="37" fillId="0" borderId="0" xfId="0" applyFont="1"/>
    <xf numFmtId="164" fontId="37" fillId="0" borderId="0" xfId="0" applyNumberFormat="1" applyFont="1"/>
    <xf numFmtId="164" fontId="38" fillId="0" borderId="0" xfId="0" applyNumberFormat="1" applyFont="1"/>
    <xf numFmtId="164" fontId="28" fillId="0" borderId="0" xfId="0" applyNumberFormat="1" applyFont="1"/>
    <xf numFmtId="0" fontId="39" fillId="0" borderId="0" xfId="0" applyFont="1"/>
    <xf numFmtId="0" fontId="20" fillId="0" borderId="0" xfId="0" applyFont="1"/>
    <xf numFmtId="0" fontId="40" fillId="0" borderId="0" xfId="0" applyFont="1"/>
    <xf numFmtId="0" fontId="40" fillId="0" borderId="0" xfId="0" applyFont="1" applyAlignment="1">
      <alignment horizontal="center"/>
    </xf>
    <xf numFmtId="1" fontId="41" fillId="0" borderId="0" xfId="0" applyNumberFormat="1" applyFont="1"/>
    <xf numFmtId="1" fontId="42" fillId="0" borderId="0" xfId="0" applyNumberFormat="1" applyFont="1"/>
    <xf numFmtId="2" fontId="23" fillId="0" borderId="0" xfId="0" applyNumberFormat="1" applyFont="1"/>
    <xf numFmtId="2" fontId="0" fillId="0" borderId="0" xfId="0" applyNumberFormat="1"/>
    <xf numFmtId="164" fontId="44" fillId="8" borderId="0" xfId="0" applyNumberFormat="1" applyFont="1" applyFill="1" applyAlignment="1">
      <alignment horizontal="center"/>
    </xf>
    <xf numFmtId="166" fontId="44" fillId="8" borderId="0" xfId="0" applyNumberFormat="1" applyFont="1" applyFill="1" applyAlignment="1">
      <alignment horizontal="center"/>
    </xf>
    <xf numFmtId="164" fontId="17" fillId="0" borderId="0" xfId="0" applyNumberFormat="1" applyFont="1"/>
    <xf numFmtId="2" fontId="33" fillId="0" borderId="0" xfId="0" applyNumberFormat="1" applyFont="1"/>
    <xf numFmtId="0" fontId="43" fillId="7" borderId="1" xfId="0" applyFont="1" applyFill="1" applyBorder="1"/>
    <xf numFmtId="0" fontId="43" fillId="7" borderId="1" xfId="0" applyFont="1" applyFill="1" applyBorder="1" applyAlignment="1">
      <alignment vertical="center"/>
    </xf>
    <xf numFmtId="0" fontId="43" fillId="7" borderId="0" xfId="0" applyFont="1" applyFill="1"/>
    <xf numFmtId="0" fontId="45" fillId="7" borderId="0" xfId="0" applyFont="1" applyFill="1" applyAlignment="1">
      <alignment vertical="center"/>
    </xf>
    <xf numFmtId="164" fontId="46" fillId="0" borderId="0" xfId="0" applyNumberFormat="1" applyFont="1"/>
    <xf numFmtId="0" fontId="47" fillId="0" borderId="0" xfId="0" applyFont="1"/>
    <xf numFmtId="0" fontId="45" fillId="7" borderId="0" xfId="0" applyFont="1" applyFill="1"/>
    <xf numFmtId="166" fontId="46" fillId="0" borderId="0" xfId="0" applyNumberFormat="1" applyFont="1"/>
    <xf numFmtId="0" fontId="43"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34" fillId="0" borderId="0" xfId="0" applyFont="1" applyAlignment="1">
      <alignment horizontal="center"/>
    </xf>
    <xf numFmtId="0" fontId="33" fillId="0" borderId="0" xfId="0" applyFont="1" applyAlignment="1">
      <alignment horizontal="center"/>
    </xf>
    <xf numFmtId="3" fontId="48"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27" fillId="0" borderId="0" xfId="0" applyFont="1" applyFill="1"/>
    <xf numFmtId="2" fontId="20" fillId="0" borderId="0" xfId="0" applyNumberFormat="1" applyFont="1"/>
    <xf numFmtId="2" fontId="37" fillId="0" borderId="0" xfId="0" applyNumberFormat="1" applyFont="1" applyFill="1"/>
    <xf numFmtId="0" fontId="49" fillId="0" borderId="10" xfId="0" applyFont="1" applyBorder="1" applyAlignment="1"/>
    <xf numFmtId="0" fontId="49" fillId="0" borderId="11" xfId="0" applyFont="1" applyBorder="1" applyAlignment="1"/>
    <xf numFmtId="0" fontId="0" fillId="0" borderId="9" xfId="0" applyBorder="1"/>
    <xf numFmtId="0" fontId="0" fillId="0" borderId="0" xfId="0" applyFill="1"/>
    <xf numFmtId="164" fontId="20" fillId="0" borderId="0" xfId="0" applyNumberFormat="1" applyFont="1" applyFill="1"/>
    <xf numFmtId="164" fontId="20" fillId="12" borderId="0" xfId="0" applyNumberFormat="1" applyFont="1" applyFill="1"/>
    <xf numFmtId="164" fontId="37" fillId="12" borderId="0" xfId="0" applyNumberFormat="1" applyFont="1" applyFill="1"/>
  </cellXfs>
  <cellStyles count="2">
    <cellStyle name="Comma" xfId="1" builtinId="3"/>
    <cellStyle name="Normal" xfId="0" builtinId="0"/>
  </cellStyles>
  <dxfs count="147">
    <dxf>
      <numFmt numFmtId="2" formatCode="0.00"/>
    </dxf>
    <dxf>
      <numFmt numFmtId="164" formatCode="0.0"/>
    </dxf>
    <dxf>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rgb="FF000000"/>
        <name val="Aptos Narrow"/>
        <family val="2"/>
        <scheme val="none"/>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numFmt numFmtId="0" formatCode="General"/>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numFmt numFmtId="2" formatCode="0.00"/>
    </dxf>
    <dxf>
      <numFmt numFmtId="164" formatCode="0.0"/>
    </dxf>
    <dxf>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EE4FA-18D7-2943-9539-48A47A027484}" name="Table39" displayName="Table39" ref="B4:N88" totalsRowShown="0" headerRowDxfId="18" dataDxfId="17">
  <sortState xmlns:xlrd2="http://schemas.microsoft.com/office/spreadsheetml/2017/richdata2" ref="B5:N88">
    <sortCondition descending="1" ref="L4:L88"/>
  </sortState>
  <tableColumns count="13">
    <tableColumn id="1" xr3:uid="{0E2F434A-462C-374F-8D8D-3D18A4BE6783}" name="Dataset" dataDxfId="16"/>
    <tableColumn id="2" xr3:uid="{41814F60-A383-D34D-861A-4D81125A29A7}" name="Query" dataDxfId="15"/>
    <tableColumn id="3" xr3:uid="{83F045CB-FD2A-F746-A5DB-85686B0431BD}" name="g2aimd" dataDxfId="14"/>
    <tableColumn id="4" xr3:uid="{383D661D-E39E-4947-A572-F3E27A7C916A}" name="gpu-hybrid" dataDxfId="13"/>
    <tableColumn id="5" xr3:uid="{CAC789C4-28B7-B844-B0BF-508C76950BFB}" name="gpu-layered" dataDxfId="12"/>
    <tableColumn id="6" xr3:uid="{8E300E75-3CD6-E048-8362-C2CB28736E26}" name="CPU Only" dataDxfId="11"/>
    <tableColumn id="7" xr3:uid="{377AE47A-B56E-8E41-9A46-202B6A582351}" name="CPU+GPU (1)" dataDxfId="10"/>
    <tableColumn id="11" xr3:uid="{18138DC0-4D7A-B24C-A862-30F97A22346B}" name="C2CG_ratio" dataDxfId="9">
      <calculatedColumnFormula>Table39[[#This Row],[CPU Only]]/Table39[[#This Row],[CPU+GPU (1)]]</calculatedColumnFormula>
    </tableColumn>
    <tableColumn id="10" xr3:uid="{92F358DD-6517-7543-93F7-E8B714C58BF2}" name="G2CG_ratio" dataDxfId="8">
      <calculatedColumnFormula>Table39[[#This Row],[gpu-layered]]/Table39[[#This Row],[CPU+GPU (1)]]</calculatedColumnFormula>
    </tableColumn>
    <tableColumn id="8" xr3:uid="{07D3C18B-CFE7-E449-9474-63CE11DD31A3}" name="CPU+GPU (10)" dataDxfId="7"/>
    <tableColumn id="9" xr3:uid="{9EF112EE-4D48-064A-AC60-D5A4933FED0E}" name="CG_10_1_ratio" dataDxfId="6">
      <calculatedColumnFormula>Table39[[#This Row],[CPU+GPU (10)]]/Table39[[#This Row],[CPU+GPU (1)]]</calculatedColumnFormula>
    </tableColumn>
    <tableColumn id="12" xr3:uid="{DCCFABC1-41FA-DA4A-B945-E1131CA3B8E9}" name="H2L_ratio" dataDxfId="5">
      <calculatedColumnFormula>Table39[[#This Row],[gpu-hybrid]]/Table39[[#This Row],[gpu-layered]]</calculatedColumnFormula>
    </tableColumn>
    <tableColumn id="13" xr3:uid="{5B75B33C-2D63-5140-9483-8CDED1EB7AC5}" name="g2aimd_L_ratio" dataDxfId="4">
      <calculatedColumnFormula>Table39[[#This Row],[g2aimd]]/Table39[[#This Row],[gpu-layered]]</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A8140B3-4C56-994C-83E2-71D677A936B6}" name="Table710" displayName="Table710" ref="AH2:AM218" totalsRowShown="0">
  <autoFilter ref="AH2:AM218" xr:uid="{F593F397-1FE6-BC4C-A81D-C0A20A850E1F}">
    <filterColumn colId="0">
      <customFilters>
        <customFilter operator="notEqual" val=" "/>
      </customFilters>
    </filterColumn>
  </autoFilter>
  <sortState xmlns:xlrd2="http://schemas.microsoft.com/office/spreadsheetml/2017/richdata2" ref="AH3:AM45">
    <sortCondition ref="AK2:AK218"/>
  </sortState>
  <tableColumns count="6">
    <tableColumn id="6" xr3:uid="{69C4E25D-0D3B-CE41-B956-7D3EA314F595}" name="selected"/>
    <tableColumn id="1" xr3:uid="{D338F8D2-0E43-5445-8C19-5FCD0AD510C6}" name="dataset" dataDxfId="3"/>
    <tableColumn id="2" xr3:uid="{AFA9CB8A-EAC0-B84E-A7B5-FA374F512012}" name="query"/>
    <tableColumn id="3" xr3:uid="{D9ABEF5F-06AB-8841-BDFD-4BAED4ECB36E}" name="no pingpong" dataDxfId="2"/>
    <tableColumn id="4" xr3:uid="{D3C9286D-E3B1-6B45-8543-24B6FBCCED03}" name="pingpong+hostcopy" dataDxfId="1"/>
    <tableColumn id="5" xr3:uid="{114507ED-7DCC-C240-A986-C5CF858E5E8C}" name="pingpong+discard" dataDxfId="0">
      <calculatedColumnFormula>Table710[[#This Row],[no pingpong]]/Table710[[#This Row],[pingpong+hostcopy]]</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27" dataDxfId="126">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5"/>
    <tableColumn id="2" xr3:uid="{4CA00932-10CB-7242-9605-49C2DA3903A7}" name="V" dataDxfId="124"/>
    <tableColumn id="3" xr3:uid="{21570761-C185-8A43-A5B5-40064CE0EB46}" name="E" dataDxfId="123"/>
    <tableColumn id="4" xr3:uid="{DE0EE7AB-FF9F-9444-A3CE-ED0CE1C6F973}" name="d_max" dataDxfId="122"/>
    <tableColumn id="5" xr3:uid="{E5AC7CCD-B087-B94F-B6E3-D6BB8C84612A}" name="#MC" dataDxfId="121"/>
    <tableColumn id="13" xr3:uid="{D63975A4-7A47-B14E-B1F3-45D05D7759C5}" name="k" dataDxfId="120"/>
    <tableColumn id="8" xr3:uid="{A05DC304-EB27-FB42-A647-BE3A4AC04A40}" name="g" dataDxfId="119"/>
    <tableColumn id="11" xr3:uid="{B6F311BE-FEB9-1E41-80C7-77BC3AE1CC38}" name="Column4" dataDxfId="118"/>
    <tableColumn id="12" xr3:uid="{5F3B423D-E39D-A54A-8E40-5B0FF4A51DB7}" name="Column5" dataDxfId="117"/>
    <tableColumn id="22" xr3:uid="{B28C92C6-3B5F-3D4F-AE63-FA7C5A773801}" name="Column6" dataDxfId="116"/>
    <tableColumn id="6" xr3:uid="{0808855D-658E-A045-8C1C-56022CE500C1}" name="Column7" dataDxfId="115"/>
    <tableColumn id="7" xr3:uid="{23D665A5-EE7E-5B4E-9964-48FA5C9F438F}" name="Column8" dataDxfId="114"/>
    <tableColumn id="9" xr3:uid="{1B24FDF3-D187-D64C-A634-DA395DE6E3A6}" name="Column3" dataDxfId="113"/>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112" dataDxfId="111">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ref="F5:F65"/>
  </sortState>
  <tableColumns count="12">
    <tableColumn id="1" xr3:uid="{45FBE749-E1E4-164F-A352-F1B4961F1774}" name="dataset" dataDxfId="110"/>
    <tableColumn id="2" xr3:uid="{02357CAC-0BD3-9E4B-A9E0-917B12066564}" name="V" dataDxfId="109"/>
    <tableColumn id="3" xr3:uid="{5219B515-C0A3-4547-ACA9-47BBABAF72D3}" name="E" dataDxfId="108"/>
    <tableColumn id="4" xr3:uid="{2AE1DABE-8B06-1046-BCBE-1F40336F2F8D}" name="d_max" dataDxfId="107"/>
    <tableColumn id="5" xr3:uid="{C86C8D6B-3195-3F4F-96F4-F708FE6B00BC}" name="#MC" dataDxfId="106"/>
    <tableColumn id="13" xr3:uid="{509970CF-BF55-9444-B9C2-72DD611171C6}" name="G2AIMD" dataDxfId="105"/>
    <tableColumn id="8" xr3:uid="{C77600D2-A754-234A-9C56-EA9994B7275F}" name="CPU Only" dataDxfId="104"/>
    <tableColumn id="11" xr3:uid="{AC9D9F95-859B-354D-B20B-C85B8310D54A}" name="No pingpong" dataDxfId="103"/>
    <tableColumn id="6" xr3:uid="{00BE533A-C453-454B-956C-207F1D177DD9}" name="Column1" dataDxfId="102"/>
    <tableColumn id="7" xr3:uid="{DD735CFC-5929-E243-AB53-B4DFD67E3788}" name="CPU+GPU" dataDxfId="101"/>
    <tableColumn id="9" xr3:uid="{CD0D6AF1-B07D-174C-8489-ADE055FDC18D}" name="Column3" dataDxfId="100"/>
    <tableColumn id="10" xr3:uid="{83EA63C7-27BC-B04E-BFA6-C8ED05A7434C}" name="Column5" dataDxfId="9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S65" totalsRowShown="0" headerRowDxfId="98" dataDxfId="97">
  <autoFilter ref="C5:S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S65">
    <sortCondition ref="F5:F65"/>
  </sortState>
  <tableColumns count="17">
    <tableColumn id="1" xr3:uid="{DCD9EDEC-8AF2-E44B-9035-1BD484B62FE1}" name="dataset" dataDxfId="96"/>
    <tableColumn id="2" xr3:uid="{571D0713-F0AE-744B-82A9-0647E85B70E4}" name="V" dataDxfId="95"/>
    <tableColumn id="3" xr3:uid="{ABD0A75D-6045-B043-A337-828FF3957B09}" name="E" dataDxfId="94"/>
    <tableColumn id="16" xr3:uid="{DB68AF15-4883-A048-BD25-976C5665D354}" name="avg_degree" dataDxfId="93">
      <calculatedColumnFormula>Table2123242526[[#This Row],[E]]/Table2123242526[[#This Row],[V]]</calculatedColumnFormula>
    </tableColumn>
    <tableColumn id="4" xr3:uid="{EDC46D59-3A43-FB4C-A363-665D3D09EB05}" name="d_max" dataDxfId="92"/>
    <tableColumn id="5" xr3:uid="{551C0AA0-56D8-3A41-B323-883BB3F745E7}" name="#MC" dataDxfId="91"/>
    <tableColumn id="13" xr3:uid="{17828130-93AE-BE4F-B56D-398C6624F065}" name="G2AIMD (pingpong)" dataDxfId="90"/>
    <tableColumn id="8" xr3:uid="{D21CD819-32CC-D84C-A64E-F3C22D69ECB4}" name="min" dataDxfId="89">
      <calculatedColumnFormula>MIN(Table2123242526[[#This Row],[G2AIMD (pingpong)]], Table2123242526[[#This Row],[gpu-layered]])</calculatedColumnFormula>
    </tableColumn>
    <tableColumn id="10" xr3:uid="{7C22635A-6F19-0A4E-969C-BB2F24A517F2}" name="hybrid_to_min_ratio" dataDxfId="88">
      <calculatedColumnFormula>Table2123242526[[#This Row],[gpu-hybrid]]/Table2123242526[[#This Row],[min]]</calculatedColumnFormula>
    </tableColumn>
    <tableColumn id="14" xr3:uid="{95929B9E-5DA5-0E43-9465-9B1D5425C82D}" name="P2L_ratio" dataDxfId="87">
      <calculatedColumnFormula>Table2123242526[[#This Row],[G2AIMD (pingpong)]]/Table2123242526[[#This Row],[gpu-layered]]</calculatedColumnFormula>
    </tableColumn>
    <tableColumn id="15" xr3:uid="{17D0CDA3-5847-894F-A062-711FB2BC3839}" name="L2P_ratio" dataDxfId="86">
      <calculatedColumnFormula>Table2123242526[[#This Row],[gpu-layered]]/Table2123242526[[#This Row],[G2AIMD (pingpong)]]</calculatedColumnFormula>
    </tableColumn>
    <tableColumn id="11" xr3:uid="{C7BED3EB-3028-664A-84CC-DEF09092CD49}" name="gpu-layered" dataDxfId="85"/>
    <tableColumn id="12" xr3:uid="{1DC67553-F60B-924D-B26A-702DAE3E2FF5}" name="gpu-hybrid" dataDxfId="84"/>
    <tableColumn id="22" xr3:uid="{27638D44-5B8B-8F45-8E46-FBF02105E8B2}" name="CPU Only" dataDxfId="83"/>
    <tableColumn id="6" xr3:uid="{0EF7B805-A81A-8940-BA19-BE4CF8ED9743}" name="CPU+GPU" dataDxfId="82"/>
    <tableColumn id="7" xr3:uid="{58648F8D-A95F-DF4D-B296-4FEA4170FC52}" name="Column4" dataDxfId="81"/>
    <tableColumn id="9" xr3:uid="{46255FCB-1EC0-D248-B678-F09A3FC1F276}" name="Column3" dataDxfId="8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79" dataDxfId="78">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77"/>
    <tableColumn id="2" xr3:uid="{2D6E112E-7CED-794B-A963-88CDDD134190}" name="Query" dataDxfId="76"/>
    <tableColumn id="3" xr3:uid="{7CC32F26-E406-8C4C-AB92-6D186B86B7F6}" name="g2-aimd" dataDxfId="75"/>
    <tableColumn id="4" xr3:uid="{9CD7BFC7-E69D-2C40-8B35-76176ABBF416}" name="GPU Only" dataDxfId="74"/>
    <tableColumn id="5" xr3:uid="{D4F9648C-69C9-7243-AB3C-AD5466BF1E73}" name="CPU Only" dataDxfId="73"/>
    <tableColumn id="6" xr3:uid="{D31C1305-B659-8F44-9ACD-255D60A3463F}" name="CPU+GPU" dataDxfId="72"/>
    <tableColumn id="7" xr3:uid="{366D41A4-3291-0845-BB8A-CEFD6C1F999D}" name="GPU_H_ratio" dataDxfId="71">
      <calculatedColumnFormula>Table2[[#This Row],[CPU+GPU]]/Table2[[#This Row],[GPU Only]]</calculatedColumnFormula>
    </tableColumn>
    <tableColumn id="8" xr3:uid="{064F1274-B98C-2F4F-BC52-B5DFBEBD8C3D}" name="CPU_H_ratio" dataDxfId="70">
      <calculatedColumnFormula>Table2[[#This Row],[CPU Only]]/Table2[[#This Row],[CPU+GPU]]</calculatedColumnFormula>
    </tableColumn>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1ED0C4-5A14-B94C-9B22-F3F82ABA6C6D}" name="Table3" displayName="Table3" ref="B4:N88" totalsRowShown="0" headerRowDxfId="146" dataDxfId="145">
  <sortState xmlns:xlrd2="http://schemas.microsoft.com/office/spreadsheetml/2017/richdata2" ref="B5:N88">
    <sortCondition descending="1" ref="L4:L88"/>
  </sortState>
  <tableColumns count="13">
    <tableColumn id="1" xr3:uid="{996B56F3-9D18-FF47-923F-0DF02D024DC3}" name="Dataset" dataDxfId="144"/>
    <tableColumn id="2" xr3:uid="{F1948C17-4D40-6046-8B01-96EE758D4FFB}" name="Query" dataDxfId="143"/>
    <tableColumn id="3" xr3:uid="{3EB32AEB-D2C1-9C4E-A6D7-EED77E4D9360}" name="g2aimd" dataDxfId="142"/>
    <tableColumn id="4" xr3:uid="{3AC948CA-7C6E-AF40-BA12-13900E0C7D4A}" name="gpu-hybrid" dataDxfId="141"/>
    <tableColumn id="5" xr3:uid="{AD8F419C-7A3B-974D-A321-E4517B27596E}" name="gpu-layered" dataDxfId="140"/>
    <tableColumn id="6" xr3:uid="{7BCA5ECB-20BE-354D-B56D-0CCCB9E4A9DC}" name="CPU Only" dataDxfId="139"/>
    <tableColumn id="7" xr3:uid="{1F6965E1-75BD-BB4D-A42A-2AD71C285B73}" name="CPU+GPU (1)" dataDxfId="138"/>
    <tableColumn id="11" xr3:uid="{0AF41419-8515-874C-86AF-BEB522C93090}" name="C2CG_ratio" dataDxfId="137">
      <calculatedColumnFormula>Table3[[#This Row],[CPU Only]]/Table3[[#This Row],[CPU+GPU (1)]]</calculatedColumnFormula>
    </tableColumn>
    <tableColumn id="10" xr3:uid="{29D1A471-1089-464A-9728-FAC3051994D8}" name="G2CG_ratio" dataDxfId="136">
      <calculatedColumnFormula>Table3[[#This Row],[gpu-layered]]/Table3[[#This Row],[CPU+GPU (1)]]</calculatedColumnFormula>
    </tableColumn>
    <tableColumn id="8" xr3:uid="{8E507318-9793-7B4B-B400-C17780BE36CD}" name="CPU+GPU (10)" dataDxfId="135"/>
    <tableColumn id="9" xr3:uid="{A3F46B4C-2753-4B4C-B695-786583E76332}" name="CG_10_1_ratio" dataDxfId="134">
      <calculatedColumnFormula>Table3[[#This Row],[CPU+GPU (10)]]/Table3[[#This Row],[CPU+GPU (1)]]</calculatedColumnFormula>
    </tableColumn>
    <tableColumn id="12" xr3:uid="{14A0A66D-DDB0-9B45-8E82-7C921CBD4E8D}" name="H2L_ratio" dataDxfId="133">
      <calculatedColumnFormula>Table3[[#This Row],[gpu-hybrid]]/Table3[[#This Row],[gpu-layered]]</calculatedColumnFormula>
    </tableColumn>
    <tableColumn id="13" xr3:uid="{75A9E732-39D3-1B4D-AF2B-65EA7783D53E}" name="g2aimd_L_ratio" dataDxfId="132">
      <calculatedColumnFormula>Table3[[#This Row],[g2aimd]]/Table3[[#This Row],[gpu-layered]]</calculatedColumnFormula>
    </tableColumn>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H2:AP218" totalsRowShown="0">
  <autoFilter ref="AH2:AP218" xr:uid="{F593F397-1FE6-BC4C-A81D-C0A20A850E1F}">
    <filterColumn colId="0">
      <customFilters>
        <customFilter operator="notEqual" val=" "/>
      </customFilters>
    </filterColumn>
  </autoFilter>
  <sortState xmlns:xlrd2="http://schemas.microsoft.com/office/spreadsheetml/2017/richdata2" ref="AH91:AP133">
    <sortCondition ref="AK2:AK218"/>
  </sortState>
  <tableColumns count="9">
    <tableColumn id="6" xr3:uid="{5DB0FBB3-0BB3-024E-AB88-924AC4951DC2}" name="selected"/>
    <tableColumn id="1" xr3:uid="{8468715E-A000-8A47-8E4B-9D2CACED6CEA}" name="dataset" dataDxfId="131"/>
    <tableColumn id="2" xr3:uid="{1803BC41-BEC8-E544-92BD-C663EA966AB2}" name="query"/>
    <tableColumn id="3" xr3:uid="{4CBACDEA-BF51-954F-8944-FC4AE07D8CE8}" name="GPU" dataDxfId="130"/>
    <tableColumn id="4" xr3:uid="{191AE9E6-20B3-0846-A2BC-4F940320D63B}" name="expand mode" dataDxfId="129"/>
    <tableColumn id="5" xr3:uid="{6C5CEFD7-4CFC-F246-A6B3-B98EF3B01C6D}" name="cpuchunk=1" dataDxfId="128">
      <calculatedColumnFormula>Table7[[#This Row],[GPU]]/Table7[[#This Row],[expand mode]]</calculatedColumnFormula>
    </tableColumn>
    <tableColumn id="7" xr3:uid="{736FF2C4-3CF5-B442-B148-E21BB5DC8B13}" name="cpuchunk=10"/>
    <tableColumn id="8" xr3:uid="{ACA1C7AA-D09E-5841-B44B-0C7F61620892}" name="cpuchunk=100"/>
    <tableColumn id="9" xr3:uid="{CFB7F44E-198D-F74D-89F7-2CFB77FD3B4D}" name="GPU_chunk10_ratio" dataDxfId="19">
      <calculatedColumnFormula>Table7[[#This Row],[GPU]]/Table7[[#This Row],[cpuchunk=10]]</calculatedColumnFormula>
    </tableColumn>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69" dataDxfId="68">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67"/>
    <tableColumn id="2" xr3:uid="{99F57411-E357-6146-AD2F-944EA3B99F22}" name="V" dataDxfId="66"/>
    <tableColumn id="3" xr3:uid="{5DA3F50F-6683-4740-8275-FC8B2AEBA335}" name="E" dataDxfId="65"/>
    <tableColumn id="4" xr3:uid="{927D83F2-F8F5-B542-B08E-3F1134B07F82}" name="d_max" dataDxfId="64"/>
    <tableColumn id="5" xr3:uid="{8E95BA4C-9028-0E4D-9185-262920783C20}" name="Column3" dataDxfId="63"/>
    <tableColumn id="13" xr3:uid="{318AFBDF-EF22-1E4A-85CD-495CB3CF3C71}" name="AIMD" dataDxfId="62"/>
    <tableColumn id="8" xr3:uid="{5C230B4E-7E1D-A645-B48D-91815A51AEE6}" name="Column4" dataDxfId="61"/>
    <tableColumn id="18" xr3:uid="{9C400945-3C78-F840-9780-8447CB0FA306}" name="Ours-One-warp" dataDxfId="60"/>
    <tableColumn id="21" xr3:uid="{D30286C1-C814-674F-AAC3-2D0BB6091E4C}" name="Ours" dataDxfId="59"/>
    <tableColumn id="9" xr3:uid="{165FB5C8-A66B-6B4F-855C-F795F8373EC6}" name="Column5" dataDxfId="58"/>
    <tableColumn id="10" xr3:uid="{BDEF5DE0-0613-924A-A15D-0D8027906427}" name="Imp. One Warp" dataDxfId="57">
      <calculatedColumnFormula>IFERROR(Table21232425[[#This Row],[AIMD]]/Table21232425[[#This Row],[Ours-One-warp]], "NONE")</calculatedColumnFormula>
    </tableColumn>
    <tableColumn id="11" xr3:uid="{F9DF35F2-8695-BF48-8954-6D40FC01ED76}" name="Impr. Ours" dataDxfId="56">
      <calculatedColumnFormula>IFERROR(Table21232425[[#This Row],[AIMD]]/Table21232425[[#This Row],[Ours]], "NONE")</calculatedColumnFormula>
    </tableColumn>
    <tableColumn id="12" xr3:uid="{757CB4BA-7334-0E43-BB3B-4096363E8DCD}" name="Column54" dataDxfId="55"/>
    <tableColumn id="22" xr3:uid="{BDD89152-D598-A741-AB88-00948177B5F5}" name="Column14" dataDxfId="54"/>
    <tableColumn id="6" xr3:uid="{552442CE-C2A8-A144-A063-3B1AE4C1A620}" name="P100" dataDxfId="53"/>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2" dataDxfId="51">
  <autoFilter ref="C5:N68" xr:uid="{C2D1855A-F6DE-F647-932C-7E457E008762}"/>
  <sortState xmlns:xlrd2="http://schemas.microsoft.com/office/spreadsheetml/2017/richdata2" ref="C6:N68">
    <sortCondition ref="E5:E68"/>
  </sortState>
  <tableColumns count="12">
    <tableColumn id="7" xr3:uid="{BF239966-238E-AA44-B939-6E5FDC5F71B0}" name="Column2" dataDxfId="50"/>
    <tableColumn id="1" xr3:uid="{07A3267A-F3CC-4549-8CF2-689C95F4D970}" name="Column1" dataDxfId="49"/>
    <tableColumn id="2" xr3:uid="{5888CD12-EF96-DC47-B986-D3BEE536C817}" name="V" dataDxfId="48"/>
    <tableColumn id="3" xr3:uid="{E88B6B80-2EC0-B643-8B7D-095946923F1D}" name="E" dataDxfId="47"/>
    <tableColumn id="4" xr3:uid="{87770781-C48A-7241-901E-9BB9E192477A}" name="d_max" dataDxfId="46"/>
    <tableColumn id="5" xr3:uid="{0F006EB6-C45E-2342-94F3-1EEE253AEDDF}" name="Column3" dataDxfId="45"/>
    <tableColumn id="6" xr3:uid="{45ACA3DD-1024-154B-99F8-E8731884AA56}" name="degen" dataDxfId="44"/>
    <tableColumn id="9" xr3:uid="{C8F5D7A0-26AC-5B4B-A5BF-ECBA904E8B5F}" name="L1+IP" dataDxfId="43"/>
    <tableColumn id="10" xr3:uid="{148621AF-82D1-754C-8A17-F205D10E7546}" name="L1+IPX" dataDxfId="42"/>
    <tableColumn id="11" xr3:uid="{CF2EDA69-7981-DA4B-BC59-275E2B7DD8FF}" name="L2+IP" dataDxfId="41"/>
    <tableColumn id="12" xr3:uid="{A44BD5E2-6546-F946-9DAB-F0E75D944E17}" name="L2+IPX" dataDxfId="40"/>
    <tableColumn id="13" xr3:uid="{41C9E2A0-948C-0449-9519-4FD1DD7303F3}" name="Column6" dataDxfId="39"/>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38" dataDxfId="37">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36"/>
    <tableColumn id="2" xr3:uid="{B6BA1FB8-7E1D-C042-AA80-EB33EEF07489}" name="Column2" dataDxfId="35"/>
    <tableColumn id="3" xr3:uid="{3D672021-12CF-7E44-B929-F19CA72D60EC}" name="Column3" dataDxfId="34"/>
    <tableColumn id="4" xr3:uid="{E67ACF71-76CE-354C-BC0B-A74B8388BAB6}" name="Column4" dataDxfId="33"/>
    <tableColumn id="5" xr3:uid="{7230C838-1B3B-0B48-95A0-052BC39D44C0}" name="Column5" dataDxfId="32"/>
    <tableColumn id="6" xr3:uid="{AE57CC59-63EA-7B49-A644-2CB81B9D0778}" name="Avg" dataDxfId="31">
      <calculatedColumnFormula>G2/F2</calculatedColumnFormula>
    </tableColumn>
    <tableColumn id="7" xr3:uid="{6EEE6663-215D-4A4B-BD28-E520BA613AB9}" name="DS" dataDxfId="30"/>
    <tableColumn id="8" xr3:uid="{B4275871-ABC6-FF4E-BBC0-2DFB27420938}" name="Column6" dataDxfId="29">
      <calculatedColumnFormula>"http://konect.cc/files/download.tsv."&amp;I2&amp;".tar.bz2"</calculatedColumnFormula>
    </tableColumn>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28" dataDxfId="27" tableBorderDxfId="26">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25"/>
    <tableColumn id="2" xr3:uid="{6CAE8E08-8011-8645-8C1D-572AD42A255C}" name="V" dataDxfId="24"/>
    <tableColumn id="3" xr3:uid="{061E8B13-2CA6-A441-9C80-F42E2F090D03}" name="E" dataDxfId="23"/>
    <tableColumn id="4" xr3:uid="{20CDF773-C4D3-974A-9358-6905826D00BD}" name="avg_degree" dataDxfId="22">
      <calculatedColumnFormula>Table4[[#This Row],[E]]/Table4[[#This Row],[V]]</calculatedColumnFormula>
    </tableColumn>
    <tableColumn id="5" xr3:uid="{941262D5-9BF7-A44F-9261-04A432C92C2E}" name="d_max" dataDxfId="21"/>
    <tableColumn id="6" xr3:uid="{E90FCA38-7D9E-0248-B762-0A09964B4AB4}" name="selected" dataDxfId="2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B1:AN218"/>
  <sheetViews>
    <sheetView tabSelected="1" topLeftCell="AD1" workbookViewId="0">
      <selection activeCell="AI108" sqref="AI108"/>
    </sheetView>
  </sheetViews>
  <sheetFormatPr baseColWidth="10" defaultRowHeight="16" x14ac:dyDescent="0.2"/>
  <cols>
    <col min="2" max="2" width="27.6640625" bestFit="1" customWidth="1"/>
    <col min="4" max="4" width="11.5" customWidth="1"/>
    <col min="5" max="5" width="16.1640625" customWidth="1"/>
    <col min="6" max="6" width="14.83203125" customWidth="1"/>
    <col min="7" max="7" width="13.83203125" customWidth="1"/>
    <col min="8" max="8" width="18.1640625" bestFit="1" customWidth="1"/>
    <col min="9" max="10" width="18.1640625" style="117" customWidth="1"/>
    <col min="11" max="11" width="19.6640625" bestFit="1" customWidth="1"/>
    <col min="12" max="12" width="19.1640625" style="117" bestFit="1" customWidth="1"/>
    <col min="35" max="35" width="32.33203125" customWidth="1"/>
    <col min="37" max="37" width="18.83203125" bestFit="1" customWidth="1"/>
    <col min="38" max="38" width="28.5" bestFit="1" customWidth="1"/>
    <col min="39" max="39" width="26.6640625" bestFit="1" customWidth="1"/>
  </cols>
  <sheetData>
    <row r="1" spans="2:39" ht="33" thickBot="1" x14ac:dyDescent="0.45">
      <c r="AL1" s="143"/>
      <c r="AM1" s="141"/>
    </row>
    <row r="2" spans="2:39" ht="24" x14ac:dyDescent="0.3">
      <c r="AH2" t="s">
        <v>4018</v>
      </c>
      <c r="AI2" s="101" t="s">
        <v>25</v>
      </c>
      <c r="AJ2" s="101" t="s">
        <v>4019</v>
      </c>
      <c r="AK2" s="101" t="s">
        <v>4026</v>
      </c>
      <c r="AL2" s="101" t="s">
        <v>4027</v>
      </c>
      <c r="AM2" s="101" t="s">
        <v>4028</v>
      </c>
    </row>
    <row r="3" spans="2:39" ht="22" hidden="1" x14ac:dyDescent="0.25">
      <c r="AI3" s="77" t="s">
        <v>1408</v>
      </c>
      <c r="AJ3">
        <v>9</v>
      </c>
      <c r="AK3" s="2">
        <v>0.117589</v>
      </c>
      <c r="AL3" s="2">
        <v>5.3818999999999999E-2</v>
      </c>
      <c r="AM3" s="107">
        <f>Table710[[#This Row],[no pingpong]]/Table710[[#This Row],[pingpong+hostcopy]]</f>
        <v>2.184897526895706</v>
      </c>
    </row>
    <row r="4" spans="2:39" ht="23" hidden="1" x14ac:dyDescent="0.3">
      <c r="B4" t="s">
        <v>3973</v>
      </c>
      <c r="C4" t="s">
        <v>3947</v>
      </c>
      <c r="D4" s="80" t="s">
        <v>3959</v>
      </c>
      <c r="E4" s="112" t="s">
        <v>3977</v>
      </c>
      <c r="F4" s="112" t="s">
        <v>3978</v>
      </c>
      <c r="G4" s="112" t="s">
        <v>3929</v>
      </c>
      <c r="H4" s="113" t="s">
        <v>4006</v>
      </c>
      <c r="I4" s="115" t="s">
        <v>4012</v>
      </c>
      <c r="J4" s="115" t="s">
        <v>4013</v>
      </c>
      <c r="K4" s="114" t="s">
        <v>4005</v>
      </c>
      <c r="L4" s="118" t="s">
        <v>4010</v>
      </c>
      <c r="M4" s="114" t="s">
        <v>4011</v>
      </c>
      <c r="N4" s="114" t="s">
        <v>4014</v>
      </c>
      <c r="AI4" s="77" t="s">
        <v>1346</v>
      </c>
      <c r="AJ4">
        <v>24</v>
      </c>
      <c r="AK4" s="2">
        <v>0.170796</v>
      </c>
      <c r="AL4" s="2">
        <v>0.337451</v>
      </c>
      <c r="AM4" s="107">
        <f>Table710[[#This Row],[no pingpong]]/Table710[[#This Row],[pingpong+hostcopy]]</f>
        <v>0.50613570562837273</v>
      </c>
    </row>
    <row r="5" spans="2:39" ht="23" hidden="1" x14ac:dyDescent="0.3">
      <c r="B5" s="80" t="s">
        <v>1346</v>
      </c>
      <c r="C5" s="80">
        <v>6</v>
      </c>
      <c r="D5" s="36" t="s">
        <v>3990</v>
      </c>
      <c r="E5" s="36" t="s">
        <v>3990</v>
      </c>
      <c r="F5" s="36" t="s">
        <v>3990</v>
      </c>
      <c r="G5" s="36">
        <v>1118.7856750000001</v>
      </c>
      <c r="H5" s="36" t="s">
        <v>3990</v>
      </c>
      <c r="I5" s="116" t="e">
        <f>Table39[[#This Row],[CPU Only]]/Table39[[#This Row],[CPU+GPU (1)]]</f>
        <v>#VALUE!</v>
      </c>
      <c r="J5" s="116" t="e">
        <f>Table39[[#This Row],[gpu-layered]]/Table39[[#This Row],[CPU+GPU (1)]]</f>
        <v>#VALUE!</v>
      </c>
      <c r="K5" s="36" t="s">
        <v>3990</v>
      </c>
      <c r="L5" s="116" t="e">
        <f>Table39[[#This Row],[CPU+GPU (10)]]/Table39[[#This Row],[CPU+GPU (1)]]</f>
        <v>#VALUE!</v>
      </c>
      <c r="M5" s="116" t="e">
        <f>Table39[[#This Row],[gpu-hybrid]]/Table39[[#This Row],[gpu-layered]]</f>
        <v>#VALUE!</v>
      </c>
      <c r="N5" s="36" t="e">
        <f>Table39[[#This Row],[g2aimd]]/Table39[[#This Row],[gpu-layered]]</f>
        <v>#VALUE!</v>
      </c>
      <c r="O5" t="s">
        <v>4003</v>
      </c>
      <c r="P5" t="s">
        <v>4007</v>
      </c>
      <c r="AI5" s="77" t="s">
        <v>1371</v>
      </c>
      <c r="AJ5">
        <v>24</v>
      </c>
      <c r="AK5" s="2">
        <v>0.18123400000000001</v>
      </c>
      <c r="AL5" s="2">
        <v>0.21973599999999999</v>
      </c>
      <c r="AM5" s="107">
        <f>Table710[[#This Row],[no pingpong]]/Table710[[#This Row],[pingpong+hostcopy]]</f>
        <v>0.82478064586594835</v>
      </c>
    </row>
    <row r="6" spans="2:39" ht="23" hidden="1" x14ac:dyDescent="0.3">
      <c r="B6" s="80" t="s">
        <v>3</v>
      </c>
      <c r="C6" s="80">
        <v>6</v>
      </c>
      <c r="D6" s="36">
        <v>1487.950779</v>
      </c>
      <c r="E6" s="36" t="s">
        <v>3990</v>
      </c>
      <c r="F6" s="36" t="s">
        <v>3990</v>
      </c>
      <c r="G6" s="36" t="s">
        <v>4003</v>
      </c>
      <c r="H6" s="36" t="s">
        <v>3990</v>
      </c>
      <c r="I6" s="116" t="e">
        <f>Table39[[#This Row],[CPU Only]]/Table39[[#This Row],[CPU+GPU (1)]]</f>
        <v>#VALUE!</v>
      </c>
      <c r="J6" s="116" t="e">
        <f>Table39[[#This Row],[gpu-layered]]/Table39[[#This Row],[CPU+GPU (1)]]</f>
        <v>#VALUE!</v>
      </c>
      <c r="K6" s="36" t="s">
        <v>3990</v>
      </c>
      <c r="L6" s="116" t="e">
        <f>Table39[[#This Row],[CPU+GPU (10)]]/Table39[[#This Row],[CPU+GPU (1)]]</f>
        <v>#VALUE!</v>
      </c>
      <c r="M6" s="116" t="e">
        <f>Table39[[#This Row],[gpu-hybrid]]/Table39[[#This Row],[gpu-layered]]</f>
        <v>#VALUE!</v>
      </c>
      <c r="N6" s="36" t="e">
        <f>Table39[[#This Row],[g2aimd]]/Table39[[#This Row],[gpu-layered]]</f>
        <v>#VALUE!</v>
      </c>
      <c r="O6" t="s">
        <v>3990</v>
      </c>
      <c r="P6" t="s">
        <v>4008</v>
      </c>
      <c r="AI6" s="77" t="s">
        <v>1408</v>
      </c>
      <c r="AJ6">
        <v>7</v>
      </c>
      <c r="AK6" s="2">
        <v>0.25453300000000001</v>
      </c>
      <c r="AL6" s="2">
        <v>1.04</v>
      </c>
      <c r="AM6" s="107">
        <f>Table710[[#This Row],[no pingpong]]/Table710[[#This Row],[pingpong+hostcopy]]</f>
        <v>0.24474326923076922</v>
      </c>
    </row>
    <row r="7" spans="2:39" ht="23" hidden="1" x14ac:dyDescent="0.3">
      <c r="B7" s="80" t="s">
        <v>4</v>
      </c>
      <c r="C7" s="80">
        <v>6</v>
      </c>
      <c r="D7" s="36">
        <v>1074.476539</v>
      </c>
      <c r="E7" s="36" t="s">
        <v>3990</v>
      </c>
      <c r="F7" s="36" t="s">
        <v>3990</v>
      </c>
      <c r="G7" s="36" t="s">
        <v>4003</v>
      </c>
      <c r="H7" s="36" t="s">
        <v>3990</v>
      </c>
      <c r="I7" s="116" t="e">
        <f>Table39[[#This Row],[CPU Only]]/Table39[[#This Row],[CPU+GPU (1)]]</f>
        <v>#VALUE!</v>
      </c>
      <c r="J7" s="116" t="e">
        <f>Table39[[#This Row],[gpu-layered]]/Table39[[#This Row],[CPU+GPU (1)]]</f>
        <v>#VALUE!</v>
      </c>
      <c r="K7" s="36" t="s">
        <v>3990</v>
      </c>
      <c r="L7" s="116" t="e">
        <f>Table39[[#This Row],[CPU+GPU (10)]]/Table39[[#This Row],[CPU+GPU (1)]]</f>
        <v>#VALUE!</v>
      </c>
      <c r="M7" s="116" t="e">
        <f>Table39[[#This Row],[gpu-hybrid]]/Table39[[#This Row],[gpu-layered]]</f>
        <v>#VALUE!</v>
      </c>
      <c r="N7" s="36" t="e">
        <f>Table39[[#This Row],[g2aimd]]/Table39[[#This Row],[gpu-layered]]</f>
        <v>#VALUE!</v>
      </c>
      <c r="O7" t="s">
        <v>4015</v>
      </c>
      <c r="AI7" s="77" t="s">
        <v>3919</v>
      </c>
      <c r="AJ7">
        <v>24</v>
      </c>
      <c r="AK7" s="2">
        <v>0.27111200000000002</v>
      </c>
      <c r="AL7" s="2">
        <v>0.26826100000000003</v>
      </c>
      <c r="AM7" s="107">
        <f>Table710[[#This Row],[no pingpong]]/Table710[[#This Row],[pingpong+hostcopy]]</f>
        <v>1.0106277095813405</v>
      </c>
    </row>
    <row r="8" spans="2:39" ht="23" hidden="1" x14ac:dyDescent="0.3">
      <c r="B8" s="80" t="s">
        <v>3917</v>
      </c>
      <c r="C8" s="80">
        <v>6</v>
      </c>
      <c r="D8" s="36" t="s">
        <v>3990</v>
      </c>
      <c r="E8" s="36" t="s">
        <v>3990</v>
      </c>
      <c r="F8" s="36" t="s">
        <v>3990</v>
      </c>
      <c r="G8" s="36" t="s">
        <v>3990</v>
      </c>
      <c r="H8" s="36" t="s">
        <v>3990</v>
      </c>
      <c r="I8" s="116" t="e">
        <f>Table39[[#This Row],[CPU Only]]/Table39[[#This Row],[CPU+GPU (1)]]</f>
        <v>#VALUE!</v>
      </c>
      <c r="J8" s="116" t="e">
        <f>Table39[[#This Row],[gpu-layered]]/Table39[[#This Row],[CPU+GPU (1)]]</f>
        <v>#VALUE!</v>
      </c>
      <c r="K8" s="36" t="s">
        <v>3990</v>
      </c>
      <c r="L8" s="116" t="e">
        <f>Table39[[#This Row],[CPU+GPU (10)]]/Table39[[#This Row],[CPU+GPU (1)]]</f>
        <v>#VALUE!</v>
      </c>
      <c r="M8" s="116" t="e">
        <f>Table39[[#This Row],[gpu-hybrid]]/Table39[[#This Row],[gpu-layered]]</f>
        <v>#VALUE!</v>
      </c>
      <c r="N8" s="36" t="e">
        <f>Table39[[#This Row],[g2aimd]]/Table39[[#This Row],[gpu-layered]]</f>
        <v>#VALUE!</v>
      </c>
      <c r="P8" t="s">
        <v>4016</v>
      </c>
      <c r="AI8" s="77" t="s">
        <v>1425</v>
      </c>
      <c r="AJ8">
        <v>24</v>
      </c>
      <c r="AK8" s="2">
        <v>0.27822200000000002</v>
      </c>
      <c r="AL8" s="2">
        <v>0.40602700000000003</v>
      </c>
      <c r="AM8" s="107">
        <f>Table710[[#This Row],[no pingpong]]/Table710[[#This Row],[pingpong+hostcopy]]</f>
        <v>0.6852302925667505</v>
      </c>
    </row>
    <row r="9" spans="2:39" ht="23" hidden="1" x14ac:dyDescent="0.3">
      <c r="B9" s="80" t="s">
        <v>1434</v>
      </c>
      <c r="C9" s="80">
        <v>6</v>
      </c>
      <c r="D9" s="36" t="s">
        <v>3990</v>
      </c>
      <c r="E9" s="36" t="s">
        <v>3990</v>
      </c>
      <c r="F9" s="36" t="s">
        <v>3990</v>
      </c>
      <c r="G9" s="36" t="s">
        <v>4003</v>
      </c>
      <c r="H9" s="36" t="s">
        <v>3990</v>
      </c>
      <c r="I9" s="116" t="e">
        <f>Table39[[#This Row],[CPU Only]]/Table39[[#This Row],[CPU+GPU (1)]]</f>
        <v>#VALUE!</v>
      </c>
      <c r="J9" s="116" t="e">
        <f>Table39[[#This Row],[gpu-layered]]/Table39[[#This Row],[CPU+GPU (1)]]</f>
        <v>#VALUE!</v>
      </c>
      <c r="K9" s="36" t="s">
        <v>3990</v>
      </c>
      <c r="L9" s="116" t="e">
        <f>Table39[[#This Row],[CPU+GPU (10)]]/Table39[[#This Row],[CPU+GPU (1)]]</f>
        <v>#VALUE!</v>
      </c>
      <c r="M9" s="116" t="e">
        <f>Table39[[#This Row],[gpu-hybrid]]/Table39[[#This Row],[gpu-layered]]</f>
        <v>#VALUE!</v>
      </c>
      <c r="N9" s="36" t="e">
        <f>Table39[[#This Row],[g2aimd]]/Table39[[#This Row],[gpu-layered]]</f>
        <v>#VALUE!</v>
      </c>
      <c r="AI9" s="77" t="s">
        <v>1371</v>
      </c>
      <c r="AJ9">
        <v>25</v>
      </c>
      <c r="AK9" s="2">
        <v>0.29469600000000001</v>
      </c>
      <c r="AL9" s="2">
        <v>0.42981799999999998</v>
      </c>
      <c r="AM9" s="107">
        <f>Table710[[#This Row],[no pingpong]]/Table710[[#This Row],[pingpong+hostcopy]]</f>
        <v>0.68562973165386287</v>
      </c>
    </row>
    <row r="10" spans="2:39" ht="23" hidden="1" x14ac:dyDescent="0.3">
      <c r="B10" s="80" t="s">
        <v>3917</v>
      </c>
      <c r="C10" s="80">
        <v>2</v>
      </c>
      <c r="D10" s="36">
        <v>0.73555000000000004</v>
      </c>
      <c r="E10" s="36">
        <v>0.65947100000000003</v>
      </c>
      <c r="F10" s="36">
        <v>0.96021000000000001</v>
      </c>
      <c r="G10" s="36">
        <v>36.615682</v>
      </c>
      <c r="H10" s="36">
        <v>1.06</v>
      </c>
      <c r="I10" s="116">
        <f>Table39[[#This Row],[CPU Only]]/Table39[[#This Row],[CPU+GPU (1)]]</f>
        <v>34.543096226415095</v>
      </c>
      <c r="J10" s="119">
        <f>Table39[[#This Row],[gpu-layered]]/Table39[[#This Row],[CPU+GPU (1)]]</f>
        <v>0.90585849056603773</v>
      </c>
      <c r="K10" s="36">
        <v>5.13</v>
      </c>
      <c r="L10" s="116">
        <f>Table39[[#This Row],[CPU+GPU (10)]]/Table39[[#This Row],[CPU+GPU (1)]]</f>
        <v>4.8396226415094334</v>
      </c>
      <c r="M10" s="116">
        <f>Table39[[#This Row],[gpu-hybrid]]/Table39[[#This Row],[gpu-layered]]</f>
        <v>0.68679872111308982</v>
      </c>
      <c r="N10" s="36">
        <f>Table39[[#This Row],[g2aimd]]/Table39[[#This Row],[gpu-layered]]</f>
        <v>0.76603034752814492</v>
      </c>
      <c r="AI10" s="77" t="s">
        <v>1437</v>
      </c>
      <c r="AJ10">
        <v>24</v>
      </c>
      <c r="AK10" s="2">
        <v>0.29792999999999997</v>
      </c>
      <c r="AL10" s="2">
        <v>0.41574800000000001</v>
      </c>
      <c r="AM10" s="107">
        <f>Table710[[#This Row],[no pingpong]]/Table710[[#This Row],[pingpong+hostcopy]]</f>
        <v>0.71661198610696852</v>
      </c>
    </row>
    <row r="11" spans="2:39" ht="23" hidden="1" x14ac:dyDescent="0.3">
      <c r="B11" s="80" t="s">
        <v>3917</v>
      </c>
      <c r="C11" s="80">
        <v>9</v>
      </c>
      <c r="D11" s="36">
        <v>1.1580220000000001</v>
      </c>
      <c r="E11" s="36">
        <v>1.130881</v>
      </c>
      <c r="F11" s="36">
        <v>1.481114</v>
      </c>
      <c r="G11" s="36">
        <v>36.354160999999998</v>
      </c>
      <c r="H11" s="36">
        <v>1.53</v>
      </c>
      <c r="I11" s="116">
        <f>Table39[[#This Row],[CPU Only]]/Table39[[#This Row],[CPU+GPU (1)]]</f>
        <v>23.760889542483657</v>
      </c>
      <c r="J11" s="119">
        <f>Table39[[#This Row],[gpu-layered]]/Table39[[#This Row],[CPU+GPU (1)]]</f>
        <v>0.96804836601307187</v>
      </c>
      <c r="K11" s="36">
        <v>5.82</v>
      </c>
      <c r="L11" s="116">
        <f>Table39[[#This Row],[CPU+GPU (10)]]/Table39[[#This Row],[CPU+GPU (1)]]</f>
        <v>3.8039215686274512</v>
      </c>
      <c r="M11" s="116">
        <f>Table39[[#This Row],[gpu-hybrid]]/Table39[[#This Row],[gpu-layered]]</f>
        <v>0.7635340696259707</v>
      </c>
      <c r="N11" s="36">
        <f>Table39[[#This Row],[g2aimd]]/Table39[[#This Row],[gpu-layered]]</f>
        <v>0.78185879007287762</v>
      </c>
      <c r="AI11" s="77" t="s">
        <v>1411</v>
      </c>
      <c r="AJ11">
        <v>25</v>
      </c>
      <c r="AK11" s="2">
        <v>0.30438700000000002</v>
      </c>
      <c r="AL11" s="2">
        <v>0.33315800000000001</v>
      </c>
      <c r="AM11" s="107">
        <f>Table710[[#This Row],[no pingpong]]/Table710[[#This Row],[pingpong+hostcopy]]</f>
        <v>0.91364157546869651</v>
      </c>
    </row>
    <row r="12" spans="2:39" ht="23" hidden="1" x14ac:dyDescent="0.3">
      <c r="B12" s="80" t="s">
        <v>1371</v>
      </c>
      <c r="C12" s="80">
        <v>2</v>
      </c>
      <c r="D12" s="36">
        <v>2.2413180000000001</v>
      </c>
      <c r="E12" s="36">
        <v>0.35935400000000001</v>
      </c>
      <c r="F12" s="36">
        <v>0.39108199999999999</v>
      </c>
      <c r="G12" s="36">
        <v>18.897711999999999</v>
      </c>
      <c r="H12" s="36">
        <v>0.79</v>
      </c>
      <c r="I12" s="116">
        <f>Table39[[#This Row],[CPU Only]]/Table39[[#This Row],[CPU+GPU (1)]]</f>
        <v>23.921154430379744</v>
      </c>
      <c r="J12" s="119">
        <f>Table39[[#This Row],[gpu-layered]]/Table39[[#This Row],[CPU+GPU (1)]]</f>
        <v>0.49504050632911389</v>
      </c>
      <c r="K12" s="36">
        <v>2.16</v>
      </c>
      <c r="L12" s="116">
        <f>Table39[[#This Row],[CPU+GPU (10)]]/Table39[[#This Row],[CPU+GPU (1)]]</f>
        <v>2.7341772151898733</v>
      </c>
      <c r="M12" s="116">
        <f>Table39[[#This Row],[gpu-hybrid]]/Table39[[#This Row],[gpu-layered]]</f>
        <v>0.91887123416572491</v>
      </c>
      <c r="N12" s="36">
        <f>Table39[[#This Row],[g2aimd]]/Table39[[#This Row],[gpu-layered]]</f>
        <v>5.7310691875361179</v>
      </c>
      <c r="AI12" s="77" t="s">
        <v>3919</v>
      </c>
      <c r="AJ12">
        <v>2</v>
      </c>
      <c r="AK12" s="2">
        <v>0.35126800000000002</v>
      </c>
      <c r="AL12" s="2">
        <v>0.38397100000000001</v>
      </c>
      <c r="AM12" s="107">
        <f>Table710[[#This Row],[no pingpong]]/Table710[[#This Row],[pingpong+hostcopy]]</f>
        <v>0.9148295053532689</v>
      </c>
    </row>
    <row r="13" spans="2:39" ht="23" hidden="1" x14ac:dyDescent="0.3">
      <c r="B13" s="80" t="s">
        <v>1434</v>
      </c>
      <c r="C13" s="80">
        <v>2</v>
      </c>
      <c r="D13" s="36">
        <v>3.206035</v>
      </c>
      <c r="E13" s="36">
        <v>1.885907</v>
      </c>
      <c r="F13" s="36">
        <v>2.2730779999999999</v>
      </c>
      <c r="G13" s="36">
        <v>74.721911000000006</v>
      </c>
      <c r="H13" s="36">
        <v>2.3137690000000002</v>
      </c>
      <c r="I13" s="116">
        <f>Table39[[#This Row],[CPU Only]]/Table39[[#This Row],[CPU+GPU (1)]]</f>
        <v>32.294455928833003</v>
      </c>
      <c r="J13" s="119">
        <f>Table39[[#This Row],[gpu-layered]]/Table39[[#This Row],[CPU+GPU (1)]]</f>
        <v>0.98241354257922886</v>
      </c>
      <c r="K13" s="36">
        <v>5.57</v>
      </c>
      <c r="L13" s="116">
        <f>Table39[[#This Row],[CPU+GPU (10)]]/Table39[[#This Row],[CPU+GPU (1)]]</f>
        <v>2.4073276113561897</v>
      </c>
      <c r="M13" s="116">
        <f>Table39[[#This Row],[gpu-hybrid]]/Table39[[#This Row],[gpu-layered]]</f>
        <v>0.82967104516431023</v>
      </c>
      <c r="N13" s="36">
        <f>Table39[[#This Row],[g2aimd]]/Table39[[#This Row],[gpu-layered]]</f>
        <v>1.4104377412477707</v>
      </c>
      <c r="AI13" s="77" t="s">
        <v>1371</v>
      </c>
      <c r="AJ13">
        <v>2</v>
      </c>
      <c r="AK13" s="2">
        <v>0.39108199999999999</v>
      </c>
      <c r="AL13" s="2">
        <v>0.79</v>
      </c>
      <c r="AM13" s="107">
        <f>Table710[[#This Row],[no pingpong]]/Table710[[#This Row],[pingpong+hostcopy]]</f>
        <v>0.49504050632911389</v>
      </c>
    </row>
    <row r="14" spans="2:39" ht="23" hidden="1" x14ac:dyDescent="0.3">
      <c r="B14" s="80" t="s">
        <v>1371</v>
      </c>
      <c r="C14" s="80">
        <v>9</v>
      </c>
      <c r="D14" s="36">
        <v>2.5862780000000001</v>
      </c>
      <c r="E14" s="36">
        <v>0.50664799999999999</v>
      </c>
      <c r="F14" s="36">
        <v>0.67302200000000001</v>
      </c>
      <c r="G14" s="36">
        <v>22.9221</v>
      </c>
      <c r="H14" s="36">
        <v>0.91</v>
      </c>
      <c r="I14" s="116">
        <f>Table39[[#This Row],[CPU Only]]/Table39[[#This Row],[CPU+GPU (1)]]</f>
        <v>25.189120879120878</v>
      </c>
      <c r="J14" s="119">
        <f>Table39[[#This Row],[gpu-layered]]/Table39[[#This Row],[CPU+GPU (1)]]</f>
        <v>0.7395846153846154</v>
      </c>
      <c r="K14" s="36">
        <v>1.95</v>
      </c>
      <c r="L14" s="116">
        <f>Table39[[#This Row],[CPU+GPU (10)]]/Table39[[#This Row],[CPU+GPU (1)]]</f>
        <v>2.1428571428571428</v>
      </c>
      <c r="M14" s="116">
        <f>Table39[[#This Row],[gpu-hybrid]]/Table39[[#This Row],[gpu-layered]]</f>
        <v>0.7527955995494946</v>
      </c>
      <c r="N14" s="36">
        <f>Table39[[#This Row],[g2aimd]]/Table39[[#This Row],[gpu-layered]]</f>
        <v>3.842783742581966</v>
      </c>
      <c r="AI14" s="77" t="s">
        <v>1433</v>
      </c>
      <c r="AJ14">
        <v>24</v>
      </c>
      <c r="AK14" s="2">
        <v>0.39257300000000001</v>
      </c>
      <c r="AL14" s="2">
        <v>0.47</v>
      </c>
      <c r="AM14" s="107">
        <f>Table710[[#This Row],[no pingpong]]/Table710[[#This Row],[pingpong+hostcopy]]</f>
        <v>0.8352617021276596</v>
      </c>
    </row>
    <row r="15" spans="2:39" ht="23" hidden="1" x14ac:dyDescent="0.3">
      <c r="B15" s="80" t="s">
        <v>3912</v>
      </c>
      <c r="C15" s="80">
        <v>2</v>
      </c>
      <c r="D15" s="36">
        <v>0.51276999999999995</v>
      </c>
      <c r="E15" s="36">
        <v>0.67556099999999997</v>
      </c>
      <c r="F15" s="36">
        <v>0.57725099999999996</v>
      </c>
      <c r="G15" s="36">
        <v>9.4467379999999999</v>
      </c>
      <c r="H15" s="36">
        <v>0.85087900000000005</v>
      </c>
      <c r="I15" s="116">
        <f>Table39[[#This Row],[CPU Only]]/Table39[[#This Row],[CPU+GPU (1)]]</f>
        <v>11.10232829814815</v>
      </c>
      <c r="J15" s="119">
        <f>Table39[[#This Row],[gpu-layered]]/Table39[[#This Row],[CPU+GPU (1)]]</f>
        <v>0.67841726026849869</v>
      </c>
      <c r="K15" s="36">
        <v>1.52</v>
      </c>
      <c r="L15" s="116">
        <f>Table39[[#This Row],[CPU+GPU (10)]]/Table39[[#This Row],[CPU+GPU (1)]]</f>
        <v>1.7863879588049534</v>
      </c>
      <c r="M15" s="116">
        <f>Table39[[#This Row],[gpu-hybrid]]/Table39[[#This Row],[gpu-layered]]</f>
        <v>1.170307197389004</v>
      </c>
      <c r="N15" s="36">
        <f>Table39[[#This Row],[g2aimd]]/Table39[[#This Row],[gpu-layered]]</f>
        <v>0.88829642564499667</v>
      </c>
      <c r="AI15" s="77" t="s">
        <v>1411</v>
      </c>
      <c r="AJ15">
        <v>24</v>
      </c>
      <c r="AK15" s="2">
        <v>0.40340599999999999</v>
      </c>
      <c r="AL15" s="2">
        <v>0.76059299999999996</v>
      </c>
      <c r="AM15" s="107">
        <f>Table710[[#This Row],[no pingpong]]/Table710[[#This Row],[pingpong+hostcopy]]</f>
        <v>0.53038352969327884</v>
      </c>
    </row>
    <row r="16" spans="2:39" ht="23" hidden="1" x14ac:dyDescent="0.3">
      <c r="B16" s="80" t="s">
        <v>1346</v>
      </c>
      <c r="C16" s="80">
        <v>2</v>
      </c>
      <c r="D16" s="36">
        <v>2.4068320000000001</v>
      </c>
      <c r="E16" s="36">
        <v>0.47236899999999998</v>
      </c>
      <c r="F16" s="36">
        <v>0.71216500000000005</v>
      </c>
      <c r="G16" s="36">
        <v>22.320332000000001</v>
      </c>
      <c r="H16" s="36">
        <v>1.38</v>
      </c>
      <c r="I16" s="116">
        <f>Table39[[#This Row],[CPU Only]]/Table39[[#This Row],[CPU+GPU (1)]]</f>
        <v>16.174153623188406</v>
      </c>
      <c r="J16" s="119">
        <f>Table39[[#This Row],[gpu-layered]]/Table39[[#This Row],[CPU+GPU (1)]]</f>
        <v>0.51606159420289865</v>
      </c>
      <c r="K16" s="36">
        <v>2.36</v>
      </c>
      <c r="L16" s="116">
        <f>Table39[[#This Row],[CPU+GPU (10)]]/Table39[[#This Row],[CPU+GPU (1)]]</f>
        <v>1.7101449275362319</v>
      </c>
      <c r="M16" s="116">
        <f>Table39[[#This Row],[gpu-hybrid]]/Table39[[#This Row],[gpu-layered]]</f>
        <v>0.66328589582470343</v>
      </c>
      <c r="N16" s="36">
        <f>Table39[[#This Row],[g2aimd]]/Table39[[#This Row],[gpu-layered]]</f>
        <v>3.3795988289230725</v>
      </c>
      <c r="AI16" s="77" t="s">
        <v>1391</v>
      </c>
      <c r="AJ16">
        <v>9</v>
      </c>
      <c r="AK16" s="2">
        <v>0.40964400000000001</v>
      </c>
      <c r="AL16" s="2">
        <v>0.44578600000000002</v>
      </c>
      <c r="AM16" s="107">
        <f>Table710[[#This Row],[no pingpong]]/Table710[[#This Row],[pingpong+hostcopy]]</f>
        <v>0.91892522421071998</v>
      </c>
    </row>
    <row r="17" spans="2:39" ht="23" hidden="1" x14ac:dyDescent="0.3">
      <c r="B17" s="80" t="s">
        <v>3920</v>
      </c>
      <c r="C17" s="80">
        <v>2</v>
      </c>
      <c r="D17" s="36">
        <v>2.126449</v>
      </c>
      <c r="E17" s="36">
        <v>0.24036199999999999</v>
      </c>
      <c r="F17" s="36">
        <v>0.31116500000000002</v>
      </c>
      <c r="G17" s="36">
        <v>2.7199119999999999</v>
      </c>
      <c r="H17" s="36">
        <v>0.31</v>
      </c>
      <c r="I17" s="116">
        <f>Table39[[#This Row],[CPU Only]]/Table39[[#This Row],[CPU+GPU (1)]]</f>
        <v>8.7739096774193541</v>
      </c>
      <c r="J17" s="119">
        <f>Table39[[#This Row],[gpu-layered]]/Table39[[#This Row],[CPU+GPU (1)]]</f>
        <v>1.003758064516129</v>
      </c>
      <c r="K17" s="36">
        <v>0.51</v>
      </c>
      <c r="L17" s="116">
        <f>Table39[[#This Row],[CPU+GPU (10)]]/Table39[[#This Row],[CPU+GPU (1)]]</f>
        <v>1.6451612903225807</v>
      </c>
      <c r="M17" s="116">
        <f>Table39[[#This Row],[gpu-hybrid]]/Table39[[#This Row],[gpu-layered]]</f>
        <v>0.77245834203718278</v>
      </c>
      <c r="N17" s="36">
        <f>Table39[[#This Row],[g2aimd]]/Table39[[#This Row],[gpu-layered]]</f>
        <v>6.8338309257146523</v>
      </c>
      <c r="AI17" s="77" t="s">
        <v>1436</v>
      </c>
      <c r="AJ17">
        <v>24</v>
      </c>
      <c r="AK17" s="2">
        <v>0.44019900000000001</v>
      </c>
      <c r="AL17" s="2">
        <v>0.61475199999999997</v>
      </c>
      <c r="AM17" s="107">
        <f>Table710[[#This Row],[no pingpong]]/Table710[[#This Row],[pingpong+hostcopy]]</f>
        <v>0.71605948414970599</v>
      </c>
    </row>
    <row r="18" spans="2:39" ht="23" hidden="1" x14ac:dyDescent="0.3">
      <c r="B18" s="80" t="s">
        <v>11</v>
      </c>
      <c r="C18" s="80">
        <v>9</v>
      </c>
      <c r="D18" s="36">
        <v>2.588984</v>
      </c>
      <c r="E18" s="36">
        <v>0.52321399999999996</v>
      </c>
      <c r="F18" s="36">
        <v>1.868876</v>
      </c>
      <c r="G18" s="36">
        <v>58.565491999999999</v>
      </c>
      <c r="H18" s="36">
        <v>1.8857489999999999</v>
      </c>
      <c r="I18" s="116">
        <f>Table39[[#This Row],[CPU Only]]/Table39[[#This Row],[CPU+GPU (1)]]</f>
        <v>31.056886149747395</v>
      </c>
      <c r="J18" s="119">
        <f>Table39[[#This Row],[gpu-layered]]/Table39[[#This Row],[CPU+GPU (1)]]</f>
        <v>0.99105236168758415</v>
      </c>
      <c r="K18" s="36">
        <v>2.58</v>
      </c>
      <c r="L18" s="116">
        <f>Table39[[#This Row],[CPU+GPU (10)]]/Table39[[#This Row],[CPU+GPU (1)]]</f>
        <v>1.3681566316620082</v>
      </c>
      <c r="M18" s="116">
        <f>Table39[[#This Row],[gpu-hybrid]]/Table39[[#This Row],[gpu-layered]]</f>
        <v>0.27996185942780577</v>
      </c>
      <c r="N18" s="36">
        <f>Table39[[#This Row],[g2aimd]]/Table39[[#This Row],[gpu-layered]]</f>
        <v>1.3853160937376263</v>
      </c>
      <c r="AI18" s="77" t="s">
        <v>1448</v>
      </c>
      <c r="AJ18">
        <v>24</v>
      </c>
      <c r="AK18" s="2">
        <v>0.44334899999999999</v>
      </c>
      <c r="AL18" s="2">
        <v>0.57999999999999996</v>
      </c>
      <c r="AM18" s="107">
        <f>Table710[[#This Row],[no pingpong]]/Table710[[#This Row],[pingpong+hostcopy]]</f>
        <v>0.76439482758620692</v>
      </c>
    </row>
    <row r="19" spans="2:39" ht="23" hidden="1" x14ac:dyDescent="0.3">
      <c r="B19" s="80" t="s">
        <v>3913</v>
      </c>
      <c r="C19" s="80">
        <v>2</v>
      </c>
      <c r="D19" s="36">
        <v>5.0296279999999998</v>
      </c>
      <c r="E19" s="36">
        <v>6.1220730000000003</v>
      </c>
      <c r="F19" s="36">
        <v>6.6124929999999997</v>
      </c>
      <c r="G19" s="36">
        <v>169.17798400000001</v>
      </c>
      <c r="H19" s="36">
        <v>7.3539139999999996</v>
      </c>
      <c r="I19" s="116">
        <f>Table39[[#This Row],[CPU Only]]/Table39[[#This Row],[CPU+GPU (1)]]</f>
        <v>23.005162149027036</v>
      </c>
      <c r="J19" s="119">
        <f>Table39[[#This Row],[gpu-layered]]/Table39[[#This Row],[CPU+GPU (1)]]</f>
        <v>0.89918008287831486</v>
      </c>
      <c r="K19" s="36">
        <v>9.89</v>
      </c>
      <c r="L19" s="116">
        <f>Table39[[#This Row],[CPU+GPU (10)]]/Table39[[#This Row],[CPU+GPU (1)]]</f>
        <v>1.3448620693687743</v>
      </c>
      <c r="M19" s="116">
        <f>Table39[[#This Row],[gpu-hybrid]]/Table39[[#This Row],[gpu-layered]]</f>
        <v>0.92583432602499549</v>
      </c>
      <c r="N19" s="36">
        <f>Table39[[#This Row],[g2aimd]]/Table39[[#This Row],[gpu-layered]]</f>
        <v>0.76062507741028984</v>
      </c>
      <c r="AI19" s="77" t="s">
        <v>1346</v>
      </c>
      <c r="AJ19">
        <v>25</v>
      </c>
      <c r="AK19" s="2">
        <v>0.482099</v>
      </c>
      <c r="AL19" s="2">
        <v>0.59</v>
      </c>
      <c r="AM19" s="107">
        <f>Table710[[#This Row],[no pingpong]]/Table710[[#This Row],[pingpong+hostcopy]]</f>
        <v>0.8171169491525424</v>
      </c>
    </row>
    <row r="20" spans="2:39" ht="23" hidden="1" x14ac:dyDescent="0.3">
      <c r="B20" s="80" t="s">
        <v>6</v>
      </c>
      <c r="C20" s="80">
        <v>2</v>
      </c>
      <c r="D20" s="36">
        <v>4.73224</v>
      </c>
      <c r="E20" s="36">
        <v>3.0964010000000002</v>
      </c>
      <c r="F20" s="36">
        <v>4.0004189999999999</v>
      </c>
      <c r="G20" s="36">
        <v>165.95991699999999</v>
      </c>
      <c r="H20" s="36">
        <v>3.74</v>
      </c>
      <c r="I20" s="116">
        <f>Table39[[#This Row],[CPU Only]]/Table39[[#This Row],[CPU+GPU (1)]]</f>
        <v>44.374309358288762</v>
      </c>
      <c r="J20" s="119">
        <f>Table39[[#This Row],[gpu-layered]]/Table39[[#This Row],[CPU+GPU (1)]]</f>
        <v>1.0696307486631016</v>
      </c>
      <c r="K20" s="36">
        <v>4.84</v>
      </c>
      <c r="L20" s="116">
        <f>Table39[[#This Row],[CPU+GPU (10)]]/Table39[[#This Row],[CPU+GPU (1)]]</f>
        <v>1.2941176470588234</v>
      </c>
      <c r="M20" s="116">
        <f>Table39[[#This Row],[gpu-hybrid]]/Table39[[#This Row],[gpu-layered]]</f>
        <v>0.77401917149178634</v>
      </c>
      <c r="N20" s="36">
        <f>Table39[[#This Row],[g2aimd]]/Table39[[#This Row],[gpu-layered]]</f>
        <v>1.1829360874448402</v>
      </c>
      <c r="AI20" s="77" t="s">
        <v>1409</v>
      </c>
      <c r="AJ20">
        <v>25</v>
      </c>
      <c r="AK20" s="2">
        <v>0.486155</v>
      </c>
      <c r="AL20" s="2">
        <v>0.55121500000000001</v>
      </c>
      <c r="AM20" s="107">
        <f>Table710[[#This Row],[no pingpong]]/Table710[[#This Row],[pingpong+hostcopy]]</f>
        <v>0.88196983028400899</v>
      </c>
    </row>
    <row r="21" spans="2:39" ht="23" hidden="1" x14ac:dyDescent="0.3">
      <c r="B21" s="80" t="s">
        <v>7</v>
      </c>
      <c r="C21" s="80">
        <v>2</v>
      </c>
      <c r="D21" s="36">
        <v>2.9119600000000001</v>
      </c>
      <c r="E21" s="36">
        <v>1.009671</v>
      </c>
      <c r="F21" s="36">
        <v>1.193622</v>
      </c>
      <c r="G21" s="36">
        <v>103.731858</v>
      </c>
      <c r="H21" s="36">
        <v>1.61</v>
      </c>
      <c r="I21" s="116">
        <f>Table39[[#This Row],[CPU Only]]/Table39[[#This Row],[CPU+GPU (1)]]</f>
        <v>64.429725465838501</v>
      </c>
      <c r="J21" s="119">
        <f>Table39[[#This Row],[gpu-layered]]/Table39[[#This Row],[CPU+GPU (1)]]</f>
        <v>0.74138012422360244</v>
      </c>
      <c r="K21" s="36">
        <v>2.06</v>
      </c>
      <c r="L21" s="116">
        <f>Table39[[#This Row],[CPU+GPU (10)]]/Table39[[#This Row],[CPU+GPU (1)]]</f>
        <v>1.2795031055900621</v>
      </c>
      <c r="M21" s="116">
        <f>Table39[[#This Row],[gpu-hybrid]]/Table39[[#This Row],[gpu-layered]]</f>
        <v>0.84588839682914696</v>
      </c>
      <c r="N21" s="36">
        <f>Table39[[#This Row],[g2aimd]]/Table39[[#This Row],[gpu-layered]]</f>
        <v>2.4395998063038382</v>
      </c>
      <c r="AI21" s="77" t="s">
        <v>3912</v>
      </c>
      <c r="AJ21">
        <v>24</v>
      </c>
      <c r="AK21" s="2">
        <v>0.52312099999999995</v>
      </c>
      <c r="AL21" s="2">
        <v>0.74816199999999999</v>
      </c>
      <c r="AM21" s="107">
        <f>Table710[[#This Row],[no pingpong]]/Table710[[#This Row],[pingpong+hostcopy]]</f>
        <v>0.69920819287801295</v>
      </c>
    </row>
    <row r="22" spans="2:39" ht="23" hidden="1" x14ac:dyDescent="0.3">
      <c r="B22" s="80" t="s">
        <v>1434</v>
      </c>
      <c r="C22" s="80">
        <v>9</v>
      </c>
      <c r="D22" s="36">
        <v>11.925243999999999</v>
      </c>
      <c r="E22" s="36">
        <v>21.2</v>
      </c>
      <c r="F22" s="36">
        <v>11.339861000000001</v>
      </c>
      <c r="G22" s="36" t="s">
        <v>4003</v>
      </c>
      <c r="H22" s="36">
        <v>10.973511999999999</v>
      </c>
      <c r="I22" s="116" t="e">
        <f>Table39[[#This Row],[CPU Only]]/Table39[[#This Row],[CPU+GPU (1)]]</f>
        <v>#VALUE!</v>
      </c>
      <c r="J22" s="119">
        <f>Table39[[#This Row],[gpu-layered]]/Table39[[#This Row],[CPU+GPU (1)]]</f>
        <v>1.0333848452528234</v>
      </c>
      <c r="K22" s="36">
        <v>13.88</v>
      </c>
      <c r="L22" s="116">
        <f>Table39[[#This Row],[CPU+GPU (10)]]/Table39[[#This Row],[CPU+GPU (1)]]</f>
        <v>1.2648639742682197</v>
      </c>
      <c r="M22" s="116">
        <f>Table39[[#This Row],[gpu-hybrid]]/Table39[[#This Row],[gpu-layered]]</f>
        <v>1.8695114516835787</v>
      </c>
      <c r="N22" s="36">
        <f>Table39[[#This Row],[g2aimd]]/Table39[[#This Row],[gpu-layered]]</f>
        <v>1.0516217085906079</v>
      </c>
      <c r="AI22" s="77" t="s">
        <v>1409</v>
      </c>
      <c r="AJ22">
        <v>24</v>
      </c>
      <c r="AK22" s="2">
        <v>0.54158700000000004</v>
      </c>
      <c r="AL22" s="2">
        <v>0.47471099999999999</v>
      </c>
      <c r="AM22" s="107">
        <f>Table710[[#This Row],[no pingpong]]/Table710[[#This Row],[pingpong+hostcopy]]</f>
        <v>1.1408772916574506</v>
      </c>
    </row>
    <row r="23" spans="2:39" ht="23" hidden="1" x14ac:dyDescent="0.3">
      <c r="B23" s="80" t="s">
        <v>11</v>
      </c>
      <c r="C23" s="80">
        <v>2</v>
      </c>
      <c r="D23" s="36">
        <v>2.0498639999999999</v>
      </c>
      <c r="E23" s="36">
        <v>7.8891000000000003E-2</v>
      </c>
      <c r="F23" s="36">
        <v>1.0775619999999999</v>
      </c>
      <c r="G23" s="36">
        <v>5.4700819999999997</v>
      </c>
      <c r="H23" s="36">
        <v>1.565396</v>
      </c>
      <c r="I23" s="116">
        <f>Table39[[#This Row],[CPU Only]]/Table39[[#This Row],[CPU+GPU (1)]]</f>
        <v>3.4943758639986302</v>
      </c>
      <c r="J23" s="119">
        <f>Table39[[#This Row],[gpu-layered]]/Table39[[#This Row],[CPU+GPU (1)]]</f>
        <v>0.6883638389263802</v>
      </c>
      <c r="K23" s="36">
        <v>1.98</v>
      </c>
      <c r="L23" s="116">
        <f>Table39[[#This Row],[CPU+GPU (10)]]/Table39[[#This Row],[CPU+GPU (1)]]</f>
        <v>1.2648556659145673</v>
      </c>
      <c r="M23" s="116">
        <f>Table39[[#This Row],[gpu-hybrid]]/Table39[[#This Row],[gpu-layered]]</f>
        <v>7.3212492645434793E-2</v>
      </c>
      <c r="N23" s="36">
        <f>Table39[[#This Row],[g2aimd]]/Table39[[#This Row],[gpu-layered]]</f>
        <v>1.902316525638432</v>
      </c>
      <c r="AI23" s="77" t="s">
        <v>1423</v>
      </c>
      <c r="AJ23">
        <v>24</v>
      </c>
      <c r="AK23" s="2">
        <v>0.54716100000000001</v>
      </c>
      <c r="AL23" s="2">
        <v>0.65305999999999997</v>
      </c>
      <c r="AM23" s="107">
        <f>Table710[[#This Row],[no pingpong]]/Table710[[#This Row],[pingpong+hostcopy]]</f>
        <v>0.83784185220347296</v>
      </c>
    </row>
    <row r="24" spans="2:39" ht="23" hidden="1" x14ac:dyDescent="0.3">
      <c r="B24" s="80" t="s">
        <v>1462</v>
      </c>
      <c r="C24" s="80">
        <v>5</v>
      </c>
      <c r="D24" s="36">
        <v>3.9674299999999998</v>
      </c>
      <c r="E24" s="36">
        <v>2.183567</v>
      </c>
      <c r="F24" s="36">
        <v>2.203678</v>
      </c>
      <c r="G24" s="36">
        <v>22.594553000000001</v>
      </c>
      <c r="H24" s="36">
        <v>2.4108589999999999</v>
      </c>
      <c r="I24" s="116">
        <f>Table39[[#This Row],[CPU Only]]/Table39[[#This Row],[CPU+GPU (1)]]</f>
        <v>9.3719927212665706</v>
      </c>
      <c r="J24" s="119">
        <f>Table39[[#This Row],[gpu-layered]]/Table39[[#This Row],[CPU+GPU (1)]]</f>
        <v>0.91406341059348561</v>
      </c>
      <c r="K24" s="36">
        <v>3.04</v>
      </c>
      <c r="L24" s="116">
        <f>Table39[[#This Row],[CPU+GPU (10)]]/Table39[[#This Row],[CPU+GPU (1)]]</f>
        <v>1.2609613419946999</v>
      </c>
      <c r="M24" s="116">
        <f>Table39[[#This Row],[gpu-hybrid]]/Table39[[#This Row],[gpu-layered]]</f>
        <v>0.99087389355432143</v>
      </c>
      <c r="N24" s="36">
        <f>Table39[[#This Row],[g2aimd]]/Table39[[#This Row],[gpu-layered]]</f>
        <v>1.8003673857977436</v>
      </c>
      <c r="AI24" s="77" t="s">
        <v>3912</v>
      </c>
      <c r="AJ24">
        <v>2</v>
      </c>
      <c r="AK24" s="2">
        <v>0.57725099999999996</v>
      </c>
      <c r="AL24" s="2">
        <v>0.85087900000000005</v>
      </c>
      <c r="AM24" s="107">
        <f>Table710[[#This Row],[no pingpong]]/Table710[[#This Row],[pingpong+hostcopy]]</f>
        <v>0.67841726026849869</v>
      </c>
    </row>
    <row r="25" spans="2:39" ht="23" hidden="1" x14ac:dyDescent="0.3">
      <c r="B25" s="80" t="s">
        <v>3913</v>
      </c>
      <c r="C25" s="80">
        <v>9</v>
      </c>
      <c r="D25" s="36">
        <v>11.879336</v>
      </c>
      <c r="E25" s="36">
        <v>10.944592</v>
      </c>
      <c r="F25" s="36">
        <v>13.779476000000001</v>
      </c>
      <c r="G25" s="36" t="s">
        <v>3990</v>
      </c>
      <c r="H25" s="36">
        <v>14.152165</v>
      </c>
      <c r="I25" s="116" t="e">
        <f>Table39[[#This Row],[CPU Only]]/Table39[[#This Row],[CPU+GPU (1)]]</f>
        <v>#VALUE!</v>
      </c>
      <c r="J25" s="119">
        <f>Table39[[#This Row],[gpu-layered]]/Table39[[#This Row],[CPU+GPU (1)]]</f>
        <v>0.97366558402901615</v>
      </c>
      <c r="K25" s="36">
        <v>17.7</v>
      </c>
      <c r="L25" s="116">
        <f>Table39[[#This Row],[CPU+GPU (10)]]/Table39[[#This Row],[CPU+GPU (1)]]</f>
        <v>1.2506920319258572</v>
      </c>
      <c r="M25" s="116">
        <f>Table39[[#This Row],[gpu-hybrid]]/Table39[[#This Row],[gpu-layered]]</f>
        <v>0.79426764849403564</v>
      </c>
      <c r="N25" s="36">
        <f>Table39[[#This Row],[g2aimd]]/Table39[[#This Row],[gpu-layered]]</f>
        <v>0.86210360974539235</v>
      </c>
      <c r="AI25" s="77" t="s">
        <v>1425</v>
      </c>
      <c r="AJ25">
        <v>25</v>
      </c>
      <c r="AK25" s="2">
        <v>0.60898099999999999</v>
      </c>
      <c r="AL25" s="2">
        <v>0.69583600000000001</v>
      </c>
      <c r="AM25" s="107">
        <f>Table710[[#This Row],[no pingpong]]/Table710[[#This Row],[pingpong+hostcopy]]</f>
        <v>0.87517892147000154</v>
      </c>
    </row>
    <row r="26" spans="2:39" ht="23" hidden="1" x14ac:dyDescent="0.3">
      <c r="B26" s="80" t="s">
        <v>3917</v>
      </c>
      <c r="C26" s="80">
        <v>7</v>
      </c>
      <c r="D26" s="36">
        <v>14.436394</v>
      </c>
      <c r="E26" s="36">
        <v>13.187498</v>
      </c>
      <c r="F26" s="36">
        <v>15.422058</v>
      </c>
      <c r="G26" s="36" t="s">
        <v>3990</v>
      </c>
      <c r="H26" s="36">
        <v>15.35</v>
      </c>
      <c r="I26" s="116" t="e">
        <f>Table39[[#This Row],[CPU Only]]/Table39[[#This Row],[CPU+GPU (1)]]</f>
        <v>#VALUE!</v>
      </c>
      <c r="J26" s="119">
        <f>Table39[[#This Row],[gpu-layered]]/Table39[[#This Row],[CPU+GPU (1)]]</f>
        <v>1.004694332247557</v>
      </c>
      <c r="K26" s="36">
        <v>18.46</v>
      </c>
      <c r="L26" s="116">
        <f>Table39[[#This Row],[CPU+GPU (10)]]/Table39[[#This Row],[CPU+GPU (1)]]</f>
        <v>1.2026058631921825</v>
      </c>
      <c r="M26" s="116">
        <f>Table39[[#This Row],[gpu-hybrid]]/Table39[[#This Row],[gpu-layered]]</f>
        <v>0.85510623809092146</v>
      </c>
      <c r="N26" s="36">
        <f>Table39[[#This Row],[g2aimd]]/Table39[[#This Row],[gpu-layered]]</f>
        <v>0.93608738859625606</v>
      </c>
      <c r="AI26" s="77" t="s">
        <v>3919</v>
      </c>
      <c r="AJ26">
        <v>25</v>
      </c>
      <c r="AK26" s="2">
        <v>0.61563900000000005</v>
      </c>
      <c r="AL26" s="2">
        <v>0.64154999999999995</v>
      </c>
      <c r="AM26" s="107">
        <f>Table710[[#This Row],[no pingpong]]/Table710[[#This Row],[pingpong+hostcopy]]</f>
        <v>0.95961187748421806</v>
      </c>
    </row>
    <row r="27" spans="2:39" ht="23" hidden="1" x14ac:dyDescent="0.3">
      <c r="B27" s="80" t="s">
        <v>3</v>
      </c>
      <c r="C27" s="80">
        <v>9</v>
      </c>
      <c r="D27" s="36">
        <v>12.114246</v>
      </c>
      <c r="E27" s="36">
        <v>8.6898769999999992</v>
      </c>
      <c r="F27" s="36">
        <v>11.126132</v>
      </c>
      <c r="G27" s="36">
        <v>1727.890727</v>
      </c>
      <c r="H27" s="36">
        <v>11.53</v>
      </c>
      <c r="I27" s="116">
        <f>Table39[[#This Row],[CPU Only]]/Table39[[#This Row],[CPU+GPU (1)]]</f>
        <v>149.86042732003469</v>
      </c>
      <c r="J27" s="119">
        <f>Table39[[#This Row],[gpu-layered]]/Table39[[#This Row],[CPU+GPU (1)]]</f>
        <v>0.96497241977450132</v>
      </c>
      <c r="K27" s="36">
        <v>13.57</v>
      </c>
      <c r="L27" s="116">
        <f>Table39[[#This Row],[CPU+GPU (10)]]/Table39[[#This Row],[CPU+GPU (1)]]</f>
        <v>1.1769297484822203</v>
      </c>
      <c r="M27" s="116">
        <f>Table39[[#This Row],[gpu-hybrid]]/Table39[[#This Row],[gpu-layered]]</f>
        <v>0.78103306701736053</v>
      </c>
      <c r="N27" s="36">
        <f>Table39[[#This Row],[g2aimd]]/Table39[[#This Row],[gpu-layered]]</f>
        <v>1.0888101992678139</v>
      </c>
      <c r="AI27" s="77" t="s">
        <v>1437</v>
      </c>
      <c r="AJ27">
        <v>25</v>
      </c>
      <c r="AK27" s="2">
        <v>0.62617800000000001</v>
      </c>
      <c r="AL27" s="2">
        <v>0.76</v>
      </c>
      <c r="AM27" s="107">
        <f>Table710[[#This Row],[no pingpong]]/Table710[[#This Row],[pingpong+hostcopy]]</f>
        <v>0.82391842105263158</v>
      </c>
    </row>
    <row r="28" spans="2:39" ht="23" hidden="1" x14ac:dyDescent="0.3">
      <c r="B28" s="80" t="s">
        <v>3919</v>
      </c>
      <c r="C28" s="80">
        <v>5</v>
      </c>
      <c r="D28" s="36">
        <v>3.7282199999999999</v>
      </c>
      <c r="E28" s="36">
        <v>1.6201559999999999</v>
      </c>
      <c r="F28" s="36">
        <v>2.0098569999999998</v>
      </c>
      <c r="G28" s="36">
        <v>34.506560999999998</v>
      </c>
      <c r="H28" s="36">
        <v>1.9574800000000001</v>
      </c>
      <c r="I28" s="116">
        <f>Table39[[#This Row],[CPU Only]]/Table39[[#This Row],[CPU+GPU (1)]]</f>
        <v>17.628052904755091</v>
      </c>
      <c r="J28" s="119">
        <f>Table39[[#This Row],[gpu-layered]]/Table39[[#This Row],[CPU+GPU (1)]]</f>
        <v>1.0267573615056091</v>
      </c>
      <c r="K28" s="36">
        <v>2.2555969999999999</v>
      </c>
      <c r="L28" s="116">
        <f>Table39[[#This Row],[CPU+GPU (10)]]/Table39[[#This Row],[CPU+GPU (1)]]</f>
        <v>1.1522963197580562</v>
      </c>
      <c r="M28" s="116">
        <f>Table39[[#This Row],[gpu-hybrid]]/Table39[[#This Row],[gpu-layered]]</f>
        <v>0.80610511096063053</v>
      </c>
      <c r="N28" s="36">
        <f>Table39[[#This Row],[g2aimd]]/Table39[[#This Row],[gpu-layered]]</f>
        <v>1.8549677912408695</v>
      </c>
      <c r="AI28" s="77" t="s">
        <v>1371</v>
      </c>
      <c r="AJ28">
        <v>9</v>
      </c>
      <c r="AK28" s="2">
        <v>0.67302200000000001</v>
      </c>
      <c r="AL28" s="2">
        <v>0.91</v>
      </c>
      <c r="AM28" s="107">
        <f>Table710[[#This Row],[no pingpong]]/Table710[[#This Row],[pingpong+hostcopy]]</f>
        <v>0.7395846153846154</v>
      </c>
    </row>
    <row r="29" spans="2:39" ht="23" hidden="1" x14ac:dyDescent="0.3">
      <c r="B29" s="80" t="s">
        <v>3917</v>
      </c>
      <c r="C29" s="80">
        <v>5</v>
      </c>
      <c r="D29" s="36">
        <v>5.4046500000000002</v>
      </c>
      <c r="E29" s="36">
        <v>5.0493269999999999</v>
      </c>
      <c r="F29" s="36">
        <v>5.7876849999999997</v>
      </c>
      <c r="G29" s="36">
        <v>166.616028</v>
      </c>
      <c r="H29" s="36">
        <v>5.76</v>
      </c>
      <c r="I29" s="116">
        <f>Table39[[#This Row],[CPU Only]]/Table39[[#This Row],[CPU+GPU (1)]]</f>
        <v>28.926393750000003</v>
      </c>
      <c r="J29" s="119">
        <f>Table39[[#This Row],[gpu-layered]]/Table39[[#This Row],[CPU+GPU (1)]]</f>
        <v>1.0048064236111112</v>
      </c>
      <c r="K29" s="36">
        <v>6.5</v>
      </c>
      <c r="L29" s="116">
        <f>Table39[[#This Row],[CPU+GPU (10)]]/Table39[[#This Row],[CPU+GPU (1)]]</f>
        <v>1.1284722222222223</v>
      </c>
      <c r="M29" s="116">
        <f>Table39[[#This Row],[gpu-hybrid]]/Table39[[#This Row],[gpu-layered]]</f>
        <v>0.87242602180319073</v>
      </c>
      <c r="N29" s="36">
        <f>Table39[[#This Row],[g2aimd]]/Table39[[#This Row],[gpu-layered]]</f>
        <v>0.93381896215844507</v>
      </c>
      <c r="AI29" s="77" t="s">
        <v>1346</v>
      </c>
      <c r="AJ29">
        <v>2</v>
      </c>
      <c r="AK29" s="2">
        <v>0.71216500000000005</v>
      </c>
      <c r="AL29" s="2">
        <v>1.38</v>
      </c>
      <c r="AM29" s="107">
        <f>Table710[[#This Row],[no pingpong]]/Table710[[#This Row],[pingpong+hostcopy]]</f>
        <v>0.51606159420289865</v>
      </c>
    </row>
    <row r="30" spans="2:39" ht="23" hidden="1" x14ac:dyDescent="0.3">
      <c r="B30" s="80" t="s">
        <v>11</v>
      </c>
      <c r="C30" s="80">
        <v>7</v>
      </c>
      <c r="D30" s="36">
        <v>4.9430160000000001</v>
      </c>
      <c r="E30" s="36">
        <v>4.6234380000000002</v>
      </c>
      <c r="F30" s="36">
        <v>4.9147360000000004</v>
      </c>
      <c r="G30" s="36">
        <v>567.67966899999999</v>
      </c>
      <c r="H30" s="36">
        <v>5.94</v>
      </c>
      <c r="I30" s="116">
        <f>Table39[[#This Row],[CPU Only]]/Table39[[#This Row],[CPU+GPU (1)]]</f>
        <v>95.568967845117839</v>
      </c>
      <c r="J30" s="119">
        <f>Table39[[#This Row],[gpu-layered]]/Table39[[#This Row],[CPU+GPU (1)]]</f>
        <v>0.82739663299663302</v>
      </c>
      <c r="K30" s="36">
        <v>6.67</v>
      </c>
      <c r="L30" s="116">
        <f>Table39[[#This Row],[CPU+GPU (10)]]/Table39[[#This Row],[CPU+GPU (1)]]</f>
        <v>1.1228956228956228</v>
      </c>
      <c r="M30" s="116">
        <f>Table39[[#This Row],[gpu-hybrid]]/Table39[[#This Row],[gpu-layered]]</f>
        <v>0.94072967500187188</v>
      </c>
      <c r="N30" s="36">
        <f>Table39[[#This Row],[g2aimd]]/Table39[[#This Row],[gpu-layered]]</f>
        <v>1.005754123924459</v>
      </c>
      <c r="AI30" s="77" t="s">
        <v>1450</v>
      </c>
      <c r="AJ30">
        <v>24</v>
      </c>
      <c r="AK30" s="2">
        <v>0.75700999999999996</v>
      </c>
      <c r="AL30" s="2">
        <v>0.79857999999999996</v>
      </c>
      <c r="AM30" s="107">
        <f>Table710[[#This Row],[no pingpong]]/Table710[[#This Row],[pingpong+hostcopy]]</f>
        <v>0.94794510255703879</v>
      </c>
    </row>
    <row r="31" spans="2:39" ht="23" hidden="1" x14ac:dyDescent="0.3">
      <c r="B31" s="80" t="s">
        <v>1346</v>
      </c>
      <c r="C31" s="80">
        <v>9</v>
      </c>
      <c r="D31" s="36">
        <v>3.3691879999999998</v>
      </c>
      <c r="E31" s="36">
        <v>1.2777769999999999</v>
      </c>
      <c r="F31" s="36">
        <v>1.544257</v>
      </c>
      <c r="G31" s="36">
        <v>131.51616200000001</v>
      </c>
      <c r="H31" s="36">
        <v>2.2000000000000002</v>
      </c>
      <c r="I31" s="116">
        <f>Table39[[#This Row],[CPU Only]]/Table39[[#This Row],[CPU+GPU (1)]]</f>
        <v>59.780073636363639</v>
      </c>
      <c r="J31" s="119">
        <f>Table39[[#This Row],[gpu-layered]]/Table39[[#This Row],[CPU+GPU (1)]]</f>
        <v>0.70193499999999998</v>
      </c>
      <c r="K31" s="36">
        <v>2.44</v>
      </c>
      <c r="L31" s="116">
        <f>Table39[[#This Row],[CPU+GPU (10)]]/Table39[[#This Row],[CPU+GPU (1)]]</f>
        <v>1.1090909090909089</v>
      </c>
      <c r="M31" s="116">
        <f>Table39[[#This Row],[gpu-hybrid]]/Table39[[#This Row],[gpu-layered]]</f>
        <v>0.82743804949564737</v>
      </c>
      <c r="N31" s="36">
        <f>Table39[[#This Row],[g2aimd]]/Table39[[#This Row],[gpu-layered]]</f>
        <v>2.1817534257575</v>
      </c>
      <c r="AI31" s="77" t="s">
        <v>1449</v>
      </c>
      <c r="AJ31">
        <v>24</v>
      </c>
      <c r="AK31" s="2">
        <v>0.76452299999999995</v>
      </c>
      <c r="AL31" s="2">
        <v>0.688994</v>
      </c>
      <c r="AM31" s="107">
        <f>Table710[[#This Row],[no pingpong]]/Table710[[#This Row],[pingpong+hostcopy]]</f>
        <v>1.109622144750172</v>
      </c>
    </row>
    <row r="32" spans="2:39" ht="23" hidden="1" x14ac:dyDescent="0.3">
      <c r="B32" s="80" t="s">
        <v>4</v>
      </c>
      <c r="C32" s="80">
        <v>2</v>
      </c>
      <c r="D32" s="36">
        <v>3.367397</v>
      </c>
      <c r="E32" s="36">
        <v>1.411589</v>
      </c>
      <c r="F32" s="36">
        <v>1.686871</v>
      </c>
      <c r="G32" s="36">
        <v>164.88842099999999</v>
      </c>
      <c r="H32" s="36">
        <v>3.27</v>
      </c>
      <c r="I32" s="116">
        <f>Table39[[#This Row],[CPU Only]]/Table39[[#This Row],[CPU+GPU (1)]]</f>
        <v>50.424593577981646</v>
      </c>
      <c r="J32" s="119">
        <f>Table39[[#This Row],[gpu-layered]]/Table39[[#This Row],[CPU+GPU (1)]]</f>
        <v>0.51586269113149852</v>
      </c>
      <c r="K32" s="36">
        <v>3.59</v>
      </c>
      <c r="L32" s="116">
        <f>Table39[[#This Row],[CPU+GPU (10)]]/Table39[[#This Row],[CPU+GPU (1)]]</f>
        <v>1.0978593272171253</v>
      </c>
      <c r="M32" s="116">
        <f>Table39[[#This Row],[gpu-hybrid]]/Table39[[#This Row],[gpu-layered]]</f>
        <v>0.83680909802824277</v>
      </c>
      <c r="N32" s="36">
        <f>Table39[[#This Row],[g2aimd]]/Table39[[#This Row],[gpu-layered]]</f>
        <v>1.9962385979722219</v>
      </c>
      <c r="AI32" s="77" t="s">
        <v>1423</v>
      </c>
      <c r="AJ32">
        <v>25</v>
      </c>
      <c r="AK32" s="2">
        <v>0.79256700000000002</v>
      </c>
      <c r="AL32" s="2">
        <v>0.87964399999999998</v>
      </c>
      <c r="AM32" s="107">
        <f>Table710[[#This Row],[no pingpong]]/Table710[[#This Row],[pingpong+hostcopy]]</f>
        <v>0.90100881720332315</v>
      </c>
    </row>
    <row r="33" spans="2:39" ht="23" hidden="1" x14ac:dyDescent="0.3">
      <c r="B33" s="80" t="s">
        <v>11</v>
      </c>
      <c r="C33" s="80">
        <v>5</v>
      </c>
      <c r="D33" s="36">
        <v>3.718569</v>
      </c>
      <c r="E33" s="36">
        <v>1.6351830000000001</v>
      </c>
      <c r="F33" s="36">
        <v>2.6529889999999998</v>
      </c>
      <c r="G33" s="36">
        <v>103.83867100000001</v>
      </c>
      <c r="H33" s="36">
        <v>3.031288</v>
      </c>
      <c r="I33" s="116">
        <f>Table39[[#This Row],[CPU Only]]/Table39[[#This Row],[CPU+GPU (1)]]</f>
        <v>34.255626981006095</v>
      </c>
      <c r="J33" s="119">
        <f>Table39[[#This Row],[gpu-layered]]/Table39[[#This Row],[CPU+GPU (1)]]</f>
        <v>0.87520189437625184</v>
      </c>
      <c r="K33" s="36">
        <v>3.32</v>
      </c>
      <c r="L33" s="116">
        <f>Table39[[#This Row],[CPU+GPU (10)]]/Table39[[#This Row],[CPU+GPU (1)]]</f>
        <v>1.0952440018896257</v>
      </c>
      <c r="M33" s="116">
        <f>Table39[[#This Row],[gpu-hybrid]]/Table39[[#This Row],[gpu-layered]]</f>
        <v>0.61635498677152456</v>
      </c>
      <c r="N33" s="36">
        <f>Table39[[#This Row],[g2aimd]]/Table39[[#This Row],[gpu-layered]]</f>
        <v>1.4016526265280407</v>
      </c>
      <c r="AI33" s="77" t="s">
        <v>1408</v>
      </c>
      <c r="AJ33">
        <v>24</v>
      </c>
      <c r="AK33" s="2">
        <v>0.94571400000000005</v>
      </c>
      <c r="AL33" s="2">
        <v>1.2743180000000001</v>
      </c>
      <c r="AM33" s="107">
        <f>Table710[[#This Row],[no pingpong]]/Table710[[#This Row],[pingpong+hostcopy]]</f>
        <v>0.74213343922003772</v>
      </c>
    </row>
    <row r="34" spans="2:39" ht="23" hidden="1" x14ac:dyDescent="0.3">
      <c r="B34" s="80" t="s">
        <v>1346</v>
      </c>
      <c r="C34" s="80">
        <v>5</v>
      </c>
      <c r="D34" s="36">
        <v>10.325545</v>
      </c>
      <c r="E34" s="36">
        <v>7.6145430000000003</v>
      </c>
      <c r="F34" s="36">
        <v>8.3391870000000008</v>
      </c>
      <c r="G34" s="36">
        <v>411.32039900000001</v>
      </c>
      <c r="H34" s="36">
        <v>9</v>
      </c>
      <c r="I34" s="116">
        <f>Table39[[#This Row],[CPU Only]]/Table39[[#This Row],[CPU+GPU (1)]]</f>
        <v>45.702266555555553</v>
      </c>
      <c r="J34" s="119">
        <f>Table39[[#This Row],[gpu-layered]]/Table39[[#This Row],[CPU+GPU (1)]]</f>
        <v>0.92657633333333345</v>
      </c>
      <c r="K34" s="36">
        <v>9.8000000000000007</v>
      </c>
      <c r="L34" s="116">
        <f>Table39[[#This Row],[CPU+GPU (10)]]/Table39[[#This Row],[CPU+GPU (1)]]</f>
        <v>1.088888888888889</v>
      </c>
      <c r="M34" s="116">
        <f>Table39[[#This Row],[gpu-hybrid]]/Table39[[#This Row],[gpu-layered]]</f>
        <v>0.91310375939525035</v>
      </c>
      <c r="N34" s="36">
        <f>Table39[[#This Row],[g2aimd]]/Table39[[#This Row],[gpu-layered]]</f>
        <v>1.2381956418533364</v>
      </c>
      <c r="AI34" s="77" t="s">
        <v>3919</v>
      </c>
      <c r="AJ34">
        <v>9</v>
      </c>
      <c r="AK34" s="2">
        <v>0.948967</v>
      </c>
      <c r="AL34" s="2">
        <v>0.96928099999999995</v>
      </c>
      <c r="AM34" s="107">
        <f>Table710[[#This Row],[no pingpong]]/Table710[[#This Row],[pingpong+hostcopy]]</f>
        <v>0.97904219725755492</v>
      </c>
    </row>
    <row r="35" spans="2:39" ht="23" hidden="1" x14ac:dyDescent="0.3">
      <c r="B35" s="80" t="s">
        <v>1371</v>
      </c>
      <c r="C35" s="80">
        <v>6</v>
      </c>
      <c r="D35" s="36">
        <v>42.350599000000003</v>
      </c>
      <c r="E35" s="36" t="s">
        <v>3990</v>
      </c>
      <c r="F35" s="36">
        <v>40.238999999999997</v>
      </c>
      <c r="G35" s="36">
        <v>398.639387</v>
      </c>
      <c r="H35" s="36">
        <v>33.44</v>
      </c>
      <c r="I35" s="116">
        <f>Table39[[#This Row],[CPU Only]]/Table39[[#This Row],[CPU+GPU (1)]]</f>
        <v>11.921034300239235</v>
      </c>
      <c r="J35" s="119">
        <f>Table39[[#This Row],[gpu-layered]]/Table39[[#This Row],[CPU+GPU (1)]]</f>
        <v>1.2033193779904305</v>
      </c>
      <c r="K35" s="36">
        <v>35.83</v>
      </c>
      <c r="L35" s="116">
        <f>Table39[[#This Row],[CPU+GPU (10)]]/Table39[[#This Row],[CPU+GPU (1)]]</f>
        <v>1.0714712918660287</v>
      </c>
      <c r="M35" s="116" t="e">
        <f>Table39[[#This Row],[gpu-hybrid]]/Table39[[#This Row],[gpu-layered]]</f>
        <v>#VALUE!</v>
      </c>
      <c r="N35" s="36">
        <f>Table39[[#This Row],[g2aimd]]/Table39[[#This Row],[gpu-layered]]</f>
        <v>1.0524764283406647</v>
      </c>
      <c r="AI35" s="77" t="s">
        <v>1440</v>
      </c>
      <c r="AJ35">
        <v>24</v>
      </c>
      <c r="AK35" s="2">
        <v>1.0290090000000001</v>
      </c>
      <c r="AL35" s="2">
        <v>0.85449399999999998</v>
      </c>
      <c r="AM35" s="107">
        <f>Table710[[#This Row],[no pingpong]]/Table710[[#This Row],[pingpong+hostcopy]]</f>
        <v>1.2042319782233697</v>
      </c>
    </row>
    <row r="36" spans="2:39" ht="23" hidden="1" x14ac:dyDescent="0.3">
      <c r="B36" s="80" t="s">
        <v>1434</v>
      </c>
      <c r="C36" s="80">
        <v>5</v>
      </c>
      <c r="D36" s="36">
        <v>30.819552000000002</v>
      </c>
      <c r="E36" s="36">
        <v>41.68</v>
      </c>
      <c r="F36" s="36">
        <v>27.584989</v>
      </c>
      <c r="G36" s="36">
        <v>1506.423</v>
      </c>
      <c r="H36" s="36">
        <v>27.874337000000001</v>
      </c>
      <c r="I36" s="116">
        <f>Table39[[#This Row],[CPU Only]]/Table39[[#This Row],[CPU+GPU (1)]]</f>
        <v>54.043366125623002</v>
      </c>
      <c r="J36" s="119">
        <f>Table39[[#This Row],[gpu-layered]]/Table39[[#This Row],[CPU+GPU (1)]]</f>
        <v>0.98961955579427774</v>
      </c>
      <c r="K36" s="36">
        <v>29.58</v>
      </c>
      <c r="L36" s="116">
        <f>Table39[[#This Row],[CPU+GPU (10)]]/Table39[[#This Row],[CPU+GPU (1)]]</f>
        <v>1.0611911594525099</v>
      </c>
      <c r="M36" s="116">
        <f>Table39[[#This Row],[gpu-hybrid]]/Table39[[#This Row],[gpu-layered]]</f>
        <v>1.5109667072914186</v>
      </c>
      <c r="N36" s="36">
        <f>Table39[[#This Row],[g2aimd]]/Table39[[#This Row],[gpu-layered]]</f>
        <v>1.1172580855479044</v>
      </c>
      <c r="AI36" s="77" t="s">
        <v>1434</v>
      </c>
      <c r="AJ36">
        <v>24</v>
      </c>
      <c r="AK36" s="2">
        <v>1.0415239999999999</v>
      </c>
      <c r="AL36" s="2">
        <v>1.117137</v>
      </c>
      <c r="AM36" s="107">
        <f>Table710[[#This Row],[no pingpong]]/Table710[[#This Row],[pingpong+hostcopy]]</f>
        <v>0.93231537403201203</v>
      </c>
    </row>
    <row r="37" spans="2:39" ht="23" hidden="1" x14ac:dyDescent="0.3">
      <c r="B37" s="80" t="s">
        <v>1371</v>
      </c>
      <c r="C37" s="80">
        <v>7</v>
      </c>
      <c r="D37" s="36">
        <v>8.8645990000000001</v>
      </c>
      <c r="E37" s="36">
        <v>7.8966529999999997</v>
      </c>
      <c r="F37" s="36">
        <v>8.8003280000000004</v>
      </c>
      <c r="G37" s="36" t="s">
        <v>4003</v>
      </c>
      <c r="H37" s="36">
        <v>9.67</v>
      </c>
      <c r="I37" s="116" t="e">
        <f>Table39[[#This Row],[CPU Only]]/Table39[[#This Row],[CPU+GPU (1)]]</f>
        <v>#VALUE!</v>
      </c>
      <c r="J37" s="119">
        <f>Table39[[#This Row],[gpu-layered]]/Table39[[#This Row],[CPU+GPU (1)]]</f>
        <v>0.91006494312306108</v>
      </c>
      <c r="K37" s="36">
        <v>10.25</v>
      </c>
      <c r="L37" s="116">
        <f>Table39[[#This Row],[CPU+GPU (10)]]/Table39[[#This Row],[CPU+GPU (1)]]</f>
        <v>1.0599793174767322</v>
      </c>
      <c r="M37" s="116">
        <f>Table39[[#This Row],[gpu-hybrid]]/Table39[[#This Row],[gpu-layered]]</f>
        <v>0.89731348649732134</v>
      </c>
      <c r="N37" s="36">
        <f>Table39[[#This Row],[g2aimd]]/Table39[[#This Row],[gpu-layered]]</f>
        <v>1.007303250515208</v>
      </c>
      <c r="AI37" s="77" t="s">
        <v>1408</v>
      </c>
      <c r="AJ37">
        <v>2</v>
      </c>
      <c r="AK37" s="2">
        <v>1.103539</v>
      </c>
      <c r="AL37" s="2">
        <v>7.4453000000000005E-2</v>
      </c>
      <c r="AM37" s="107">
        <f>Table710[[#This Row],[no pingpong]]/Table710[[#This Row],[pingpong+hostcopy]]</f>
        <v>14.821954790270372</v>
      </c>
    </row>
    <row r="38" spans="2:39" ht="23" hidden="1" x14ac:dyDescent="0.3">
      <c r="B38" s="80" t="s">
        <v>3919</v>
      </c>
      <c r="C38" s="80">
        <v>7</v>
      </c>
      <c r="D38" s="36">
        <v>3.8864519999999998</v>
      </c>
      <c r="E38" s="36">
        <v>3.0940750000000001</v>
      </c>
      <c r="F38" s="36">
        <v>3.7306889999999999</v>
      </c>
      <c r="G38" s="36">
        <v>259.05960099999999</v>
      </c>
      <c r="H38" s="36">
        <v>3.7988149999999998</v>
      </c>
      <c r="I38" s="116">
        <f>Table39[[#This Row],[CPU Only]]/Table39[[#This Row],[CPU+GPU (1)]]</f>
        <v>68.194845234632382</v>
      </c>
      <c r="J38" s="119">
        <f>Table39[[#This Row],[gpu-layered]]/Table39[[#This Row],[CPU+GPU (1)]]</f>
        <v>0.98206651284676938</v>
      </c>
      <c r="K38" s="36">
        <v>4.01</v>
      </c>
      <c r="L38" s="116">
        <f>Table39[[#This Row],[CPU+GPU (10)]]/Table39[[#This Row],[CPU+GPU (1)]]</f>
        <v>1.0555923360311044</v>
      </c>
      <c r="M38" s="116">
        <f>Table39[[#This Row],[gpu-hybrid]]/Table39[[#This Row],[gpu-layered]]</f>
        <v>0.82935752618350123</v>
      </c>
      <c r="N38" s="36">
        <f>Table39[[#This Row],[g2aimd]]/Table39[[#This Row],[gpu-layered]]</f>
        <v>1.0417518050955199</v>
      </c>
      <c r="AI38" s="77" t="s">
        <v>1408</v>
      </c>
      <c r="AJ38">
        <v>5</v>
      </c>
      <c r="AK38" s="2">
        <v>1.2022219999999999</v>
      </c>
      <c r="AL38" s="2">
        <v>0.160383</v>
      </c>
      <c r="AM38" s="107">
        <f>Table710[[#This Row],[no pingpong]]/Table710[[#This Row],[pingpong+hostcopy]]</f>
        <v>7.4959440838492855</v>
      </c>
    </row>
    <row r="39" spans="2:39" ht="23" hidden="1" x14ac:dyDescent="0.3">
      <c r="B39" s="80" t="s">
        <v>7</v>
      </c>
      <c r="C39" s="80">
        <v>9</v>
      </c>
      <c r="D39" s="36">
        <v>12.739504</v>
      </c>
      <c r="E39" s="36">
        <v>20.92</v>
      </c>
      <c r="F39" s="36">
        <v>9.7242979999999992</v>
      </c>
      <c r="G39" s="36">
        <v>1338.2834230000001</v>
      </c>
      <c r="H39" s="36">
        <v>9.9776030000000002</v>
      </c>
      <c r="I39" s="116">
        <f>Table39[[#This Row],[CPU Only]]/Table39[[#This Row],[CPU+GPU (1)]]</f>
        <v>134.12875046241066</v>
      </c>
      <c r="J39" s="119">
        <f>Table39[[#This Row],[gpu-layered]]/Table39[[#This Row],[CPU+GPU (1)]]</f>
        <v>0.9746126399296503</v>
      </c>
      <c r="K39" s="36">
        <v>10.53</v>
      </c>
      <c r="L39" s="116">
        <f>Table39[[#This Row],[CPU+GPU (10)]]/Table39[[#This Row],[CPU+GPU (1)]]</f>
        <v>1.0553636980745775</v>
      </c>
      <c r="M39" s="116">
        <f>Table39[[#This Row],[gpu-hybrid]]/Table39[[#This Row],[gpu-layered]]</f>
        <v>2.1513121049971939</v>
      </c>
      <c r="N39" s="36">
        <f>Table39[[#This Row],[g2aimd]]/Table39[[#This Row],[gpu-layered]]</f>
        <v>1.3100692718384404</v>
      </c>
      <c r="AI39" s="77" t="s">
        <v>1438</v>
      </c>
      <c r="AJ39">
        <v>24</v>
      </c>
      <c r="AK39" s="2">
        <v>1.2497990000000001</v>
      </c>
      <c r="AL39" s="2">
        <v>1.1667449999999999</v>
      </c>
      <c r="AM39" s="107">
        <f>Table710[[#This Row],[no pingpong]]/Table710[[#This Row],[pingpong+hostcopy]]</f>
        <v>1.0711843633356048</v>
      </c>
    </row>
    <row r="40" spans="2:39" ht="23" hidden="1" x14ac:dyDescent="0.3">
      <c r="B40" s="80" t="s">
        <v>1346</v>
      </c>
      <c r="C40" s="80">
        <v>7</v>
      </c>
      <c r="D40" s="36">
        <v>28.379384999999999</v>
      </c>
      <c r="E40" s="36">
        <v>25.055896000000001</v>
      </c>
      <c r="F40" s="36">
        <v>26.479275000000001</v>
      </c>
      <c r="G40" s="36">
        <v>2038.237151</v>
      </c>
      <c r="H40" s="36">
        <v>26.73</v>
      </c>
      <c r="I40" s="116">
        <f>Table39[[#This Row],[CPU Only]]/Table39[[#This Row],[CPU+GPU (1)]]</f>
        <v>76.252792779648331</v>
      </c>
      <c r="J40" s="119">
        <f>Table39[[#This Row],[gpu-layered]]/Table39[[#This Row],[CPU+GPU (1)]]</f>
        <v>0.99062008978675653</v>
      </c>
      <c r="K40" s="36">
        <v>28.14</v>
      </c>
      <c r="L40" s="116">
        <f>Table39[[#This Row],[CPU+GPU (10)]]/Table39[[#This Row],[CPU+GPU (1)]]</f>
        <v>1.0527497194163862</v>
      </c>
      <c r="M40" s="116">
        <f>Table39[[#This Row],[gpu-hybrid]]/Table39[[#This Row],[gpu-layered]]</f>
        <v>0.94624554486480461</v>
      </c>
      <c r="N40" s="36">
        <f>Table39[[#This Row],[g2aimd]]/Table39[[#This Row],[gpu-layered]]</f>
        <v>1.071758384623446</v>
      </c>
      <c r="AI40" s="77" t="s">
        <v>1433</v>
      </c>
      <c r="AJ40">
        <v>25</v>
      </c>
      <c r="AK40" s="2">
        <v>1.3173029999999999</v>
      </c>
      <c r="AL40" s="2">
        <v>1.378973</v>
      </c>
      <c r="AM40" s="107">
        <f>Table710[[#This Row],[no pingpong]]/Table710[[#This Row],[pingpong+hostcopy]]</f>
        <v>0.95527831219320458</v>
      </c>
    </row>
    <row r="41" spans="2:39" ht="23" hidden="1" x14ac:dyDescent="0.3">
      <c r="B41" s="80" t="s">
        <v>3913</v>
      </c>
      <c r="C41" s="80">
        <v>5</v>
      </c>
      <c r="D41" s="36">
        <v>40.253179000000003</v>
      </c>
      <c r="E41" s="36">
        <v>68.56</v>
      </c>
      <c r="F41" s="36">
        <v>38.012590000000003</v>
      </c>
      <c r="G41" s="36" t="s">
        <v>3990</v>
      </c>
      <c r="H41" s="36">
        <v>37.554713999999997</v>
      </c>
      <c r="I41" s="116" t="e">
        <f>Table39[[#This Row],[CPU Only]]/Table39[[#This Row],[CPU+GPU (1)]]</f>
        <v>#VALUE!</v>
      </c>
      <c r="J41" s="119">
        <f>Table39[[#This Row],[gpu-layered]]/Table39[[#This Row],[CPU+GPU (1)]]</f>
        <v>1.012192237704167</v>
      </c>
      <c r="K41" s="36">
        <v>39.369999999999997</v>
      </c>
      <c r="L41" s="116">
        <f>Table39[[#This Row],[CPU+GPU (10)]]/Table39[[#This Row],[CPU+GPU (1)]]</f>
        <v>1.0483371009029652</v>
      </c>
      <c r="M41" s="116">
        <f>Table39[[#This Row],[gpu-hybrid]]/Table39[[#This Row],[gpu-layered]]</f>
        <v>1.8036129608637559</v>
      </c>
      <c r="N41" s="36">
        <f>Table39[[#This Row],[g2aimd]]/Table39[[#This Row],[gpu-layered]]</f>
        <v>1.0589433395619714</v>
      </c>
      <c r="AI41" s="77" t="s">
        <v>1455</v>
      </c>
      <c r="AJ41">
        <v>24</v>
      </c>
      <c r="AK41" s="2">
        <v>1.3242640000000001</v>
      </c>
      <c r="AL41" s="2">
        <v>1.53</v>
      </c>
      <c r="AM41" s="107">
        <f>Table710[[#This Row],[no pingpong]]/Table710[[#This Row],[pingpong+hostcopy]]</f>
        <v>0.86553202614379088</v>
      </c>
    </row>
    <row r="42" spans="2:39" ht="23" hidden="1" x14ac:dyDescent="0.3">
      <c r="B42" s="80" t="s">
        <v>3913</v>
      </c>
      <c r="C42" s="80">
        <v>8</v>
      </c>
      <c r="D42" s="36">
        <v>103.787575</v>
      </c>
      <c r="E42" s="36" t="s">
        <v>3990</v>
      </c>
      <c r="F42" s="36">
        <v>105.932852</v>
      </c>
      <c r="G42" s="36" t="s">
        <v>3990</v>
      </c>
      <c r="H42" s="36">
        <v>107.266351</v>
      </c>
      <c r="I42" s="116" t="e">
        <f>Table39[[#This Row],[CPU Only]]/Table39[[#This Row],[CPU+GPU (1)]]</f>
        <v>#VALUE!</v>
      </c>
      <c r="J42" s="119">
        <f>Table39[[#This Row],[gpu-layered]]/Table39[[#This Row],[CPU+GPU (1)]]</f>
        <v>0.98756833818277268</v>
      </c>
      <c r="K42" s="36">
        <v>111.83</v>
      </c>
      <c r="L42" s="116">
        <f>Table39[[#This Row],[CPU+GPU (10)]]/Table39[[#This Row],[CPU+GPU (1)]]</f>
        <v>1.042545019546717</v>
      </c>
      <c r="M42" s="116" t="e">
        <f>Table39[[#This Row],[gpu-hybrid]]/Table39[[#This Row],[gpu-layered]]</f>
        <v>#VALUE!</v>
      </c>
      <c r="N42" s="36">
        <f>Table39[[#This Row],[g2aimd]]/Table39[[#This Row],[gpu-layered]]</f>
        <v>0.97974870911622403</v>
      </c>
      <c r="AI42" s="77" t="s">
        <v>1408</v>
      </c>
      <c r="AJ42">
        <v>8</v>
      </c>
      <c r="AK42" s="2">
        <v>1.359286</v>
      </c>
      <c r="AL42" s="2">
        <v>0.25954500000000003</v>
      </c>
      <c r="AM42" s="107">
        <f>Table710[[#This Row],[no pingpong]]/Table710[[#This Row],[pingpong+hostcopy]]</f>
        <v>5.23718815619642</v>
      </c>
    </row>
    <row r="43" spans="2:39" ht="23" hidden="1" x14ac:dyDescent="0.3">
      <c r="B43" s="80" t="s">
        <v>6</v>
      </c>
      <c r="C43" s="80">
        <v>6</v>
      </c>
      <c r="D43" s="36">
        <v>1562.4032239999999</v>
      </c>
      <c r="E43" s="36" t="s">
        <v>3990</v>
      </c>
      <c r="F43" s="36">
        <v>1501.401734</v>
      </c>
      <c r="G43" s="36" t="s">
        <v>4003</v>
      </c>
      <c r="H43" s="36">
        <v>1452.5031590000001</v>
      </c>
      <c r="I43" s="116" t="e">
        <f>Table39[[#This Row],[CPU Only]]/Table39[[#This Row],[CPU+GPU (1)]]</f>
        <v>#VALUE!</v>
      </c>
      <c r="J43" s="119">
        <f>Table39[[#This Row],[gpu-layered]]/Table39[[#This Row],[CPU+GPU (1)]]</f>
        <v>1.0336650386589623</v>
      </c>
      <c r="K43" s="36">
        <v>1510.85</v>
      </c>
      <c r="L43" s="116">
        <f>Table39[[#This Row],[CPU+GPU (10)]]/Table39[[#This Row],[CPU+GPU (1)]]</f>
        <v>1.0401698548044258</v>
      </c>
      <c r="M43" s="116" t="e">
        <f>Table39[[#This Row],[gpu-hybrid]]/Table39[[#This Row],[gpu-layered]]</f>
        <v>#VALUE!</v>
      </c>
      <c r="N43" s="36">
        <f>Table39[[#This Row],[g2aimd]]/Table39[[#This Row],[gpu-layered]]</f>
        <v>1.0406296919862221</v>
      </c>
      <c r="AI43" s="77" t="s">
        <v>1408</v>
      </c>
      <c r="AJ43">
        <v>25</v>
      </c>
      <c r="AK43" s="2">
        <v>1.3638410000000001</v>
      </c>
      <c r="AL43" s="2">
        <v>1.2744979999999999</v>
      </c>
      <c r="AM43" s="107">
        <f>Table710[[#This Row],[no pingpong]]/Table710[[#This Row],[pingpong+hostcopy]]</f>
        <v>1.0701005415465541</v>
      </c>
    </row>
    <row r="44" spans="2:39" ht="23" hidden="1" x14ac:dyDescent="0.3">
      <c r="B44" s="80" t="s">
        <v>3912</v>
      </c>
      <c r="C44" s="80">
        <v>7</v>
      </c>
      <c r="D44" s="36">
        <v>19.990193000000001</v>
      </c>
      <c r="E44" s="36">
        <v>29.57</v>
      </c>
      <c r="F44" s="36">
        <v>19.956325</v>
      </c>
      <c r="G44" s="36" t="s">
        <v>4003</v>
      </c>
      <c r="H44" s="36">
        <v>19.59</v>
      </c>
      <c r="I44" s="116" t="e">
        <f>Table39[[#This Row],[CPU Only]]/Table39[[#This Row],[CPU+GPU (1)]]</f>
        <v>#VALUE!</v>
      </c>
      <c r="J44" s="119">
        <f>Table39[[#This Row],[gpu-layered]]/Table39[[#This Row],[CPU+GPU (1)]]</f>
        <v>1.0186995916283819</v>
      </c>
      <c r="K44" s="36">
        <v>20.329999999999998</v>
      </c>
      <c r="L44" s="116">
        <f>Table39[[#This Row],[CPU+GPU (10)]]/Table39[[#This Row],[CPU+GPU (1)]]</f>
        <v>1.0377743746809596</v>
      </c>
      <c r="M44" s="116">
        <f>Table39[[#This Row],[gpu-hybrid]]/Table39[[#This Row],[gpu-layered]]</f>
        <v>1.481735740423149</v>
      </c>
      <c r="N44" s="36">
        <f>Table39[[#This Row],[g2aimd]]/Table39[[#This Row],[gpu-layered]]</f>
        <v>1.0016971060553486</v>
      </c>
      <c r="AI44" s="77" t="s">
        <v>1448</v>
      </c>
      <c r="AJ44">
        <v>25</v>
      </c>
      <c r="AK44" s="2">
        <v>1.3693169999999999</v>
      </c>
      <c r="AL44" s="2">
        <v>1.475509</v>
      </c>
      <c r="AM44" s="107">
        <f>Table710[[#This Row],[no pingpong]]/Table710[[#This Row],[pingpong+hostcopy]]</f>
        <v>0.92803025938845507</v>
      </c>
    </row>
    <row r="45" spans="2:39" ht="23" hidden="1" x14ac:dyDescent="0.3">
      <c r="B45" s="80" t="s">
        <v>1434</v>
      </c>
      <c r="C45" s="80">
        <v>7</v>
      </c>
      <c r="D45" s="36">
        <v>76.175668000000002</v>
      </c>
      <c r="E45" s="36">
        <v>87.41</v>
      </c>
      <c r="F45" s="36">
        <v>74.836130999999995</v>
      </c>
      <c r="G45" s="36" t="s">
        <v>3990</v>
      </c>
      <c r="H45" s="36">
        <v>73.849999999999994</v>
      </c>
      <c r="I45" s="116" t="e">
        <f>Table39[[#This Row],[CPU Only]]/Table39[[#This Row],[CPU+GPU (1)]]</f>
        <v>#VALUE!</v>
      </c>
      <c r="J45" s="119">
        <f>Table39[[#This Row],[gpu-layered]]/Table39[[#This Row],[CPU+GPU (1)]]</f>
        <v>1.0133531618144889</v>
      </c>
      <c r="K45" s="36">
        <v>76.33</v>
      </c>
      <c r="L45" s="116">
        <f>Table39[[#This Row],[CPU+GPU (10)]]/Table39[[#This Row],[CPU+GPU (1)]]</f>
        <v>1.0335815842924849</v>
      </c>
      <c r="M45" s="116">
        <f>Table39[[#This Row],[gpu-hybrid]]/Table39[[#This Row],[gpu-layered]]</f>
        <v>1.1680186940717179</v>
      </c>
      <c r="N45" s="36">
        <f>Table39[[#This Row],[g2aimd]]/Table39[[#This Row],[gpu-layered]]</f>
        <v>1.0178996025328997</v>
      </c>
      <c r="AI45" s="77" t="s">
        <v>1391</v>
      </c>
      <c r="AJ45">
        <v>24</v>
      </c>
      <c r="AK45" s="2">
        <v>1.4042870000000001</v>
      </c>
      <c r="AL45" s="2">
        <v>1.6955709999999999</v>
      </c>
      <c r="AM45" s="107">
        <f>Table710[[#This Row],[no pingpong]]/Table710[[#This Row],[pingpong+hostcopy]]</f>
        <v>0.82820890425703209</v>
      </c>
    </row>
    <row r="46" spans="2:39" ht="23" hidden="1" x14ac:dyDescent="0.3">
      <c r="B46" s="80" t="s">
        <v>3912</v>
      </c>
      <c r="C46" s="80">
        <v>5</v>
      </c>
      <c r="D46" s="36">
        <v>12.009475999999999</v>
      </c>
      <c r="E46" s="36">
        <v>21.48</v>
      </c>
      <c r="F46" s="36">
        <v>9.7607599999999994</v>
      </c>
      <c r="G46" s="36">
        <v>516.02195900000004</v>
      </c>
      <c r="H46" s="36">
        <v>9.9234120000000008</v>
      </c>
      <c r="I46" s="116">
        <f>Table39[[#This Row],[CPU Only]]/Table39[[#This Row],[CPU+GPU (1)]]</f>
        <v>52.000457000072153</v>
      </c>
      <c r="J46" s="119">
        <f>Table39[[#This Row],[gpu-layered]]/Table39[[#This Row],[CPU+GPU (1)]]</f>
        <v>0.98360926665142989</v>
      </c>
      <c r="K46" s="36">
        <v>10.24</v>
      </c>
      <c r="L46" s="116">
        <f>Table39[[#This Row],[CPU+GPU (10)]]/Table39[[#This Row],[CPU+GPU (1)]]</f>
        <v>1.0319031397668463</v>
      </c>
      <c r="M46" s="116">
        <f>Table39[[#This Row],[gpu-hybrid]]/Table39[[#This Row],[gpu-layered]]</f>
        <v>2.2006483101725687</v>
      </c>
      <c r="N46" s="36">
        <f>Table39[[#This Row],[g2aimd]]/Table39[[#This Row],[gpu-layered]]</f>
        <v>1.2303832898257923</v>
      </c>
      <c r="AI46" s="77" t="s">
        <v>1431</v>
      </c>
      <c r="AJ46">
        <v>24</v>
      </c>
      <c r="AK46" s="2">
        <v>1.43831</v>
      </c>
      <c r="AL46" s="2">
        <v>1.5642450000000001</v>
      </c>
      <c r="AM46" s="107">
        <f>Table710[[#This Row],[no pingpong]]/Table710[[#This Row],[pingpong+hostcopy]]</f>
        <v>0.91949151187953282</v>
      </c>
    </row>
    <row r="47" spans="2:39" ht="23" hidden="1" x14ac:dyDescent="0.3">
      <c r="B47" s="80" t="s">
        <v>6</v>
      </c>
      <c r="C47" s="80">
        <v>5</v>
      </c>
      <c r="D47" s="36">
        <v>62.593834000000001</v>
      </c>
      <c r="E47" s="36">
        <v>121.55</v>
      </c>
      <c r="F47" s="36">
        <v>60.324700999999997</v>
      </c>
      <c r="G47" s="36">
        <v>3480.1903889999999</v>
      </c>
      <c r="H47" s="36">
        <v>59.16</v>
      </c>
      <c r="I47" s="116">
        <f>Table39[[#This Row],[CPU Only]]/Table39[[#This Row],[CPU+GPU (1)]]</f>
        <v>58.826747616632858</v>
      </c>
      <c r="J47" s="119">
        <f>Table39[[#This Row],[gpu-layered]]/Table39[[#This Row],[CPU+GPU (1)]]</f>
        <v>1.0196873056119</v>
      </c>
      <c r="K47" s="36">
        <v>61.04</v>
      </c>
      <c r="L47" s="116">
        <f>Table39[[#This Row],[CPU+GPU (10)]]/Table39[[#This Row],[CPU+GPU (1)]]</f>
        <v>1.0317782285327926</v>
      </c>
      <c r="M47" s="116">
        <f>Table39[[#This Row],[gpu-hybrid]]/Table39[[#This Row],[gpu-layered]]</f>
        <v>2.0149291747007583</v>
      </c>
      <c r="N47" s="36">
        <f>Table39[[#This Row],[g2aimd]]/Table39[[#This Row],[gpu-layered]]</f>
        <v>1.0376153211269128</v>
      </c>
      <c r="AI47" s="77" t="s">
        <v>1440</v>
      </c>
      <c r="AJ47">
        <v>25</v>
      </c>
      <c r="AK47" s="2">
        <v>1.476593</v>
      </c>
      <c r="AL47" s="2">
        <v>1.31</v>
      </c>
      <c r="AM47" s="107">
        <f>Table710[[#This Row],[no pingpong]]/Table710[[#This Row],[pingpong+hostcopy]]</f>
        <v>1.1271702290076335</v>
      </c>
    </row>
    <row r="48" spans="2:39" ht="23" hidden="1" x14ac:dyDescent="0.3">
      <c r="B48" s="80" t="s">
        <v>1371</v>
      </c>
      <c r="C48" s="80">
        <v>8</v>
      </c>
      <c r="D48" s="36">
        <v>15.318994999999999</v>
      </c>
      <c r="E48" s="36">
        <v>18.23</v>
      </c>
      <c r="F48" s="36">
        <v>10.159229</v>
      </c>
      <c r="G48" s="36">
        <v>1844.568945</v>
      </c>
      <c r="H48" s="36">
        <v>10.119999999999999</v>
      </c>
      <c r="I48" s="116">
        <f>Table39[[#This Row],[CPU Only]]/Table39[[#This Row],[CPU+GPU (1)]]</f>
        <v>182.26965859683796</v>
      </c>
      <c r="J48" s="119">
        <f>Table39[[#This Row],[gpu-layered]]/Table39[[#This Row],[CPU+GPU (1)]]</f>
        <v>1.0038763833992095</v>
      </c>
      <c r="K48" s="36">
        <v>10.44</v>
      </c>
      <c r="L48" s="116">
        <f>Table39[[#This Row],[CPU+GPU (10)]]/Table39[[#This Row],[CPU+GPU (1)]]</f>
        <v>1.0316205533596838</v>
      </c>
      <c r="M48" s="116">
        <f>Table39[[#This Row],[gpu-hybrid]]/Table39[[#This Row],[gpu-layered]]</f>
        <v>1.7944275101978704</v>
      </c>
      <c r="N48" s="36">
        <f>Table39[[#This Row],[g2aimd]]/Table39[[#This Row],[gpu-layered]]</f>
        <v>1.5078895258685476</v>
      </c>
      <c r="AI48" s="77" t="s">
        <v>1431</v>
      </c>
      <c r="AJ48">
        <v>7</v>
      </c>
      <c r="AK48" s="2">
        <v>1.4923439999999999</v>
      </c>
      <c r="AL48" s="2">
        <v>1.57</v>
      </c>
      <c r="AM48" s="107">
        <f>Table710[[#This Row],[no pingpong]]/Table710[[#This Row],[pingpong+hostcopy]]</f>
        <v>0.95053757961783425</v>
      </c>
    </row>
    <row r="49" spans="2:39" ht="23" hidden="1" x14ac:dyDescent="0.3">
      <c r="B49" s="80" t="s">
        <v>3</v>
      </c>
      <c r="C49" s="80">
        <v>7</v>
      </c>
      <c r="D49" s="36">
        <v>279.21020399999998</v>
      </c>
      <c r="E49" s="36">
        <v>271.83</v>
      </c>
      <c r="F49" s="36">
        <v>258.56020699999999</v>
      </c>
      <c r="G49" s="36" t="s">
        <v>4003</v>
      </c>
      <c r="H49" s="36">
        <v>260.18</v>
      </c>
      <c r="I49" s="116" t="e">
        <f>Table39[[#This Row],[CPU Only]]/Table39[[#This Row],[CPU+GPU (1)]]</f>
        <v>#VALUE!</v>
      </c>
      <c r="J49" s="119">
        <f>Table39[[#This Row],[gpu-layered]]/Table39[[#This Row],[CPU+GPU (1)]]</f>
        <v>0.9937743369974632</v>
      </c>
      <c r="K49" s="36">
        <v>267.39</v>
      </c>
      <c r="L49" s="116">
        <f>Table39[[#This Row],[CPU+GPU (10)]]/Table39[[#This Row],[CPU+GPU (1)]]</f>
        <v>1.0277115842878006</v>
      </c>
      <c r="M49" s="116">
        <f>Table39[[#This Row],[gpu-hybrid]]/Table39[[#This Row],[gpu-layered]]</f>
        <v>1.0513218687205026</v>
      </c>
      <c r="N49" s="36">
        <f>Table39[[#This Row],[g2aimd]]/Table39[[#This Row],[gpu-layered]]</f>
        <v>1.0798653328739019</v>
      </c>
      <c r="AI49" s="77" t="s">
        <v>1431</v>
      </c>
      <c r="AJ49">
        <v>25</v>
      </c>
      <c r="AK49" s="2">
        <v>1.4968319999999999</v>
      </c>
      <c r="AL49" s="2">
        <v>1.3744320000000001</v>
      </c>
      <c r="AM49" s="107">
        <f>Table710[[#This Row],[no pingpong]]/Table710[[#This Row],[pingpong+hostcopy]]</f>
        <v>1.0890549696165397</v>
      </c>
    </row>
    <row r="50" spans="2:39" ht="23" hidden="1" x14ac:dyDescent="0.3">
      <c r="B50" s="80" t="s">
        <v>3913</v>
      </c>
      <c r="C50" s="80">
        <v>7</v>
      </c>
      <c r="D50" s="36">
        <v>98.432535999999999</v>
      </c>
      <c r="E50" s="36">
        <v>113.15</v>
      </c>
      <c r="F50" s="36">
        <v>100.074282</v>
      </c>
      <c r="G50" s="36" t="s">
        <v>3990</v>
      </c>
      <c r="H50" s="36">
        <v>100.387533</v>
      </c>
      <c r="I50" s="116" t="e">
        <f>Table39[[#This Row],[CPU Only]]/Table39[[#This Row],[CPU+GPU (1)]]</f>
        <v>#VALUE!</v>
      </c>
      <c r="J50" s="119">
        <f>Table39[[#This Row],[gpu-layered]]/Table39[[#This Row],[CPU+GPU (1)]]</f>
        <v>0.99687958264698062</v>
      </c>
      <c r="K50" s="36">
        <v>103.16</v>
      </c>
      <c r="L50" s="116">
        <f>Table39[[#This Row],[CPU+GPU (10)]]/Table39[[#This Row],[CPU+GPU (1)]]</f>
        <v>1.0276176425214074</v>
      </c>
      <c r="M50" s="116">
        <f>Table39[[#This Row],[gpu-hybrid]]/Table39[[#This Row],[gpu-layered]]</f>
        <v>1.130660123047398</v>
      </c>
      <c r="N50" s="36">
        <f>Table39[[#This Row],[g2aimd]]/Table39[[#This Row],[gpu-layered]]</f>
        <v>0.9835947261655098</v>
      </c>
      <c r="AI50" s="77" t="s">
        <v>1431</v>
      </c>
      <c r="AJ50">
        <v>9</v>
      </c>
      <c r="AK50" s="2">
        <v>1.5036099999999999</v>
      </c>
      <c r="AL50" s="2">
        <v>0.21093100000000001</v>
      </c>
      <c r="AM50" s="107">
        <f>Table710[[#This Row],[no pingpong]]/Table710[[#This Row],[pingpong+hostcopy]]</f>
        <v>7.1284448468930588</v>
      </c>
    </row>
    <row r="51" spans="2:39" ht="23" hidden="1" x14ac:dyDescent="0.3">
      <c r="B51" s="80" t="s">
        <v>1462</v>
      </c>
      <c r="C51" s="80">
        <v>2</v>
      </c>
      <c r="D51" s="36">
        <v>3.2300070000000001</v>
      </c>
      <c r="E51" s="36">
        <v>1.6100859999999999</v>
      </c>
      <c r="F51" s="36">
        <v>1.6843790000000001</v>
      </c>
      <c r="G51" s="36">
        <v>18.296703000000001</v>
      </c>
      <c r="H51" s="36">
        <v>1.919454</v>
      </c>
      <c r="I51" s="116">
        <f>Table39[[#This Row],[CPU Only]]/Table39[[#This Row],[CPU+GPU (1)]]</f>
        <v>9.5322435442578985</v>
      </c>
      <c r="J51" s="119">
        <f>Table39[[#This Row],[gpu-layered]]/Table39[[#This Row],[CPU+GPU (1)]]</f>
        <v>0.87753027683914286</v>
      </c>
      <c r="K51" s="36">
        <v>1.9714830000000001</v>
      </c>
      <c r="L51" s="116">
        <f>Table39[[#This Row],[CPU+GPU (10)]]/Table39[[#This Row],[CPU+GPU (1)]]</f>
        <v>1.0271061458102149</v>
      </c>
      <c r="M51" s="116">
        <f>Table39[[#This Row],[gpu-hybrid]]/Table39[[#This Row],[gpu-layered]]</f>
        <v>0.95589294333401198</v>
      </c>
      <c r="N51" s="36">
        <f>Table39[[#This Row],[g2aimd]]/Table39[[#This Row],[gpu-layered]]</f>
        <v>1.9176248338408399</v>
      </c>
      <c r="AI51" s="77" t="s">
        <v>1346</v>
      </c>
      <c r="AJ51">
        <v>9</v>
      </c>
      <c r="AK51" s="2">
        <v>1.544257</v>
      </c>
      <c r="AL51" s="2">
        <v>2.2000000000000002</v>
      </c>
      <c r="AM51" s="107">
        <f>Table710[[#This Row],[no pingpong]]/Table710[[#This Row],[pingpong+hostcopy]]</f>
        <v>0.70193499999999998</v>
      </c>
    </row>
    <row r="52" spans="2:39" ht="23" hidden="1" x14ac:dyDescent="0.3">
      <c r="B52" s="80" t="s">
        <v>4</v>
      </c>
      <c r="C52" s="80">
        <v>7</v>
      </c>
      <c r="D52" s="36">
        <v>207.060396</v>
      </c>
      <c r="E52" s="36">
        <v>202.55</v>
      </c>
      <c r="F52" s="36">
        <v>191.928202</v>
      </c>
      <c r="G52" s="36" t="s">
        <v>4003</v>
      </c>
      <c r="H52" s="36">
        <v>190.21</v>
      </c>
      <c r="I52" s="116" t="e">
        <f>Table39[[#This Row],[CPU Only]]/Table39[[#This Row],[CPU+GPU (1)]]</f>
        <v>#VALUE!</v>
      </c>
      <c r="J52" s="119">
        <f>Table39[[#This Row],[gpu-layered]]/Table39[[#This Row],[CPU+GPU (1)]]</f>
        <v>1.0090331843751643</v>
      </c>
      <c r="K52" s="36">
        <v>195.36</v>
      </c>
      <c r="L52" s="116">
        <f>Table39[[#This Row],[CPU+GPU (10)]]/Table39[[#This Row],[CPU+GPU (1)]]</f>
        <v>1.0270753377845538</v>
      </c>
      <c r="M52" s="116">
        <f>Table39[[#This Row],[gpu-hybrid]]/Table39[[#This Row],[gpu-layered]]</f>
        <v>1.0553425598182804</v>
      </c>
      <c r="N52" s="36">
        <f>Table39[[#This Row],[g2aimd]]/Table39[[#This Row],[gpu-layered]]</f>
        <v>1.0788429935898634</v>
      </c>
      <c r="AI52" s="77" t="s">
        <v>1391</v>
      </c>
      <c r="AJ52">
        <v>25</v>
      </c>
      <c r="AK52" s="2">
        <v>1.5655140000000001</v>
      </c>
      <c r="AL52" s="2">
        <v>1.534151</v>
      </c>
      <c r="AM52" s="107">
        <f>Table710[[#This Row],[no pingpong]]/Table710[[#This Row],[pingpong+hostcopy]]</f>
        <v>1.0204432288607836</v>
      </c>
    </row>
    <row r="53" spans="2:39" ht="23" hidden="1" x14ac:dyDescent="0.3">
      <c r="B53" s="80" t="s">
        <v>3</v>
      </c>
      <c r="C53" s="80">
        <v>5</v>
      </c>
      <c r="D53" s="36">
        <v>66.359600999999998</v>
      </c>
      <c r="E53" s="36">
        <v>86.02</v>
      </c>
      <c r="F53" s="36">
        <v>60.815420000000003</v>
      </c>
      <c r="G53" s="36" t="s">
        <v>4003</v>
      </c>
      <c r="H53" s="36">
        <v>61.53</v>
      </c>
      <c r="I53" s="116" t="e">
        <f>Table39[[#This Row],[CPU Only]]/Table39[[#This Row],[CPU+GPU (1)]]</f>
        <v>#VALUE!</v>
      </c>
      <c r="J53" s="119">
        <f>Table39[[#This Row],[gpu-layered]]/Table39[[#This Row],[CPU+GPU (1)]]</f>
        <v>0.98838647814074443</v>
      </c>
      <c r="K53" s="36">
        <v>62.99</v>
      </c>
      <c r="L53" s="116">
        <f>Table39[[#This Row],[CPU+GPU (10)]]/Table39[[#This Row],[CPU+GPU (1)]]</f>
        <v>1.0237282626361124</v>
      </c>
      <c r="M53" s="116">
        <f>Table39[[#This Row],[gpu-hybrid]]/Table39[[#This Row],[gpu-layered]]</f>
        <v>1.4144439025497151</v>
      </c>
      <c r="N53" s="36">
        <f>Table39[[#This Row],[g2aimd]]/Table39[[#This Row],[gpu-layered]]</f>
        <v>1.0911640666133686</v>
      </c>
      <c r="AI53" s="77" t="s">
        <v>1438</v>
      </c>
      <c r="AJ53">
        <v>25</v>
      </c>
      <c r="AK53" s="2">
        <v>1.742991</v>
      </c>
      <c r="AL53" s="2">
        <v>1.7512220000000001</v>
      </c>
      <c r="AM53" s="107">
        <f>Table710[[#This Row],[no pingpong]]/Table710[[#This Row],[pingpong+hostcopy]]</f>
        <v>0.99529985347374572</v>
      </c>
    </row>
    <row r="54" spans="2:39" ht="23" hidden="1" x14ac:dyDescent="0.3">
      <c r="B54" s="80" t="s">
        <v>3912</v>
      </c>
      <c r="C54" s="80">
        <v>8</v>
      </c>
      <c r="D54" s="36">
        <v>23.409692</v>
      </c>
      <c r="E54" s="36">
        <v>39.299999999999997</v>
      </c>
      <c r="F54" s="36">
        <v>22.264191</v>
      </c>
      <c r="G54" s="36">
        <v>579.55940199999998</v>
      </c>
      <c r="H54" s="36">
        <v>21.730737999999999</v>
      </c>
      <c r="I54" s="116">
        <f>Table39[[#This Row],[CPU Only]]/Table39[[#This Row],[CPU+GPU (1)]]</f>
        <v>26.670028509846283</v>
      </c>
      <c r="J54" s="119">
        <f>Table39[[#This Row],[gpu-layered]]/Table39[[#This Row],[CPU+GPU (1)]]</f>
        <v>1.0245483149260739</v>
      </c>
      <c r="K54" s="36">
        <v>22.22</v>
      </c>
      <c r="L54" s="116">
        <f>Table39[[#This Row],[CPU+GPU (10)]]/Table39[[#This Row],[CPU+GPU (1)]]</f>
        <v>1.0225147438618973</v>
      </c>
      <c r="M54" s="116">
        <f>Table39[[#This Row],[gpu-hybrid]]/Table39[[#This Row],[gpu-layered]]</f>
        <v>1.765166315721959</v>
      </c>
      <c r="N54" s="36">
        <f>Table39[[#This Row],[g2aimd]]/Table39[[#This Row],[gpu-layered]]</f>
        <v>1.0514503760769929</v>
      </c>
      <c r="AI54" s="77" t="s">
        <v>1391</v>
      </c>
      <c r="AJ54">
        <v>2</v>
      </c>
      <c r="AK54" s="2">
        <v>1.8836040000000001</v>
      </c>
      <c r="AL54" s="2">
        <v>0.68614200000000003</v>
      </c>
      <c r="AM54" s="107">
        <f>Table710[[#This Row],[no pingpong]]/Table710[[#This Row],[pingpong+hostcopy]]</f>
        <v>2.7452101751532481</v>
      </c>
    </row>
    <row r="55" spans="2:39" ht="23" hidden="1" x14ac:dyDescent="0.3">
      <c r="B55" s="80" t="s">
        <v>11</v>
      </c>
      <c r="C55" s="80">
        <v>8</v>
      </c>
      <c r="D55" s="36">
        <v>5.9961650000000004</v>
      </c>
      <c r="E55" s="36">
        <v>3.9097149999999998</v>
      </c>
      <c r="F55" s="36">
        <v>5.788678</v>
      </c>
      <c r="G55" s="36">
        <v>442.99318599999998</v>
      </c>
      <c r="H55" s="36">
        <v>5.86</v>
      </c>
      <c r="I55" s="116">
        <f>Table39[[#This Row],[CPU Only]]/Table39[[#This Row],[CPU+GPU (1)]]</f>
        <v>75.596106825938563</v>
      </c>
      <c r="J55" s="119">
        <f>Table39[[#This Row],[gpu-layered]]/Table39[[#This Row],[CPU+GPU (1)]]</f>
        <v>0.98782901023890779</v>
      </c>
      <c r="K55" s="36">
        <v>5.98</v>
      </c>
      <c r="L55" s="116">
        <f>Table39[[#This Row],[CPU+GPU (10)]]/Table39[[#This Row],[CPU+GPU (1)]]</f>
        <v>1.0204778156996588</v>
      </c>
      <c r="M55" s="116">
        <f>Table39[[#This Row],[gpu-hybrid]]/Table39[[#This Row],[gpu-layered]]</f>
        <v>0.67540723460520691</v>
      </c>
      <c r="N55" s="36">
        <f>Table39[[#This Row],[g2aimd]]/Table39[[#This Row],[gpu-layered]]</f>
        <v>1.0358435898490121</v>
      </c>
      <c r="AI55" s="77" t="s">
        <v>3919</v>
      </c>
      <c r="AJ55">
        <v>5</v>
      </c>
      <c r="AK55" s="2">
        <v>2.0098569999999998</v>
      </c>
      <c r="AL55" s="2">
        <v>1.9574800000000001</v>
      </c>
      <c r="AM55" s="107">
        <f>Table710[[#This Row],[no pingpong]]/Table710[[#This Row],[pingpong+hostcopy]]</f>
        <v>1.0267573615056091</v>
      </c>
    </row>
    <row r="56" spans="2:39" ht="23" hidden="1" x14ac:dyDescent="0.3">
      <c r="B56" s="80" t="s">
        <v>3920</v>
      </c>
      <c r="C56" s="80">
        <v>6</v>
      </c>
      <c r="D56" s="36">
        <v>5.8634139999999997</v>
      </c>
      <c r="E56" s="36">
        <v>3.406231</v>
      </c>
      <c r="F56" s="36">
        <v>3.5727570000000002</v>
      </c>
      <c r="G56" s="36">
        <v>26.891376999999999</v>
      </c>
      <c r="H56" s="36">
        <v>3.3676020000000002</v>
      </c>
      <c r="I56" s="116">
        <f>Table39[[#This Row],[CPU Only]]/Table39[[#This Row],[CPU+GPU (1)]]</f>
        <v>7.9853192271533269</v>
      </c>
      <c r="J56" s="119">
        <f>Table39[[#This Row],[gpu-layered]]/Table39[[#This Row],[CPU+GPU (1)]]</f>
        <v>1.0609202037532939</v>
      </c>
      <c r="K56" s="36">
        <v>3.4364520000000001</v>
      </c>
      <c r="L56" s="116">
        <f>Table39[[#This Row],[CPU+GPU (10)]]/Table39[[#This Row],[CPU+GPU (1)]]</f>
        <v>1.0204448150345558</v>
      </c>
      <c r="M56" s="116">
        <f>Table39[[#This Row],[gpu-hybrid]]/Table39[[#This Row],[gpu-layered]]</f>
        <v>0.9533900570343854</v>
      </c>
      <c r="N56" s="36">
        <f>Table39[[#This Row],[g2aimd]]/Table39[[#This Row],[gpu-layered]]</f>
        <v>1.6411454795274347</v>
      </c>
      <c r="AI56" s="77" t="s">
        <v>1431</v>
      </c>
      <c r="AJ56">
        <v>2</v>
      </c>
      <c r="AK56" s="2">
        <v>2.023552</v>
      </c>
      <c r="AL56" s="2">
        <v>0.59798799999999996</v>
      </c>
      <c r="AM56" s="107">
        <f>Table710[[#This Row],[no pingpong]]/Table710[[#This Row],[pingpong+hostcopy]]</f>
        <v>3.3839341257684104</v>
      </c>
    </row>
    <row r="57" spans="2:39" ht="23" hidden="1" x14ac:dyDescent="0.3">
      <c r="B57" s="80" t="s">
        <v>4</v>
      </c>
      <c r="C57" s="80">
        <v>5</v>
      </c>
      <c r="D57" s="36">
        <v>47.480569000000003</v>
      </c>
      <c r="E57" s="36">
        <v>41.232602999999997</v>
      </c>
      <c r="F57" s="36">
        <v>43.904589999999999</v>
      </c>
      <c r="G57" s="36" t="s">
        <v>4003</v>
      </c>
      <c r="H57" s="36">
        <v>44.86</v>
      </c>
      <c r="I57" s="116" t="e">
        <f>Table39[[#This Row],[CPU Only]]/Table39[[#This Row],[CPU+GPU (1)]]</f>
        <v>#VALUE!</v>
      </c>
      <c r="J57" s="119">
        <f>Table39[[#This Row],[gpu-layered]]/Table39[[#This Row],[CPU+GPU (1)]]</f>
        <v>0.97870240748996873</v>
      </c>
      <c r="K57" s="36">
        <v>45.52</v>
      </c>
      <c r="L57" s="116">
        <f>Table39[[#This Row],[CPU+GPU (10)]]/Table39[[#This Row],[CPU+GPU (1)]]</f>
        <v>1.0147124386981721</v>
      </c>
      <c r="M57" s="116">
        <f>Table39[[#This Row],[gpu-hybrid]]/Table39[[#This Row],[gpu-layered]]</f>
        <v>0.93914105563905725</v>
      </c>
      <c r="N57" s="36">
        <f>Table39[[#This Row],[g2aimd]]/Table39[[#This Row],[gpu-layered]]</f>
        <v>1.0814488644581353</v>
      </c>
      <c r="AI57" s="77" t="s">
        <v>1</v>
      </c>
      <c r="AJ57">
        <v>24</v>
      </c>
      <c r="AK57" s="2">
        <v>2.031037</v>
      </c>
      <c r="AL57" s="2">
        <v>2.3999739999999998</v>
      </c>
      <c r="AM57" s="107">
        <f>Table710[[#This Row],[no pingpong]]/Table710[[#This Row],[pingpong+hostcopy]]</f>
        <v>0.84627458464133365</v>
      </c>
    </row>
    <row r="58" spans="2:39" ht="23" hidden="1" x14ac:dyDescent="0.3">
      <c r="B58" s="80" t="s">
        <v>6</v>
      </c>
      <c r="C58" s="80">
        <v>9</v>
      </c>
      <c r="D58" s="36">
        <v>24.850701999999998</v>
      </c>
      <c r="E58" s="36">
        <v>32.82</v>
      </c>
      <c r="F58" s="36">
        <v>24.883706</v>
      </c>
      <c r="G58" s="36">
        <v>1539.1344429999999</v>
      </c>
      <c r="H58" s="36">
        <v>24.850791000000001</v>
      </c>
      <c r="I58" s="116">
        <f>Table39[[#This Row],[CPU Only]]/Table39[[#This Row],[CPU+GPU (1)]]</f>
        <v>61.935028265297468</v>
      </c>
      <c r="J58" s="119">
        <f>Table39[[#This Row],[gpu-layered]]/Table39[[#This Row],[CPU+GPU (1)]]</f>
        <v>1.0013245051233983</v>
      </c>
      <c r="K58" s="36">
        <v>25.19</v>
      </c>
      <c r="L58" s="116">
        <f>Table39[[#This Row],[CPU+GPU (10)]]/Table39[[#This Row],[CPU+GPU (1)]]</f>
        <v>1.0136498270819629</v>
      </c>
      <c r="M58" s="116">
        <f>Table39[[#This Row],[gpu-hybrid]]/Table39[[#This Row],[gpu-layered]]</f>
        <v>1.3189353708004747</v>
      </c>
      <c r="N58" s="36">
        <f>Table39[[#This Row],[g2aimd]]/Table39[[#This Row],[gpu-layered]]</f>
        <v>0.99867367023223941</v>
      </c>
      <c r="AI58" s="77" t="s">
        <v>1436</v>
      </c>
      <c r="AJ58">
        <v>25</v>
      </c>
      <c r="AK58" s="2">
        <v>2.174401</v>
      </c>
      <c r="AL58" s="2">
        <v>2.4900000000000002</v>
      </c>
      <c r="AM58" s="107">
        <f>Table710[[#This Row],[no pingpong]]/Table710[[#This Row],[pingpong+hostcopy]]</f>
        <v>0.87325341365461839</v>
      </c>
    </row>
    <row r="59" spans="2:39" ht="23" hidden="1" x14ac:dyDescent="0.3">
      <c r="B59" s="80" t="s">
        <v>4</v>
      </c>
      <c r="C59" s="80">
        <v>9</v>
      </c>
      <c r="D59" s="36">
        <v>7.6169279999999997</v>
      </c>
      <c r="E59" s="36">
        <v>5.2367189999999999</v>
      </c>
      <c r="F59" s="36">
        <v>6.6400360000000003</v>
      </c>
      <c r="G59" s="36">
        <v>985.75977</v>
      </c>
      <c r="H59" s="36">
        <v>8.1999999999999993</v>
      </c>
      <c r="I59" s="116">
        <f>Table39[[#This Row],[CPU Only]]/Table39[[#This Row],[CPU+GPU (1)]]</f>
        <v>120.21460609756099</v>
      </c>
      <c r="J59" s="119">
        <f>Table39[[#This Row],[gpu-layered]]/Table39[[#This Row],[CPU+GPU (1)]]</f>
        <v>0.80976048780487819</v>
      </c>
      <c r="K59" s="36">
        <v>8.3000000000000007</v>
      </c>
      <c r="L59" s="116">
        <f>Table39[[#This Row],[CPU+GPU (10)]]/Table39[[#This Row],[CPU+GPU (1)]]</f>
        <v>1.0121951219512197</v>
      </c>
      <c r="M59" s="116">
        <f>Table39[[#This Row],[gpu-hybrid]]/Table39[[#This Row],[gpu-layered]]</f>
        <v>0.78865822414215825</v>
      </c>
      <c r="N59" s="36">
        <f>Table39[[#This Row],[g2aimd]]/Table39[[#This Row],[gpu-layered]]</f>
        <v>1.1471214915099857</v>
      </c>
      <c r="AI59" s="77" t="s">
        <v>1449</v>
      </c>
      <c r="AJ59">
        <v>25</v>
      </c>
      <c r="AK59" s="2">
        <v>2.2564649999999999</v>
      </c>
      <c r="AL59" s="2">
        <v>2.3250690000000001</v>
      </c>
      <c r="AM59" s="107">
        <f>Table710[[#This Row],[no pingpong]]/Table710[[#This Row],[pingpong+hostcopy]]</f>
        <v>0.97049377889430377</v>
      </c>
    </row>
    <row r="60" spans="2:39" ht="23" hidden="1" x14ac:dyDescent="0.3">
      <c r="B60" s="80" t="s">
        <v>1434</v>
      </c>
      <c r="C60" s="80">
        <v>8</v>
      </c>
      <c r="D60" s="36" t="s">
        <v>4009</v>
      </c>
      <c r="E60" s="36">
        <v>121.24</v>
      </c>
      <c r="F60" s="36">
        <v>91.497511000000003</v>
      </c>
      <c r="G60" s="36" t="s">
        <v>3990</v>
      </c>
      <c r="H60" s="36">
        <v>89.974523000000005</v>
      </c>
      <c r="I60" s="116" t="e">
        <f>Table39[[#This Row],[CPU Only]]/Table39[[#This Row],[CPU+GPU (1)]]</f>
        <v>#VALUE!</v>
      </c>
      <c r="J60" s="119">
        <f>Table39[[#This Row],[gpu-layered]]/Table39[[#This Row],[CPU+GPU (1)]]</f>
        <v>1.016926880512609</v>
      </c>
      <c r="K60" s="36">
        <v>91.06</v>
      </c>
      <c r="L60" s="116">
        <f>Table39[[#This Row],[CPU+GPU (10)]]/Table39[[#This Row],[CPU+GPU (1)]]</f>
        <v>1.0120642706824909</v>
      </c>
      <c r="M60" s="116">
        <f>Table39[[#This Row],[gpu-hybrid]]/Table39[[#This Row],[gpu-layered]]</f>
        <v>1.325063367024268</v>
      </c>
      <c r="N60" s="36" t="e">
        <f>Table39[[#This Row],[g2aimd]]/Table39[[#This Row],[gpu-layered]]</f>
        <v>#VALUE!</v>
      </c>
      <c r="AI60" s="77" t="s">
        <v>1434</v>
      </c>
      <c r="AJ60">
        <v>2</v>
      </c>
      <c r="AK60" s="2">
        <v>2.2730779999999999</v>
      </c>
      <c r="AL60" s="2">
        <v>2.3137690000000002</v>
      </c>
      <c r="AM60" s="107">
        <f>Table710[[#This Row],[no pingpong]]/Table710[[#This Row],[pingpong+hostcopy]]</f>
        <v>0.98241354257922886</v>
      </c>
    </row>
    <row r="61" spans="2:39" ht="23" hidden="1" x14ac:dyDescent="0.3">
      <c r="B61" s="80" t="s">
        <v>7</v>
      </c>
      <c r="C61" s="80">
        <v>6</v>
      </c>
      <c r="D61" s="36">
        <v>1217.675581</v>
      </c>
      <c r="E61" s="36">
        <v>1364.56</v>
      </c>
      <c r="F61" s="36">
        <v>1142.9680169999999</v>
      </c>
      <c r="G61" s="36" t="s">
        <v>4003</v>
      </c>
      <c r="H61" s="36">
        <v>1131.5588749999999</v>
      </c>
      <c r="I61" s="116" t="e">
        <f>Table39[[#This Row],[CPU Only]]/Table39[[#This Row],[CPU+GPU (1)]]</f>
        <v>#VALUE!</v>
      </c>
      <c r="J61" s="119">
        <f>Table39[[#This Row],[gpu-layered]]/Table39[[#This Row],[CPU+GPU (1)]]</f>
        <v>1.0100826764316615</v>
      </c>
      <c r="K61" s="36">
        <v>1142.8599999999999</v>
      </c>
      <c r="L61" s="116">
        <f>Table39[[#This Row],[CPU+GPU (10)]]/Table39[[#This Row],[CPU+GPU (1)]]</f>
        <v>1.0099872178546609</v>
      </c>
      <c r="M61" s="116">
        <f>Table39[[#This Row],[gpu-hybrid]]/Table39[[#This Row],[gpu-layered]]</f>
        <v>1.1938741764460064</v>
      </c>
      <c r="N61" s="36">
        <f>Table39[[#This Row],[g2aimd]]/Table39[[#This Row],[gpu-layered]]</f>
        <v>1.065362777338327</v>
      </c>
      <c r="AI61" s="77" t="s">
        <v>3912</v>
      </c>
      <c r="AJ61">
        <v>25</v>
      </c>
      <c r="AK61" s="2">
        <v>2.3830969999999998</v>
      </c>
      <c r="AL61" s="2">
        <v>2.5113150000000002</v>
      </c>
      <c r="AM61" s="107">
        <f>Table710[[#This Row],[no pingpong]]/Table710[[#This Row],[pingpong+hostcopy]]</f>
        <v>0.94894387999912377</v>
      </c>
    </row>
    <row r="62" spans="2:39" ht="23" hidden="1" x14ac:dyDescent="0.3">
      <c r="B62" s="80" t="s">
        <v>3919</v>
      </c>
      <c r="C62" s="80">
        <v>9</v>
      </c>
      <c r="D62" s="36">
        <v>2.8009819999999999</v>
      </c>
      <c r="E62" s="36">
        <v>0.73023899999999997</v>
      </c>
      <c r="F62" s="36">
        <v>0.948967</v>
      </c>
      <c r="G62" s="36">
        <v>18.058859000000002</v>
      </c>
      <c r="H62" s="36">
        <v>0.96928099999999995</v>
      </c>
      <c r="I62" s="116">
        <f>Table39[[#This Row],[CPU Only]]/Table39[[#This Row],[CPU+GPU (1)]]</f>
        <v>18.63119054226793</v>
      </c>
      <c r="J62" s="119">
        <f>Table39[[#This Row],[gpu-layered]]/Table39[[#This Row],[CPU+GPU (1)]]</f>
        <v>0.97904219725755492</v>
      </c>
      <c r="K62" s="36">
        <v>0.97624100000000003</v>
      </c>
      <c r="L62" s="116">
        <f>Table39[[#This Row],[CPU+GPU (10)]]/Table39[[#This Row],[CPU+GPU (1)]]</f>
        <v>1.0071805802445319</v>
      </c>
      <c r="M62" s="116">
        <f>Table39[[#This Row],[gpu-hybrid]]/Table39[[#This Row],[gpu-layered]]</f>
        <v>0.76950937176951351</v>
      </c>
      <c r="N62" s="36">
        <f>Table39[[#This Row],[g2aimd]]/Table39[[#This Row],[gpu-layered]]</f>
        <v>2.9516115945022321</v>
      </c>
      <c r="AI62" s="77" t="s">
        <v>1431</v>
      </c>
      <c r="AJ62">
        <v>5</v>
      </c>
      <c r="AK62" s="2">
        <v>2.4282240000000002</v>
      </c>
      <c r="AL62" s="2">
        <v>1.02386</v>
      </c>
      <c r="AM62" s="107">
        <f>Table710[[#This Row],[no pingpong]]/Table710[[#This Row],[pingpong+hostcopy]]</f>
        <v>2.3716367472115332</v>
      </c>
    </row>
    <row r="63" spans="2:39" ht="23" hidden="1" x14ac:dyDescent="0.3">
      <c r="B63" s="80" t="s">
        <v>3913</v>
      </c>
      <c r="C63" s="80">
        <v>6</v>
      </c>
      <c r="D63" s="36">
        <v>839.63829299999998</v>
      </c>
      <c r="E63" s="36">
        <v>1505.52</v>
      </c>
      <c r="F63" s="36">
        <v>815.00892799999997</v>
      </c>
      <c r="G63" s="36" t="s">
        <v>3990</v>
      </c>
      <c r="H63" s="36">
        <v>790.00315999999998</v>
      </c>
      <c r="I63" s="116" t="e">
        <f>Table39[[#This Row],[CPU Only]]/Table39[[#This Row],[CPU+GPU (1)]]</f>
        <v>#VALUE!</v>
      </c>
      <c r="J63" s="119">
        <f>Table39[[#This Row],[gpu-layered]]/Table39[[#This Row],[CPU+GPU (1)]]</f>
        <v>1.0316527442750989</v>
      </c>
      <c r="K63" s="36">
        <v>795.23</v>
      </c>
      <c r="L63" s="116">
        <f>Table39[[#This Row],[CPU+GPU (10)]]/Table39[[#This Row],[CPU+GPU (1)]]</f>
        <v>1.0066162266996501</v>
      </c>
      <c r="M63" s="116">
        <f>Table39[[#This Row],[gpu-hybrid]]/Table39[[#This Row],[gpu-layered]]</f>
        <v>1.8472435678643266</v>
      </c>
      <c r="N63" s="36">
        <f>Table39[[#This Row],[g2aimd]]/Table39[[#This Row],[gpu-layered]]</f>
        <v>1.030219748709305</v>
      </c>
      <c r="AI63" s="77" t="s">
        <v>1450</v>
      </c>
      <c r="AJ63">
        <v>25</v>
      </c>
      <c r="AK63" s="2">
        <v>2.7511410000000001</v>
      </c>
      <c r="AL63" s="2">
        <v>2.8245459999999998</v>
      </c>
      <c r="AM63" s="107">
        <f>Table710[[#This Row],[no pingpong]]/Table710[[#This Row],[pingpong+hostcopy]]</f>
        <v>0.97401175268521034</v>
      </c>
    </row>
    <row r="64" spans="2:39" ht="23" hidden="1" x14ac:dyDescent="0.3">
      <c r="B64" s="80" t="s">
        <v>1371</v>
      </c>
      <c r="C64" s="80">
        <v>5</v>
      </c>
      <c r="D64" s="36">
        <v>4.8828569999999996</v>
      </c>
      <c r="E64" s="36">
        <v>2.6638769999999998</v>
      </c>
      <c r="F64" s="36">
        <v>2.8553199999999999</v>
      </c>
      <c r="G64" s="36">
        <v>117.90758099999999</v>
      </c>
      <c r="H64" s="36">
        <v>3.23</v>
      </c>
      <c r="I64" s="116">
        <f>Table39[[#This Row],[CPU Only]]/Table39[[#This Row],[CPU+GPU (1)]]</f>
        <v>36.503895046439624</v>
      </c>
      <c r="J64" s="119">
        <f>Table39[[#This Row],[gpu-layered]]/Table39[[#This Row],[CPU+GPU (1)]]</f>
        <v>0.88400000000000001</v>
      </c>
      <c r="K64" s="36">
        <v>3.25</v>
      </c>
      <c r="L64" s="116">
        <f>Table39[[#This Row],[CPU+GPU (10)]]/Table39[[#This Row],[CPU+GPU (1)]]</f>
        <v>1.0061919504643964</v>
      </c>
      <c r="M64" s="116">
        <f>Table39[[#This Row],[gpu-hybrid]]/Table39[[#This Row],[gpu-layered]]</f>
        <v>0.93295217348668447</v>
      </c>
      <c r="N64" s="36">
        <f>Table39[[#This Row],[g2aimd]]/Table39[[#This Row],[gpu-layered]]</f>
        <v>1.7100909880503761</v>
      </c>
      <c r="AI64" s="77" t="s">
        <v>1461</v>
      </c>
      <c r="AJ64">
        <v>24</v>
      </c>
      <c r="AK64" s="2">
        <v>2.8523550000000002</v>
      </c>
      <c r="AL64" s="2">
        <v>3.4593389999999999</v>
      </c>
      <c r="AM64" s="107">
        <f>Table710[[#This Row],[no pingpong]]/Table710[[#This Row],[pingpong+hostcopy]]</f>
        <v>0.82453757784362858</v>
      </c>
    </row>
    <row r="65" spans="2:39" ht="23" hidden="1" x14ac:dyDescent="0.3">
      <c r="B65" s="80" t="s">
        <v>3917</v>
      </c>
      <c r="C65" s="80">
        <v>8</v>
      </c>
      <c r="D65" s="36">
        <v>22.948722</v>
      </c>
      <c r="E65" s="36">
        <v>39.97</v>
      </c>
      <c r="F65" s="36">
        <v>20.900504999999999</v>
      </c>
      <c r="G65" s="36" t="s">
        <v>3990</v>
      </c>
      <c r="H65" s="36">
        <v>21.01</v>
      </c>
      <c r="I65" s="116" t="e">
        <f>Table39[[#This Row],[CPU Only]]/Table39[[#This Row],[CPU+GPU (1)]]</f>
        <v>#VALUE!</v>
      </c>
      <c r="J65" s="119">
        <f>Table39[[#This Row],[gpu-layered]]/Table39[[#This Row],[CPU+GPU (1)]]</f>
        <v>0.99478843407900985</v>
      </c>
      <c r="K65" s="36">
        <v>21.14</v>
      </c>
      <c r="L65" s="116">
        <f>Table39[[#This Row],[CPU+GPU (10)]]/Table39[[#This Row],[CPU+GPU (1)]]</f>
        <v>1.0061875297477392</v>
      </c>
      <c r="M65" s="116">
        <f>Table39[[#This Row],[gpu-hybrid]]/Table39[[#This Row],[gpu-layered]]</f>
        <v>1.9123939828248169</v>
      </c>
      <c r="N65" s="36">
        <f>Table39[[#This Row],[g2aimd]]/Table39[[#This Row],[gpu-layered]]</f>
        <v>1.0979984454921066</v>
      </c>
      <c r="AI65" s="77" t="s">
        <v>1371</v>
      </c>
      <c r="AJ65">
        <v>5</v>
      </c>
      <c r="AK65" s="2">
        <v>2.8553199999999999</v>
      </c>
      <c r="AL65" s="2">
        <v>3.23</v>
      </c>
      <c r="AM65" s="107">
        <f>Table710[[#This Row],[no pingpong]]/Table710[[#This Row],[pingpong+hostcopy]]</f>
        <v>0.88400000000000001</v>
      </c>
    </row>
    <row r="66" spans="2:39" ht="23" hidden="1" x14ac:dyDescent="0.3">
      <c r="B66" s="80" t="s">
        <v>3919</v>
      </c>
      <c r="C66" s="80">
        <v>2</v>
      </c>
      <c r="D66" s="36">
        <v>2.1774770000000001</v>
      </c>
      <c r="E66" s="36">
        <v>0.28040999999999999</v>
      </c>
      <c r="F66" s="36">
        <v>0.35126800000000002</v>
      </c>
      <c r="G66" s="36">
        <v>5.7128509999999997</v>
      </c>
      <c r="H66" s="36">
        <v>0.38397100000000001</v>
      </c>
      <c r="I66" s="116">
        <f>Table39[[#This Row],[CPU Only]]/Table39[[#This Row],[CPU+GPU (1)]]</f>
        <v>14.878339770451413</v>
      </c>
      <c r="J66" s="119">
        <f>Table39[[#This Row],[gpu-layered]]/Table39[[#This Row],[CPU+GPU (1)]]</f>
        <v>0.9148295053532689</v>
      </c>
      <c r="K66" s="36">
        <v>0.38616499999999998</v>
      </c>
      <c r="L66" s="116">
        <f>Table39[[#This Row],[CPU+GPU (10)]]/Table39[[#This Row],[CPU+GPU (1)]]</f>
        <v>1.0057139731906837</v>
      </c>
      <c r="M66" s="116">
        <f>Table39[[#This Row],[gpu-hybrid]]/Table39[[#This Row],[gpu-layered]]</f>
        <v>0.7982793764305316</v>
      </c>
      <c r="N66" s="36">
        <f>Table39[[#This Row],[g2aimd]]/Table39[[#This Row],[gpu-layered]]</f>
        <v>6.1989051094890506</v>
      </c>
      <c r="AI66" s="77" t="s">
        <v>1461</v>
      </c>
      <c r="AJ66">
        <v>25</v>
      </c>
      <c r="AK66" s="2">
        <v>2.9992399999999999</v>
      </c>
      <c r="AL66" s="2">
        <v>3.3042389999999999</v>
      </c>
      <c r="AM66" s="107">
        <f>Table710[[#This Row],[no pingpong]]/Table710[[#This Row],[pingpong+hostcopy]]</f>
        <v>0.90769463104817782</v>
      </c>
    </row>
    <row r="67" spans="2:39" ht="23" hidden="1" x14ac:dyDescent="0.3">
      <c r="B67" s="80" t="s">
        <v>7</v>
      </c>
      <c r="C67" s="80">
        <v>5</v>
      </c>
      <c r="D67" s="36">
        <v>38.241444000000001</v>
      </c>
      <c r="E67" s="36">
        <v>63.98</v>
      </c>
      <c r="F67" s="36">
        <v>32.547307000000004</v>
      </c>
      <c r="G67" s="36" t="s">
        <v>4003</v>
      </c>
      <c r="H67" s="36">
        <v>32.85</v>
      </c>
      <c r="I67" s="116" t="e">
        <f>Table39[[#This Row],[CPU Only]]/Table39[[#This Row],[CPU+GPU (1)]]</f>
        <v>#VALUE!</v>
      </c>
      <c r="J67" s="119">
        <f>Table39[[#This Row],[gpu-layered]]/Table39[[#This Row],[CPU+GPU (1)]]</f>
        <v>0.99078560121765613</v>
      </c>
      <c r="K67" s="36">
        <v>33.020000000000003</v>
      </c>
      <c r="L67" s="116">
        <f>Table39[[#This Row],[CPU+GPU (10)]]/Table39[[#This Row],[CPU+GPU (1)]]</f>
        <v>1.0051750380517503</v>
      </c>
      <c r="M67" s="116">
        <f>Table39[[#This Row],[gpu-hybrid]]/Table39[[#This Row],[gpu-layered]]</f>
        <v>1.9657540330448842</v>
      </c>
      <c r="N67" s="36">
        <f>Table39[[#This Row],[g2aimd]]/Table39[[#This Row],[gpu-layered]]</f>
        <v>1.1749495588068162</v>
      </c>
      <c r="AI67" s="77" t="s">
        <v>1408</v>
      </c>
      <c r="AJ67">
        <v>18</v>
      </c>
      <c r="AK67" s="2">
        <v>3.0108380000000001</v>
      </c>
      <c r="AL67" s="2">
        <v>3.0394079999999999</v>
      </c>
      <c r="AM67" s="107">
        <f>Table710[[#This Row],[no pingpong]]/Table710[[#This Row],[pingpong+hostcopy]]</f>
        <v>0.99060014318577838</v>
      </c>
    </row>
    <row r="68" spans="2:39" ht="23" hidden="1" x14ac:dyDescent="0.3">
      <c r="B68" s="80" t="s">
        <v>3</v>
      </c>
      <c r="C68" s="80">
        <v>2</v>
      </c>
      <c r="D68" s="36">
        <v>3.84511</v>
      </c>
      <c r="E68" s="36">
        <v>1.815944</v>
      </c>
      <c r="F68" s="36">
        <v>2.15144</v>
      </c>
      <c r="G68" s="36">
        <v>224.57836800000001</v>
      </c>
      <c r="H68" s="36">
        <v>4.3099999999999996</v>
      </c>
      <c r="I68" s="116">
        <f>Table39[[#This Row],[CPU Only]]/Table39[[#This Row],[CPU+GPU (1)]]</f>
        <v>52.106349883990724</v>
      </c>
      <c r="J68" s="119">
        <f>Table39[[#This Row],[gpu-layered]]/Table39[[#This Row],[CPU+GPU (1)]]</f>
        <v>0.49917401392111371</v>
      </c>
      <c r="K68" s="36">
        <v>4.32</v>
      </c>
      <c r="L68" s="116">
        <f>Table39[[#This Row],[CPU+GPU (10)]]/Table39[[#This Row],[CPU+GPU (1)]]</f>
        <v>1.0023201856148494</v>
      </c>
      <c r="M68" s="116">
        <f>Table39[[#This Row],[gpu-hybrid]]/Table39[[#This Row],[gpu-layered]]</f>
        <v>0.84405979251106233</v>
      </c>
      <c r="N68" s="36">
        <f>Table39[[#This Row],[g2aimd]]/Table39[[#This Row],[gpu-layered]]</f>
        <v>1.787226229873945</v>
      </c>
      <c r="AI68" s="77" t="s">
        <v>1408</v>
      </c>
      <c r="AJ68">
        <v>6</v>
      </c>
      <c r="AK68" s="2">
        <v>3.2149070000000002</v>
      </c>
      <c r="AL68" s="2">
        <v>1.486974</v>
      </c>
      <c r="AM68" s="107">
        <f>Table710[[#This Row],[no pingpong]]/Table710[[#This Row],[pingpong+hostcopy]]</f>
        <v>2.1620465455347571</v>
      </c>
    </row>
    <row r="69" spans="2:39" ht="23" hidden="1" x14ac:dyDescent="0.3">
      <c r="B69" s="80" t="s">
        <v>3919</v>
      </c>
      <c r="C69" s="80">
        <v>8</v>
      </c>
      <c r="D69" s="36">
        <v>7.8519019999999999</v>
      </c>
      <c r="E69" s="36">
        <v>16.84</v>
      </c>
      <c r="F69" s="36">
        <v>6.0313509999999999</v>
      </c>
      <c r="G69" s="36">
        <v>126.505053</v>
      </c>
      <c r="H69" s="36">
        <v>5.7578069999999997</v>
      </c>
      <c r="I69" s="116">
        <f>Table39[[#This Row],[CPU Only]]/Table39[[#This Row],[CPU+GPU (1)]]</f>
        <v>21.97104783123158</v>
      </c>
      <c r="J69" s="119">
        <f>Table39[[#This Row],[gpu-layered]]/Table39[[#This Row],[CPU+GPU (1)]]</f>
        <v>1.0475083655982218</v>
      </c>
      <c r="K69" s="36">
        <v>5.77</v>
      </c>
      <c r="L69" s="116">
        <f>Table39[[#This Row],[CPU+GPU (10)]]/Table39[[#This Row],[CPU+GPU (1)]]</f>
        <v>1.0021176465275754</v>
      </c>
      <c r="M69" s="116">
        <f>Table39[[#This Row],[gpu-hybrid]]/Table39[[#This Row],[gpu-layered]]</f>
        <v>2.7920775958819175</v>
      </c>
      <c r="N69" s="36">
        <f>Table39[[#This Row],[g2aimd]]/Table39[[#This Row],[gpu-layered]]</f>
        <v>1.301847960763683</v>
      </c>
      <c r="AI69" s="77" t="s">
        <v>18</v>
      </c>
      <c r="AJ69">
        <v>25</v>
      </c>
      <c r="AK69" s="2">
        <v>3.3076409999999998</v>
      </c>
      <c r="AL69" s="2">
        <v>3.524845</v>
      </c>
      <c r="AM69" s="107">
        <f>Table710[[#This Row],[no pingpong]]/Table710[[#This Row],[pingpong+hostcopy]]</f>
        <v>0.93837913440165455</v>
      </c>
    </row>
    <row r="70" spans="2:39" ht="23" hidden="1" x14ac:dyDescent="0.3">
      <c r="B70" s="80" t="s">
        <v>7</v>
      </c>
      <c r="C70" s="80">
        <v>7</v>
      </c>
      <c r="D70" s="36">
        <v>129.855256</v>
      </c>
      <c r="E70" s="36">
        <v>138.38</v>
      </c>
      <c r="F70" s="36">
        <v>124.091087</v>
      </c>
      <c r="G70" s="36" t="s">
        <v>4003</v>
      </c>
      <c r="H70" s="36">
        <v>124.78</v>
      </c>
      <c r="I70" s="116" t="e">
        <f>Table39[[#This Row],[CPU Only]]/Table39[[#This Row],[CPU+GPU (1)]]</f>
        <v>#VALUE!</v>
      </c>
      <c r="J70" s="119">
        <f>Table39[[#This Row],[gpu-layered]]/Table39[[#This Row],[CPU+GPU (1)]]</f>
        <v>0.99447897900304538</v>
      </c>
      <c r="K70" s="36">
        <v>124.26</v>
      </c>
      <c r="L70" s="116">
        <f>Table39[[#This Row],[CPU+GPU (10)]]/Table39[[#This Row],[CPU+GPU (1)]]</f>
        <v>0.9958326654912647</v>
      </c>
      <c r="M70" s="116">
        <f>Table39[[#This Row],[gpu-hybrid]]/Table39[[#This Row],[gpu-layered]]</f>
        <v>1.1151485843620661</v>
      </c>
      <c r="N70" s="36">
        <f>Table39[[#This Row],[g2aimd]]/Table39[[#This Row],[gpu-layered]]</f>
        <v>1.0464511121576363</v>
      </c>
      <c r="AI70" s="77" t="s">
        <v>1</v>
      </c>
      <c r="AJ70">
        <v>2</v>
      </c>
      <c r="AK70" s="2">
        <v>3.6229019999999998</v>
      </c>
      <c r="AL70" s="2">
        <v>9.3419000000000008</v>
      </c>
      <c r="AM70" s="107">
        <f>Table710[[#This Row],[no pingpong]]/Table710[[#This Row],[pingpong+hostcopy]]</f>
        <v>0.387812115308449</v>
      </c>
    </row>
    <row r="71" spans="2:39" ht="23" hidden="1" x14ac:dyDescent="0.3">
      <c r="B71" s="80" t="s">
        <v>6</v>
      </c>
      <c r="C71" s="80">
        <v>7</v>
      </c>
      <c r="D71" s="36">
        <v>183.435092</v>
      </c>
      <c r="E71" s="36">
        <v>234.63</v>
      </c>
      <c r="F71" s="36">
        <v>183.674194</v>
      </c>
      <c r="G71" s="36" t="s">
        <v>4003</v>
      </c>
      <c r="H71" s="36">
        <v>185.72</v>
      </c>
      <c r="I71" s="116" t="e">
        <f>Table39[[#This Row],[CPU Only]]/Table39[[#This Row],[CPU+GPU (1)]]</f>
        <v>#VALUE!</v>
      </c>
      <c r="J71" s="119">
        <f>Table39[[#This Row],[gpu-layered]]/Table39[[#This Row],[CPU+GPU (1)]]</f>
        <v>0.98898446047813915</v>
      </c>
      <c r="K71" s="36">
        <v>184.52</v>
      </c>
      <c r="L71" s="116">
        <f>Table39[[#This Row],[CPU+GPU (10)]]/Table39[[#This Row],[CPU+GPU (1)]]</f>
        <v>0.99353866034891236</v>
      </c>
      <c r="M71" s="116">
        <f>Table39[[#This Row],[gpu-hybrid]]/Table39[[#This Row],[gpu-layered]]</f>
        <v>1.277424960416595</v>
      </c>
      <c r="N71" s="36">
        <f>Table39[[#This Row],[g2aimd]]/Table39[[#This Row],[gpu-layered]]</f>
        <v>0.99869822758008131</v>
      </c>
      <c r="AI71" s="77" t="s">
        <v>3919</v>
      </c>
      <c r="AJ71">
        <v>7</v>
      </c>
      <c r="AK71" s="2">
        <v>3.7306889999999999</v>
      </c>
      <c r="AL71" s="2">
        <v>3.7988149999999998</v>
      </c>
      <c r="AM71" s="107">
        <f>Table710[[#This Row],[no pingpong]]/Table710[[#This Row],[pingpong+hostcopy]]</f>
        <v>0.98206651284676938</v>
      </c>
    </row>
    <row r="72" spans="2:39" ht="23" hidden="1" x14ac:dyDescent="0.3">
      <c r="B72" s="80" t="s">
        <v>3919</v>
      </c>
      <c r="C72" s="80">
        <v>6</v>
      </c>
      <c r="D72" s="36">
        <v>18.152170999999999</v>
      </c>
      <c r="E72" s="36">
        <v>231.16</v>
      </c>
      <c r="F72" s="36">
        <v>14.641228999999999</v>
      </c>
      <c r="G72" s="36">
        <v>122.148618</v>
      </c>
      <c r="H72" s="36">
        <v>14.312435000000001</v>
      </c>
      <c r="I72" s="116">
        <f>Table39[[#This Row],[CPU Only]]/Table39[[#This Row],[CPU+GPU (1)]]</f>
        <v>8.5344400166708176</v>
      </c>
      <c r="J72" s="119">
        <f>Table39[[#This Row],[gpu-layered]]/Table39[[#This Row],[CPU+GPU (1)]]</f>
        <v>1.0229726108799795</v>
      </c>
      <c r="K72" s="36">
        <v>14.177133</v>
      </c>
      <c r="L72" s="116">
        <f>Table39[[#This Row],[CPU+GPU (10)]]/Table39[[#This Row],[CPU+GPU (1)]]</f>
        <v>0.9905465422201043</v>
      </c>
      <c r="M72" s="116">
        <f>Table39[[#This Row],[gpu-hybrid]]/Table39[[#This Row],[gpu-layered]]</f>
        <v>15.78829208941408</v>
      </c>
      <c r="N72" s="36">
        <f>Table39[[#This Row],[g2aimd]]/Table39[[#This Row],[gpu-layered]]</f>
        <v>1.2397983120132881</v>
      </c>
      <c r="AI72" s="77" t="s">
        <v>18</v>
      </c>
      <c r="AJ72">
        <v>24</v>
      </c>
      <c r="AK72" s="2">
        <v>3.8970630000000002</v>
      </c>
      <c r="AL72" s="2">
        <v>3.7520359999999999</v>
      </c>
      <c r="AM72" s="107">
        <f>Table710[[#This Row],[no pingpong]]/Table710[[#This Row],[pingpong+hostcopy]]</f>
        <v>1.0386528807292894</v>
      </c>
    </row>
    <row r="73" spans="2:39" ht="23" hidden="1" x14ac:dyDescent="0.3">
      <c r="B73" s="80" t="s">
        <v>1346</v>
      </c>
      <c r="C73" s="80">
        <v>8</v>
      </c>
      <c r="D73" s="36">
        <v>37.425060000000002</v>
      </c>
      <c r="E73" s="36">
        <v>42.74</v>
      </c>
      <c r="F73" s="36">
        <v>34.536710999999997</v>
      </c>
      <c r="G73" s="36" t="s">
        <v>4003</v>
      </c>
      <c r="H73" s="36">
        <v>35.340000000000003</v>
      </c>
      <c r="I73" s="116" t="e">
        <f>Table39[[#This Row],[CPU Only]]/Table39[[#This Row],[CPU+GPU (1)]]</f>
        <v>#VALUE!</v>
      </c>
      <c r="J73" s="119">
        <f>Table39[[#This Row],[gpu-layered]]/Table39[[#This Row],[CPU+GPU (1)]]</f>
        <v>0.97726969439728339</v>
      </c>
      <c r="K73" s="36">
        <v>34.840000000000003</v>
      </c>
      <c r="L73" s="116">
        <f>Table39[[#This Row],[CPU+GPU (10)]]/Table39[[#This Row],[CPU+GPU (1)]]</f>
        <v>0.98585172608941707</v>
      </c>
      <c r="M73" s="116">
        <f>Table39[[#This Row],[gpu-hybrid]]/Table39[[#This Row],[gpu-layered]]</f>
        <v>1.2375237468327545</v>
      </c>
      <c r="N73" s="36">
        <f>Table39[[#This Row],[g2aimd]]/Table39[[#This Row],[gpu-layered]]</f>
        <v>1.0836312699260797</v>
      </c>
      <c r="AI73" s="77" t="s">
        <v>1434</v>
      </c>
      <c r="AJ73">
        <v>25</v>
      </c>
      <c r="AK73" s="2">
        <v>3.970812</v>
      </c>
      <c r="AL73" s="2">
        <v>4.0998340000000004</v>
      </c>
      <c r="AM73" s="107">
        <f>Table710[[#This Row],[no pingpong]]/Table710[[#This Row],[pingpong+hostcopy]]</f>
        <v>0.96852994535876324</v>
      </c>
    </row>
    <row r="74" spans="2:39" ht="23" hidden="1" x14ac:dyDescent="0.3">
      <c r="B74" s="80" t="s">
        <v>3920</v>
      </c>
      <c r="C74" s="80">
        <v>9</v>
      </c>
      <c r="D74" s="36">
        <v>2.4253800000000001</v>
      </c>
      <c r="E74" s="36">
        <v>0.42129</v>
      </c>
      <c r="F74" s="36">
        <v>0.561531</v>
      </c>
      <c r="G74" s="36">
        <v>6.9036080000000002</v>
      </c>
      <c r="H74" s="36">
        <v>0.57375299999999996</v>
      </c>
      <c r="I74" s="116">
        <f>Table39[[#This Row],[CPU Only]]/Table39[[#This Row],[CPU+GPU (1)]]</f>
        <v>12.03236932965928</v>
      </c>
      <c r="J74" s="119">
        <f>Table39[[#This Row],[gpu-layered]]/Table39[[#This Row],[CPU+GPU (1)]]</f>
        <v>0.97869815059790544</v>
      </c>
      <c r="K74" s="36">
        <v>0.56545599999999996</v>
      </c>
      <c r="L74" s="116">
        <f>Table39[[#This Row],[CPU+GPU (10)]]/Table39[[#This Row],[CPU+GPU (1)]]</f>
        <v>0.98553907343403868</v>
      </c>
      <c r="M74" s="116">
        <f>Table39[[#This Row],[gpu-hybrid]]/Table39[[#This Row],[gpu-layered]]</f>
        <v>0.7502524348611207</v>
      </c>
      <c r="N74" s="36">
        <f>Table39[[#This Row],[g2aimd]]/Table39[[#This Row],[gpu-layered]]</f>
        <v>4.3192272554854494</v>
      </c>
      <c r="AI74" s="77" t="s">
        <v>1425</v>
      </c>
      <c r="AJ74">
        <v>2</v>
      </c>
      <c r="AK74" s="2">
        <v>4.2398239999999996</v>
      </c>
      <c r="AL74" s="2">
        <v>19.149999999999999</v>
      </c>
      <c r="AM74" s="107">
        <f>Table710[[#This Row],[no pingpong]]/Table710[[#This Row],[pingpong+hostcopy]]</f>
        <v>0.22140073107049607</v>
      </c>
    </row>
    <row r="75" spans="2:39" ht="23" hidden="1" x14ac:dyDescent="0.3">
      <c r="B75" s="80" t="s">
        <v>6</v>
      </c>
      <c r="C75" s="80">
        <v>8</v>
      </c>
      <c r="D75" s="36">
        <v>194.56833</v>
      </c>
      <c r="E75" s="36">
        <v>428.51</v>
      </c>
      <c r="F75" s="36">
        <v>211.04357400000001</v>
      </c>
      <c r="G75" s="36" t="s">
        <v>4003</v>
      </c>
      <c r="H75" s="36">
        <v>209.85</v>
      </c>
      <c r="I75" s="116" t="e">
        <f>Table39[[#This Row],[CPU Only]]/Table39[[#This Row],[CPU+GPU (1)]]</f>
        <v>#VALUE!</v>
      </c>
      <c r="J75" s="119">
        <f>Table39[[#This Row],[gpu-layered]]/Table39[[#This Row],[CPU+GPU (1)]]</f>
        <v>1.0056877483917084</v>
      </c>
      <c r="K75" s="36">
        <v>206.21</v>
      </c>
      <c r="L75" s="116">
        <f>Table39[[#This Row],[CPU+GPU (10)]]/Table39[[#This Row],[CPU+GPU (1)]]</f>
        <v>0.98265427686442708</v>
      </c>
      <c r="M75" s="116">
        <f>Table39[[#This Row],[gpu-hybrid]]/Table39[[#This Row],[gpu-layered]]</f>
        <v>2.0304337719375432</v>
      </c>
      <c r="N75" s="36">
        <f>Table39[[#This Row],[g2aimd]]/Table39[[#This Row],[gpu-layered]]</f>
        <v>0.92193439635361751</v>
      </c>
      <c r="AI75" s="77" t="s">
        <v>1411</v>
      </c>
      <c r="AJ75">
        <v>9</v>
      </c>
      <c r="AK75" s="2">
        <v>4.4936379999999998</v>
      </c>
      <c r="AL75" s="2">
        <v>37.25</v>
      </c>
      <c r="AM75" s="107">
        <f>Table710[[#This Row],[no pingpong]]/Table710[[#This Row],[pingpong+hostcopy]]</f>
        <v>0.12063457718120804</v>
      </c>
    </row>
    <row r="76" spans="2:39" ht="23" hidden="1" x14ac:dyDescent="0.3">
      <c r="B76" s="80" t="s">
        <v>1462</v>
      </c>
      <c r="C76" s="80">
        <v>8</v>
      </c>
      <c r="D76" s="36">
        <v>6.4689100000000002</v>
      </c>
      <c r="E76" s="36">
        <v>4.6888670000000001</v>
      </c>
      <c r="F76" s="36">
        <v>5.2331940000000001</v>
      </c>
      <c r="G76" s="36">
        <v>421.41624300000001</v>
      </c>
      <c r="H76" s="36">
        <v>5.53</v>
      </c>
      <c r="I76" s="116">
        <f>Table39[[#This Row],[CPU Only]]/Table39[[#This Row],[CPU+GPU (1)]]</f>
        <v>76.205468896925851</v>
      </c>
      <c r="J76" s="119">
        <f>Table39[[#This Row],[gpu-layered]]/Table39[[#This Row],[CPU+GPU (1)]]</f>
        <v>0.9463280289330922</v>
      </c>
      <c r="K76" s="36">
        <v>5.42</v>
      </c>
      <c r="L76" s="116">
        <f>Table39[[#This Row],[CPU+GPU (10)]]/Table39[[#This Row],[CPU+GPU (1)]]</f>
        <v>0.98010849909584086</v>
      </c>
      <c r="M76" s="116">
        <f>Table39[[#This Row],[gpu-hybrid]]/Table39[[#This Row],[gpu-layered]]</f>
        <v>0.8959857020397104</v>
      </c>
      <c r="N76" s="36">
        <f>Table39[[#This Row],[g2aimd]]/Table39[[#This Row],[gpu-layered]]</f>
        <v>1.2361303632160399</v>
      </c>
      <c r="AI76" s="77" t="s">
        <v>1</v>
      </c>
      <c r="AJ76">
        <v>25</v>
      </c>
      <c r="AK76" s="2">
        <v>4.7557159999999996</v>
      </c>
      <c r="AL76" s="2">
        <v>4.9436109999999998</v>
      </c>
      <c r="AM76" s="107">
        <f>Table710[[#This Row],[no pingpong]]/Table710[[#This Row],[pingpong+hostcopy]]</f>
        <v>0.96199235740838018</v>
      </c>
    </row>
    <row r="77" spans="2:39" ht="23" hidden="1" x14ac:dyDescent="0.3">
      <c r="B77" s="80" t="s">
        <v>4</v>
      </c>
      <c r="C77" s="80">
        <v>8</v>
      </c>
      <c r="D77" s="36">
        <v>141.626859</v>
      </c>
      <c r="E77" s="36">
        <v>182.3</v>
      </c>
      <c r="F77" s="36">
        <v>153.56200100000001</v>
      </c>
      <c r="G77" s="36" t="s">
        <v>4003</v>
      </c>
      <c r="H77" s="36">
        <v>149.04</v>
      </c>
      <c r="I77" s="116" t="e">
        <f>Table39[[#This Row],[CPU Only]]/Table39[[#This Row],[CPU+GPU (1)]]</f>
        <v>#VALUE!</v>
      </c>
      <c r="J77" s="119">
        <f>Table39[[#This Row],[gpu-layered]]/Table39[[#This Row],[CPU+GPU (1)]]</f>
        <v>1.0303408548040796</v>
      </c>
      <c r="K77" s="36">
        <v>145.37</v>
      </c>
      <c r="L77" s="116">
        <f>Table39[[#This Row],[CPU+GPU (10)]]/Table39[[#This Row],[CPU+GPU (1)]]</f>
        <v>0.97537573805689759</v>
      </c>
      <c r="M77" s="116">
        <f>Table39[[#This Row],[gpu-hybrid]]/Table39[[#This Row],[gpu-layered]]</f>
        <v>1.1871426447484232</v>
      </c>
      <c r="N77" s="36">
        <f>Table39[[#This Row],[g2aimd]]/Table39[[#This Row],[gpu-layered]]</f>
        <v>0.92227802501739986</v>
      </c>
      <c r="AI77" s="77" t="s">
        <v>1391</v>
      </c>
      <c r="AJ77">
        <v>5</v>
      </c>
      <c r="AK77" s="2">
        <v>4.8162799999999999</v>
      </c>
      <c r="AL77" s="2">
        <v>3.6336750000000002</v>
      </c>
      <c r="AM77" s="107">
        <f>Table710[[#This Row],[no pingpong]]/Table710[[#This Row],[pingpong+hostcopy]]</f>
        <v>1.3254570097766034</v>
      </c>
    </row>
    <row r="78" spans="2:39" ht="23" hidden="1" x14ac:dyDescent="0.3">
      <c r="B78" s="80" t="s">
        <v>3920</v>
      </c>
      <c r="C78" s="80">
        <v>8</v>
      </c>
      <c r="D78" s="36">
        <v>3.6435110000000002</v>
      </c>
      <c r="E78" s="36">
        <v>1.647799</v>
      </c>
      <c r="F78" s="36">
        <v>2.1922809999999999</v>
      </c>
      <c r="G78" s="36">
        <v>39.925942999999997</v>
      </c>
      <c r="H78" s="36">
        <v>2.0666129999999998</v>
      </c>
      <c r="I78" s="116">
        <f>Table39[[#This Row],[CPU Only]]/Table39[[#This Row],[CPU+GPU (1)]]</f>
        <v>19.319506361374867</v>
      </c>
      <c r="J78" s="119">
        <f>Table39[[#This Row],[gpu-layered]]/Table39[[#This Row],[CPU+GPU (1)]]</f>
        <v>1.0608086758381952</v>
      </c>
      <c r="K78" s="36">
        <v>2.0116350000000001</v>
      </c>
      <c r="L78" s="116">
        <f>Table39[[#This Row],[CPU+GPU (10)]]/Table39[[#This Row],[CPU+GPU (1)]]</f>
        <v>0.97339705111697272</v>
      </c>
      <c r="M78" s="116">
        <f>Table39[[#This Row],[gpu-hybrid]]/Table39[[#This Row],[gpu-layered]]</f>
        <v>0.75163676554237346</v>
      </c>
      <c r="N78" s="36">
        <f>Table39[[#This Row],[g2aimd]]/Table39[[#This Row],[gpu-layered]]</f>
        <v>1.661972621210511</v>
      </c>
      <c r="AI78" s="77" t="s">
        <v>1425</v>
      </c>
      <c r="AJ78">
        <v>9</v>
      </c>
      <c r="AK78" s="2">
        <v>5.2190339999999997</v>
      </c>
      <c r="AL78" s="2">
        <v>8.3800000000000008</v>
      </c>
      <c r="AM78" s="107">
        <f>Table710[[#This Row],[no pingpong]]/Table710[[#This Row],[pingpong+hostcopy]]</f>
        <v>0.62279642004773261</v>
      </c>
    </row>
    <row r="79" spans="2:39" ht="23" hidden="1" x14ac:dyDescent="0.3">
      <c r="B79" s="80" t="s">
        <v>1462</v>
      </c>
      <c r="C79" s="80">
        <v>7</v>
      </c>
      <c r="D79" s="36">
        <v>5.9236139999999997</v>
      </c>
      <c r="E79" s="36">
        <v>5.7007940000000001</v>
      </c>
      <c r="F79" s="36">
        <v>6.1118319999999997</v>
      </c>
      <c r="G79" s="36">
        <v>356.14324099999999</v>
      </c>
      <c r="H79" s="36">
        <v>6.59</v>
      </c>
      <c r="I79" s="116">
        <f>Table39[[#This Row],[CPU Only]]/Table39[[#This Row],[CPU+GPU (1)]]</f>
        <v>54.042980424886188</v>
      </c>
      <c r="J79" s="119">
        <f>Table39[[#This Row],[gpu-layered]]/Table39[[#This Row],[CPU+GPU (1)]]</f>
        <v>0.92744036418816389</v>
      </c>
      <c r="K79" s="36">
        <v>6.41</v>
      </c>
      <c r="L79" s="116">
        <f>Table39[[#This Row],[CPU+GPU (10)]]/Table39[[#This Row],[CPU+GPU (1)]]</f>
        <v>0.9726858877086495</v>
      </c>
      <c r="M79" s="116">
        <f>Table39[[#This Row],[gpu-hybrid]]/Table39[[#This Row],[gpu-layered]]</f>
        <v>0.93274716975204819</v>
      </c>
      <c r="N79" s="36">
        <f>Table39[[#This Row],[g2aimd]]/Table39[[#This Row],[gpu-layered]]</f>
        <v>0.96920432367905396</v>
      </c>
      <c r="AI79" s="77" t="s">
        <v>3912</v>
      </c>
      <c r="AJ79">
        <v>9</v>
      </c>
      <c r="AK79" s="2">
        <v>5.362946</v>
      </c>
      <c r="AL79" s="2">
        <v>5.6056730000000003</v>
      </c>
      <c r="AM79" s="107">
        <f>Table710[[#This Row],[no pingpong]]/Table710[[#This Row],[pingpong+hostcopy]]</f>
        <v>0.95669975754918268</v>
      </c>
    </row>
    <row r="80" spans="2:39" ht="23" hidden="1" x14ac:dyDescent="0.3">
      <c r="B80" s="80" t="s">
        <v>3912</v>
      </c>
      <c r="C80" s="80">
        <v>9</v>
      </c>
      <c r="D80" s="36">
        <v>7.2557400000000003</v>
      </c>
      <c r="E80" s="36">
        <v>13</v>
      </c>
      <c r="F80" s="36">
        <v>5.362946</v>
      </c>
      <c r="G80" s="36">
        <v>267.42445199999997</v>
      </c>
      <c r="H80" s="36">
        <v>5.6056730000000003</v>
      </c>
      <c r="I80" s="116">
        <f>Table39[[#This Row],[CPU Only]]/Table39[[#This Row],[CPU+GPU (1)]]</f>
        <v>47.706038507775958</v>
      </c>
      <c r="J80" s="119">
        <f>Table39[[#This Row],[gpu-layered]]/Table39[[#This Row],[CPU+GPU (1)]]</f>
        <v>0.95669975754918268</v>
      </c>
      <c r="K80" s="36">
        <v>5.4</v>
      </c>
      <c r="L80" s="116">
        <f>Table39[[#This Row],[CPU+GPU (10)]]/Table39[[#This Row],[CPU+GPU (1)]]</f>
        <v>0.96330984700677336</v>
      </c>
      <c r="M80" s="116">
        <f>Table39[[#This Row],[gpu-hybrid]]/Table39[[#This Row],[gpu-layered]]</f>
        <v>2.4240408163721954</v>
      </c>
      <c r="N80" s="36">
        <f>Table39[[#This Row],[g2aimd]]/Table39[[#This Row],[gpu-layered]]</f>
        <v>1.3529392240757225</v>
      </c>
      <c r="AI80" s="77" t="s">
        <v>1461</v>
      </c>
      <c r="AJ80">
        <v>2</v>
      </c>
      <c r="AK80" s="2">
        <v>5.4978040000000004</v>
      </c>
      <c r="AL80" s="2">
        <v>29.18</v>
      </c>
      <c r="AM80" s="107">
        <f>Table710[[#This Row],[no pingpong]]/Table710[[#This Row],[pingpong+hostcopy]]</f>
        <v>0.1884100068540096</v>
      </c>
    </row>
    <row r="81" spans="2:40" ht="23" hidden="1" x14ac:dyDescent="0.3">
      <c r="B81" s="80" t="s">
        <v>1462</v>
      </c>
      <c r="C81" s="80">
        <v>9</v>
      </c>
      <c r="D81" s="36">
        <v>2.9886979999999999</v>
      </c>
      <c r="E81" s="36">
        <v>1.2163930000000001</v>
      </c>
      <c r="F81" s="36">
        <v>1.2906679999999999</v>
      </c>
      <c r="G81" s="36">
        <v>9.6160619999999994</v>
      </c>
      <c r="H81" s="36">
        <v>1.474232</v>
      </c>
      <c r="I81" s="116">
        <f>Table39[[#This Row],[CPU Only]]/Table39[[#This Row],[CPU+GPU (1)]]</f>
        <v>6.5227603253761952</v>
      </c>
      <c r="J81" s="119">
        <f>Table39[[#This Row],[gpu-layered]]/Table39[[#This Row],[CPU+GPU (1)]]</f>
        <v>0.87548499829063531</v>
      </c>
      <c r="K81" s="36">
        <v>1.4097999999999999</v>
      </c>
      <c r="L81" s="116">
        <f>Table39[[#This Row],[CPU+GPU (10)]]/Table39[[#This Row],[CPU+GPU (1)]]</f>
        <v>0.95629453166123102</v>
      </c>
      <c r="M81" s="116">
        <f>Table39[[#This Row],[gpu-hybrid]]/Table39[[#This Row],[gpu-layered]]</f>
        <v>0.94245228052450369</v>
      </c>
      <c r="N81" s="36">
        <f>Table39[[#This Row],[g2aimd]]/Table39[[#This Row],[gpu-layered]]</f>
        <v>2.3156210582427086</v>
      </c>
      <c r="AI81" s="77" t="s">
        <v>18</v>
      </c>
      <c r="AJ81">
        <v>9</v>
      </c>
      <c r="AK81" s="2">
        <v>5.5034890000000001</v>
      </c>
      <c r="AL81" s="2">
        <v>14.01</v>
      </c>
      <c r="AM81" s="107">
        <f>Table710[[#This Row],[no pingpong]]/Table710[[#This Row],[pingpong+hostcopy]]</f>
        <v>0.39282576730906499</v>
      </c>
    </row>
    <row r="82" spans="2:40" ht="23" hidden="1" x14ac:dyDescent="0.3">
      <c r="B82" s="80" t="s">
        <v>3920</v>
      </c>
      <c r="C82" s="80">
        <v>7</v>
      </c>
      <c r="D82" s="36">
        <v>1.3551930000000001</v>
      </c>
      <c r="E82" s="36">
        <v>1.157859</v>
      </c>
      <c r="F82" s="36">
        <v>1.482437</v>
      </c>
      <c r="G82" s="36">
        <v>57.515585000000002</v>
      </c>
      <c r="H82" s="36">
        <v>1.460269</v>
      </c>
      <c r="I82" s="116">
        <f>Table39[[#This Row],[CPU Only]]/Table39[[#This Row],[CPU+GPU (1)]]</f>
        <v>39.38697938530504</v>
      </c>
      <c r="J82" s="119">
        <f>Table39[[#This Row],[gpu-layered]]/Table39[[#This Row],[CPU+GPU (1)]]</f>
        <v>1.0151807646399396</v>
      </c>
      <c r="K82" s="36">
        <v>1.3889899999999999</v>
      </c>
      <c r="L82" s="116">
        <f>Table39[[#This Row],[CPU+GPU (10)]]/Table39[[#This Row],[CPU+GPU (1)]]</f>
        <v>0.95118776061122978</v>
      </c>
      <c r="M82" s="116">
        <f>Table39[[#This Row],[gpu-hybrid]]/Table39[[#This Row],[gpu-layered]]</f>
        <v>0.78105106658832713</v>
      </c>
      <c r="N82" s="36">
        <f>Table39[[#This Row],[g2aimd]]/Table39[[#This Row],[gpu-layered]]</f>
        <v>0.91416566100279473</v>
      </c>
      <c r="AI82" s="77" t="s">
        <v>1455</v>
      </c>
      <c r="AJ82">
        <v>25</v>
      </c>
      <c r="AK82" s="2">
        <v>5.7600699999999998</v>
      </c>
      <c r="AL82" s="2">
        <v>5.54</v>
      </c>
      <c r="AM82" s="107">
        <f>Table710[[#This Row],[no pingpong]]/Table710[[#This Row],[pingpong+hostcopy]]</f>
        <v>1.0397238267148015</v>
      </c>
    </row>
    <row r="83" spans="2:40" ht="23" hidden="1" x14ac:dyDescent="0.3">
      <c r="B83" s="80" t="s">
        <v>7</v>
      </c>
      <c r="C83" s="80">
        <v>8</v>
      </c>
      <c r="D83" s="36">
        <v>102.774126</v>
      </c>
      <c r="E83" s="36">
        <v>159.88999999999999</v>
      </c>
      <c r="F83" s="36">
        <v>100.45858800000001</v>
      </c>
      <c r="G83" s="36" t="s">
        <v>4003</v>
      </c>
      <c r="H83" s="36">
        <v>101.5</v>
      </c>
      <c r="I83" s="116" t="e">
        <f>Table39[[#This Row],[CPU Only]]/Table39[[#This Row],[CPU+GPU (1)]]</f>
        <v>#VALUE!</v>
      </c>
      <c r="J83" s="119">
        <f>Table39[[#This Row],[gpu-layered]]/Table39[[#This Row],[CPU+GPU (1)]]</f>
        <v>0.98973978325123158</v>
      </c>
      <c r="K83" s="36">
        <v>96.26</v>
      </c>
      <c r="L83" s="116">
        <f>Table39[[#This Row],[CPU+GPU (10)]]/Table39[[#This Row],[CPU+GPU (1)]]</f>
        <v>0.94837438423645326</v>
      </c>
      <c r="M83" s="116">
        <f>Table39[[#This Row],[gpu-hybrid]]/Table39[[#This Row],[gpu-layered]]</f>
        <v>1.5916011083094257</v>
      </c>
      <c r="N83" s="36">
        <f>Table39[[#This Row],[g2aimd]]/Table39[[#This Row],[gpu-layered]]</f>
        <v>1.0230496769474799</v>
      </c>
      <c r="AI83" s="77" t="s">
        <v>3919</v>
      </c>
      <c r="AJ83">
        <v>8</v>
      </c>
      <c r="AK83" s="2">
        <v>6.0313509999999999</v>
      </c>
      <c r="AL83" s="2">
        <v>5.7578069999999997</v>
      </c>
      <c r="AM83" s="107">
        <f>Table710[[#This Row],[no pingpong]]/Table710[[#This Row],[pingpong+hostcopy]]</f>
        <v>1.0475083655982218</v>
      </c>
    </row>
    <row r="84" spans="2:40" ht="23" hidden="1" x14ac:dyDescent="0.3">
      <c r="B84" s="80" t="s">
        <v>3912</v>
      </c>
      <c r="C84" s="80">
        <v>6</v>
      </c>
      <c r="D84" s="36">
        <v>62.898426000000001</v>
      </c>
      <c r="E84" s="36">
        <v>275.37</v>
      </c>
      <c r="F84" s="36">
        <v>57.623711</v>
      </c>
      <c r="G84" s="36">
        <v>681.58641899999998</v>
      </c>
      <c r="H84" s="36">
        <v>57.396535</v>
      </c>
      <c r="I84" s="116">
        <f>Table39[[#This Row],[CPU Only]]/Table39[[#This Row],[CPU+GPU (1)]]</f>
        <v>11.875044704353668</v>
      </c>
      <c r="J84" s="119">
        <f>Table39[[#This Row],[gpu-layered]]/Table39[[#This Row],[CPU+GPU (1)]]</f>
        <v>1.003958008963433</v>
      </c>
      <c r="K84" s="36">
        <v>53.98</v>
      </c>
      <c r="L84" s="116">
        <f>Table39[[#This Row],[CPU+GPU (10)]]/Table39[[#This Row],[CPU+GPU (1)]]</f>
        <v>0.94047489103654069</v>
      </c>
      <c r="M84" s="116">
        <f>Table39[[#This Row],[gpu-hybrid]]/Table39[[#This Row],[gpu-layered]]</f>
        <v>4.7787619926109928</v>
      </c>
      <c r="N84" s="36">
        <f>Table39[[#This Row],[g2aimd]]/Table39[[#This Row],[gpu-layered]]</f>
        <v>1.0915372319564771</v>
      </c>
      <c r="AI84" s="77" t="s">
        <v>1461</v>
      </c>
      <c r="AJ84">
        <v>9</v>
      </c>
      <c r="AK84" s="2">
        <v>6.5457919999999996</v>
      </c>
      <c r="AL84" s="2">
        <v>11.88</v>
      </c>
      <c r="AM84" s="107">
        <f>Table710[[#This Row],[no pingpong]]/Table710[[#This Row],[pingpong+hostcopy]]</f>
        <v>0.55099259259259248</v>
      </c>
    </row>
    <row r="85" spans="2:40" ht="23" hidden="1" x14ac:dyDescent="0.3">
      <c r="B85" s="80" t="s">
        <v>3</v>
      </c>
      <c r="C85" s="80">
        <v>8</v>
      </c>
      <c r="D85" s="36">
        <v>186.73593600000001</v>
      </c>
      <c r="E85" s="36">
        <v>260.60000000000002</v>
      </c>
      <c r="F85" s="36">
        <v>207.64514199999999</v>
      </c>
      <c r="G85" s="36" t="s">
        <v>4003</v>
      </c>
      <c r="H85" s="36">
        <v>205.28</v>
      </c>
      <c r="I85" s="116" t="e">
        <f>Table39[[#This Row],[CPU Only]]/Table39[[#This Row],[CPU+GPU (1)]]</f>
        <v>#VALUE!</v>
      </c>
      <c r="J85" s="119">
        <f>Table39[[#This Row],[gpu-layered]]/Table39[[#This Row],[CPU+GPU (1)]]</f>
        <v>1.0115215413094309</v>
      </c>
      <c r="K85" s="36">
        <v>192.79</v>
      </c>
      <c r="L85" s="116">
        <f>Table39[[#This Row],[CPU+GPU (10)]]/Table39[[#This Row],[CPU+GPU (1)]]</f>
        <v>0.9391562743569758</v>
      </c>
      <c r="M85" s="116">
        <f>Table39[[#This Row],[gpu-hybrid]]/Table39[[#This Row],[gpu-layered]]</f>
        <v>1.2550257496512971</v>
      </c>
      <c r="N85" s="36">
        <f>Table39[[#This Row],[g2aimd]]/Table39[[#This Row],[gpu-layered]]</f>
        <v>0.89930317753352507</v>
      </c>
      <c r="AI85" s="77" t="s">
        <v>1423</v>
      </c>
      <c r="AJ85">
        <v>9</v>
      </c>
      <c r="AK85" s="2">
        <v>8.3094400000000004</v>
      </c>
      <c r="AL85" s="2">
        <v>14.07</v>
      </c>
      <c r="AM85" s="107">
        <f>Table710[[#This Row],[no pingpong]]/Table710[[#This Row],[pingpong+hostcopy]]</f>
        <v>0.59057853589196874</v>
      </c>
    </row>
    <row r="86" spans="2:40" ht="23" hidden="1" x14ac:dyDescent="0.3">
      <c r="B86" s="80" t="s">
        <v>1462</v>
      </c>
      <c r="C86" s="80">
        <v>6</v>
      </c>
      <c r="D86" s="36">
        <v>40.95899</v>
      </c>
      <c r="E86" s="36">
        <v>420.24</v>
      </c>
      <c r="F86" s="36">
        <v>36.258899</v>
      </c>
      <c r="G86" s="36">
        <v>267.27299799999997</v>
      </c>
      <c r="H86" s="36">
        <v>34.991681</v>
      </c>
      <c r="I86" s="116">
        <f>Table39[[#This Row],[CPU Only]]/Table39[[#This Row],[CPU+GPU (1)]]</f>
        <v>7.6381868593280782</v>
      </c>
      <c r="J86" s="119">
        <f>Table39[[#This Row],[gpu-layered]]/Table39[[#This Row],[CPU+GPU (1)]]</f>
        <v>1.0362148363206671</v>
      </c>
      <c r="K86" s="36">
        <v>32.47</v>
      </c>
      <c r="L86" s="116">
        <f>Table39[[#This Row],[CPU+GPU (10)]]/Table39[[#This Row],[CPU+GPU (1)]]</f>
        <v>0.92793484257015257</v>
      </c>
      <c r="M86" s="116">
        <f>Table39[[#This Row],[gpu-hybrid]]/Table39[[#This Row],[gpu-layered]]</f>
        <v>11.589982365432553</v>
      </c>
      <c r="N86" s="36">
        <f>Table39[[#This Row],[g2aimd]]/Table39[[#This Row],[gpu-layered]]</f>
        <v>1.1296258609507144</v>
      </c>
      <c r="AI86" s="77" t="s">
        <v>1346</v>
      </c>
      <c r="AJ86">
        <v>5</v>
      </c>
      <c r="AK86" s="2">
        <v>8.3391870000000008</v>
      </c>
      <c r="AL86" s="2">
        <v>9</v>
      </c>
      <c r="AM86" s="107">
        <f>Table710[[#This Row],[no pingpong]]/Table710[[#This Row],[pingpong+hostcopy]]</f>
        <v>0.92657633333333345</v>
      </c>
    </row>
    <row r="87" spans="2:40" ht="23" hidden="1" x14ac:dyDescent="0.3">
      <c r="B87" s="80" t="s">
        <v>11</v>
      </c>
      <c r="C87" s="80">
        <v>6</v>
      </c>
      <c r="D87" s="36">
        <v>54.273223999999999</v>
      </c>
      <c r="E87" s="36">
        <v>293.73</v>
      </c>
      <c r="F87" s="36">
        <v>50.285676000000002</v>
      </c>
      <c r="G87" s="36">
        <v>416.52327600000001</v>
      </c>
      <c r="H87" s="36">
        <v>49.908605999999999</v>
      </c>
      <c r="I87" s="116">
        <f>Table39[[#This Row],[CPU Only]]/Table39[[#This Row],[CPU+GPU (1)]]</f>
        <v>8.3457204955794602</v>
      </c>
      <c r="J87" s="119">
        <f>Table39[[#This Row],[gpu-layered]]/Table39[[#This Row],[CPU+GPU (1)]]</f>
        <v>1.0075552100172864</v>
      </c>
      <c r="K87" s="36">
        <v>46.14</v>
      </c>
      <c r="L87" s="116">
        <f>Table39[[#This Row],[CPU+GPU (10)]]/Table39[[#This Row],[CPU+GPU (1)]]</f>
        <v>0.92448985651893389</v>
      </c>
      <c r="M87" s="116">
        <f>Table39[[#This Row],[gpu-hybrid]]/Table39[[#This Row],[gpu-layered]]</f>
        <v>5.8412260382061882</v>
      </c>
      <c r="N87" s="36">
        <f>Table39[[#This Row],[g2aimd]]/Table39[[#This Row],[gpu-layered]]</f>
        <v>1.0792978899199843</v>
      </c>
      <c r="AI87" s="77" t="s">
        <v>1423</v>
      </c>
      <c r="AJ87">
        <v>2</v>
      </c>
      <c r="AK87" s="2">
        <v>8.7754530000000006</v>
      </c>
      <c r="AL87" s="2">
        <v>26.516697000000001</v>
      </c>
      <c r="AM87" s="107">
        <f>Table710[[#This Row],[no pingpong]]/Table710[[#This Row],[pingpong+hostcopy]]</f>
        <v>0.33094065222376678</v>
      </c>
    </row>
    <row r="88" spans="2:40" ht="23" hidden="1" x14ac:dyDescent="0.3">
      <c r="B88" s="80" t="s">
        <v>3920</v>
      </c>
      <c r="C88" s="80">
        <v>5</v>
      </c>
      <c r="D88" s="36">
        <v>2.7372619999999999</v>
      </c>
      <c r="E88" s="36">
        <v>0.72931199999999996</v>
      </c>
      <c r="F88" s="36">
        <v>0.96411000000000002</v>
      </c>
      <c r="G88" s="36">
        <v>8.2980940000000007</v>
      </c>
      <c r="H88" s="36">
        <v>1.0534380000000001</v>
      </c>
      <c r="I88" s="116">
        <f>Table39[[#This Row],[CPU Only]]/Table39[[#This Row],[CPU+GPU (1)]]</f>
        <v>7.8771546118518598</v>
      </c>
      <c r="J88" s="119">
        <f>Table39[[#This Row],[gpu-layered]]/Table39[[#This Row],[CPU+GPU (1)]]</f>
        <v>0.91520336270383251</v>
      </c>
      <c r="K88" s="36">
        <v>0.94176800000000005</v>
      </c>
      <c r="L88" s="116">
        <f>Table39[[#This Row],[CPU+GPU (10)]]/Table39[[#This Row],[CPU+GPU (1)]]</f>
        <v>0.89399471065216929</v>
      </c>
      <c r="M88" s="116">
        <f>Table39[[#This Row],[gpu-hybrid]]/Table39[[#This Row],[gpu-layered]]</f>
        <v>0.75646139963282188</v>
      </c>
      <c r="N88" s="36">
        <f>Table39[[#This Row],[g2aimd]]/Table39[[#This Row],[gpu-layered]]</f>
        <v>2.8391594320150189</v>
      </c>
      <c r="AI88" s="77" t="s">
        <v>1371</v>
      </c>
      <c r="AJ88">
        <v>7</v>
      </c>
      <c r="AK88" s="2">
        <v>8.8003280000000004</v>
      </c>
      <c r="AL88" s="2">
        <v>9.67</v>
      </c>
      <c r="AM88" s="107">
        <f>Table710[[#This Row],[no pingpong]]/Table710[[#This Row],[pingpong+hostcopy]]</f>
        <v>0.91006494312306108</v>
      </c>
    </row>
    <row r="89" spans="2:40" ht="22" hidden="1" x14ac:dyDescent="0.25">
      <c r="AI89" s="77" t="s">
        <v>1391</v>
      </c>
      <c r="AJ89">
        <v>7</v>
      </c>
      <c r="AK89" s="2">
        <v>9.1454550000000001</v>
      </c>
      <c r="AL89" s="2">
        <v>9.1967490000000005</v>
      </c>
      <c r="AM89" s="107">
        <f>Table710[[#This Row],[no pingpong]]/Table710[[#This Row],[pingpong+hostcopy]]</f>
        <v>0.99442259433197533</v>
      </c>
    </row>
    <row r="90" spans="2:40" ht="22" hidden="1" x14ac:dyDescent="0.25">
      <c r="AI90" s="77" t="s">
        <v>3912</v>
      </c>
      <c r="AJ90">
        <v>5</v>
      </c>
      <c r="AK90" s="2">
        <v>9.7607599999999994</v>
      </c>
      <c r="AL90" s="2">
        <v>9.9234120000000008</v>
      </c>
      <c r="AM90" s="107">
        <f>Table710[[#This Row],[no pingpong]]/Table710[[#This Row],[pingpong+hostcopy]]</f>
        <v>0.98360926665142989</v>
      </c>
    </row>
    <row r="91" spans="2:40" ht="26" x14ac:dyDescent="0.35">
      <c r="AH91">
        <v>1</v>
      </c>
      <c r="AI91" s="77" t="s">
        <v>1371</v>
      </c>
      <c r="AJ91">
        <v>8</v>
      </c>
      <c r="AK91" s="48">
        <v>10.159229</v>
      </c>
      <c r="AL91" s="48">
        <v>10.78</v>
      </c>
      <c r="AM91" s="97">
        <v>15.92</v>
      </c>
      <c r="AN91" s="77"/>
    </row>
    <row r="92" spans="2:40" ht="26" x14ac:dyDescent="0.35">
      <c r="AH92">
        <v>1</v>
      </c>
      <c r="AI92" s="77" t="s">
        <v>1448</v>
      </c>
      <c r="AJ92">
        <v>2</v>
      </c>
      <c r="AK92" s="48">
        <v>10.268869</v>
      </c>
      <c r="AL92" s="48">
        <v>10.466866</v>
      </c>
      <c r="AM92" s="97">
        <v>10.483615</v>
      </c>
      <c r="AN92" s="77"/>
    </row>
    <row r="93" spans="2:40" ht="26" x14ac:dyDescent="0.35">
      <c r="AH93">
        <v>1</v>
      </c>
      <c r="AI93" s="77" t="s">
        <v>1434</v>
      </c>
      <c r="AJ93">
        <v>9</v>
      </c>
      <c r="AK93" s="48">
        <v>11.339861000000001</v>
      </c>
      <c r="AL93" s="48">
        <v>11.41</v>
      </c>
      <c r="AM93" s="97">
        <v>16.850000000000001</v>
      </c>
      <c r="AN93" s="77"/>
    </row>
    <row r="94" spans="2:40" ht="26" x14ac:dyDescent="0.35">
      <c r="AH94">
        <v>1</v>
      </c>
      <c r="AI94" s="77" t="s">
        <v>1448</v>
      </c>
      <c r="AJ94">
        <v>9</v>
      </c>
      <c r="AK94" s="48">
        <v>14.022862</v>
      </c>
      <c r="AL94" s="48">
        <v>13.161039000000001</v>
      </c>
      <c r="AM94" s="97">
        <v>13.15311</v>
      </c>
      <c r="AN94" s="77"/>
    </row>
    <row r="95" spans="2:40" ht="26" x14ac:dyDescent="0.35">
      <c r="AH95">
        <v>1</v>
      </c>
      <c r="AI95" s="77" t="s">
        <v>3919</v>
      </c>
      <c r="AJ95">
        <v>6</v>
      </c>
      <c r="AK95" s="48">
        <v>14.641228999999999</v>
      </c>
      <c r="AL95" s="48">
        <v>15.22</v>
      </c>
      <c r="AM95" s="97">
        <v>74.239999999999995</v>
      </c>
      <c r="AN95" s="77"/>
    </row>
    <row r="96" spans="2:40" ht="26" x14ac:dyDescent="0.35">
      <c r="AH96">
        <v>1</v>
      </c>
      <c r="AI96" s="77" t="s">
        <v>1450</v>
      </c>
      <c r="AJ96">
        <v>2</v>
      </c>
      <c r="AK96" s="48">
        <v>16.624081</v>
      </c>
      <c r="AL96" s="48">
        <v>16.819852000000001</v>
      </c>
      <c r="AM96" s="97">
        <v>16.774049999999999</v>
      </c>
      <c r="AN96" s="77"/>
    </row>
    <row r="97" spans="34:40" ht="26" x14ac:dyDescent="0.35">
      <c r="AH97">
        <v>1</v>
      </c>
      <c r="AI97" s="77" t="s">
        <v>3912</v>
      </c>
      <c r="AJ97">
        <v>7</v>
      </c>
      <c r="AK97" s="48">
        <v>19.956325</v>
      </c>
      <c r="AL97" s="48">
        <v>19.63</v>
      </c>
      <c r="AM97" s="97">
        <v>27.38</v>
      </c>
      <c r="AN97" s="77"/>
    </row>
    <row r="98" spans="34:40" ht="26" x14ac:dyDescent="0.35">
      <c r="AH98">
        <v>1</v>
      </c>
      <c r="AI98" s="77" t="s">
        <v>1431</v>
      </c>
      <c r="AJ98">
        <v>8</v>
      </c>
      <c r="AK98" s="48">
        <v>21.587534000000002</v>
      </c>
      <c r="AL98" s="48">
        <v>12.24</v>
      </c>
      <c r="AM98" s="97">
        <v>16.3</v>
      </c>
      <c r="AN98" s="77"/>
    </row>
    <row r="99" spans="34:40" ht="26" x14ac:dyDescent="0.35">
      <c r="AH99">
        <v>1</v>
      </c>
      <c r="AI99" s="77" t="s">
        <v>3912</v>
      </c>
      <c r="AJ99">
        <v>8</v>
      </c>
      <c r="AK99" s="48">
        <v>22.264191</v>
      </c>
      <c r="AL99" s="48">
        <v>22.28</v>
      </c>
      <c r="AM99" s="97">
        <v>31.8</v>
      </c>
      <c r="AN99" s="77"/>
    </row>
    <row r="100" spans="34:40" ht="26" x14ac:dyDescent="0.35">
      <c r="AH100">
        <v>1</v>
      </c>
      <c r="AI100" s="138" t="s">
        <v>1433</v>
      </c>
      <c r="AJ100" s="144">
        <v>2</v>
      </c>
      <c r="AK100" s="145">
        <v>22.509125000000001</v>
      </c>
      <c r="AL100" s="145">
        <v>22.606604000000001</v>
      </c>
      <c r="AM100" s="97">
        <v>22.617318000000001</v>
      </c>
      <c r="AN100" s="77"/>
    </row>
    <row r="101" spans="34:40" ht="26" x14ac:dyDescent="0.35">
      <c r="AH101">
        <v>1</v>
      </c>
      <c r="AI101" s="138" t="s">
        <v>1436</v>
      </c>
      <c r="AJ101" s="144">
        <v>2</v>
      </c>
      <c r="AK101" s="145">
        <v>23.602007</v>
      </c>
      <c r="AL101" s="145">
        <v>23.619126999999999</v>
      </c>
      <c r="AM101" s="97">
        <v>23.739864000000001</v>
      </c>
      <c r="AN101" s="77"/>
    </row>
    <row r="102" spans="34:40" ht="26" x14ac:dyDescent="0.35">
      <c r="AH102">
        <v>1</v>
      </c>
      <c r="AI102" s="138" t="s">
        <v>1391</v>
      </c>
      <c r="AJ102" s="144">
        <v>8</v>
      </c>
      <c r="AK102" s="145">
        <v>24.973725999999999</v>
      </c>
      <c r="AL102" s="145">
        <v>22.4</v>
      </c>
      <c r="AM102" s="97">
        <v>26.7</v>
      </c>
      <c r="AN102" s="77"/>
    </row>
    <row r="103" spans="34:40" ht="26" x14ac:dyDescent="0.35">
      <c r="AH103">
        <v>1</v>
      </c>
      <c r="AI103" s="138" t="s">
        <v>1346</v>
      </c>
      <c r="AJ103" s="144">
        <v>7</v>
      </c>
      <c r="AK103" s="145">
        <v>26.479275000000001</v>
      </c>
      <c r="AL103" s="145">
        <v>25.224063999999998</v>
      </c>
      <c r="AM103" s="97">
        <v>25.21546</v>
      </c>
      <c r="AN103" s="77"/>
    </row>
    <row r="104" spans="34:40" ht="26" x14ac:dyDescent="0.35">
      <c r="AH104">
        <v>1</v>
      </c>
      <c r="AI104" s="138" t="s">
        <v>1434</v>
      </c>
      <c r="AJ104" s="144">
        <v>5</v>
      </c>
      <c r="AK104" s="145">
        <v>27.584989</v>
      </c>
      <c r="AL104" s="145">
        <v>27.77</v>
      </c>
      <c r="AM104" s="97">
        <v>35.96</v>
      </c>
      <c r="AN104" s="77"/>
    </row>
    <row r="105" spans="34:40" ht="26" x14ac:dyDescent="0.35">
      <c r="AH105">
        <v>1</v>
      </c>
      <c r="AI105" s="138" t="s">
        <v>1450</v>
      </c>
      <c r="AJ105" s="144">
        <v>9</v>
      </c>
      <c r="AK105" s="145">
        <v>28.268073000000001</v>
      </c>
      <c r="AL105" s="145">
        <v>29.35</v>
      </c>
      <c r="AM105" s="97">
        <v>35.840000000000003</v>
      </c>
      <c r="AN105" s="77"/>
    </row>
    <row r="106" spans="34:40" ht="26" x14ac:dyDescent="0.35">
      <c r="AH106">
        <v>1</v>
      </c>
      <c r="AI106" s="138" t="s">
        <v>1346</v>
      </c>
      <c r="AJ106" s="144">
        <v>8</v>
      </c>
      <c r="AK106" s="145">
        <v>34.536710999999997</v>
      </c>
      <c r="AL106" s="145">
        <v>34.729999999999997</v>
      </c>
      <c r="AM106" s="97">
        <v>40.68</v>
      </c>
      <c r="AN106" s="77"/>
    </row>
    <row r="107" spans="34:40" ht="26" x14ac:dyDescent="0.35">
      <c r="AH107">
        <v>1</v>
      </c>
      <c r="AI107" s="138" t="s">
        <v>1411</v>
      </c>
      <c r="AJ107" s="144">
        <v>2</v>
      </c>
      <c r="AK107" s="145">
        <v>36.894198000000003</v>
      </c>
      <c r="AL107" s="145">
        <v>37.475924999999997</v>
      </c>
      <c r="AM107" s="97">
        <v>37.437714999999997</v>
      </c>
      <c r="AN107" s="77"/>
    </row>
    <row r="108" spans="34:40" ht="26" x14ac:dyDescent="0.35">
      <c r="AH108">
        <v>1</v>
      </c>
      <c r="AI108" s="138" t="s">
        <v>1449</v>
      </c>
      <c r="AJ108" s="144">
        <v>2</v>
      </c>
      <c r="AK108" s="145">
        <v>38.434747000000002</v>
      </c>
      <c r="AL108" s="145">
        <v>38.592883</v>
      </c>
      <c r="AM108" s="97">
        <v>38.600234</v>
      </c>
      <c r="AN108" s="77"/>
    </row>
    <row r="109" spans="34:40" ht="26" x14ac:dyDescent="0.35">
      <c r="AH109">
        <v>1</v>
      </c>
      <c r="AI109" s="138" t="s">
        <v>1371</v>
      </c>
      <c r="AJ109" s="144">
        <v>6</v>
      </c>
      <c r="AK109" s="146">
        <v>42.45</v>
      </c>
      <c r="AL109" s="146">
        <v>558.65</v>
      </c>
      <c r="AM109" s="147">
        <v>507.61</v>
      </c>
      <c r="AN109" s="77"/>
    </row>
    <row r="110" spans="34:40" ht="26" x14ac:dyDescent="0.35">
      <c r="AH110">
        <v>1</v>
      </c>
      <c r="AI110" s="138" t="s">
        <v>1409</v>
      </c>
      <c r="AJ110" s="144">
        <v>9</v>
      </c>
      <c r="AK110" s="145">
        <v>45.427039000000001</v>
      </c>
      <c r="AL110" s="145">
        <v>45.305000999999997</v>
      </c>
      <c r="AM110" s="97">
        <v>45.363224000000002</v>
      </c>
      <c r="AN110" s="77"/>
    </row>
    <row r="111" spans="34:40" ht="26" x14ac:dyDescent="0.35">
      <c r="AH111">
        <v>1</v>
      </c>
      <c r="AI111" s="138" t="s">
        <v>1436</v>
      </c>
      <c r="AJ111" s="144">
        <v>9</v>
      </c>
      <c r="AK111" s="145">
        <v>45.434877</v>
      </c>
      <c r="AL111" s="145">
        <v>44.800919999999998</v>
      </c>
      <c r="AM111" s="97">
        <v>44.803967999999998</v>
      </c>
      <c r="AN111" s="77"/>
    </row>
    <row r="112" spans="34:40" ht="26" x14ac:dyDescent="0.35">
      <c r="AH112">
        <v>1</v>
      </c>
      <c r="AI112" s="138" t="s">
        <v>18</v>
      </c>
      <c r="AJ112" s="144">
        <v>2</v>
      </c>
      <c r="AK112" s="145">
        <v>54.708874999999999</v>
      </c>
      <c r="AL112" s="145">
        <v>57.492663</v>
      </c>
      <c r="AM112" s="97">
        <v>58.218114999999997</v>
      </c>
      <c r="AN112" s="77"/>
    </row>
    <row r="113" spans="34:40" ht="26" x14ac:dyDescent="0.35">
      <c r="AH113">
        <v>1</v>
      </c>
      <c r="AI113" s="138" t="s">
        <v>1455</v>
      </c>
      <c r="AJ113" s="144">
        <v>2</v>
      </c>
      <c r="AK113" s="145">
        <v>56.069319</v>
      </c>
      <c r="AL113" s="145">
        <v>56.623154</v>
      </c>
      <c r="AM113" s="97">
        <v>56.611761999999999</v>
      </c>
      <c r="AN113" s="77"/>
    </row>
    <row r="114" spans="34:40" ht="26" x14ac:dyDescent="0.35">
      <c r="AH114">
        <v>1</v>
      </c>
      <c r="AI114" s="138" t="s">
        <v>3912</v>
      </c>
      <c r="AJ114" s="144">
        <v>6</v>
      </c>
      <c r="AK114" s="145">
        <v>57.623711</v>
      </c>
      <c r="AL114" s="145">
        <v>57.31</v>
      </c>
      <c r="AM114" s="97">
        <v>113.22</v>
      </c>
      <c r="AN114" s="77"/>
    </row>
    <row r="115" spans="34:40" ht="26" x14ac:dyDescent="0.35">
      <c r="AH115">
        <v>1</v>
      </c>
      <c r="AI115" s="138" t="s">
        <v>1</v>
      </c>
      <c r="AJ115" s="144">
        <v>5</v>
      </c>
      <c r="AK115" s="145">
        <v>65.316587999999996</v>
      </c>
      <c r="AL115" s="145">
        <v>50.301586</v>
      </c>
      <c r="AM115" s="97">
        <v>50.304794000000001</v>
      </c>
      <c r="AN115" s="77"/>
    </row>
    <row r="116" spans="34:40" ht="26" x14ac:dyDescent="0.35">
      <c r="AH116">
        <v>1</v>
      </c>
      <c r="AI116" s="138" t="s">
        <v>1434</v>
      </c>
      <c r="AJ116" s="144">
        <v>7</v>
      </c>
      <c r="AK116" s="145">
        <v>74.836130999999995</v>
      </c>
      <c r="AL116" s="145">
        <v>73.959999999999994</v>
      </c>
      <c r="AM116" s="97">
        <v>82.75</v>
      </c>
      <c r="AN116" s="77"/>
    </row>
    <row r="117" spans="34:40" ht="26" x14ac:dyDescent="0.35">
      <c r="AH117">
        <v>1</v>
      </c>
      <c r="AI117" s="138" t="s">
        <v>1438</v>
      </c>
      <c r="AJ117" s="144">
        <v>2</v>
      </c>
      <c r="AK117" s="145">
        <v>85.561336999999995</v>
      </c>
      <c r="AL117" s="145">
        <v>86.766284999999996</v>
      </c>
      <c r="AM117" s="97">
        <v>86.745261999999997</v>
      </c>
      <c r="AN117" s="77"/>
    </row>
    <row r="118" spans="34:40" ht="26" x14ac:dyDescent="0.35">
      <c r="AH118">
        <v>1</v>
      </c>
      <c r="AI118" s="138" t="s">
        <v>1434</v>
      </c>
      <c r="AJ118" s="144">
        <v>8</v>
      </c>
      <c r="AK118" s="145">
        <v>91.497511000000003</v>
      </c>
      <c r="AL118" s="145">
        <v>91.44</v>
      </c>
      <c r="AM118" s="97">
        <v>104.66</v>
      </c>
      <c r="AN118" s="77"/>
    </row>
    <row r="119" spans="34:40" ht="26" x14ac:dyDescent="0.35">
      <c r="AH119">
        <v>1</v>
      </c>
      <c r="AI119" s="138" t="s">
        <v>1409</v>
      </c>
      <c r="AJ119" s="144">
        <v>2</v>
      </c>
      <c r="AK119" s="145">
        <v>94.717786000000004</v>
      </c>
      <c r="AL119" s="145">
        <v>94.959768999999994</v>
      </c>
      <c r="AM119" s="97">
        <v>95.084721999999999</v>
      </c>
      <c r="AN119" s="77"/>
    </row>
    <row r="120" spans="34:40" ht="26" x14ac:dyDescent="0.35">
      <c r="AH120">
        <v>1</v>
      </c>
      <c r="AI120" s="138" t="s">
        <v>1425</v>
      </c>
      <c r="AJ120" s="144">
        <v>5</v>
      </c>
      <c r="AK120" s="145">
        <v>100.607213</v>
      </c>
      <c r="AL120" s="145">
        <v>98.147536000000002</v>
      </c>
      <c r="AM120" s="97">
        <v>98.163443000000001</v>
      </c>
      <c r="AN120" s="77"/>
    </row>
    <row r="121" spans="34:40" ht="26" x14ac:dyDescent="0.35">
      <c r="AH121">
        <v>1</v>
      </c>
      <c r="AI121" s="138" t="s">
        <v>1440</v>
      </c>
      <c r="AJ121" s="144">
        <v>9</v>
      </c>
      <c r="AK121" s="145">
        <v>121.78675800000001</v>
      </c>
      <c r="AL121" s="145">
        <v>122.12101</v>
      </c>
      <c r="AM121" s="97">
        <v>122.385575</v>
      </c>
      <c r="AN121" s="77"/>
    </row>
    <row r="122" spans="34:40" ht="26" x14ac:dyDescent="0.35">
      <c r="AH122">
        <v>1</v>
      </c>
      <c r="AI122" s="77" t="s">
        <v>3919</v>
      </c>
      <c r="AJ122">
        <v>18</v>
      </c>
      <c r="AK122" s="48">
        <v>129.07867100000001</v>
      </c>
      <c r="AL122" s="48">
        <v>121.96</v>
      </c>
      <c r="AM122" s="97">
        <v>226.22</v>
      </c>
      <c r="AN122" s="77"/>
    </row>
    <row r="123" spans="34:40" ht="26" x14ac:dyDescent="0.35">
      <c r="AH123">
        <v>1</v>
      </c>
      <c r="AI123" s="77" t="s">
        <v>1461</v>
      </c>
      <c r="AJ123">
        <v>5</v>
      </c>
      <c r="AK123" s="48">
        <v>132.62251599999999</v>
      </c>
      <c r="AL123" s="48">
        <v>131.089179</v>
      </c>
      <c r="AM123" s="97">
        <v>131.575536</v>
      </c>
      <c r="AN123" s="77"/>
    </row>
    <row r="124" spans="34:40" ht="26" x14ac:dyDescent="0.35">
      <c r="AH124">
        <v>1</v>
      </c>
      <c r="AI124" s="77" t="s">
        <v>1423</v>
      </c>
      <c r="AJ124">
        <v>5</v>
      </c>
      <c r="AK124" s="48">
        <v>154.899764</v>
      </c>
      <c r="AL124" s="48">
        <v>154.10722899999999</v>
      </c>
      <c r="AM124" s="97">
        <v>154.13155399999999</v>
      </c>
      <c r="AN124" s="77"/>
    </row>
    <row r="125" spans="34:40" ht="26" x14ac:dyDescent="0.35">
      <c r="AH125">
        <v>1</v>
      </c>
      <c r="AI125" s="77" t="s">
        <v>1440</v>
      </c>
      <c r="AJ125">
        <v>2</v>
      </c>
      <c r="AK125" s="48">
        <v>216.72742199999999</v>
      </c>
      <c r="AL125" s="48">
        <v>217.51979399999999</v>
      </c>
      <c r="AM125" s="97">
        <v>217.60641000000001</v>
      </c>
      <c r="AN125" s="77"/>
    </row>
    <row r="126" spans="34:40" ht="26" x14ac:dyDescent="0.35">
      <c r="AH126">
        <v>1</v>
      </c>
      <c r="AI126" s="77" t="s">
        <v>1411</v>
      </c>
      <c r="AJ126">
        <v>5</v>
      </c>
      <c r="AK126" s="48">
        <v>228.41716700000001</v>
      </c>
      <c r="AL126" s="48">
        <v>224.73620199999999</v>
      </c>
      <c r="AM126" s="97">
        <v>224.76857899999999</v>
      </c>
      <c r="AN126" s="77"/>
    </row>
    <row r="127" spans="34:40" ht="26" x14ac:dyDescent="0.35">
      <c r="AH127">
        <v>1</v>
      </c>
      <c r="AI127" s="77" t="s">
        <v>1</v>
      </c>
      <c r="AJ127">
        <v>8</v>
      </c>
      <c r="AK127" s="48">
        <v>245.38578000000001</v>
      </c>
      <c r="AL127" s="48">
        <v>220.36</v>
      </c>
      <c r="AM127" s="97">
        <v>266.75</v>
      </c>
      <c r="AN127" s="77"/>
    </row>
    <row r="128" spans="34:40" ht="26" x14ac:dyDescent="0.35">
      <c r="AH128">
        <v>1</v>
      </c>
      <c r="AI128" s="77" t="s">
        <v>1448</v>
      </c>
      <c r="AJ128">
        <v>5</v>
      </c>
      <c r="AK128" s="48">
        <v>291.89822400000003</v>
      </c>
      <c r="AL128" s="48">
        <v>290.11187200000001</v>
      </c>
      <c r="AM128" s="97">
        <v>290.193577</v>
      </c>
      <c r="AN128" s="77"/>
    </row>
    <row r="129" spans="34:40" ht="26" x14ac:dyDescent="0.35">
      <c r="AH129">
        <v>1</v>
      </c>
      <c r="AI129" s="77" t="s">
        <v>1425</v>
      </c>
      <c r="AJ129">
        <v>7</v>
      </c>
      <c r="AK129" s="48">
        <v>397.48090999999999</v>
      </c>
      <c r="AL129" s="48">
        <v>397.7</v>
      </c>
      <c r="AM129" s="97">
        <v>398.31</v>
      </c>
      <c r="AN129" s="77"/>
    </row>
    <row r="130" spans="34:40" ht="26" x14ac:dyDescent="0.35">
      <c r="AH130">
        <v>1</v>
      </c>
      <c r="AI130" s="77" t="s">
        <v>1425</v>
      </c>
      <c r="AJ130">
        <v>8</v>
      </c>
      <c r="AK130" s="48">
        <v>422.13027799999998</v>
      </c>
      <c r="AL130" s="48">
        <v>418.88</v>
      </c>
      <c r="AM130" s="97">
        <v>426.75</v>
      </c>
      <c r="AN130" s="77"/>
    </row>
    <row r="131" spans="34:40" ht="26" x14ac:dyDescent="0.35">
      <c r="AH131">
        <v>1</v>
      </c>
      <c r="AI131" s="77" t="s">
        <v>1461</v>
      </c>
      <c r="AJ131">
        <v>7</v>
      </c>
      <c r="AK131" s="48">
        <v>457.514028</v>
      </c>
      <c r="AL131" s="48">
        <v>457.93</v>
      </c>
      <c r="AM131" s="97">
        <v>468.97</v>
      </c>
      <c r="AN131" s="77"/>
    </row>
    <row r="132" spans="34:40" ht="26" x14ac:dyDescent="0.35">
      <c r="AH132">
        <v>1</v>
      </c>
      <c r="AI132" s="77" t="s">
        <v>18</v>
      </c>
      <c r="AJ132">
        <v>5</v>
      </c>
      <c r="AK132" s="48">
        <v>512.48145</v>
      </c>
      <c r="AL132" s="48">
        <v>504.05706199999997</v>
      </c>
      <c r="AM132" s="97">
        <v>503.83087699999999</v>
      </c>
      <c r="AN132" s="77"/>
    </row>
    <row r="133" spans="34:40" ht="26" x14ac:dyDescent="0.35">
      <c r="AH133">
        <v>1</v>
      </c>
      <c r="AI133" s="77" t="s">
        <v>1450</v>
      </c>
      <c r="AJ133">
        <v>5</v>
      </c>
      <c r="AK133" s="48">
        <v>544.28210000000001</v>
      </c>
      <c r="AL133" s="48">
        <v>534.73</v>
      </c>
      <c r="AM133" s="97">
        <v>548.08000000000004</v>
      </c>
      <c r="AN133" s="77"/>
    </row>
    <row r="134" spans="34:40" ht="22" hidden="1" x14ac:dyDescent="0.25">
      <c r="AI134" s="77" t="s">
        <v>1433</v>
      </c>
      <c r="AJ134">
        <v>5</v>
      </c>
      <c r="AK134" s="2">
        <v>567.19409700000006</v>
      </c>
      <c r="AL134" s="2" t="s">
        <v>3990</v>
      </c>
      <c r="AM134" s="107" t="e">
        <f>Table710[[#This Row],[no pingpong]]/Table710[[#This Row],[pingpong+hostcopy]]</f>
        <v>#VALUE!</v>
      </c>
    </row>
    <row r="135" spans="34:40" ht="22" hidden="1" x14ac:dyDescent="0.25">
      <c r="AI135" s="77" t="s">
        <v>1346</v>
      </c>
      <c r="AJ135">
        <v>6</v>
      </c>
      <c r="AK135" s="2" t="s">
        <v>3990</v>
      </c>
      <c r="AL135" s="2" t="s">
        <v>3990</v>
      </c>
      <c r="AM135" s="107" t="e">
        <f>Table710[[#This Row],[no pingpong]]/Table710[[#This Row],[pingpong+hostcopy]]</f>
        <v>#VALUE!</v>
      </c>
    </row>
    <row r="136" spans="34:40" ht="22" hidden="1" x14ac:dyDescent="0.25">
      <c r="AI136" s="77" t="s">
        <v>1346</v>
      </c>
      <c r="AJ136">
        <v>18</v>
      </c>
      <c r="AK136" s="2" t="s">
        <v>3990</v>
      </c>
      <c r="AL136" s="2" t="s">
        <v>3990</v>
      </c>
      <c r="AM136" s="107" t="e">
        <f>Table710[[#This Row],[no pingpong]]/Table710[[#This Row],[pingpong+hostcopy]]</f>
        <v>#VALUE!</v>
      </c>
    </row>
    <row r="137" spans="34:40" ht="22" hidden="1" x14ac:dyDescent="0.25">
      <c r="AI137" s="77" t="s">
        <v>1</v>
      </c>
      <c r="AJ137">
        <v>6</v>
      </c>
      <c r="AK137" s="2" t="s">
        <v>3990</v>
      </c>
      <c r="AL137" s="2" t="s">
        <v>3990</v>
      </c>
      <c r="AM137" s="107" t="e">
        <f>Table710[[#This Row],[no pingpong]]/Table710[[#This Row],[pingpong+hostcopy]]</f>
        <v>#VALUE!</v>
      </c>
    </row>
    <row r="138" spans="34:40" ht="22" hidden="1" x14ac:dyDescent="0.25">
      <c r="AI138" s="77" t="s">
        <v>1</v>
      </c>
      <c r="AJ138">
        <v>7</v>
      </c>
      <c r="AK138" s="2" t="s">
        <v>3990</v>
      </c>
      <c r="AL138" s="2" t="s">
        <v>3990</v>
      </c>
      <c r="AM138" s="107" t="e">
        <f>Table710[[#This Row],[no pingpong]]/Table710[[#This Row],[pingpong+hostcopy]]</f>
        <v>#VALUE!</v>
      </c>
    </row>
    <row r="139" spans="34:40" ht="22" hidden="1" x14ac:dyDescent="0.25">
      <c r="AI139" s="77" t="s">
        <v>1</v>
      </c>
      <c r="AJ139">
        <v>9</v>
      </c>
      <c r="AK139" s="2" t="s">
        <v>3990</v>
      </c>
      <c r="AL139" s="2" t="s">
        <v>3990</v>
      </c>
      <c r="AM139" s="107" t="e">
        <f>Table710[[#This Row],[no pingpong]]/Table710[[#This Row],[pingpong+hostcopy]]</f>
        <v>#VALUE!</v>
      </c>
    </row>
    <row r="140" spans="34:40" ht="22" hidden="1" x14ac:dyDescent="0.25">
      <c r="AI140" s="77" t="s">
        <v>1</v>
      </c>
      <c r="AJ140">
        <v>18</v>
      </c>
      <c r="AK140" s="2" t="s">
        <v>3990</v>
      </c>
      <c r="AL140" s="2" t="s">
        <v>3990</v>
      </c>
      <c r="AM140" s="107" t="e">
        <f>Table710[[#This Row],[no pingpong]]/Table710[[#This Row],[pingpong+hostcopy]]</f>
        <v>#VALUE!</v>
      </c>
    </row>
    <row r="141" spans="34:40" ht="22" hidden="1" x14ac:dyDescent="0.25">
      <c r="AI141" s="77" t="s">
        <v>1461</v>
      </c>
      <c r="AJ141">
        <v>6</v>
      </c>
      <c r="AK141" s="2" t="s">
        <v>3990</v>
      </c>
      <c r="AL141" s="2" t="s">
        <v>3990</v>
      </c>
      <c r="AM141" s="107" t="e">
        <f>Table710[[#This Row],[no pingpong]]/Table710[[#This Row],[pingpong+hostcopy]]</f>
        <v>#VALUE!</v>
      </c>
    </row>
    <row r="142" spans="34:40" ht="22" hidden="1" x14ac:dyDescent="0.25">
      <c r="AI142" s="121" t="s">
        <v>1461</v>
      </c>
      <c r="AJ142" s="122">
        <v>8</v>
      </c>
      <c r="AK142" s="123" t="s">
        <v>3990</v>
      </c>
      <c r="AL142" s="123">
        <v>463.53</v>
      </c>
      <c r="AM142" s="124" t="e">
        <f>Table710[[#This Row],[no pingpong]]/Table710[[#This Row],[pingpong+hostcopy]]</f>
        <v>#VALUE!</v>
      </c>
    </row>
    <row r="143" spans="34:40" ht="22" hidden="1" x14ac:dyDescent="0.25">
      <c r="AI143" s="77" t="s">
        <v>1461</v>
      </c>
      <c r="AJ143">
        <v>18</v>
      </c>
      <c r="AK143" s="2" t="s">
        <v>3990</v>
      </c>
      <c r="AL143" s="2" t="s">
        <v>3990</v>
      </c>
      <c r="AM143" s="107" t="e">
        <f>Table710[[#This Row],[no pingpong]]/Table710[[#This Row],[pingpong+hostcopy]]</f>
        <v>#VALUE!</v>
      </c>
    </row>
    <row r="144" spans="34:40" ht="22" hidden="1" x14ac:dyDescent="0.25">
      <c r="AI144" s="121" t="s">
        <v>1391</v>
      </c>
      <c r="AJ144" s="122">
        <v>6</v>
      </c>
      <c r="AK144" s="123" t="s">
        <v>3990</v>
      </c>
      <c r="AL144" s="123">
        <v>55.96</v>
      </c>
      <c r="AM144" s="124" t="e">
        <f>Table710[[#This Row],[no pingpong]]/Table710[[#This Row],[pingpong+hostcopy]]</f>
        <v>#VALUE!</v>
      </c>
    </row>
    <row r="145" spans="35:39" ht="22" hidden="1" x14ac:dyDescent="0.25">
      <c r="AI145" s="77" t="s">
        <v>1391</v>
      </c>
      <c r="AJ145">
        <v>18</v>
      </c>
      <c r="AK145" s="2" t="s">
        <v>3990</v>
      </c>
      <c r="AL145" s="2" t="s">
        <v>3990</v>
      </c>
      <c r="AM145" s="107" t="e">
        <f>Table710[[#This Row],[no pingpong]]/Table710[[#This Row],[pingpong+hostcopy]]</f>
        <v>#VALUE!</v>
      </c>
    </row>
    <row r="146" spans="35:39" ht="22" hidden="1" x14ac:dyDescent="0.25">
      <c r="AI146" s="77" t="s">
        <v>1440</v>
      </c>
      <c r="AJ146">
        <v>5</v>
      </c>
      <c r="AK146" s="2" t="s">
        <v>3990</v>
      </c>
      <c r="AL146" s="2" t="s">
        <v>3990</v>
      </c>
      <c r="AM146" s="107" t="e">
        <f>Table710[[#This Row],[no pingpong]]/Table710[[#This Row],[pingpong+hostcopy]]</f>
        <v>#VALUE!</v>
      </c>
    </row>
    <row r="147" spans="35:39" ht="22" hidden="1" x14ac:dyDescent="0.25">
      <c r="AI147" s="77" t="s">
        <v>1440</v>
      </c>
      <c r="AJ147">
        <v>6</v>
      </c>
      <c r="AK147" s="2" t="s">
        <v>3990</v>
      </c>
      <c r="AL147" s="2" t="s">
        <v>3990</v>
      </c>
      <c r="AM147" s="107" t="e">
        <f>Table710[[#This Row],[no pingpong]]/Table710[[#This Row],[pingpong+hostcopy]]</f>
        <v>#VALUE!</v>
      </c>
    </row>
    <row r="148" spans="35:39" ht="22" hidden="1" x14ac:dyDescent="0.25">
      <c r="AI148" s="77" t="s">
        <v>1440</v>
      </c>
      <c r="AJ148">
        <v>7</v>
      </c>
      <c r="AK148" s="2" t="s">
        <v>3990</v>
      </c>
      <c r="AL148" s="2" t="s">
        <v>3990</v>
      </c>
      <c r="AM148" s="107" t="e">
        <f>Table710[[#This Row],[no pingpong]]/Table710[[#This Row],[pingpong+hostcopy]]</f>
        <v>#VALUE!</v>
      </c>
    </row>
    <row r="149" spans="35:39" ht="22" hidden="1" x14ac:dyDescent="0.25">
      <c r="AI149" s="77" t="s">
        <v>1440</v>
      </c>
      <c r="AJ149">
        <v>8</v>
      </c>
      <c r="AK149" s="2" t="s">
        <v>3990</v>
      </c>
      <c r="AL149" s="2" t="s">
        <v>3990</v>
      </c>
      <c r="AM149" s="107" t="e">
        <f>Table710[[#This Row],[no pingpong]]/Table710[[#This Row],[pingpong+hostcopy]]</f>
        <v>#VALUE!</v>
      </c>
    </row>
    <row r="150" spans="35:39" ht="22" hidden="1" x14ac:dyDescent="0.25">
      <c r="AI150" s="77" t="s">
        <v>1440</v>
      </c>
      <c r="AJ150">
        <v>18</v>
      </c>
      <c r="AK150" s="2" t="s">
        <v>3990</v>
      </c>
      <c r="AL150" s="2" t="s">
        <v>3990</v>
      </c>
      <c r="AM150" s="107" t="e">
        <f>Table710[[#This Row],[no pingpong]]/Table710[[#This Row],[pingpong+hostcopy]]</f>
        <v>#VALUE!</v>
      </c>
    </row>
    <row r="151" spans="35:39" ht="22" hidden="1" x14ac:dyDescent="0.25">
      <c r="AI151" s="77" t="s">
        <v>1450</v>
      </c>
      <c r="AJ151">
        <v>6</v>
      </c>
      <c r="AK151" s="2" t="s">
        <v>3990</v>
      </c>
      <c r="AL151" s="2" t="s">
        <v>3990</v>
      </c>
      <c r="AM151" s="107" t="e">
        <f>Table710[[#This Row],[no pingpong]]/Table710[[#This Row],[pingpong+hostcopy]]</f>
        <v>#VALUE!</v>
      </c>
    </row>
    <row r="152" spans="35:39" ht="22" hidden="1" x14ac:dyDescent="0.25">
      <c r="AI152" s="77" t="s">
        <v>1450</v>
      </c>
      <c r="AJ152">
        <v>7</v>
      </c>
      <c r="AK152" s="2" t="s">
        <v>3990</v>
      </c>
      <c r="AL152" s="2" t="s">
        <v>3990</v>
      </c>
      <c r="AM152" s="107" t="e">
        <f>Table710[[#This Row],[no pingpong]]/Table710[[#This Row],[pingpong+hostcopy]]</f>
        <v>#VALUE!</v>
      </c>
    </row>
    <row r="153" spans="35:39" ht="22" hidden="1" x14ac:dyDescent="0.25">
      <c r="AI153" s="77" t="s">
        <v>1450</v>
      </c>
      <c r="AJ153">
        <v>8</v>
      </c>
      <c r="AK153" s="2" t="s">
        <v>3990</v>
      </c>
      <c r="AL153" s="2" t="s">
        <v>3990</v>
      </c>
      <c r="AM153" s="107" t="e">
        <f>Table710[[#This Row],[no pingpong]]/Table710[[#This Row],[pingpong+hostcopy]]</f>
        <v>#VALUE!</v>
      </c>
    </row>
    <row r="154" spans="35:39" ht="22" hidden="1" x14ac:dyDescent="0.25">
      <c r="AI154" s="77" t="s">
        <v>1450</v>
      </c>
      <c r="AJ154">
        <v>18</v>
      </c>
      <c r="AK154" s="2" t="s">
        <v>3990</v>
      </c>
      <c r="AL154" s="2" t="s">
        <v>3990</v>
      </c>
      <c r="AM154" s="107" t="e">
        <f>Table710[[#This Row],[no pingpong]]/Table710[[#This Row],[pingpong+hostcopy]]</f>
        <v>#VALUE!</v>
      </c>
    </row>
    <row r="155" spans="35:39" ht="22" hidden="1" x14ac:dyDescent="0.25">
      <c r="AI155" s="77" t="s">
        <v>1455</v>
      </c>
      <c r="AJ155">
        <v>5</v>
      </c>
      <c r="AK155" s="2" t="s">
        <v>3990</v>
      </c>
      <c r="AL155" s="2" t="s">
        <v>3990</v>
      </c>
      <c r="AM155" s="107" t="e">
        <f>Table710[[#This Row],[no pingpong]]/Table710[[#This Row],[pingpong+hostcopy]]</f>
        <v>#VALUE!</v>
      </c>
    </row>
    <row r="156" spans="35:39" ht="22" hidden="1" x14ac:dyDescent="0.25">
      <c r="AI156" s="77" t="s">
        <v>1455</v>
      </c>
      <c r="AJ156">
        <v>6</v>
      </c>
      <c r="AK156" s="2" t="s">
        <v>3990</v>
      </c>
      <c r="AL156" s="2" t="s">
        <v>3990</v>
      </c>
      <c r="AM156" s="107" t="e">
        <f>Table710[[#This Row],[no pingpong]]/Table710[[#This Row],[pingpong+hostcopy]]</f>
        <v>#VALUE!</v>
      </c>
    </row>
    <row r="157" spans="35:39" ht="22" hidden="1" x14ac:dyDescent="0.25">
      <c r="AI157" s="77" t="s">
        <v>1455</v>
      </c>
      <c r="AJ157">
        <v>7</v>
      </c>
      <c r="AK157" s="2" t="s">
        <v>3990</v>
      </c>
      <c r="AL157" s="2" t="s">
        <v>3990</v>
      </c>
      <c r="AM157" s="107" t="e">
        <f>Table710[[#This Row],[no pingpong]]/Table710[[#This Row],[pingpong+hostcopy]]</f>
        <v>#VALUE!</v>
      </c>
    </row>
    <row r="158" spans="35:39" ht="22" hidden="1" x14ac:dyDescent="0.25">
      <c r="AI158" s="77" t="s">
        <v>1455</v>
      </c>
      <c r="AJ158">
        <v>8</v>
      </c>
      <c r="AK158" s="2" t="s">
        <v>3990</v>
      </c>
      <c r="AL158" s="2" t="s">
        <v>3990</v>
      </c>
      <c r="AM158" s="107" t="e">
        <f>Table710[[#This Row],[no pingpong]]/Table710[[#This Row],[pingpong+hostcopy]]</f>
        <v>#VALUE!</v>
      </c>
    </row>
    <row r="159" spans="35:39" ht="22" hidden="1" x14ac:dyDescent="0.25">
      <c r="AI159" s="77" t="s">
        <v>1455</v>
      </c>
      <c r="AJ159">
        <v>9</v>
      </c>
      <c r="AK159" s="2" t="s">
        <v>3990</v>
      </c>
      <c r="AL159" s="2" t="s">
        <v>3990</v>
      </c>
      <c r="AM159" s="107" t="e">
        <f>Table710[[#This Row],[no pingpong]]/Table710[[#This Row],[pingpong+hostcopy]]</f>
        <v>#VALUE!</v>
      </c>
    </row>
    <row r="160" spans="35:39" ht="22" hidden="1" x14ac:dyDescent="0.25">
      <c r="AI160" s="77" t="s">
        <v>1455</v>
      </c>
      <c r="AJ160">
        <v>18</v>
      </c>
      <c r="AK160" s="2" t="s">
        <v>3990</v>
      </c>
      <c r="AL160" s="2" t="s">
        <v>3990</v>
      </c>
      <c r="AM160" s="107" t="e">
        <f>Table710[[#This Row],[no pingpong]]/Table710[[#This Row],[pingpong+hostcopy]]</f>
        <v>#VALUE!</v>
      </c>
    </row>
    <row r="161" spans="35:39" ht="22" hidden="1" x14ac:dyDescent="0.25">
      <c r="AI161" s="77" t="s">
        <v>1409</v>
      </c>
      <c r="AJ161">
        <v>5</v>
      </c>
      <c r="AK161" s="2" t="s">
        <v>3990</v>
      </c>
      <c r="AL161" s="2" t="s">
        <v>3990</v>
      </c>
      <c r="AM161" s="107" t="e">
        <f>Table710[[#This Row],[no pingpong]]/Table710[[#This Row],[pingpong+hostcopy]]</f>
        <v>#VALUE!</v>
      </c>
    </row>
    <row r="162" spans="35:39" ht="22" hidden="1" x14ac:dyDescent="0.25">
      <c r="AI162" s="77" t="s">
        <v>1409</v>
      </c>
      <c r="AJ162">
        <v>6</v>
      </c>
      <c r="AK162" s="2" t="s">
        <v>3990</v>
      </c>
      <c r="AL162" s="2" t="s">
        <v>3990</v>
      </c>
      <c r="AM162" s="107" t="e">
        <f>Table710[[#This Row],[no pingpong]]/Table710[[#This Row],[pingpong+hostcopy]]</f>
        <v>#VALUE!</v>
      </c>
    </row>
    <row r="163" spans="35:39" ht="22" hidden="1" x14ac:dyDescent="0.25">
      <c r="AI163" s="77" t="s">
        <v>1409</v>
      </c>
      <c r="AJ163">
        <v>7</v>
      </c>
      <c r="AK163" s="2" t="s">
        <v>3990</v>
      </c>
      <c r="AL163" s="2" t="s">
        <v>3990</v>
      </c>
      <c r="AM163" s="107" t="e">
        <f>Table710[[#This Row],[no pingpong]]/Table710[[#This Row],[pingpong+hostcopy]]</f>
        <v>#VALUE!</v>
      </c>
    </row>
    <row r="164" spans="35:39" ht="22" hidden="1" x14ac:dyDescent="0.25">
      <c r="AI164" s="77" t="s">
        <v>1409</v>
      </c>
      <c r="AJ164">
        <v>8</v>
      </c>
      <c r="AK164" s="2" t="s">
        <v>3990</v>
      </c>
      <c r="AL164" s="2" t="s">
        <v>3990</v>
      </c>
      <c r="AM164" s="107" t="e">
        <f>Table710[[#This Row],[no pingpong]]/Table710[[#This Row],[pingpong+hostcopy]]</f>
        <v>#VALUE!</v>
      </c>
    </row>
    <row r="165" spans="35:39" ht="22" hidden="1" x14ac:dyDescent="0.25">
      <c r="AI165" s="77" t="s">
        <v>1409</v>
      </c>
      <c r="AJ165">
        <v>18</v>
      </c>
      <c r="AK165" s="2" t="s">
        <v>3990</v>
      </c>
      <c r="AL165" s="2" t="s">
        <v>3990</v>
      </c>
      <c r="AM165" s="107" t="e">
        <f>Table710[[#This Row],[no pingpong]]/Table710[[#This Row],[pingpong+hostcopy]]</f>
        <v>#VALUE!</v>
      </c>
    </row>
    <row r="166" spans="35:39" ht="22" hidden="1" x14ac:dyDescent="0.25">
      <c r="AI166" s="77" t="s">
        <v>1449</v>
      </c>
      <c r="AJ166">
        <v>5</v>
      </c>
      <c r="AK166" s="2" t="s">
        <v>3990</v>
      </c>
      <c r="AL166" s="2" t="s">
        <v>3990</v>
      </c>
      <c r="AM166" s="107" t="e">
        <f>Table710[[#This Row],[no pingpong]]/Table710[[#This Row],[pingpong+hostcopy]]</f>
        <v>#VALUE!</v>
      </c>
    </row>
    <row r="167" spans="35:39" ht="22" hidden="1" x14ac:dyDescent="0.25">
      <c r="AI167" s="77" t="s">
        <v>1449</v>
      </c>
      <c r="AJ167">
        <v>6</v>
      </c>
      <c r="AK167" s="2" t="s">
        <v>3990</v>
      </c>
      <c r="AL167" s="2" t="s">
        <v>3990</v>
      </c>
      <c r="AM167" s="107" t="e">
        <f>Table710[[#This Row],[no pingpong]]/Table710[[#This Row],[pingpong+hostcopy]]</f>
        <v>#VALUE!</v>
      </c>
    </row>
    <row r="168" spans="35:39" ht="22" hidden="1" x14ac:dyDescent="0.25">
      <c r="AI168" s="77" t="s">
        <v>1449</v>
      </c>
      <c r="AJ168">
        <v>7</v>
      </c>
      <c r="AK168" s="2" t="s">
        <v>3990</v>
      </c>
      <c r="AL168" s="2" t="s">
        <v>3990</v>
      </c>
      <c r="AM168" s="107" t="e">
        <f>Table710[[#This Row],[no pingpong]]/Table710[[#This Row],[pingpong+hostcopy]]</f>
        <v>#VALUE!</v>
      </c>
    </row>
    <row r="169" spans="35:39" ht="22" hidden="1" x14ac:dyDescent="0.25">
      <c r="AI169" s="77" t="s">
        <v>1449</v>
      </c>
      <c r="AJ169">
        <v>8</v>
      </c>
      <c r="AK169" s="2" t="s">
        <v>3990</v>
      </c>
      <c r="AL169" s="2" t="s">
        <v>3990</v>
      </c>
      <c r="AM169" s="107" t="e">
        <f>Table710[[#This Row],[no pingpong]]/Table710[[#This Row],[pingpong+hostcopy]]</f>
        <v>#VALUE!</v>
      </c>
    </row>
    <row r="170" spans="35:39" ht="22" hidden="1" x14ac:dyDescent="0.25">
      <c r="AI170" s="77" t="s">
        <v>1449</v>
      </c>
      <c r="AJ170">
        <v>9</v>
      </c>
      <c r="AK170" s="2" t="s">
        <v>3990</v>
      </c>
      <c r="AL170" s="2" t="s">
        <v>3990</v>
      </c>
      <c r="AM170" s="107" t="e">
        <f>Table710[[#This Row],[no pingpong]]/Table710[[#This Row],[pingpong+hostcopy]]</f>
        <v>#VALUE!</v>
      </c>
    </row>
    <row r="171" spans="35:39" ht="22" hidden="1" x14ac:dyDescent="0.25">
      <c r="AI171" s="77" t="s">
        <v>1449</v>
      </c>
      <c r="AJ171">
        <v>18</v>
      </c>
      <c r="AK171" s="2" t="s">
        <v>3990</v>
      </c>
      <c r="AL171" s="2" t="s">
        <v>3990</v>
      </c>
      <c r="AM171" s="107" t="e">
        <f>Table710[[#This Row],[no pingpong]]/Table710[[#This Row],[pingpong+hostcopy]]</f>
        <v>#VALUE!</v>
      </c>
    </row>
    <row r="172" spans="35:39" ht="22" hidden="1" x14ac:dyDescent="0.25">
      <c r="AI172" s="77" t="s">
        <v>1437</v>
      </c>
      <c r="AJ172">
        <v>2</v>
      </c>
      <c r="AK172" s="2" t="s">
        <v>3990</v>
      </c>
      <c r="AL172" s="2" t="s">
        <v>3990</v>
      </c>
      <c r="AM172" s="107" t="e">
        <f>Table710[[#This Row],[no pingpong]]/Table710[[#This Row],[pingpong+hostcopy]]</f>
        <v>#VALUE!</v>
      </c>
    </row>
    <row r="173" spans="35:39" ht="22" hidden="1" x14ac:dyDescent="0.25">
      <c r="AI173" s="77" t="s">
        <v>1437</v>
      </c>
      <c r="AJ173">
        <v>5</v>
      </c>
      <c r="AK173" s="2" t="s">
        <v>3990</v>
      </c>
      <c r="AL173" s="2" t="s">
        <v>3990</v>
      </c>
      <c r="AM173" s="107" t="e">
        <f>Table710[[#This Row],[no pingpong]]/Table710[[#This Row],[pingpong+hostcopy]]</f>
        <v>#VALUE!</v>
      </c>
    </row>
    <row r="174" spans="35:39" ht="22" hidden="1" x14ac:dyDescent="0.25">
      <c r="AI174" s="77" t="s">
        <v>1437</v>
      </c>
      <c r="AJ174">
        <v>6</v>
      </c>
      <c r="AK174" s="2" t="s">
        <v>3990</v>
      </c>
      <c r="AL174" s="2" t="s">
        <v>3990</v>
      </c>
      <c r="AM174" s="107" t="e">
        <f>Table710[[#This Row],[no pingpong]]/Table710[[#This Row],[pingpong+hostcopy]]</f>
        <v>#VALUE!</v>
      </c>
    </row>
    <row r="175" spans="35:39" ht="22" hidden="1" x14ac:dyDescent="0.25">
      <c r="AI175" s="77" t="s">
        <v>1437</v>
      </c>
      <c r="AJ175">
        <v>7</v>
      </c>
      <c r="AK175" s="2" t="s">
        <v>3990</v>
      </c>
      <c r="AL175" s="2" t="s">
        <v>3990</v>
      </c>
      <c r="AM175" s="107" t="e">
        <f>Table710[[#This Row],[no pingpong]]/Table710[[#This Row],[pingpong+hostcopy]]</f>
        <v>#VALUE!</v>
      </c>
    </row>
    <row r="176" spans="35:39" ht="22" hidden="1" x14ac:dyDescent="0.25">
      <c r="AI176" s="77" t="s">
        <v>1437</v>
      </c>
      <c r="AJ176">
        <v>8</v>
      </c>
      <c r="AK176" s="2" t="s">
        <v>3990</v>
      </c>
      <c r="AL176" s="2" t="s">
        <v>3990</v>
      </c>
      <c r="AM176" s="107" t="e">
        <f>Table710[[#This Row],[no pingpong]]/Table710[[#This Row],[pingpong+hostcopy]]</f>
        <v>#VALUE!</v>
      </c>
    </row>
    <row r="177" spans="35:39" ht="22" hidden="1" x14ac:dyDescent="0.25">
      <c r="AI177" s="77" t="s">
        <v>1437</v>
      </c>
      <c r="AJ177">
        <v>9</v>
      </c>
      <c r="AK177" s="2" t="s">
        <v>3990</v>
      </c>
      <c r="AL177" s="2" t="s">
        <v>3990</v>
      </c>
      <c r="AM177" s="107" t="e">
        <f>Table710[[#This Row],[no pingpong]]/Table710[[#This Row],[pingpong+hostcopy]]</f>
        <v>#VALUE!</v>
      </c>
    </row>
    <row r="178" spans="35:39" ht="22" hidden="1" x14ac:dyDescent="0.25">
      <c r="AI178" s="77" t="s">
        <v>1437</v>
      </c>
      <c r="AJ178">
        <v>18</v>
      </c>
      <c r="AK178" s="2" t="s">
        <v>3990</v>
      </c>
      <c r="AL178" s="2" t="s">
        <v>3990</v>
      </c>
      <c r="AM178" s="107" t="e">
        <f>Table710[[#This Row],[no pingpong]]/Table710[[#This Row],[pingpong+hostcopy]]</f>
        <v>#VALUE!</v>
      </c>
    </row>
    <row r="179" spans="35:39" ht="22" hidden="1" x14ac:dyDescent="0.25">
      <c r="AI179" s="77" t="s">
        <v>1436</v>
      </c>
      <c r="AJ179">
        <v>5</v>
      </c>
      <c r="AK179" s="2" t="s">
        <v>3990</v>
      </c>
      <c r="AL179" s="2" t="s">
        <v>3990</v>
      </c>
      <c r="AM179" s="107" t="e">
        <f>Table710[[#This Row],[no pingpong]]/Table710[[#This Row],[pingpong+hostcopy]]</f>
        <v>#VALUE!</v>
      </c>
    </row>
    <row r="180" spans="35:39" ht="22" hidden="1" x14ac:dyDescent="0.25">
      <c r="AI180" s="77" t="s">
        <v>1436</v>
      </c>
      <c r="AJ180">
        <v>6</v>
      </c>
      <c r="AK180" s="2" t="s">
        <v>3990</v>
      </c>
      <c r="AL180" s="2" t="s">
        <v>3990</v>
      </c>
      <c r="AM180" s="107" t="e">
        <f>Table710[[#This Row],[no pingpong]]/Table710[[#This Row],[pingpong+hostcopy]]</f>
        <v>#VALUE!</v>
      </c>
    </row>
    <row r="181" spans="35:39" ht="22" hidden="1" x14ac:dyDescent="0.25">
      <c r="AI181" s="77" t="s">
        <v>1436</v>
      </c>
      <c r="AJ181">
        <v>7</v>
      </c>
      <c r="AK181" s="2" t="s">
        <v>3990</v>
      </c>
      <c r="AL181" s="2" t="s">
        <v>3990</v>
      </c>
      <c r="AM181" s="107" t="e">
        <f>Table710[[#This Row],[no pingpong]]/Table710[[#This Row],[pingpong+hostcopy]]</f>
        <v>#VALUE!</v>
      </c>
    </row>
    <row r="182" spans="35:39" ht="22" hidden="1" x14ac:dyDescent="0.25">
      <c r="AI182" s="77" t="s">
        <v>1436</v>
      </c>
      <c r="AJ182">
        <v>8</v>
      </c>
      <c r="AK182" s="2" t="s">
        <v>3990</v>
      </c>
      <c r="AL182" s="2" t="s">
        <v>3990</v>
      </c>
      <c r="AM182" s="107" t="e">
        <f>Table710[[#This Row],[no pingpong]]/Table710[[#This Row],[pingpong+hostcopy]]</f>
        <v>#VALUE!</v>
      </c>
    </row>
    <row r="183" spans="35:39" ht="22" hidden="1" x14ac:dyDescent="0.25">
      <c r="AI183" s="77" t="s">
        <v>1436</v>
      </c>
      <c r="AJ183">
        <v>18</v>
      </c>
      <c r="AK183" s="2" t="s">
        <v>3990</v>
      </c>
      <c r="AL183" s="2" t="s">
        <v>3990</v>
      </c>
      <c r="AM183" s="107" t="e">
        <f>Table710[[#This Row],[no pingpong]]/Table710[[#This Row],[pingpong+hostcopy]]</f>
        <v>#VALUE!</v>
      </c>
    </row>
    <row r="184" spans="35:39" ht="22" hidden="1" x14ac:dyDescent="0.25">
      <c r="AI184" s="77" t="s">
        <v>1433</v>
      </c>
      <c r="AJ184">
        <v>6</v>
      </c>
      <c r="AK184" s="2" t="s">
        <v>3990</v>
      </c>
      <c r="AL184" s="2" t="s">
        <v>3990</v>
      </c>
      <c r="AM184" s="107" t="e">
        <f>Table710[[#This Row],[no pingpong]]/Table710[[#This Row],[pingpong+hostcopy]]</f>
        <v>#VALUE!</v>
      </c>
    </row>
    <row r="185" spans="35:39" ht="22" hidden="1" x14ac:dyDescent="0.25">
      <c r="AI185" s="77" t="s">
        <v>1433</v>
      </c>
      <c r="AJ185">
        <v>7</v>
      </c>
      <c r="AK185" s="2" t="s">
        <v>3990</v>
      </c>
      <c r="AL185" s="2" t="s">
        <v>3990</v>
      </c>
      <c r="AM185" s="107" t="e">
        <f>Table710[[#This Row],[no pingpong]]/Table710[[#This Row],[pingpong+hostcopy]]</f>
        <v>#VALUE!</v>
      </c>
    </row>
    <row r="186" spans="35:39" ht="22" hidden="1" x14ac:dyDescent="0.25">
      <c r="AI186" s="77" t="s">
        <v>1433</v>
      </c>
      <c r="AJ186">
        <v>8</v>
      </c>
      <c r="AK186" s="2" t="s">
        <v>3990</v>
      </c>
      <c r="AL186" s="2" t="s">
        <v>3990</v>
      </c>
      <c r="AM186" s="107" t="e">
        <f>Table710[[#This Row],[no pingpong]]/Table710[[#This Row],[pingpong+hostcopy]]</f>
        <v>#VALUE!</v>
      </c>
    </row>
    <row r="187" spans="35:39" ht="22" hidden="1" x14ac:dyDescent="0.25">
      <c r="AI187" s="77" t="s">
        <v>1433</v>
      </c>
      <c r="AJ187">
        <v>9</v>
      </c>
      <c r="AK187" s="2" t="s">
        <v>3990</v>
      </c>
      <c r="AL187" s="2" t="s">
        <v>3990</v>
      </c>
      <c r="AM187" s="107" t="e">
        <f>Table710[[#This Row],[no pingpong]]/Table710[[#This Row],[pingpong+hostcopy]]</f>
        <v>#VALUE!</v>
      </c>
    </row>
    <row r="188" spans="35:39" ht="22" hidden="1" x14ac:dyDescent="0.25">
      <c r="AI188" s="77" t="s">
        <v>1433</v>
      </c>
      <c r="AJ188">
        <v>18</v>
      </c>
      <c r="AK188" s="2" t="s">
        <v>3990</v>
      </c>
      <c r="AL188" s="2" t="s">
        <v>3990</v>
      </c>
      <c r="AM188" s="107" t="e">
        <f>Table710[[#This Row],[no pingpong]]/Table710[[#This Row],[pingpong+hostcopy]]</f>
        <v>#VALUE!</v>
      </c>
    </row>
    <row r="189" spans="35:39" ht="22" hidden="1" x14ac:dyDescent="0.25">
      <c r="AI189" s="77" t="s">
        <v>1448</v>
      </c>
      <c r="AJ189">
        <v>6</v>
      </c>
      <c r="AK189" s="2" t="s">
        <v>3990</v>
      </c>
      <c r="AL189" s="2" t="s">
        <v>3990</v>
      </c>
      <c r="AM189" s="107" t="e">
        <f>Table710[[#This Row],[no pingpong]]/Table710[[#This Row],[pingpong+hostcopy]]</f>
        <v>#VALUE!</v>
      </c>
    </row>
    <row r="190" spans="35:39" ht="22" hidden="1" x14ac:dyDescent="0.25">
      <c r="AI190" s="77" t="s">
        <v>1448</v>
      </c>
      <c r="AJ190">
        <v>7</v>
      </c>
      <c r="AK190" s="2" t="s">
        <v>3990</v>
      </c>
      <c r="AL190" s="2" t="s">
        <v>3990</v>
      </c>
      <c r="AM190" s="107" t="e">
        <f>Table710[[#This Row],[no pingpong]]/Table710[[#This Row],[pingpong+hostcopy]]</f>
        <v>#VALUE!</v>
      </c>
    </row>
    <row r="191" spans="35:39" ht="22" hidden="1" x14ac:dyDescent="0.25">
      <c r="AI191" s="77" t="s">
        <v>1448</v>
      </c>
      <c r="AJ191">
        <v>8</v>
      </c>
      <c r="AK191" s="2" t="s">
        <v>3990</v>
      </c>
      <c r="AL191" s="2" t="s">
        <v>3990</v>
      </c>
      <c r="AM191" s="107" t="e">
        <f>Table710[[#This Row],[no pingpong]]/Table710[[#This Row],[pingpong+hostcopy]]</f>
        <v>#VALUE!</v>
      </c>
    </row>
    <row r="192" spans="35:39" ht="22" hidden="1" x14ac:dyDescent="0.25">
      <c r="AI192" s="77" t="s">
        <v>1448</v>
      </c>
      <c r="AJ192">
        <v>18</v>
      </c>
      <c r="AK192" s="2" t="s">
        <v>3990</v>
      </c>
      <c r="AL192" s="2" t="s">
        <v>3990</v>
      </c>
      <c r="AM192" s="107" t="e">
        <f>Table710[[#This Row],[no pingpong]]/Table710[[#This Row],[pingpong+hostcopy]]</f>
        <v>#VALUE!</v>
      </c>
    </row>
    <row r="193" spans="35:39" ht="22" hidden="1" x14ac:dyDescent="0.25">
      <c r="AI193" s="77" t="s">
        <v>1431</v>
      </c>
      <c r="AJ193">
        <v>6</v>
      </c>
      <c r="AK193" s="2" t="s">
        <v>3990</v>
      </c>
      <c r="AL193" s="2" t="s">
        <v>3990</v>
      </c>
      <c r="AM193" s="107" t="e">
        <f>Table710[[#This Row],[no pingpong]]/Table710[[#This Row],[pingpong+hostcopy]]</f>
        <v>#VALUE!</v>
      </c>
    </row>
    <row r="194" spans="35:39" ht="22" hidden="1" x14ac:dyDescent="0.25">
      <c r="AI194" s="77" t="s">
        <v>1431</v>
      </c>
      <c r="AJ194">
        <v>18</v>
      </c>
      <c r="AK194" s="2" t="s">
        <v>3990</v>
      </c>
      <c r="AL194" s="2" t="s">
        <v>3990</v>
      </c>
      <c r="AM194" s="107" t="e">
        <f>Table710[[#This Row],[no pingpong]]/Table710[[#This Row],[pingpong+hostcopy]]</f>
        <v>#VALUE!</v>
      </c>
    </row>
    <row r="195" spans="35:39" ht="22" hidden="1" x14ac:dyDescent="0.25">
      <c r="AI195" s="77" t="s">
        <v>1423</v>
      </c>
      <c r="AJ195">
        <v>6</v>
      </c>
      <c r="AK195" s="2" t="s">
        <v>3990</v>
      </c>
      <c r="AL195" s="2" t="s">
        <v>3990</v>
      </c>
      <c r="AM195" s="107" t="e">
        <f>Table710[[#This Row],[no pingpong]]/Table710[[#This Row],[pingpong+hostcopy]]</f>
        <v>#VALUE!</v>
      </c>
    </row>
    <row r="196" spans="35:39" ht="22" hidden="1" x14ac:dyDescent="0.25">
      <c r="AI196" s="77" t="s">
        <v>1423</v>
      </c>
      <c r="AJ196">
        <v>7</v>
      </c>
      <c r="AK196" s="2" t="s">
        <v>3990</v>
      </c>
      <c r="AL196" s="2" t="s">
        <v>3990</v>
      </c>
      <c r="AM196" s="107" t="e">
        <f>Table710[[#This Row],[no pingpong]]/Table710[[#This Row],[pingpong+hostcopy]]</f>
        <v>#VALUE!</v>
      </c>
    </row>
    <row r="197" spans="35:39" ht="22" hidden="1" x14ac:dyDescent="0.25">
      <c r="AI197" s="77" t="s">
        <v>1423</v>
      </c>
      <c r="AJ197">
        <v>8</v>
      </c>
      <c r="AK197" s="2" t="s">
        <v>3990</v>
      </c>
      <c r="AL197" s="2" t="s">
        <v>3990</v>
      </c>
      <c r="AM197" s="107" t="e">
        <f>Table710[[#This Row],[no pingpong]]/Table710[[#This Row],[pingpong+hostcopy]]</f>
        <v>#VALUE!</v>
      </c>
    </row>
    <row r="198" spans="35:39" ht="22" hidden="1" x14ac:dyDescent="0.25">
      <c r="AI198" s="77" t="s">
        <v>1423</v>
      </c>
      <c r="AJ198">
        <v>18</v>
      </c>
      <c r="AK198" s="2" t="s">
        <v>3990</v>
      </c>
      <c r="AL198" s="2" t="s">
        <v>3990</v>
      </c>
      <c r="AM198" s="107" t="e">
        <f>Table710[[#This Row],[no pingpong]]/Table710[[#This Row],[pingpong+hostcopy]]</f>
        <v>#VALUE!</v>
      </c>
    </row>
    <row r="199" spans="35:39" ht="22" hidden="1" x14ac:dyDescent="0.25">
      <c r="AI199" s="77" t="s">
        <v>1411</v>
      </c>
      <c r="AJ199">
        <v>6</v>
      </c>
      <c r="AK199" s="2" t="s">
        <v>3990</v>
      </c>
      <c r="AL199" s="2" t="s">
        <v>3990</v>
      </c>
      <c r="AM199" s="107" t="e">
        <f>Table710[[#This Row],[no pingpong]]/Table710[[#This Row],[pingpong+hostcopy]]</f>
        <v>#VALUE!</v>
      </c>
    </row>
    <row r="200" spans="35:39" ht="22" hidden="1" x14ac:dyDescent="0.25">
      <c r="AI200" s="77" t="s">
        <v>1411</v>
      </c>
      <c r="AJ200">
        <v>7</v>
      </c>
      <c r="AK200" s="2" t="s">
        <v>3990</v>
      </c>
      <c r="AL200" s="2" t="s">
        <v>3990</v>
      </c>
      <c r="AM200" s="107" t="e">
        <f>Table710[[#This Row],[no pingpong]]/Table710[[#This Row],[pingpong+hostcopy]]</f>
        <v>#VALUE!</v>
      </c>
    </row>
    <row r="201" spans="35:39" ht="22" hidden="1" x14ac:dyDescent="0.25">
      <c r="AI201" s="77" t="s">
        <v>1411</v>
      </c>
      <c r="AJ201">
        <v>8</v>
      </c>
      <c r="AK201" s="2" t="s">
        <v>3990</v>
      </c>
      <c r="AL201" s="2" t="s">
        <v>3990</v>
      </c>
      <c r="AM201" s="107" t="e">
        <f>Table710[[#This Row],[no pingpong]]/Table710[[#This Row],[pingpong+hostcopy]]</f>
        <v>#VALUE!</v>
      </c>
    </row>
    <row r="202" spans="35:39" ht="22" hidden="1" x14ac:dyDescent="0.25">
      <c r="AI202" s="77" t="s">
        <v>1411</v>
      </c>
      <c r="AJ202">
        <v>18</v>
      </c>
      <c r="AK202" s="2" t="s">
        <v>3990</v>
      </c>
      <c r="AL202" s="2" t="s">
        <v>3990</v>
      </c>
      <c r="AM202" s="107" t="e">
        <f>Table710[[#This Row],[no pingpong]]/Table710[[#This Row],[pingpong+hostcopy]]</f>
        <v>#VALUE!</v>
      </c>
    </row>
    <row r="203" spans="35:39" ht="22" hidden="1" x14ac:dyDescent="0.25">
      <c r="AI203" s="77" t="s">
        <v>1425</v>
      </c>
      <c r="AJ203">
        <v>6</v>
      </c>
      <c r="AK203" s="2" t="s">
        <v>3990</v>
      </c>
      <c r="AL203" s="2" t="s">
        <v>3990</v>
      </c>
      <c r="AM203" s="107" t="e">
        <f>Table710[[#This Row],[no pingpong]]/Table710[[#This Row],[pingpong+hostcopy]]</f>
        <v>#VALUE!</v>
      </c>
    </row>
    <row r="204" spans="35:39" ht="22" hidden="1" x14ac:dyDescent="0.25">
      <c r="AI204" s="77" t="s">
        <v>1425</v>
      </c>
      <c r="AJ204">
        <v>18</v>
      </c>
      <c r="AK204" s="2" t="s">
        <v>3990</v>
      </c>
      <c r="AL204" s="2" t="s">
        <v>3990</v>
      </c>
      <c r="AM204" s="107" t="e">
        <f>Table710[[#This Row],[no pingpong]]/Table710[[#This Row],[pingpong+hostcopy]]</f>
        <v>#VALUE!</v>
      </c>
    </row>
    <row r="205" spans="35:39" ht="22" hidden="1" x14ac:dyDescent="0.25">
      <c r="AI205" s="77" t="s">
        <v>3912</v>
      </c>
      <c r="AJ205">
        <v>18</v>
      </c>
      <c r="AK205" s="2" t="s">
        <v>3990</v>
      </c>
      <c r="AL205" s="2" t="s">
        <v>3990</v>
      </c>
      <c r="AM205" s="107" t="e">
        <f>Table710[[#This Row],[no pingpong]]/Table710[[#This Row],[pingpong+hostcopy]]</f>
        <v>#VALUE!</v>
      </c>
    </row>
    <row r="206" spans="35:39" ht="22" hidden="1" x14ac:dyDescent="0.25">
      <c r="AI206" s="77" t="s">
        <v>18</v>
      </c>
      <c r="AJ206">
        <v>6</v>
      </c>
      <c r="AK206" s="2" t="s">
        <v>3990</v>
      </c>
      <c r="AL206" s="2" t="s">
        <v>3990</v>
      </c>
      <c r="AM206" s="107" t="e">
        <f>Table710[[#This Row],[no pingpong]]/Table710[[#This Row],[pingpong+hostcopy]]</f>
        <v>#VALUE!</v>
      </c>
    </row>
    <row r="207" spans="35:39" ht="22" hidden="1" x14ac:dyDescent="0.25">
      <c r="AI207" s="77" t="s">
        <v>18</v>
      </c>
      <c r="AJ207">
        <v>7</v>
      </c>
      <c r="AK207" s="2" t="s">
        <v>3990</v>
      </c>
      <c r="AL207" s="2" t="s">
        <v>3990</v>
      </c>
      <c r="AM207" s="107" t="e">
        <f>Table710[[#This Row],[no pingpong]]/Table710[[#This Row],[pingpong+hostcopy]]</f>
        <v>#VALUE!</v>
      </c>
    </row>
    <row r="208" spans="35:39" ht="22" hidden="1" x14ac:dyDescent="0.25">
      <c r="AI208" s="77" t="s">
        <v>18</v>
      </c>
      <c r="AJ208">
        <v>8</v>
      </c>
      <c r="AK208" s="2" t="s">
        <v>3990</v>
      </c>
      <c r="AL208" s="2" t="s">
        <v>3990</v>
      </c>
      <c r="AM208" s="107" t="e">
        <f>Table710[[#This Row],[no pingpong]]/Table710[[#This Row],[pingpong+hostcopy]]</f>
        <v>#VALUE!</v>
      </c>
    </row>
    <row r="209" spans="35:39" ht="22" hidden="1" x14ac:dyDescent="0.25">
      <c r="AI209" s="77" t="s">
        <v>18</v>
      </c>
      <c r="AJ209">
        <v>18</v>
      </c>
      <c r="AK209" s="2" t="s">
        <v>3990</v>
      </c>
      <c r="AL209" s="2" t="s">
        <v>3990</v>
      </c>
      <c r="AM209" s="107" t="e">
        <f>Table710[[#This Row],[no pingpong]]/Table710[[#This Row],[pingpong+hostcopy]]</f>
        <v>#VALUE!</v>
      </c>
    </row>
    <row r="210" spans="35:39" ht="22" hidden="1" x14ac:dyDescent="0.25">
      <c r="AI210" s="77" t="s">
        <v>1438</v>
      </c>
      <c r="AJ210">
        <v>5</v>
      </c>
      <c r="AK210" s="2" t="s">
        <v>3990</v>
      </c>
      <c r="AL210" s="2" t="s">
        <v>3990</v>
      </c>
      <c r="AM210" s="107" t="e">
        <f>Table710[[#This Row],[no pingpong]]/Table710[[#This Row],[pingpong+hostcopy]]</f>
        <v>#VALUE!</v>
      </c>
    </row>
    <row r="211" spans="35:39" ht="22" hidden="1" x14ac:dyDescent="0.25">
      <c r="AI211" s="77" t="s">
        <v>1438</v>
      </c>
      <c r="AJ211">
        <v>6</v>
      </c>
      <c r="AK211" s="2" t="s">
        <v>3990</v>
      </c>
      <c r="AL211" s="2" t="s">
        <v>3990</v>
      </c>
      <c r="AM211" s="107" t="e">
        <f>Table710[[#This Row],[no pingpong]]/Table710[[#This Row],[pingpong+hostcopy]]</f>
        <v>#VALUE!</v>
      </c>
    </row>
    <row r="212" spans="35:39" ht="22" hidden="1" x14ac:dyDescent="0.25">
      <c r="AI212" s="77" t="s">
        <v>1438</v>
      </c>
      <c r="AJ212">
        <v>7</v>
      </c>
      <c r="AK212" s="2" t="s">
        <v>3990</v>
      </c>
      <c r="AL212" s="2" t="s">
        <v>3990</v>
      </c>
      <c r="AM212" s="107" t="e">
        <f>Table710[[#This Row],[no pingpong]]/Table710[[#This Row],[pingpong+hostcopy]]</f>
        <v>#VALUE!</v>
      </c>
    </row>
    <row r="213" spans="35:39" ht="22" hidden="1" x14ac:dyDescent="0.25">
      <c r="AI213" s="77" t="s">
        <v>1438</v>
      </c>
      <c r="AJ213">
        <v>8</v>
      </c>
      <c r="AK213" s="2" t="s">
        <v>3990</v>
      </c>
      <c r="AL213" s="2" t="s">
        <v>3990</v>
      </c>
      <c r="AM213" s="107" t="e">
        <f>Table710[[#This Row],[no pingpong]]/Table710[[#This Row],[pingpong+hostcopy]]</f>
        <v>#VALUE!</v>
      </c>
    </row>
    <row r="214" spans="35:39" ht="22" hidden="1" x14ac:dyDescent="0.25">
      <c r="AI214" s="77" t="s">
        <v>1438</v>
      </c>
      <c r="AJ214">
        <v>9</v>
      </c>
      <c r="AK214" s="2" t="s">
        <v>3990</v>
      </c>
      <c r="AL214" s="2" t="s">
        <v>3990</v>
      </c>
      <c r="AM214" s="107" t="e">
        <f>Table710[[#This Row],[no pingpong]]/Table710[[#This Row],[pingpong+hostcopy]]</f>
        <v>#VALUE!</v>
      </c>
    </row>
    <row r="215" spans="35:39" ht="22" hidden="1" x14ac:dyDescent="0.25">
      <c r="AI215" s="77" t="s">
        <v>1438</v>
      </c>
      <c r="AJ215">
        <v>18</v>
      </c>
      <c r="AK215" s="2" t="s">
        <v>3990</v>
      </c>
      <c r="AL215" s="2" t="s">
        <v>3990</v>
      </c>
      <c r="AM215" s="107" t="e">
        <f>Table710[[#This Row],[no pingpong]]/Table710[[#This Row],[pingpong+hostcopy]]</f>
        <v>#VALUE!</v>
      </c>
    </row>
    <row r="216" spans="35:39" ht="22" hidden="1" x14ac:dyDescent="0.25">
      <c r="AI216" s="77" t="s">
        <v>1434</v>
      </c>
      <c r="AJ216">
        <v>6</v>
      </c>
      <c r="AK216" s="2" t="s">
        <v>3990</v>
      </c>
      <c r="AL216" s="2" t="s">
        <v>3990</v>
      </c>
      <c r="AM216" s="107" t="e">
        <f>Table710[[#This Row],[no pingpong]]/Table710[[#This Row],[pingpong+hostcopy]]</f>
        <v>#VALUE!</v>
      </c>
    </row>
    <row r="217" spans="35:39" ht="22" hidden="1" x14ac:dyDescent="0.25">
      <c r="AI217" s="77" t="s">
        <v>1434</v>
      </c>
      <c r="AJ217">
        <v>18</v>
      </c>
      <c r="AK217" s="2" t="s">
        <v>3990</v>
      </c>
      <c r="AL217" s="2" t="s">
        <v>3990</v>
      </c>
      <c r="AM217" s="107" t="e">
        <f>Table710[[#This Row],[no pingpong]]/Table710[[#This Row],[pingpong+hostcopy]]</f>
        <v>#VALUE!</v>
      </c>
    </row>
    <row r="218" spans="35:39" ht="22" hidden="1" x14ac:dyDescent="0.25">
      <c r="AI218" s="77" t="s">
        <v>1371</v>
      </c>
      <c r="AJ218">
        <v>18</v>
      </c>
      <c r="AK218" s="2" t="s">
        <v>3990</v>
      </c>
      <c r="AL218" s="2" t="s">
        <v>3990</v>
      </c>
      <c r="AM218" s="107" t="e">
        <f>Table710[[#This Row],[no pingpong]]/Table710[[#This Row],[pingpong+hostcopy]]</f>
        <v>#VALUE!</v>
      </c>
    </row>
  </sheetData>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2"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25"/>
      <c r="I4" s="125"/>
      <c r="J4" s="125"/>
      <c r="K4" s="125"/>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zoomScale="89" workbookViewId="0">
      <selection activeCell="C31" sqref="C31"/>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126"/>
      <c r="J4" s="126"/>
      <c r="K4" s="127"/>
      <c r="L4" s="127"/>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22" t="s">
        <v>3912</v>
      </c>
      <c r="D16" s="38">
        <v>4033138</v>
      </c>
      <c r="E16" s="38">
        <v>55866126</v>
      </c>
      <c r="F16" s="38">
        <v>2651</v>
      </c>
      <c r="G16" s="39">
        <v>38413666</v>
      </c>
      <c r="H16" s="41">
        <v>1.571016</v>
      </c>
      <c r="I16" s="52">
        <v>6.711659</v>
      </c>
      <c r="J16" s="40">
        <v>1.4397960000000001</v>
      </c>
      <c r="K16" s="42"/>
      <c r="L16" s="48">
        <v>4.0897119999999996</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22" t="s">
        <v>3919</v>
      </c>
      <c r="D17" s="38">
        <v>2937612</v>
      </c>
      <c r="E17" s="38">
        <v>41919708</v>
      </c>
      <c r="F17" s="38">
        <v>4356</v>
      </c>
      <c r="G17" s="39">
        <v>27593398</v>
      </c>
      <c r="H17" s="41">
        <v>0.62366100000000002</v>
      </c>
      <c r="I17" s="52">
        <v>3.6801520000000001</v>
      </c>
      <c r="J17" s="40">
        <v>0.48078500000000002</v>
      </c>
      <c r="K17" s="42"/>
      <c r="L17" s="48">
        <v>1.075196</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22" t="s">
        <v>3920</v>
      </c>
      <c r="D18" s="38">
        <v>1632803</v>
      </c>
      <c r="E18" s="38">
        <v>44603928</v>
      </c>
      <c r="F18" s="38">
        <v>14854</v>
      </c>
      <c r="G18" s="39">
        <v>19376873</v>
      </c>
      <c r="H18" s="41">
        <v>2.154563</v>
      </c>
      <c r="I18" s="52">
        <v>2.2659929999999999</v>
      </c>
      <c r="J18" s="40">
        <v>0.34845199999999998</v>
      </c>
      <c r="K18" s="42"/>
      <c r="L18" s="48">
        <v>0.96733800000000003</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11" t="s">
        <v>1462</v>
      </c>
      <c r="D19" s="38">
        <v>33778221</v>
      </c>
      <c r="E19" s="38">
        <v>203595714</v>
      </c>
      <c r="F19" s="38">
        <v>29319</v>
      </c>
      <c r="G19" s="39">
        <v>103359042</v>
      </c>
      <c r="H19" s="41">
        <v>1.6937089999999999</v>
      </c>
      <c r="I19" s="52">
        <v>25.699197000000002</v>
      </c>
      <c r="J19" s="40">
        <v>2.310222</v>
      </c>
      <c r="K19" s="42"/>
      <c r="L19" s="48">
        <v>7.0814329999999996</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11" t="s">
        <v>6</v>
      </c>
      <c r="D20" s="38">
        <v>3072441</v>
      </c>
      <c r="E20" s="38">
        <v>234369798</v>
      </c>
      <c r="F20" s="38">
        <v>33313</v>
      </c>
      <c r="G20" s="39">
        <v>2270456447</v>
      </c>
      <c r="H20" s="41">
        <v>85.151685000000001</v>
      </c>
      <c r="I20" s="52">
        <v>281.76346699999999</v>
      </c>
      <c r="J20" s="41">
        <v>73.239999999999995</v>
      </c>
      <c r="K20" s="42"/>
      <c r="L20" s="48">
        <v>51.644970999999998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1346</v>
      </c>
      <c r="D21" s="38">
        <v>1696415</v>
      </c>
      <c r="E21" s="38">
        <v>22190596</v>
      </c>
      <c r="F21" s="38">
        <v>35455</v>
      </c>
      <c r="G21" s="39">
        <v>37322355</v>
      </c>
      <c r="H21" s="41">
        <v>1.300643</v>
      </c>
      <c r="I21" s="52">
        <v>7.0529869999999999</v>
      </c>
      <c r="J21" s="40">
        <v>1.085415</v>
      </c>
      <c r="K21" s="42"/>
      <c r="L21" s="48">
        <v>2.076346</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7</v>
      </c>
      <c r="D22" s="38">
        <v>2584164</v>
      </c>
      <c r="E22" s="38">
        <v>56367036</v>
      </c>
      <c r="F22" s="38">
        <v>44065</v>
      </c>
      <c r="G22" s="39">
        <v>918563917</v>
      </c>
      <c r="H22" s="41">
        <v>71.662347999999994</v>
      </c>
      <c r="I22" s="52">
        <v>129.14542800000001</v>
      </c>
      <c r="J22" s="41">
        <v>28.33</v>
      </c>
      <c r="K22" s="42"/>
      <c r="L22" s="48">
        <v>21.417175</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4</v>
      </c>
      <c r="D23" s="38">
        <v>1203995</v>
      </c>
      <c r="E23" s="38">
        <v>40033816</v>
      </c>
      <c r="F23" s="38">
        <v>81090</v>
      </c>
      <c r="G23" s="39">
        <v>148294115</v>
      </c>
      <c r="H23" s="41">
        <v>3.9173870000000002</v>
      </c>
      <c r="I23" s="52">
        <v>28.647296999999998</v>
      </c>
      <c r="J23" s="41">
        <v>3.7129669999999999</v>
      </c>
      <c r="K23" s="42"/>
      <c r="L23" s="48">
        <v>7.8326770000000003</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9" t="s">
        <v>1371</v>
      </c>
      <c r="D24" s="38">
        <v>2140198</v>
      </c>
      <c r="E24" s="38">
        <v>34029892</v>
      </c>
      <c r="F24" s="38">
        <v>97848</v>
      </c>
      <c r="G24" s="39">
        <v>19365288</v>
      </c>
      <c r="H24" s="41">
        <v>0.85894899999999996</v>
      </c>
      <c r="I24" s="52">
        <v>3.3648449999999999</v>
      </c>
      <c r="J24" s="40">
        <v>0.71303899999999998</v>
      </c>
      <c r="K24" s="42"/>
      <c r="L24" s="48">
        <v>1.127974</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9" t="s">
        <v>11</v>
      </c>
      <c r="D25" s="38">
        <v>2394385</v>
      </c>
      <c r="E25" s="38">
        <v>9319130</v>
      </c>
      <c r="F25" s="38">
        <v>100029</v>
      </c>
      <c r="G25" s="39">
        <v>86333306</v>
      </c>
      <c r="H25" s="41">
        <v>3.3782510000000001</v>
      </c>
      <c r="I25" s="52">
        <v>11.48353</v>
      </c>
      <c r="J25" s="40">
        <v>1.765601</v>
      </c>
      <c r="K25" s="42"/>
      <c r="L25" s="48">
        <v>2.5116809999999998</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1434</v>
      </c>
      <c r="D27" s="38">
        <v>7825669</v>
      </c>
      <c r="E27" s="38">
        <v>124492028</v>
      </c>
      <c r="F27" s="38">
        <v>204282</v>
      </c>
      <c r="G27" s="39">
        <v>74995873</v>
      </c>
      <c r="H27" s="41">
        <v>2.4138410000000001</v>
      </c>
      <c r="I27" s="52">
        <v>11.794521</v>
      </c>
      <c r="J27" s="40">
        <v>2.4274909999999998</v>
      </c>
      <c r="K27" s="42"/>
      <c r="L27" s="48">
        <v>4.758845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3917</v>
      </c>
      <c r="D28" s="38">
        <v>1791489</v>
      </c>
      <c r="E28" s="38">
        <v>50888414</v>
      </c>
      <c r="F28" s="38">
        <v>238342</v>
      </c>
      <c r="G28" s="39">
        <v>27229873</v>
      </c>
      <c r="H28" s="41">
        <v>1.3038989999999999</v>
      </c>
      <c r="I28" s="52">
        <v>4.5417589999999999</v>
      </c>
      <c r="J28" s="40">
        <v>1.1079509999999999</v>
      </c>
      <c r="K28" s="42"/>
      <c r="L28" s="48">
        <v>1.3929849999999999</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1443</v>
      </c>
      <c r="D29" s="38">
        <v>3924218</v>
      </c>
      <c r="E29" s="38">
        <v>152878772</v>
      </c>
      <c r="F29" s="38">
        <v>254555</v>
      </c>
      <c r="G29" s="39">
        <v>36008128</v>
      </c>
      <c r="H29" s="41">
        <v>486.47726599999999</v>
      </c>
      <c r="I29" s="51">
        <v>450.831255</v>
      </c>
      <c r="J29" s="41">
        <v>481.75678499999998</v>
      </c>
      <c r="K29" s="42"/>
      <c r="L29" s="48">
        <v>220.903085</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1414</v>
      </c>
      <c r="D30" s="38">
        <v>3033373</v>
      </c>
      <c r="E30" s="38">
        <v>87691916</v>
      </c>
      <c r="F30" s="38">
        <v>275166</v>
      </c>
      <c r="G30" s="39">
        <v>118034566</v>
      </c>
      <c r="H30" s="41">
        <v>8.8155560000000008</v>
      </c>
      <c r="I30" s="52">
        <v>24.346118000000001</v>
      </c>
      <c r="J30" s="41">
        <v>8.328792</v>
      </c>
      <c r="K30" s="42"/>
      <c r="L30" s="48">
        <v>9.3502709999999993</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3913</v>
      </c>
      <c r="D31" s="38">
        <v>58655849</v>
      </c>
      <c r="E31" s="38">
        <v>522642066</v>
      </c>
      <c r="F31" s="38">
        <v>278489</v>
      </c>
      <c r="G31" s="39">
        <v>1117416174</v>
      </c>
      <c r="H31" s="41">
        <v>60.576824999999999</v>
      </c>
      <c r="I31" s="52">
        <v>144.30504400000001</v>
      </c>
      <c r="J31" s="41">
        <v>31.56</v>
      </c>
      <c r="K31" s="42"/>
      <c r="L31" s="48">
        <v>30.88738</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1442</v>
      </c>
      <c r="D32" s="38">
        <v>3370462</v>
      </c>
      <c r="E32" s="38">
        <v>143901836</v>
      </c>
      <c r="F32" s="38">
        <v>282591</v>
      </c>
      <c r="G32" s="39">
        <v>563203047</v>
      </c>
      <c r="H32" s="41">
        <v>127.82051300000001</v>
      </c>
      <c r="I32" s="53">
        <v>200.62130099999999</v>
      </c>
      <c r="J32" s="41">
        <v>68.150000000000006</v>
      </c>
      <c r="K32" s="42"/>
      <c r="L32" s="48">
        <v>47.39</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1445</v>
      </c>
      <c r="D33" s="38">
        <v>2148791</v>
      </c>
      <c r="E33" s="38">
        <v>155750262</v>
      </c>
      <c r="F33" s="38">
        <v>286585</v>
      </c>
      <c r="G33" s="39">
        <v>147929073</v>
      </c>
      <c r="H33" s="41">
        <v>33.766888999999999</v>
      </c>
      <c r="I33" s="52">
        <v>110.60061399999999</v>
      </c>
      <c r="J33" s="41">
        <v>31.719238000000001</v>
      </c>
      <c r="K33" s="42"/>
      <c r="L33" s="48">
        <v>23.840702</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9" t="s">
        <v>1402</v>
      </c>
      <c r="D34" s="38">
        <v>2132864</v>
      </c>
      <c r="E34" s="38">
        <v>17441248</v>
      </c>
      <c r="F34" s="38">
        <v>306136</v>
      </c>
      <c r="G34" s="39">
        <v>11329220</v>
      </c>
      <c r="H34" s="41">
        <v>0.99414100000000005</v>
      </c>
      <c r="I34" s="52">
        <v>1.8110040000000001</v>
      </c>
      <c r="J34" s="40">
        <v>0.791018</v>
      </c>
      <c r="K34" s="42"/>
      <c r="L34" s="48">
        <v>1.1210039999999999</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5</v>
      </c>
      <c r="D35" s="38">
        <v>8730857</v>
      </c>
      <c r="E35" s="38">
        <v>654072972</v>
      </c>
      <c r="F35" s="38">
        <v>318268</v>
      </c>
      <c r="G35" s="39">
        <v>417032363</v>
      </c>
      <c r="H35" s="41">
        <v>14.054064</v>
      </c>
      <c r="I35" s="52">
        <v>249.501497</v>
      </c>
      <c r="J35" s="41">
        <v>13.855840000000001</v>
      </c>
      <c r="K35" s="42"/>
      <c r="L35" s="48">
        <v>19.519027000000001</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1452</v>
      </c>
      <c r="D36" s="38">
        <v>3175009</v>
      </c>
      <c r="E36" s="38">
        <v>206621674</v>
      </c>
      <c r="F36" s="38">
        <v>369566</v>
      </c>
      <c r="G36" s="39">
        <v>67547002</v>
      </c>
      <c r="H36" s="40">
        <v>433.71</v>
      </c>
      <c r="I36" s="51">
        <v>346.19295299999999</v>
      </c>
      <c r="J36" s="41">
        <v>408.18284899999998</v>
      </c>
      <c r="K36" s="42"/>
      <c r="L36" s="48">
        <v>102.65375299999999</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1437</v>
      </c>
      <c r="D37" s="38">
        <v>2981204</v>
      </c>
      <c r="E37" s="38">
        <v>42832752</v>
      </c>
      <c r="F37" s="38">
        <v>385104</v>
      </c>
      <c r="G37" s="39">
        <v>35290880</v>
      </c>
      <c r="H37" s="41">
        <v>1.446725</v>
      </c>
      <c r="I37" s="52">
        <v>5.6263290000000001</v>
      </c>
      <c r="J37" s="40">
        <v>1.308095</v>
      </c>
      <c r="K37" s="42"/>
      <c r="L37" s="48">
        <v>2.3065820000000001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1451</v>
      </c>
      <c r="D38" s="38">
        <v>3333397</v>
      </c>
      <c r="E38" s="38">
        <v>200923810</v>
      </c>
      <c r="F38" s="38">
        <v>399358</v>
      </c>
      <c r="G38" s="39">
        <v>1902943357</v>
      </c>
      <c r="H38" s="41">
        <v>224.11627300000001</v>
      </c>
      <c r="I38" s="52">
        <v>834.23</v>
      </c>
      <c r="J38" s="42">
        <v>234.91</v>
      </c>
      <c r="K38" s="42"/>
      <c r="L38" s="48">
        <v>179.01</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9" t="s">
        <v>10</v>
      </c>
      <c r="D39" s="38">
        <v>3603726</v>
      </c>
      <c r="E39" s="38">
        <v>155093964</v>
      </c>
      <c r="F39" s="38">
        <v>434234</v>
      </c>
      <c r="G39" s="39">
        <v>1237624958</v>
      </c>
      <c r="H39" s="41">
        <v>107.39003200000001</v>
      </c>
      <c r="I39" s="51">
        <v>196.60153800000001</v>
      </c>
      <c r="J39" s="41">
        <v>98.4</v>
      </c>
      <c r="K39" s="42"/>
      <c r="L39" s="48">
        <v>68.88</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1448</v>
      </c>
      <c r="D40" s="38">
        <v>5267977</v>
      </c>
      <c r="E40" s="38">
        <v>55363430</v>
      </c>
      <c r="F40" s="38">
        <v>590528</v>
      </c>
      <c r="G40" s="39">
        <v>99655585</v>
      </c>
      <c r="H40" s="41">
        <v>3.4353509999999998</v>
      </c>
      <c r="I40" s="52">
        <v>16.841013</v>
      </c>
      <c r="J40" s="40">
        <v>3.20539</v>
      </c>
      <c r="K40" s="42"/>
      <c r="L40" s="48">
        <v>5.4122669999999999</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v>
      </c>
      <c r="D41" s="38">
        <v>18268991</v>
      </c>
      <c r="E41" s="38">
        <v>253780418</v>
      </c>
      <c r="F41" s="38">
        <v>612308</v>
      </c>
      <c r="G41" s="39">
        <v>240680701</v>
      </c>
      <c r="H41" s="41">
        <v>6.968604</v>
      </c>
      <c r="I41" s="52">
        <v>45.206122000000001</v>
      </c>
      <c r="J41" s="41">
        <v>6.9283619999999999</v>
      </c>
      <c r="K41" s="42"/>
      <c r="L41" s="48">
        <v>10.693218999999999</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2</v>
      </c>
      <c r="D42" s="38">
        <v>4382070</v>
      </c>
      <c r="E42" s="38">
        <v>38996662</v>
      </c>
      <c r="F42" s="38">
        <v>699764</v>
      </c>
      <c r="G42" s="39">
        <v>287608260</v>
      </c>
      <c r="H42" s="41">
        <v>7.5799459999999996</v>
      </c>
      <c r="I42" s="52">
        <v>38.782924999999999</v>
      </c>
      <c r="J42" s="41">
        <v>7.4260539999999997</v>
      </c>
      <c r="K42" s="42"/>
      <c r="L42" s="48">
        <v>8.0992370000000005</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1456</v>
      </c>
      <c r="D43" s="38">
        <v>5829441</v>
      </c>
      <c r="E43" s="38">
        <v>110439216</v>
      </c>
      <c r="F43" s="38">
        <v>818185</v>
      </c>
      <c r="G43" s="39">
        <v>1508704249</v>
      </c>
      <c r="H43" s="41">
        <v>84.078997999999999</v>
      </c>
      <c r="I43" s="52">
        <v>245.51799</v>
      </c>
      <c r="J43" s="41">
        <v>52.7</v>
      </c>
      <c r="K43" s="42"/>
      <c r="L43" s="48">
        <v>37.410254999999999</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1433</v>
      </c>
      <c r="D44" s="38">
        <v>2646291</v>
      </c>
      <c r="E44" s="38">
        <v>42433496</v>
      </c>
      <c r="F44" s="38">
        <v>850681</v>
      </c>
      <c r="G44" s="39">
        <v>110149144</v>
      </c>
      <c r="H44" s="41">
        <v>3.8337750000000002</v>
      </c>
      <c r="I44" s="52">
        <v>15.348898999999999</v>
      </c>
      <c r="J44" s="40">
        <v>3.679964</v>
      </c>
      <c r="K44" s="42"/>
      <c r="L44" s="48">
        <v>4.8238430000000001</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1436</v>
      </c>
      <c r="D45" s="38">
        <v>3790750</v>
      </c>
      <c r="E45" s="38">
        <v>44273578</v>
      </c>
      <c r="F45" s="38">
        <v>866662</v>
      </c>
      <c r="G45" s="39">
        <v>489911259</v>
      </c>
      <c r="H45" s="41">
        <v>11.255535999999999</v>
      </c>
      <c r="I45" s="52">
        <v>72.252588000000003</v>
      </c>
      <c r="J45" s="41">
        <v>11.012378999999999</v>
      </c>
      <c r="K45" s="42"/>
      <c r="L45" s="48">
        <v>12.491521000000001</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9" t="s">
        <v>1422</v>
      </c>
      <c r="D46" s="38">
        <v>2622756</v>
      </c>
      <c r="E46" s="38">
        <v>94934908</v>
      </c>
      <c r="F46" s="38">
        <v>900354</v>
      </c>
      <c r="G46" s="39">
        <v>104704438</v>
      </c>
      <c r="H46" s="41">
        <v>23.738012000000001</v>
      </c>
      <c r="I46" s="52">
        <v>31.811346</v>
      </c>
      <c r="J46" s="41">
        <v>23.200935000000001</v>
      </c>
      <c r="K46" s="42"/>
      <c r="L46" s="48">
        <v>17.874461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1404</v>
      </c>
      <c r="D47" s="38">
        <v>2939627</v>
      </c>
      <c r="E47" s="38">
        <v>20974994</v>
      </c>
      <c r="F47" s="38">
        <v>916719</v>
      </c>
      <c r="G47" s="39">
        <v>49558992</v>
      </c>
      <c r="H47" s="41">
        <v>3.7311160000000001</v>
      </c>
      <c r="I47" s="52">
        <v>5.7104470000000003</v>
      </c>
      <c r="J47" s="40">
        <v>3.2534559999999999</v>
      </c>
      <c r="K47" s="42"/>
      <c r="L47" s="48">
        <v>2.0374910000000002</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1450</v>
      </c>
      <c r="D48" s="38">
        <v>5867547</v>
      </c>
      <c r="E48" s="38">
        <v>61171040</v>
      </c>
      <c r="F48" s="38">
        <v>959344</v>
      </c>
      <c r="G48" s="39">
        <v>994503898</v>
      </c>
      <c r="H48" s="41">
        <v>57.130594000000002</v>
      </c>
      <c r="I48" s="52">
        <v>123.493318</v>
      </c>
      <c r="J48" s="41">
        <v>35</v>
      </c>
      <c r="K48" s="42"/>
      <c r="L48" s="48">
        <v>20.122519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1447</v>
      </c>
      <c r="D49" s="38">
        <v>7489073</v>
      </c>
      <c r="E49" s="38">
        <v>224610814</v>
      </c>
      <c r="F49" s="38">
        <v>1053720</v>
      </c>
      <c r="G49" s="39">
        <v>148627058</v>
      </c>
      <c r="H49" s="41">
        <v>4.1408459999999998</v>
      </c>
      <c r="I49" s="52">
        <v>37.416477</v>
      </c>
      <c r="J49" s="41">
        <v>3.9712429999999999</v>
      </c>
      <c r="K49" s="42"/>
      <c r="L49" s="48">
        <v>5.235112</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1461</v>
      </c>
      <c r="D50" s="38">
        <v>33777768</v>
      </c>
      <c r="E50" s="38">
        <v>274478882</v>
      </c>
      <c r="F50" s="38">
        <v>1057783</v>
      </c>
      <c r="G50" s="39">
        <v>152479402</v>
      </c>
      <c r="H50" s="41">
        <v>3.8363990000000001</v>
      </c>
      <c r="I50" s="52">
        <v>18.665141999999999</v>
      </c>
      <c r="J50" s="40">
        <v>4.2303030000000001</v>
      </c>
      <c r="K50" s="42"/>
      <c r="L50" s="48">
        <v>7.6161149999999997</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1449</v>
      </c>
      <c r="D51" s="38">
        <v>4799646</v>
      </c>
      <c r="E51" s="38">
        <v>63844012</v>
      </c>
      <c r="F51" s="38">
        <v>1076572</v>
      </c>
      <c r="G51" s="39">
        <v>157475935</v>
      </c>
      <c r="H51" s="41">
        <v>6.8452809999999999</v>
      </c>
      <c r="I51" s="52">
        <v>23.708839000000001</v>
      </c>
      <c r="J51" s="41">
        <v>5.0708260000000003</v>
      </c>
      <c r="K51" s="42"/>
      <c r="L51" s="48">
        <v>7.6292460000000002</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1405</v>
      </c>
      <c r="D52" s="38">
        <v>2093449</v>
      </c>
      <c r="E52" s="38">
        <v>52098498</v>
      </c>
      <c r="F52" s="38">
        <v>1140084</v>
      </c>
      <c r="G52" s="39">
        <v>7254227</v>
      </c>
      <c r="H52" s="41">
        <v>17.421547</v>
      </c>
      <c r="I52" s="52">
        <v>23.765003</v>
      </c>
      <c r="J52" s="41">
        <v>17.204273000000001</v>
      </c>
      <c r="K52" s="42"/>
      <c r="L52" s="48">
        <v>14.029244</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1455</v>
      </c>
      <c r="D54" s="38">
        <v>8833229</v>
      </c>
      <c r="E54" s="38">
        <v>105882456</v>
      </c>
      <c r="F54" s="38">
        <v>2126384</v>
      </c>
      <c r="G54" s="39">
        <v>2115046340</v>
      </c>
      <c r="H54" s="41">
        <v>105.59741699999999</v>
      </c>
      <c r="I54" s="51">
        <v>306.40025200000002</v>
      </c>
      <c r="J54" s="41">
        <v>87.62</v>
      </c>
      <c r="K54" s="42"/>
      <c r="L54" s="48">
        <v>46.755004999999997</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1411</v>
      </c>
      <c r="D55" s="38">
        <v>3496954</v>
      </c>
      <c r="E55" s="38">
        <v>27305086</v>
      </c>
      <c r="F55" s="38">
        <v>2187803</v>
      </c>
      <c r="G55" s="39">
        <v>12230903</v>
      </c>
      <c r="H55" s="41">
        <v>1.9853620000000001</v>
      </c>
      <c r="I55" s="52">
        <v>0.65300999999999998</v>
      </c>
      <c r="J55" s="40">
        <v>1.808211</v>
      </c>
      <c r="K55" s="42"/>
      <c r="L55" s="48">
        <v>0.72130399999999995</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1409</v>
      </c>
      <c r="D56" s="38">
        <v>3411795</v>
      </c>
      <c r="E56" s="38">
        <v>26854686</v>
      </c>
      <c r="F56" s="38">
        <v>2487058</v>
      </c>
      <c r="G56" s="39">
        <v>8209611</v>
      </c>
      <c r="H56" s="41">
        <v>4.5660360000000004</v>
      </c>
      <c r="I56" s="52">
        <v>0.94574000000000003</v>
      </c>
      <c r="J56" s="40">
        <v>2.5636969999999999</v>
      </c>
      <c r="K56" s="42"/>
      <c r="L56" s="48">
        <v>0.85847099999999998</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9" t="s">
        <v>1446</v>
      </c>
      <c r="D57" s="38">
        <v>6100692</v>
      </c>
      <c r="E57" s="38">
        <v>199729748</v>
      </c>
      <c r="F57" s="38">
        <v>2732817</v>
      </c>
      <c r="G57" s="39">
        <v>97362094</v>
      </c>
      <c r="H57" s="41">
        <v>59.816648000000001</v>
      </c>
      <c r="I57" s="52">
        <v>32.213045000000001</v>
      </c>
      <c r="J57" s="41">
        <v>58.558579999999999</v>
      </c>
      <c r="K57" s="42"/>
      <c r="L57" s="48">
        <v>53.737893</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1440</v>
      </c>
      <c r="D58" s="38">
        <v>5812931</v>
      </c>
      <c r="E58" s="38">
        <v>54238524</v>
      </c>
      <c r="F58" s="38">
        <v>3504033</v>
      </c>
      <c r="G58" s="39">
        <v>72022415</v>
      </c>
      <c r="H58" s="41">
        <v>5.1042110000000003</v>
      </c>
      <c r="I58" s="52">
        <v>9.5797369999999997</v>
      </c>
      <c r="J58" s="41">
        <v>4.8326019999999996</v>
      </c>
      <c r="K58" s="42"/>
      <c r="L58" s="48">
        <v>3.0204589999999998</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1438</v>
      </c>
      <c r="D59" s="38">
        <v>7891015</v>
      </c>
      <c r="E59" s="38">
        <v>127830770</v>
      </c>
      <c r="F59" s="38">
        <v>3636005</v>
      </c>
      <c r="G59" s="39">
        <v>52252646</v>
      </c>
      <c r="H59" s="41">
        <v>11.282028</v>
      </c>
      <c r="I59" s="52">
        <v>2.9514300000000002</v>
      </c>
      <c r="J59" s="41">
        <v>10.717722999999999</v>
      </c>
      <c r="K59" s="42"/>
      <c r="L59" s="48">
        <v>2.0402999999999998</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1431</v>
      </c>
      <c r="D60" s="38">
        <v>4579069</v>
      </c>
      <c r="E60" s="38">
        <v>12530086</v>
      </c>
      <c r="F60" s="38">
        <v>4043326</v>
      </c>
      <c r="G60" s="39">
        <v>6015927</v>
      </c>
      <c r="H60" s="41">
        <v>7.7896460000000003</v>
      </c>
      <c r="I60" s="52">
        <v>0.93807399999999996</v>
      </c>
      <c r="J60" s="40">
        <v>6.9008060000000002</v>
      </c>
      <c r="K60" s="42"/>
      <c r="L60" s="48">
        <v>0.93605400000000005</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11" t="s">
        <v>1408</v>
      </c>
      <c r="D61" s="38">
        <v>4063587</v>
      </c>
      <c r="E61" s="38">
        <v>17652554</v>
      </c>
      <c r="F61" s="38">
        <v>4059644</v>
      </c>
      <c r="G61" s="39">
        <v>8823479</v>
      </c>
      <c r="H61" s="41">
        <v>1.682345</v>
      </c>
      <c r="I61" s="52">
        <v>0.16831399999999999</v>
      </c>
      <c r="J61" s="40">
        <v>1.5356030000000001</v>
      </c>
      <c r="K61" s="42"/>
      <c r="L61" s="48">
        <v>0.108086</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3915</v>
      </c>
      <c r="D62" s="38">
        <v>25921548</v>
      </c>
      <c r="E62" s="38">
        <v>1086367222</v>
      </c>
      <c r="F62" s="38">
        <v>4271341</v>
      </c>
      <c r="G62" s="39">
        <v>568730123</v>
      </c>
      <c r="H62" s="41">
        <v>150.722433</v>
      </c>
      <c r="I62" s="52">
        <v>227.71192199999999</v>
      </c>
      <c r="J62" s="41">
        <v>147.34859499999999</v>
      </c>
      <c r="K62" s="42"/>
      <c r="L62" s="48">
        <v>99.896929</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11" t="s">
        <v>1423</v>
      </c>
      <c r="D63" s="38">
        <v>7570051</v>
      </c>
      <c r="E63" s="38">
        <v>43881980</v>
      </c>
      <c r="F63" s="38">
        <v>5669991</v>
      </c>
      <c r="G63" s="39">
        <v>41148109</v>
      </c>
      <c r="H63" s="41">
        <v>12.697224</v>
      </c>
      <c r="I63" s="52">
        <v>4.7210000000000001</v>
      </c>
      <c r="J63" s="41">
        <v>12.267455</v>
      </c>
      <c r="K63" s="42"/>
      <c r="L63" s="48">
        <v>2.3150789999999999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1391</v>
      </c>
      <c r="D64" s="38">
        <v>8482737</v>
      </c>
      <c r="E64" s="38">
        <v>23585644</v>
      </c>
      <c r="F64" s="38">
        <v>8421430</v>
      </c>
      <c r="G64" s="39">
        <v>12043741</v>
      </c>
      <c r="H64" s="41">
        <v>7.652196</v>
      </c>
      <c r="I64" s="52">
        <v>0.89532500000000004</v>
      </c>
      <c r="J64" s="40">
        <v>7.3661770000000004</v>
      </c>
      <c r="K64" s="42"/>
      <c r="L64" s="48">
        <v>0.873803</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9" t="s">
        <v>18</v>
      </c>
      <c r="D65" s="38">
        <v>27665730</v>
      </c>
      <c r="E65" s="38">
        <v>281227494</v>
      </c>
      <c r="F65" s="38">
        <v>11571953</v>
      </c>
      <c r="G65" s="39">
        <v>134221196</v>
      </c>
      <c r="H65" s="41">
        <v>64.861952000000002</v>
      </c>
      <c r="I65" s="52">
        <v>23.307552999999999</v>
      </c>
      <c r="J65" s="41">
        <v>62.276108000000001</v>
      </c>
      <c r="K65" s="42"/>
      <c r="L65" s="48">
        <v>23.874721000000001</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G136"/>
  <sheetViews>
    <sheetView workbookViewId="0">
      <selection activeCell="C5" sqref="C5:H5"/>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4.1640625" bestFit="1" customWidth="1"/>
    <col min="10" max="10" width="13.83203125" customWidth="1"/>
    <col min="11" max="11" width="25" bestFit="1" customWidth="1"/>
    <col min="12" max="13" width="25" customWidth="1"/>
    <col min="14" max="14" width="20.83203125" style="9" customWidth="1"/>
    <col min="15" max="15" width="23.6640625" style="9" customWidth="1"/>
    <col min="16" max="16" width="17.33203125" customWidth="1"/>
    <col min="17" max="17" width="14.6640625" style="43" bestFit="1" customWidth="1"/>
    <col min="18" max="18" width="23.83203125" customWidth="1"/>
    <col min="19" max="19" width="15.1640625" bestFit="1" customWidth="1"/>
    <col min="23" max="23" width="18.33203125" bestFit="1" customWidth="1"/>
    <col min="25" max="25" width="12.6640625" bestFit="1" customWidth="1"/>
  </cols>
  <sheetData>
    <row r="1" spans="3:27" x14ac:dyDescent="0.3">
      <c r="C1" s="9" t="s">
        <v>3933</v>
      </c>
    </row>
    <row r="4" spans="3:27" ht="27" x14ac:dyDescent="0.35">
      <c r="I4" s="125" t="s">
        <v>3948</v>
      </c>
      <c r="J4" s="125"/>
      <c r="K4" s="125"/>
      <c r="L4" s="125"/>
      <c r="M4" s="125"/>
      <c r="N4" s="125"/>
      <c r="O4" s="125"/>
      <c r="P4" s="37"/>
      <c r="Q4" s="70"/>
      <c r="R4" s="70"/>
    </row>
    <row r="5" spans="3:27" x14ac:dyDescent="0.3">
      <c r="C5" s="13" t="s">
        <v>25</v>
      </c>
      <c r="D5" s="12" t="s">
        <v>13</v>
      </c>
      <c r="E5" s="12" t="s">
        <v>14</v>
      </c>
      <c r="F5" s="13" t="s">
        <v>4017</v>
      </c>
      <c r="G5" s="12" t="s">
        <v>15</v>
      </c>
      <c r="H5" s="13" t="s">
        <v>3932</v>
      </c>
      <c r="I5" s="13" t="s">
        <v>3976</v>
      </c>
      <c r="J5" s="13" t="s">
        <v>3993</v>
      </c>
      <c r="K5" s="13" t="s">
        <v>3992</v>
      </c>
      <c r="L5" s="13" t="s">
        <v>3994</v>
      </c>
      <c r="M5" s="13" t="s">
        <v>3995</v>
      </c>
      <c r="N5" s="13" t="s">
        <v>3978</v>
      </c>
      <c r="O5" s="13" t="s">
        <v>3977</v>
      </c>
      <c r="P5" s="13" t="s">
        <v>3929</v>
      </c>
      <c r="Q5" s="44" t="s">
        <v>3935</v>
      </c>
      <c r="R5" s="13" t="s">
        <v>22</v>
      </c>
      <c r="S5" s="12" t="s">
        <v>21</v>
      </c>
    </row>
    <row r="6" spans="3:27" hidden="1" x14ac:dyDescent="0.3">
      <c r="C6" s="9" t="s">
        <v>16</v>
      </c>
      <c r="D6" s="11">
        <v>13593032</v>
      </c>
      <c r="E6" s="11">
        <v>669183050</v>
      </c>
      <c r="F6" s="11">
        <f>Table2123242526[[#This Row],[E]]/Table2123242526[[#This Row],[V]]</f>
        <v>49.229859092511518</v>
      </c>
      <c r="G6" s="11">
        <v>1052326</v>
      </c>
      <c r="H6" s="10"/>
      <c r="I6" s="28" t="s">
        <v>3902</v>
      </c>
      <c r="J6" s="28">
        <f>MIN(Table2123242526[[#This Row],[G2AIMD (pingpong)]], Table2123242526[[#This Row],[gpu-layered]])</f>
        <v>0</v>
      </c>
      <c r="K6" s="28" t="e">
        <f>Table2123242526[[#This Row],[gpu-hybrid]]/Table2123242526[[#This Row],[min]]</f>
        <v>#DIV/0!</v>
      </c>
      <c r="L6" s="28" t="e">
        <f>Table2123242526[[#This Row],[G2AIMD (pingpong)]]/Table2123242526[[#This Row],[gpu-layered]]</f>
        <v>#VALUE!</v>
      </c>
      <c r="M6" s="28" t="e">
        <f>Table2123242526[[#This Row],[gpu-layered]]/Table2123242526[[#This Row],[G2AIMD (pingpong)]]</f>
        <v>#VALUE!</v>
      </c>
      <c r="N6" s="10"/>
      <c r="O6" s="10"/>
      <c r="P6" s="9"/>
      <c r="Q6" s="45"/>
      <c r="R6" s="25"/>
      <c r="S6" s="25"/>
    </row>
    <row r="7" spans="3:27" hidden="1" x14ac:dyDescent="0.3">
      <c r="C7" s="9" t="s">
        <v>3901</v>
      </c>
      <c r="D7" s="11">
        <v>18483186</v>
      </c>
      <c r="E7" s="11">
        <v>523574516</v>
      </c>
      <c r="F7" s="11">
        <f>Table2123242526[[#This Row],[E]]/Table2123242526[[#This Row],[V]]</f>
        <v>28.327070668444282</v>
      </c>
      <c r="G7" s="11">
        <v>194955</v>
      </c>
      <c r="H7" s="10"/>
      <c r="I7" s="28" t="s">
        <v>3902</v>
      </c>
      <c r="J7" s="28">
        <f>MIN(Table2123242526[[#This Row],[G2AIMD (pingpong)]], Table2123242526[[#This Row],[gpu-layered]])</f>
        <v>0</v>
      </c>
      <c r="K7" s="28" t="e">
        <f>Table2123242526[[#This Row],[gpu-hybrid]]/Table2123242526[[#This Row],[min]]</f>
        <v>#DIV/0!</v>
      </c>
      <c r="L7" s="28" t="e">
        <f>Table2123242526[[#This Row],[G2AIMD (pingpong)]]/Table2123242526[[#This Row],[gpu-layered]]</f>
        <v>#VALUE!</v>
      </c>
      <c r="M7" s="28" t="e">
        <f>Table2123242526[[#This Row],[gpu-layered]]/Table2123242526[[#This Row],[G2AIMD (pingpong)]]</f>
        <v>#VALUE!</v>
      </c>
      <c r="N7" s="10"/>
      <c r="O7" s="10"/>
      <c r="P7" s="9"/>
      <c r="Q7" s="45"/>
      <c r="R7" s="25"/>
      <c r="S7" s="25"/>
    </row>
    <row r="8" spans="3:27" hidden="1" x14ac:dyDescent="0.3">
      <c r="C8" s="11" t="s">
        <v>1460</v>
      </c>
      <c r="D8" s="11">
        <v>4512099</v>
      </c>
      <c r="E8" s="11">
        <v>163921732</v>
      </c>
      <c r="F8" s="11">
        <f>Table2123242526[[#This Row],[E]]/Table2123242526[[#This Row],[V]]</f>
        <v>36.32937397871811</v>
      </c>
      <c r="G8" s="11">
        <v>288044</v>
      </c>
      <c r="H8" s="10"/>
      <c r="I8" s="28" t="s">
        <v>3902</v>
      </c>
      <c r="J8" s="28">
        <f>MIN(Table2123242526[[#This Row],[G2AIMD (pingpong)]], Table2123242526[[#This Row],[gpu-layered]])</f>
        <v>0</v>
      </c>
      <c r="K8" s="28" t="e">
        <f>Table2123242526[[#This Row],[gpu-hybrid]]/Table2123242526[[#This Row],[min]]</f>
        <v>#DIV/0!</v>
      </c>
      <c r="L8" s="28" t="e">
        <f>Table2123242526[[#This Row],[G2AIMD (pingpong)]]/Table2123242526[[#This Row],[gpu-layered]]</f>
        <v>#VALUE!</v>
      </c>
      <c r="M8" s="28" t="e">
        <f>Table2123242526[[#This Row],[gpu-layered]]/Table2123242526[[#This Row],[G2AIMD (pingpong)]]</f>
        <v>#VALUE!</v>
      </c>
      <c r="N8" s="10"/>
      <c r="O8" s="10"/>
      <c r="P8" s="9"/>
      <c r="Q8" s="45"/>
      <c r="R8" s="25"/>
      <c r="S8" s="25"/>
    </row>
    <row r="9" spans="3:27" hidden="1" x14ac:dyDescent="0.3">
      <c r="C9" s="9" t="s">
        <v>3900</v>
      </c>
      <c r="D9" s="11">
        <v>1069126</v>
      </c>
      <c r="E9" s="11">
        <v>112613306</v>
      </c>
      <c r="F9" s="11">
        <f>Table2123242526[[#This Row],[E]]/Table2123242526[[#This Row],[V]]</f>
        <v>105.33211801041224</v>
      </c>
      <c r="G9" s="11">
        <v>11467</v>
      </c>
      <c r="H9" s="10"/>
      <c r="I9" s="28" t="s">
        <v>3902</v>
      </c>
      <c r="J9" s="28">
        <f>MIN(Table2123242526[[#This Row],[G2AIMD (pingpong)]], Table2123242526[[#This Row],[gpu-layered]])</f>
        <v>0</v>
      </c>
      <c r="K9" s="28" t="e">
        <f>Table2123242526[[#This Row],[gpu-hybrid]]/Table2123242526[[#This Row],[min]]</f>
        <v>#DIV/0!</v>
      </c>
      <c r="L9" s="28" t="e">
        <f>Table2123242526[[#This Row],[G2AIMD (pingpong)]]/Table2123242526[[#This Row],[gpu-layered]]</f>
        <v>#VALUE!</v>
      </c>
      <c r="M9" s="28" t="e">
        <f>Table2123242526[[#This Row],[gpu-layered]]/Table2123242526[[#This Row],[G2AIMD (pingpong)]]</f>
        <v>#VALUE!</v>
      </c>
      <c r="N9" s="10"/>
      <c r="O9" s="10"/>
      <c r="P9" s="9"/>
      <c r="Q9" s="45"/>
      <c r="R9" s="25"/>
      <c r="S9" s="25"/>
    </row>
    <row r="10" spans="3:27" hidden="1" x14ac:dyDescent="0.3">
      <c r="C10" s="9" t="s">
        <v>1427</v>
      </c>
      <c r="D10" s="11">
        <v>2105723</v>
      </c>
      <c r="E10" s="11">
        <v>100093818</v>
      </c>
      <c r="F10" s="11">
        <f>Table2123242526[[#This Row],[E]]/Table2123242526[[#This Row],[V]]</f>
        <v>47.534180896537677</v>
      </c>
      <c r="G10" s="11">
        <v>218818</v>
      </c>
      <c r="H10" s="10"/>
      <c r="I10" s="28" t="s">
        <v>3902</v>
      </c>
      <c r="J10" s="28">
        <f>MIN(Table2123242526[[#This Row],[G2AIMD (pingpong)]], Table2123242526[[#This Row],[gpu-layered]])</f>
        <v>0</v>
      </c>
      <c r="K10" s="28" t="e">
        <f>Table2123242526[[#This Row],[gpu-hybrid]]/Table2123242526[[#This Row],[min]]</f>
        <v>#DIV/0!</v>
      </c>
      <c r="L10" s="28" t="e">
        <f>Table2123242526[[#This Row],[G2AIMD (pingpong)]]/Table2123242526[[#This Row],[gpu-layered]]</f>
        <v>#VALUE!</v>
      </c>
      <c r="M10" s="28" t="e">
        <f>Table2123242526[[#This Row],[gpu-layered]]/Table2123242526[[#This Row],[G2AIMD (pingpong)]]</f>
        <v>#VALUE!</v>
      </c>
      <c r="N10" s="10"/>
      <c r="O10" s="10"/>
      <c r="P10" s="9"/>
      <c r="Q10" s="45"/>
      <c r="R10" s="25"/>
      <c r="S10" s="25"/>
    </row>
    <row r="11" spans="3:27" hidden="1" x14ac:dyDescent="0.3">
      <c r="C11" s="11" t="s">
        <v>1424</v>
      </c>
      <c r="D11" s="11">
        <v>2302925</v>
      </c>
      <c r="E11" s="11">
        <v>45676552</v>
      </c>
      <c r="F11" s="11">
        <f>Table2123242526[[#This Row],[E]]/Table2123242526[[#This Row],[V]]</f>
        <v>19.834146574465084</v>
      </c>
      <c r="G11" s="11">
        <v>27937</v>
      </c>
      <c r="H11" s="10"/>
      <c r="I11" s="28" t="s">
        <v>3902</v>
      </c>
      <c r="J11" s="28">
        <f>MIN(Table2123242526[[#This Row],[G2AIMD (pingpong)]], Table2123242526[[#This Row],[gpu-layered]])</f>
        <v>0</v>
      </c>
      <c r="K11" s="28" t="e">
        <f>Table2123242526[[#This Row],[gpu-hybrid]]/Table2123242526[[#This Row],[min]]</f>
        <v>#DIV/0!</v>
      </c>
      <c r="L11" s="28" t="e">
        <f>Table2123242526[[#This Row],[G2AIMD (pingpong)]]/Table2123242526[[#This Row],[gpu-layered]]</f>
        <v>#VALUE!</v>
      </c>
      <c r="M11" s="28" t="e">
        <f>Table2123242526[[#This Row],[gpu-layered]]/Table2123242526[[#This Row],[G2AIMD (pingpong)]]</f>
        <v>#VALUE!</v>
      </c>
      <c r="N11" s="10"/>
      <c r="O11" s="10"/>
      <c r="P11" s="9"/>
      <c r="Q11" s="45"/>
      <c r="R11" s="25"/>
      <c r="S11" s="25"/>
    </row>
    <row r="12" spans="3:27" hidden="1" x14ac:dyDescent="0.3">
      <c r="C12" s="11" t="s">
        <v>1465</v>
      </c>
      <c r="D12" s="11">
        <v>68349466</v>
      </c>
      <c r="E12" s="11">
        <v>3623698684</v>
      </c>
      <c r="F12" s="11">
        <f>Table2123242526[[#This Row],[E]]/Table2123242526[[#This Row],[V]]</f>
        <v>53.017220119905545</v>
      </c>
      <c r="G12" s="11">
        <v>5214</v>
      </c>
      <c r="H12" s="10"/>
      <c r="I12" s="28" t="s">
        <v>3904</v>
      </c>
      <c r="J12" s="28">
        <f>MIN(Table2123242526[[#This Row],[G2AIMD (pingpong)]], Table2123242526[[#This Row],[gpu-layered]])</f>
        <v>0</v>
      </c>
      <c r="K12" s="28" t="e">
        <f>Table2123242526[[#This Row],[gpu-hybrid]]/Table2123242526[[#This Row],[min]]</f>
        <v>#DIV/0!</v>
      </c>
      <c r="L12" s="28" t="e">
        <f>Table2123242526[[#This Row],[G2AIMD (pingpong)]]/Table2123242526[[#This Row],[gpu-layered]]</f>
        <v>#VALUE!</v>
      </c>
      <c r="M12" s="28" t="e">
        <f>Table2123242526[[#This Row],[gpu-layered]]/Table2123242526[[#This Row],[G2AIMD (pingpong)]]</f>
        <v>#VALUE!</v>
      </c>
      <c r="N12" s="10"/>
      <c r="O12" s="10"/>
      <c r="P12" s="9"/>
      <c r="Q12" s="45"/>
      <c r="R12" s="25"/>
      <c r="S12" s="25"/>
    </row>
    <row r="13" spans="3:27" hidden="1" x14ac:dyDescent="0.3">
      <c r="C13" s="9" t="s">
        <v>3914</v>
      </c>
      <c r="D13" s="11">
        <v>147925593</v>
      </c>
      <c r="E13" s="11">
        <v>893533906</v>
      </c>
      <c r="F13" s="11">
        <f>Table2123242526[[#This Row],[E]]/Table2123242526[[#This Row],[V]]</f>
        <v>6.0404280819749694</v>
      </c>
      <c r="G13" s="11">
        <v>308477</v>
      </c>
      <c r="H13" s="10"/>
      <c r="I13" s="28" t="s">
        <v>3904</v>
      </c>
      <c r="J13" s="28">
        <f>MIN(Table2123242526[[#This Row],[G2AIMD (pingpong)]], Table2123242526[[#This Row],[gpu-layered]])</f>
        <v>0</v>
      </c>
      <c r="K13" s="28" t="e">
        <f>Table2123242526[[#This Row],[gpu-hybrid]]/Table2123242526[[#This Row],[min]]</f>
        <v>#DIV/0!</v>
      </c>
      <c r="L13" s="28" t="e">
        <f>Table2123242526[[#This Row],[G2AIMD (pingpong)]]/Table2123242526[[#This Row],[gpu-layered]]</f>
        <v>#VALUE!</v>
      </c>
      <c r="M13" s="28" t="e">
        <f>Table2123242526[[#This Row],[gpu-layered]]/Table2123242526[[#This Row],[G2AIMD (pingpong)]]</f>
        <v>#VALUE!</v>
      </c>
      <c r="N13" s="10"/>
      <c r="O13" s="10"/>
      <c r="P13" s="9"/>
      <c r="Q13" s="45"/>
      <c r="R13" s="25"/>
      <c r="S13" s="25"/>
    </row>
    <row r="14" spans="3:27" hidden="1" x14ac:dyDescent="0.3">
      <c r="C14" s="11" t="s">
        <v>1417</v>
      </c>
      <c r="D14" s="11">
        <v>5203763</v>
      </c>
      <c r="E14" s="11">
        <v>97419242</v>
      </c>
      <c r="F14" s="11">
        <f>Table2123242526[[#This Row],[E]]/Table2123242526[[#This Row],[V]]</f>
        <v>18.72092214806862</v>
      </c>
      <c r="G14" s="11">
        <v>15016</v>
      </c>
      <c r="H14" s="10"/>
      <c r="I14" s="28" t="s">
        <v>3921</v>
      </c>
      <c r="J14" s="28">
        <f>MIN(Table2123242526[[#This Row],[G2AIMD (pingpong)]], Table2123242526[[#This Row],[gpu-layered]])</f>
        <v>0</v>
      </c>
      <c r="K14" s="28" t="e">
        <f>Table2123242526[[#This Row],[gpu-hybrid]]/Table2123242526[[#This Row],[min]]</f>
        <v>#DIV/0!</v>
      </c>
      <c r="L14" s="28" t="e">
        <f>Table2123242526[[#This Row],[G2AIMD (pingpong)]]/Table2123242526[[#This Row],[gpu-layered]]</f>
        <v>#VALUE!</v>
      </c>
      <c r="M14" s="28" t="e">
        <f>Table2123242526[[#This Row],[gpu-layered]]/Table2123242526[[#This Row],[G2AIMD (pingpong)]]</f>
        <v>#VALUE!</v>
      </c>
      <c r="N14" s="10"/>
      <c r="O14" s="10"/>
      <c r="P14" s="9"/>
      <c r="Q14" s="45"/>
      <c r="R14" s="25"/>
      <c r="S14" s="25"/>
    </row>
    <row r="15" spans="3:27" hidden="1" x14ac:dyDescent="0.3">
      <c r="C15" s="11" t="s">
        <v>1435</v>
      </c>
      <c r="D15" s="11">
        <v>4846609</v>
      </c>
      <c r="E15" s="11">
        <v>85702474</v>
      </c>
      <c r="F15" s="11">
        <f>Table2123242526[[#This Row],[E]]/Table2123242526[[#This Row],[V]]</f>
        <v>17.682976695664948</v>
      </c>
      <c r="G15" s="11">
        <v>20333</v>
      </c>
      <c r="H15" s="10"/>
      <c r="I15" s="28" t="s">
        <v>3921</v>
      </c>
      <c r="J15" s="28">
        <f>MIN(Table2123242526[[#This Row],[G2AIMD (pingpong)]], Table2123242526[[#This Row],[gpu-layered]])</f>
        <v>0</v>
      </c>
      <c r="K15" s="28" t="e">
        <f>Table2123242526[[#This Row],[gpu-hybrid]]/Table2123242526[[#This Row],[min]]</f>
        <v>#DIV/0!</v>
      </c>
      <c r="L15" s="28" t="e">
        <f>Table2123242526[[#This Row],[G2AIMD (pingpong)]]/Table2123242526[[#This Row],[gpu-layered]]</f>
        <v>#VALUE!</v>
      </c>
      <c r="M15" s="28" t="e">
        <f>Table2123242526[[#This Row],[gpu-layered]]/Table2123242526[[#This Row],[G2AIMD (pingpong)]]</f>
        <v>#VALUE!</v>
      </c>
      <c r="N15" s="10"/>
      <c r="O15" s="10"/>
      <c r="P15" s="9"/>
      <c r="Q15" s="45"/>
      <c r="R15" s="25"/>
      <c r="S15" s="25"/>
    </row>
    <row r="16" spans="3:27" ht="24" x14ac:dyDescent="0.3">
      <c r="C16" s="11" t="s">
        <v>1431</v>
      </c>
      <c r="D16" s="38">
        <v>4579069</v>
      </c>
      <c r="E16" s="38">
        <v>12530086</v>
      </c>
      <c r="F16" s="38">
        <f>Table2123242526[[#This Row],[E]]/Table2123242526[[#This Row],[V]]</f>
        <v>2.7363828760824527</v>
      </c>
      <c r="G16" s="38">
        <v>4043326</v>
      </c>
      <c r="H16" s="39">
        <v>6015927</v>
      </c>
      <c r="I16" s="41">
        <v>7.7896460000000003</v>
      </c>
      <c r="J16" s="108">
        <f>MIN(Table2123242526[[#This Row],[G2AIMD (pingpong)]], Table2123242526[[#This Row],[gpu-layered]])</f>
        <v>7.0005249999999997</v>
      </c>
      <c r="K16" s="109">
        <f>Table2123242526[[#This Row],[gpu-hybrid]]/Table2123242526[[#This Row],[min]]</f>
        <v>0.98575549690916042</v>
      </c>
      <c r="L16" s="109">
        <f>Table2123242526[[#This Row],[G2AIMD (pingpong)]]/Table2123242526[[#This Row],[gpu-layered]]</f>
        <v>1.112723117194782</v>
      </c>
      <c r="M16" s="109">
        <f>Table2123242526[[#This Row],[gpu-layered]]/Table2123242526[[#This Row],[G2AIMD (pingpong)]]</f>
        <v>0.89869616668074515</v>
      </c>
      <c r="N16" s="41">
        <v>7.0005249999999997</v>
      </c>
      <c r="O16" s="40">
        <v>6.9008060000000002</v>
      </c>
      <c r="P16" s="71">
        <v>0.93807399999999996</v>
      </c>
      <c r="Q16" s="74">
        <v>0.93605400000000005</v>
      </c>
      <c r="R16" s="34"/>
      <c r="S16" s="34"/>
      <c r="W16" s="35"/>
      <c r="Y16" s="2"/>
      <c r="AA16" s="2"/>
    </row>
    <row r="17" spans="3:27" ht="24" x14ac:dyDescent="0.3">
      <c r="C17" s="11" t="s">
        <v>1391</v>
      </c>
      <c r="D17" s="38">
        <v>8482737</v>
      </c>
      <c r="E17" s="38">
        <v>23585644</v>
      </c>
      <c r="F17" s="38">
        <f>Table2123242526[[#This Row],[E]]/Table2123242526[[#This Row],[V]]</f>
        <v>2.7804285338564663</v>
      </c>
      <c r="G17" s="38">
        <v>8421430</v>
      </c>
      <c r="H17" s="39">
        <v>12043741</v>
      </c>
      <c r="I17" s="41">
        <v>7.652196</v>
      </c>
      <c r="J17" s="108">
        <f>MIN(Table2123242526[[#This Row],[G2AIMD (pingpong)]], Table2123242526[[#This Row],[gpu-layered]])</f>
        <v>7.3640220000000003</v>
      </c>
      <c r="K17" s="109">
        <f>Table2123242526[[#This Row],[gpu-hybrid]]/Table2123242526[[#This Row],[min]]</f>
        <v>1.000292638995375</v>
      </c>
      <c r="L17" s="109">
        <f>Table2123242526[[#This Row],[G2AIMD (pingpong)]]/Table2123242526[[#This Row],[gpu-layered]]</f>
        <v>1.0391326913472012</v>
      </c>
      <c r="M17" s="109">
        <f>Table2123242526[[#This Row],[gpu-layered]]/Table2123242526[[#This Row],[G2AIMD (pingpong)]]</f>
        <v>0.96234100642482245</v>
      </c>
      <c r="N17" s="41">
        <v>7.3640220000000003</v>
      </c>
      <c r="O17" s="40">
        <v>7.3661770000000004</v>
      </c>
      <c r="P17" s="71">
        <v>0.89532500000000004</v>
      </c>
      <c r="Q17" s="74">
        <v>0.873803</v>
      </c>
      <c r="R17" s="34"/>
      <c r="S17" s="34"/>
      <c r="W17" s="35"/>
      <c r="Y17" s="2"/>
      <c r="AA17" s="2"/>
    </row>
    <row r="18" spans="3:27" ht="24" x14ac:dyDescent="0.3">
      <c r="C18" s="9" t="s">
        <v>11</v>
      </c>
      <c r="D18" s="38">
        <v>2394385</v>
      </c>
      <c r="E18" s="38">
        <v>9319130</v>
      </c>
      <c r="F18" s="38">
        <f>Table2123242526[[#This Row],[E]]/Table2123242526[[#This Row],[V]]</f>
        <v>3.8920766710449657</v>
      </c>
      <c r="G18" s="38">
        <v>100029</v>
      </c>
      <c r="H18" s="39">
        <v>86333306</v>
      </c>
      <c r="I18" s="41">
        <v>3.3782510000000001</v>
      </c>
      <c r="J18" s="108">
        <f>MIN(Table2123242526[[#This Row],[G2AIMD (pingpong)]], Table2123242526[[#This Row],[gpu-layered]])</f>
        <v>2.6237210000000002</v>
      </c>
      <c r="K18" s="109">
        <f>Table2123242526[[#This Row],[gpu-hybrid]]/Table2123242526[[#This Row],[min]]</f>
        <v>0.6729377856868165</v>
      </c>
      <c r="L18" s="109">
        <f>Table2123242526[[#This Row],[G2AIMD (pingpong)]]/Table2123242526[[#This Row],[gpu-layered]]</f>
        <v>1.2875801199898922</v>
      </c>
      <c r="M18" s="109">
        <f>Table2123242526[[#This Row],[gpu-layered]]/Table2123242526[[#This Row],[G2AIMD (pingpong)]]</f>
        <v>0.77665069883794902</v>
      </c>
      <c r="N18" s="41">
        <v>2.6237210000000002</v>
      </c>
      <c r="O18" s="76">
        <v>1.765601</v>
      </c>
      <c r="P18" s="71">
        <v>11.48353</v>
      </c>
      <c r="Q18" s="71">
        <v>2.5116809999999998</v>
      </c>
      <c r="R18" s="34"/>
      <c r="S18" s="34"/>
      <c r="W18" s="35"/>
      <c r="Y18" s="2"/>
      <c r="AA18" s="2"/>
    </row>
    <row r="19" spans="3:27" ht="24" x14ac:dyDescent="0.3">
      <c r="C19" s="11" t="s">
        <v>1408</v>
      </c>
      <c r="D19" s="38">
        <v>4063587</v>
      </c>
      <c r="E19" s="38">
        <v>17652554</v>
      </c>
      <c r="F19" s="38">
        <f>Table2123242526[[#This Row],[E]]/Table2123242526[[#This Row],[V]]</f>
        <v>4.344081718934528</v>
      </c>
      <c r="G19" s="38">
        <v>4059644</v>
      </c>
      <c r="H19" s="39">
        <v>8823479</v>
      </c>
      <c r="I19" s="41">
        <v>1.682345</v>
      </c>
      <c r="J19" s="108">
        <f>MIN(Table2123242526[[#This Row],[G2AIMD (pingpong)]], Table2123242526[[#This Row],[gpu-layered]])</f>
        <v>1.511938</v>
      </c>
      <c r="K19" s="109">
        <f>Table2123242526[[#This Row],[gpu-hybrid]]/Table2123242526[[#This Row],[min]]</f>
        <v>1.0156520968452409</v>
      </c>
      <c r="L19" s="109">
        <f>Table2123242526[[#This Row],[G2AIMD (pingpong)]]/Table2123242526[[#This Row],[gpu-layered]]</f>
        <v>1.1127076639386007</v>
      </c>
      <c r="M19" s="109">
        <f>Table2123242526[[#This Row],[gpu-layered]]/Table2123242526[[#This Row],[G2AIMD (pingpong)]]</f>
        <v>0.89870864775060999</v>
      </c>
      <c r="N19" s="41">
        <v>1.511938</v>
      </c>
      <c r="O19" s="40">
        <v>1.5356030000000001</v>
      </c>
      <c r="P19" s="71">
        <v>0.16831399999999999</v>
      </c>
      <c r="Q19" s="74">
        <v>0.108086</v>
      </c>
      <c r="R19" s="34"/>
      <c r="S19" s="34"/>
      <c r="W19" s="35"/>
      <c r="Y19" s="2"/>
      <c r="AA19" s="2"/>
    </row>
    <row r="20" spans="3:27" ht="24" x14ac:dyDescent="0.3">
      <c r="C20" s="11" t="s">
        <v>1423</v>
      </c>
      <c r="D20" s="38">
        <v>7570051</v>
      </c>
      <c r="E20" s="38">
        <v>43881980</v>
      </c>
      <c r="F20" s="38">
        <f>Table2123242526[[#This Row],[E]]/Table2123242526[[#This Row],[V]]</f>
        <v>5.7967878948239582</v>
      </c>
      <c r="G20" s="38">
        <v>5669991</v>
      </c>
      <c r="H20" s="39">
        <v>41148109</v>
      </c>
      <c r="I20" s="41">
        <v>12.697224</v>
      </c>
      <c r="J20" s="108">
        <f>MIN(Table2123242526[[#This Row],[G2AIMD (pingpong)]], Table2123242526[[#This Row],[gpu-layered]])</f>
        <v>12.580476000000001</v>
      </c>
      <c r="K20" s="109">
        <f>Table2123242526[[#This Row],[gpu-hybrid]]/Table2123242526[[#This Row],[min]]</f>
        <v>0.97511850902938801</v>
      </c>
      <c r="L20" s="109">
        <f>Table2123242526[[#This Row],[G2AIMD (pingpong)]]/Table2123242526[[#This Row],[gpu-layered]]</f>
        <v>1.009280094012341</v>
      </c>
      <c r="M20" s="109">
        <f>Table2123242526[[#This Row],[gpu-layered]]/Table2123242526[[#This Row],[G2AIMD (pingpong)]]</f>
        <v>0.99080523427798084</v>
      </c>
      <c r="N20" s="41">
        <v>12.580476000000001</v>
      </c>
      <c r="O20" s="41">
        <v>12.267455</v>
      </c>
      <c r="P20" s="71">
        <v>4.7210000000000001</v>
      </c>
      <c r="Q20" s="74">
        <v>2.3150789999999999</v>
      </c>
      <c r="R20" s="34"/>
      <c r="S20" s="34"/>
      <c r="W20" s="35"/>
      <c r="Y20" s="2"/>
      <c r="AA20" s="2"/>
    </row>
    <row r="21" spans="3:27" ht="24" x14ac:dyDescent="0.3">
      <c r="C21" s="11" t="s">
        <v>1462</v>
      </c>
      <c r="D21" s="38">
        <v>33778221</v>
      </c>
      <c r="E21" s="38">
        <v>203595714</v>
      </c>
      <c r="F21" s="38">
        <f>Table2123242526[[#This Row],[E]]/Table2123242526[[#This Row],[V]]</f>
        <v>6.0274256006555227</v>
      </c>
      <c r="G21" s="38">
        <v>29319</v>
      </c>
      <c r="H21" s="39">
        <v>103359042</v>
      </c>
      <c r="I21" s="41">
        <v>1.6937089999999999</v>
      </c>
      <c r="J21" s="108">
        <f>MIN(Table2123242526[[#This Row],[G2AIMD (pingpong)]], Table2123242526[[#This Row],[gpu-layered]])</f>
        <v>1.6937089999999999</v>
      </c>
      <c r="K21" s="109">
        <f>Table2123242526[[#This Row],[gpu-hybrid]]/Table2123242526[[#This Row],[min]]</f>
        <v>0.77358153023925602</v>
      </c>
      <c r="L21" s="109">
        <f>Table2123242526[[#This Row],[G2AIMD (pingpong)]]/Table2123242526[[#This Row],[gpu-layered]]</f>
        <v>0.65893946208229526</v>
      </c>
      <c r="M21" s="109">
        <f>Table2123242526[[#This Row],[gpu-layered]]/Table2123242526[[#This Row],[G2AIMD (pingpong)]]</f>
        <v>1.517590093693781</v>
      </c>
      <c r="N21" s="41">
        <v>2.5703559999999999</v>
      </c>
      <c r="O21" s="76">
        <v>1.310222</v>
      </c>
      <c r="P21" s="71">
        <v>25.699197000000002</v>
      </c>
      <c r="Q21" s="71">
        <v>7.0814329999999996</v>
      </c>
      <c r="R21" s="34"/>
      <c r="S21" s="34"/>
      <c r="W21" s="35"/>
      <c r="Y21" s="2"/>
      <c r="AA21" s="2"/>
    </row>
    <row r="22" spans="3:27" ht="24" x14ac:dyDescent="0.3">
      <c r="C22" s="11" t="s">
        <v>1425</v>
      </c>
      <c r="D22" s="38">
        <v>5005932</v>
      </c>
      <c r="E22" s="38">
        <v>33083838</v>
      </c>
      <c r="F22" s="38">
        <f>Table2123242526[[#This Row],[E]]/Table2123242526[[#This Row],[V]]</f>
        <v>6.6089267692809255</v>
      </c>
      <c r="G22" s="38">
        <v>1208022</v>
      </c>
      <c r="H22" s="39">
        <v>48080344</v>
      </c>
      <c r="I22" s="41">
        <v>3.2148729999999999</v>
      </c>
      <c r="J22" s="108">
        <f>MIN(Table2123242526[[#This Row],[G2AIMD (pingpong)]], Table2123242526[[#This Row],[gpu-layered]])</f>
        <v>3.2148729999999999</v>
      </c>
      <c r="K22" s="109">
        <f>Table2123242526[[#This Row],[gpu-hybrid]]/Table2123242526[[#This Row],[min]]</f>
        <v>0.92432018309899033</v>
      </c>
      <c r="L22" s="109">
        <f>Table2123242526[[#This Row],[G2AIMD (pingpong)]]/Table2123242526[[#This Row],[gpu-layered]]</f>
        <v>0.94468649421073836</v>
      </c>
      <c r="M22" s="109">
        <f>Table2123242526[[#This Row],[gpu-layered]]/Table2123242526[[#This Row],[G2AIMD (pingpong)]]</f>
        <v>1.0585522351893839</v>
      </c>
      <c r="N22" s="41">
        <v>3.403111</v>
      </c>
      <c r="O22" s="40">
        <v>2.9715720000000001</v>
      </c>
      <c r="P22" s="71">
        <v>5.9442469999999998</v>
      </c>
      <c r="Q22" s="74">
        <v>2.8253370000000002</v>
      </c>
      <c r="R22" s="34"/>
      <c r="S22" s="34"/>
      <c r="W22" s="35"/>
      <c r="Y22" s="2"/>
      <c r="AA22" s="2"/>
    </row>
    <row r="23" spans="3:27" ht="24" x14ac:dyDescent="0.3">
      <c r="C23" s="11" t="s">
        <v>1404</v>
      </c>
      <c r="D23" s="38">
        <v>2939627</v>
      </c>
      <c r="E23" s="38">
        <v>20974994</v>
      </c>
      <c r="F23" s="38">
        <f>Table2123242526[[#This Row],[E]]/Table2123242526[[#This Row],[V]]</f>
        <v>7.1352569560695969</v>
      </c>
      <c r="G23" s="38">
        <v>916719</v>
      </c>
      <c r="H23" s="39">
        <v>49558992</v>
      </c>
      <c r="I23" s="41">
        <v>3.7311160000000001</v>
      </c>
      <c r="J23" s="108">
        <f>MIN(Table2123242526[[#This Row],[G2AIMD (pingpong)]], Table2123242526[[#This Row],[gpu-layered]])</f>
        <v>3.5483899999999999</v>
      </c>
      <c r="K23" s="109">
        <f>Table2123242526[[#This Row],[gpu-hybrid]]/Table2123242526[[#This Row],[min]]</f>
        <v>0.91688230436902374</v>
      </c>
      <c r="L23" s="109">
        <f>Table2123242526[[#This Row],[G2AIMD (pingpong)]]/Table2123242526[[#This Row],[gpu-layered]]</f>
        <v>1.0514954669582544</v>
      </c>
      <c r="M23" s="109">
        <f>Table2123242526[[#This Row],[gpu-layered]]/Table2123242526[[#This Row],[G2AIMD (pingpong)]]</f>
        <v>0.95102644892305677</v>
      </c>
      <c r="N23" s="41">
        <v>3.5483899999999999</v>
      </c>
      <c r="O23" s="40">
        <v>3.2534559999999999</v>
      </c>
      <c r="P23" s="71">
        <v>5.7104470000000003</v>
      </c>
      <c r="Q23" s="74">
        <v>2.0374910000000002</v>
      </c>
      <c r="R23" s="34"/>
      <c r="S23" s="34"/>
      <c r="W23" s="35"/>
      <c r="Y23" s="2"/>
      <c r="AA23" s="2"/>
    </row>
    <row r="24" spans="3:27" ht="24" x14ac:dyDescent="0.3">
      <c r="C24" s="11" t="s">
        <v>1411</v>
      </c>
      <c r="D24" s="38">
        <v>3496954</v>
      </c>
      <c r="E24" s="38">
        <v>27305086</v>
      </c>
      <c r="F24" s="38">
        <f>Table2123242526[[#This Row],[E]]/Table2123242526[[#This Row],[V]]</f>
        <v>7.808248550023821</v>
      </c>
      <c r="G24" s="38">
        <v>2187803</v>
      </c>
      <c r="H24" s="39">
        <v>12230903</v>
      </c>
      <c r="I24" s="41">
        <v>1.9853620000000001</v>
      </c>
      <c r="J24" s="108">
        <f>MIN(Table2123242526[[#This Row],[G2AIMD (pingpong)]], Table2123242526[[#This Row],[gpu-layered]])</f>
        <v>1.8377460000000001</v>
      </c>
      <c r="K24" s="109">
        <f>Table2123242526[[#This Row],[gpu-hybrid]]/Table2123242526[[#This Row],[min]]</f>
        <v>0.98392868220091345</v>
      </c>
      <c r="L24" s="109">
        <f>Table2123242526[[#This Row],[G2AIMD (pingpong)]]/Table2123242526[[#This Row],[gpu-layered]]</f>
        <v>1.0803244844499729</v>
      </c>
      <c r="M24" s="109">
        <f>Table2123242526[[#This Row],[gpu-layered]]/Table2123242526[[#This Row],[G2AIMD (pingpong)]]</f>
        <v>0.92564781636799742</v>
      </c>
      <c r="N24" s="41">
        <v>1.8377460000000001</v>
      </c>
      <c r="O24" s="40">
        <v>1.808211</v>
      </c>
      <c r="P24" s="74">
        <v>0.65300999999999998</v>
      </c>
      <c r="Q24" s="71">
        <v>0.72130399999999995</v>
      </c>
      <c r="R24" s="34"/>
      <c r="S24" s="34"/>
      <c r="W24" s="35"/>
      <c r="Y24" s="2"/>
      <c r="AA24" s="2"/>
    </row>
    <row r="25" spans="3:27" ht="24" x14ac:dyDescent="0.3">
      <c r="C25" s="11" t="s">
        <v>1409</v>
      </c>
      <c r="D25" s="38">
        <v>3411795</v>
      </c>
      <c r="E25" s="38">
        <v>26854686</v>
      </c>
      <c r="F25" s="38">
        <f>Table2123242526[[#This Row],[E]]/Table2123242526[[#This Row],[V]]</f>
        <v>7.8711311787490166</v>
      </c>
      <c r="G25" s="38">
        <v>2487058</v>
      </c>
      <c r="H25" s="39">
        <v>8209611</v>
      </c>
      <c r="I25" s="41">
        <v>4.5660360000000004</v>
      </c>
      <c r="J25" s="108">
        <f>MIN(Table2123242526[[#This Row],[G2AIMD (pingpong)]], Table2123242526[[#This Row],[gpu-layered]])</f>
        <v>2.5640559999999999</v>
      </c>
      <c r="K25" s="109">
        <f>Table2123242526[[#This Row],[gpu-hybrid]]/Table2123242526[[#This Row],[min]]</f>
        <v>0.99985998745737226</v>
      </c>
      <c r="L25" s="109">
        <f>Table2123242526[[#This Row],[G2AIMD (pingpong)]]/Table2123242526[[#This Row],[gpu-layered]]</f>
        <v>1.7807863790806444</v>
      </c>
      <c r="M25" s="109">
        <f>Table2123242526[[#This Row],[gpu-layered]]/Table2123242526[[#This Row],[G2AIMD (pingpong)]]</f>
        <v>0.56154966802714645</v>
      </c>
      <c r="N25" s="41">
        <v>2.5640559999999999</v>
      </c>
      <c r="O25" s="40">
        <v>2.5636969999999999</v>
      </c>
      <c r="P25" s="71">
        <v>0.94574000000000003</v>
      </c>
      <c r="Q25" s="74">
        <v>0.85847099999999998</v>
      </c>
      <c r="R25" s="34"/>
      <c r="S25" s="34"/>
      <c r="W25" s="35"/>
      <c r="Y25" s="2"/>
      <c r="AA25" s="2"/>
    </row>
    <row r="26" spans="3:27" ht="24" x14ac:dyDescent="0.3">
      <c r="C26" s="11" t="s">
        <v>1461</v>
      </c>
      <c r="D26" s="38">
        <v>33777768</v>
      </c>
      <c r="E26" s="38">
        <v>274478882</v>
      </c>
      <c r="F26" s="38">
        <f>Table2123242526[[#This Row],[E]]/Table2123242526[[#This Row],[V]]</f>
        <v>8.1260218851642296</v>
      </c>
      <c r="G26" s="38">
        <v>1057783</v>
      </c>
      <c r="H26" s="39">
        <v>152479402</v>
      </c>
      <c r="I26" s="41">
        <v>3.8363990000000001</v>
      </c>
      <c r="J26" s="108">
        <f>MIN(Table2123242526[[#This Row],[G2AIMD (pingpong)]], Table2123242526[[#This Row],[gpu-layered]])</f>
        <v>3.8363990000000001</v>
      </c>
      <c r="K26" s="109">
        <f>Table2123242526[[#This Row],[gpu-hybrid]]/Table2123242526[[#This Row],[min]]</f>
        <v>0.84201434730850466</v>
      </c>
      <c r="L26" s="109">
        <f>Table2123242526[[#This Row],[G2AIMD (pingpong)]]/Table2123242526[[#This Row],[gpu-layered]]</f>
        <v>0.80042725350771216</v>
      </c>
      <c r="M26" s="109">
        <f>Table2123242526[[#This Row],[gpu-layered]]/Table2123242526[[#This Row],[G2AIMD (pingpong)]]</f>
        <v>1.2493327727381849</v>
      </c>
      <c r="N26" s="41">
        <v>4.7929389999999996</v>
      </c>
      <c r="O26" s="76">
        <v>3.2303030000000001</v>
      </c>
      <c r="P26" s="71">
        <v>18.665141999999999</v>
      </c>
      <c r="Q26" s="71">
        <v>7.6161149999999997</v>
      </c>
      <c r="R26" s="34"/>
      <c r="S26" s="34"/>
      <c r="W26" s="35"/>
      <c r="Y26" s="2"/>
      <c r="AA26" s="2"/>
    </row>
    <row r="27" spans="3:27" ht="24" x14ac:dyDescent="0.3">
      <c r="C27" s="9" t="s">
        <v>1402</v>
      </c>
      <c r="D27" s="38">
        <v>2132864</v>
      </c>
      <c r="E27" s="38">
        <v>17441248</v>
      </c>
      <c r="F27" s="38">
        <f>Table2123242526[[#This Row],[E]]/Table2123242526[[#This Row],[V]]</f>
        <v>8.1773840244853861</v>
      </c>
      <c r="G27" s="38">
        <v>306136</v>
      </c>
      <c r="H27" s="39">
        <v>11329220</v>
      </c>
      <c r="I27" s="41">
        <v>0.99414100000000005</v>
      </c>
      <c r="J27" s="108">
        <f>MIN(Table2123242526[[#This Row],[G2AIMD (pingpong)]], Table2123242526[[#This Row],[gpu-layered]])</f>
        <v>0.85337799999999997</v>
      </c>
      <c r="K27" s="109">
        <f>Table2123242526[[#This Row],[gpu-hybrid]]/Table2123242526[[#This Row],[min]]</f>
        <v>0.92692569998289154</v>
      </c>
      <c r="L27" s="109">
        <f>Table2123242526[[#This Row],[G2AIMD (pingpong)]]/Table2123242526[[#This Row],[gpu-layered]]</f>
        <v>1.1649480066277782</v>
      </c>
      <c r="M27" s="109">
        <f>Table2123242526[[#This Row],[gpu-layered]]/Table2123242526[[#This Row],[G2AIMD (pingpong)]]</f>
        <v>0.85840740900938595</v>
      </c>
      <c r="N27" s="41">
        <v>0.85337799999999997</v>
      </c>
      <c r="O27" s="76">
        <v>0.791018</v>
      </c>
      <c r="P27" s="71">
        <v>1.8110040000000001</v>
      </c>
      <c r="Q27" s="71">
        <v>1.1210039999999999</v>
      </c>
      <c r="R27" s="34"/>
      <c r="S27" s="34"/>
      <c r="W27" s="35"/>
      <c r="Y27" s="2"/>
      <c r="AA27" s="2"/>
    </row>
    <row r="28" spans="3:27" ht="24" x14ac:dyDescent="0.3">
      <c r="C28" s="11" t="s">
        <v>2</v>
      </c>
      <c r="D28" s="38">
        <v>4382070</v>
      </c>
      <c r="E28" s="38">
        <v>38996662</v>
      </c>
      <c r="F28" s="38">
        <f>Table2123242526[[#This Row],[E]]/Table2123242526[[#This Row],[V]]</f>
        <v>8.8991417298217517</v>
      </c>
      <c r="G28" s="38">
        <v>699764</v>
      </c>
      <c r="H28" s="39">
        <v>287608260</v>
      </c>
      <c r="I28" s="41">
        <v>7.5799459999999996</v>
      </c>
      <c r="J28" s="108">
        <f>MIN(Table2123242526[[#This Row],[G2AIMD (pingpong)]], Table2123242526[[#This Row],[gpu-layered]])</f>
        <v>7.5799459999999996</v>
      </c>
      <c r="K28" s="109">
        <f>Table2123242526[[#This Row],[gpu-hybrid]]/Table2123242526[[#This Row],[min]]</f>
        <v>0.9796974806944535</v>
      </c>
      <c r="L28" s="109">
        <f>Table2123242526[[#This Row],[G2AIMD (pingpong)]]/Table2123242526[[#This Row],[gpu-layered]]</f>
        <v>0.70956488104359572</v>
      </c>
      <c r="M28" s="109">
        <f>Table2123242526[[#This Row],[gpu-layered]]/Table2123242526[[#This Row],[G2AIMD (pingpong)]]</f>
        <v>1.4093143935326189</v>
      </c>
      <c r="N28" s="41">
        <v>10.682527</v>
      </c>
      <c r="O28" s="75">
        <v>7.4260539999999997</v>
      </c>
      <c r="P28" s="71">
        <v>38.782924999999999</v>
      </c>
      <c r="Q28" s="71">
        <v>8.0992370000000005</v>
      </c>
      <c r="R28" s="34"/>
      <c r="S28" s="34"/>
      <c r="W28" s="35"/>
      <c r="Y28" s="2"/>
      <c r="AA28" s="2"/>
    </row>
    <row r="29" spans="3:27" ht="24" x14ac:dyDescent="0.3">
      <c r="C29" s="9" t="s">
        <v>3913</v>
      </c>
      <c r="D29" s="38">
        <v>58655849</v>
      </c>
      <c r="E29" s="38">
        <v>522642066</v>
      </c>
      <c r="F29" s="38">
        <f>Table2123242526[[#This Row],[E]]/Table2123242526[[#This Row],[V]]</f>
        <v>8.9103145706747853</v>
      </c>
      <c r="G29" s="38">
        <v>278489</v>
      </c>
      <c r="H29" s="39">
        <v>1117416174</v>
      </c>
      <c r="I29" s="41">
        <v>60.576824999999999</v>
      </c>
      <c r="J29" s="108">
        <f>MIN(Table2123242526[[#This Row],[G2AIMD (pingpong)]], Table2123242526[[#This Row],[gpu-layered]])</f>
        <v>32.021475000000002</v>
      </c>
      <c r="K29" s="109">
        <f>Table2123242526[[#This Row],[gpu-hybrid]]/Table2123242526[[#This Row],[min]]</f>
        <v>0.98558857766545716</v>
      </c>
      <c r="L29" s="109">
        <f>Table2123242526[[#This Row],[G2AIMD (pingpong)]]/Table2123242526[[#This Row],[gpu-layered]]</f>
        <v>1.8917562354638566</v>
      </c>
      <c r="M29" s="109">
        <f>Table2123242526[[#This Row],[gpu-layered]]/Table2123242526[[#This Row],[G2AIMD (pingpong)]]</f>
        <v>0.52860933203415672</v>
      </c>
      <c r="N29" s="41">
        <v>32.021475000000002</v>
      </c>
      <c r="O29" s="41">
        <v>31.56</v>
      </c>
      <c r="P29" s="71">
        <v>144.30504400000001</v>
      </c>
      <c r="Q29" s="74">
        <v>30.88738</v>
      </c>
      <c r="R29" s="34"/>
      <c r="S29" s="34"/>
      <c r="W29" s="35"/>
      <c r="Y29" s="2"/>
      <c r="AA29" s="2"/>
    </row>
    <row r="30" spans="3:27" ht="24" x14ac:dyDescent="0.3">
      <c r="C30" s="11" t="s">
        <v>1440</v>
      </c>
      <c r="D30" s="38">
        <v>5812931</v>
      </c>
      <c r="E30" s="38">
        <v>54238524</v>
      </c>
      <c r="F30" s="38">
        <f>Table2123242526[[#This Row],[E]]/Table2123242526[[#This Row],[V]]</f>
        <v>9.3306670937604448</v>
      </c>
      <c r="G30" s="38">
        <v>3504033</v>
      </c>
      <c r="H30" s="39">
        <v>72022415</v>
      </c>
      <c r="I30" s="41">
        <v>5.1042110000000003</v>
      </c>
      <c r="J30" s="108">
        <f>MIN(Table2123242526[[#This Row],[G2AIMD (pingpong)]], Table2123242526[[#This Row],[gpu-layered]])</f>
        <v>5.1042110000000003</v>
      </c>
      <c r="K30" s="109">
        <f>Table2123242526[[#This Row],[gpu-hybrid]]/Table2123242526[[#This Row],[min]]</f>
        <v>0.94678727035383126</v>
      </c>
      <c r="L30" s="109">
        <f>Table2123242526[[#This Row],[G2AIMD (pingpong)]]/Table2123242526[[#This Row],[gpu-layered]]</f>
        <v>0.95677160665191219</v>
      </c>
      <c r="M30" s="109">
        <f>Table2123242526[[#This Row],[gpu-layered]]/Table2123242526[[#This Row],[G2AIMD (pingpong)]]</f>
        <v>1.0451815177703272</v>
      </c>
      <c r="N30" s="41">
        <v>5.3348269999999998</v>
      </c>
      <c r="O30" s="41">
        <v>4.8326019999999996</v>
      </c>
      <c r="P30" s="71">
        <v>9.5797369999999997</v>
      </c>
      <c r="Q30" s="74">
        <v>3.0204589999999998</v>
      </c>
      <c r="R30" s="34"/>
      <c r="S30" s="34"/>
      <c r="W30" s="35"/>
      <c r="Y30" s="2"/>
      <c r="AA30" s="2"/>
    </row>
    <row r="31" spans="3:27" ht="24" x14ac:dyDescent="0.3">
      <c r="C31" s="9" t="s">
        <v>18</v>
      </c>
      <c r="D31" s="38">
        <v>27665730</v>
      </c>
      <c r="E31" s="38">
        <v>281227494</v>
      </c>
      <c r="F31" s="38">
        <f>Table2123242526[[#This Row],[E]]/Table2123242526[[#This Row],[V]]</f>
        <v>10.165193327629526</v>
      </c>
      <c r="G31" s="38">
        <v>11571953</v>
      </c>
      <c r="H31" s="39">
        <v>134221196</v>
      </c>
      <c r="I31" s="41">
        <v>64.861952000000002</v>
      </c>
      <c r="J31" s="108">
        <f>MIN(Table2123242526[[#This Row],[G2AIMD (pingpong)]], Table2123242526[[#This Row],[gpu-layered]])</f>
        <v>62.440403000000003</v>
      </c>
      <c r="K31" s="109">
        <f>Table2123242526[[#This Row],[gpu-hybrid]]/Table2123242526[[#This Row],[min]]</f>
        <v>0.99736877098631149</v>
      </c>
      <c r="L31" s="109">
        <f>Table2123242526[[#This Row],[G2AIMD (pingpong)]]/Table2123242526[[#This Row],[gpu-layered]]</f>
        <v>1.0387817644290349</v>
      </c>
      <c r="M31" s="109">
        <f>Table2123242526[[#This Row],[gpu-layered]]/Table2123242526[[#This Row],[G2AIMD (pingpong)]]</f>
        <v>0.96266610970943334</v>
      </c>
      <c r="N31" s="41">
        <v>62.440403000000003</v>
      </c>
      <c r="O31" s="41">
        <v>62.276108000000001</v>
      </c>
      <c r="P31" s="74">
        <v>23.307552999999999</v>
      </c>
      <c r="Q31" s="71">
        <v>23.874721000000001</v>
      </c>
      <c r="R31" s="34"/>
      <c r="S31" s="34"/>
      <c r="W31" s="35"/>
      <c r="Y31" s="2"/>
      <c r="AA31" s="2"/>
    </row>
    <row r="32" spans="3:27" ht="24" x14ac:dyDescent="0.3">
      <c r="C32" s="11" t="s">
        <v>1450</v>
      </c>
      <c r="D32" s="38">
        <v>5867547</v>
      </c>
      <c r="E32" s="38">
        <v>61171040</v>
      </c>
      <c r="F32" s="38">
        <f>Table2123242526[[#This Row],[E]]/Table2123242526[[#This Row],[V]]</f>
        <v>10.425317428220003</v>
      </c>
      <c r="G32" s="38">
        <v>959344</v>
      </c>
      <c r="H32" s="39">
        <v>994503898</v>
      </c>
      <c r="I32" s="41">
        <v>57.130594000000002</v>
      </c>
      <c r="J32" s="108">
        <f>MIN(Table2123242526[[#This Row],[G2AIMD (pingpong)]], Table2123242526[[#This Row],[gpu-layered]])</f>
        <v>34.142220000000002</v>
      </c>
      <c r="K32" s="109">
        <f>Table2123242526[[#This Row],[gpu-hybrid]]/Table2123242526[[#This Row],[min]]</f>
        <v>1.0251237324345048</v>
      </c>
      <c r="L32" s="109">
        <f>Table2123242526[[#This Row],[G2AIMD (pingpong)]]/Table2123242526[[#This Row],[gpu-layered]]</f>
        <v>1.6733122216422951</v>
      </c>
      <c r="M32" s="109">
        <f>Table2123242526[[#This Row],[gpu-layered]]/Table2123242526[[#This Row],[G2AIMD (pingpong)]]</f>
        <v>0.59761710161809278</v>
      </c>
      <c r="N32" s="41">
        <v>34.142220000000002</v>
      </c>
      <c r="O32" s="41">
        <v>35</v>
      </c>
      <c r="P32" s="71">
        <v>123.493318</v>
      </c>
      <c r="Q32" s="74">
        <v>20.122519</v>
      </c>
      <c r="R32" s="34"/>
      <c r="S32" s="34"/>
      <c r="W32" s="35"/>
      <c r="Y32" s="2"/>
      <c r="AA32" s="2"/>
    </row>
    <row r="33" spans="3:33" ht="24" x14ac:dyDescent="0.3">
      <c r="C33" s="11" t="s">
        <v>1448</v>
      </c>
      <c r="D33" s="38">
        <v>5267977</v>
      </c>
      <c r="E33" s="38">
        <v>55363430</v>
      </c>
      <c r="F33" s="38">
        <f>Table2123242526[[#This Row],[E]]/Table2123242526[[#This Row],[V]]</f>
        <v>10.509428951569074</v>
      </c>
      <c r="G33" s="38">
        <v>590528</v>
      </c>
      <c r="H33" s="39">
        <v>99655585</v>
      </c>
      <c r="I33" s="41">
        <v>3.4353509999999998</v>
      </c>
      <c r="J33" s="108">
        <f>MIN(Table2123242526[[#This Row],[G2AIMD (pingpong)]], Table2123242526[[#This Row],[gpu-layered]])</f>
        <v>3.4353509999999998</v>
      </c>
      <c r="K33" s="109">
        <f>Table2123242526[[#This Row],[gpu-hybrid]]/Table2123242526[[#This Row],[min]]</f>
        <v>0.93306040634566889</v>
      </c>
      <c r="L33" s="109">
        <f>Table2123242526[[#This Row],[G2AIMD (pingpong)]]/Table2123242526[[#This Row],[gpu-layered]]</f>
        <v>0.88305214359248541</v>
      </c>
      <c r="M33" s="109">
        <f>Table2123242526[[#This Row],[gpu-layered]]/Table2123242526[[#This Row],[G2AIMD (pingpong)]]</f>
        <v>1.1324359577813157</v>
      </c>
      <c r="N33" s="41">
        <v>3.8903150000000002</v>
      </c>
      <c r="O33" s="76">
        <v>3.20539</v>
      </c>
      <c r="P33" s="71">
        <v>16.841013</v>
      </c>
      <c r="Q33" s="71">
        <v>5.4122669999999999</v>
      </c>
      <c r="R33" s="34"/>
      <c r="S33" s="34"/>
      <c r="W33" s="35"/>
      <c r="Y33" s="2"/>
      <c r="AA33" s="2"/>
    </row>
    <row r="34" spans="3:33" ht="24" x14ac:dyDescent="0.3">
      <c r="C34" s="11" t="s">
        <v>1436</v>
      </c>
      <c r="D34" s="38">
        <v>3790750</v>
      </c>
      <c r="E34" s="38">
        <v>44273578</v>
      </c>
      <c r="F34" s="38">
        <f>Table2123242526[[#This Row],[E]]/Table2123242526[[#This Row],[V]]</f>
        <v>11.679371628305745</v>
      </c>
      <c r="G34" s="38">
        <v>866662</v>
      </c>
      <c r="H34" s="39">
        <v>489911259</v>
      </c>
      <c r="I34" s="41">
        <v>11.255535999999999</v>
      </c>
      <c r="J34" s="108">
        <f>MIN(Table2123242526[[#This Row],[G2AIMD (pingpong)]], Table2123242526[[#This Row],[gpu-layered]])</f>
        <v>11.255535999999999</v>
      </c>
      <c r="K34" s="109">
        <f>Table2123242526[[#This Row],[gpu-hybrid]]/Table2123242526[[#This Row],[min]]</f>
        <v>0.9783966752005413</v>
      </c>
      <c r="L34" s="109">
        <f>Table2123242526[[#This Row],[G2AIMD (pingpong)]]/Table2123242526[[#This Row],[gpu-layered]]</f>
        <v>0.56248180641662482</v>
      </c>
      <c r="M34" s="109">
        <f>Table2123242526[[#This Row],[gpu-layered]]/Table2123242526[[#This Row],[G2AIMD (pingpong)]]</f>
        <v>1.7778352803456008</v>
      </c>
      <c r="N34" s="41">
        <v>20.010489</v>
      </c>
      <c r="O34" s="75">
        <v>11.012378999999999</v>
      </c>
      <c r="P34" s="71">
        <v>72.252588000000003</v>
      </c>
      <c r="Q34" s="71">
        <v>12.491521000000001</v>
      </c>
      <c r="R34" s="34"/>
      <c r="S34" s="34"/>
      <c r="W34" s="35"/>
      <c r="Y34" s="2"/>
      <c r="AA34" s="2"/>
    </row>
    <row r="35" spans="3:33" ht="24" x14ac:dyDescent="0.3">
      <c r="C35" s="11" t="s">
        <v>1455</v>
      </c>
      <c r="D35" s="38">
        <v>8833229</v>
      </c>
      <c r="E35" s="38">
        <v>105882456</v>
      </c>
      <c r="F35" s="38">
        <f>Table2123242526[[#This Row],[E]]/Table2123242526[[#This Row],[V]]</f>
        <v>11.986834712425093</v>
      </c>
      <c r="G35" s="38">
        <v>2126384</v>
      </c>
      <c r="H35" s="39">
        <v>2115046340</v>
      </c>
      <c r="I35" s="41">
        <v>105.59741699999999</v>
      </c>
      <c r="J35" s="108">
        <f>MIN(Table2123242526[[#This Row],[G2AIMD (pingpong)]], Table2123242526[[#This Row],[gpu-layered]])</f>
        <v>87.072643999999997</v>
      </c>
      <c r="K35" s="109">
        <f>Table2123242526[[#This Row],[gpu-hybrid]]/Table2123242526[[#This Row],[min]]</f>
        <v>1.0062861993716421</v>
      </c>
      <c r="L35" s="109">
        <f>Table2123242526[[#This Row],[G2AIMD (pingpong)]]/Table2123242526[[#This Row],[gpu-layered]]</f>
        <v>1.2127507808307738</v>
      </c>
      <c r="M35" s="109">
        <f>Table2123242526[[#This Row],[gpu-layered]]/Table2123242526[[#This Row],[G2AIMD (pingpong)]]</f>
        <v>0.82457172224203179</v>
      </c>
      <c r="N35" s="41">
        <v>87.072643999999997</v>
      </c>
      <c r="O35" s="41">
        <v>87.62</v>
      </c>
      <c r="P35" s="72">
        <v>306.40025200000002</v>
      </c>
      <c r="Q35" s="74">
        <v>46.755004999999997</v>
      </c>
      <c r="R35" s="34"/>
      <c r="S35" s="34"/>
      <c r="W35" s="35"/>
      <c r="Y35" s="2"/>
      <c r="AA35" s="2"/>
    </row>
    <row r="36" spans="3:33" ht="24" x14ac:dyDescent="0.3">
      <c r="C36" s="11" t="s">
        <v>1346</v>
      </c>
      <c r="D36" s="38">
        <v>1696415</v>
      </c>
      <c r="E36" s="38">
        <v>22190596</v>
      </c>
      <c r="F36" s="38">
        <f>Table2123242526[[#This Row],[E]]/Table2123242526[[#This Row],[V]]</f>
        <v>13.080877025963575</v>
      </c>
      <c r="G36" s="38">
        <v>35455</v>
      </c>
      <c r="H36" s="39">
        <v>37322355</v>
      </c>
      <c r="I36" s="41">
        <v>1.300643</v>
      </c>
      <c r="J36" s="108">
        <f>MIN(Table2123242526[[#This Row],[G2AIMD (pingpong)]], Table2123242526[[#This Row],[gpu-layered]])</f>
        <v>1.300643</v>
      </c>
      <c r="K36" s="109">
        <f>Table2123242526[[#This Row],[gpu-hybrid]]/Table2123242526[[#This Row],[min]]</f>
        <v>0.83452184803977725</v>
      </c>
      <c r="L36" s="109">
        <f>Table2123242526[[#This Row],[G2AIMD (pingpong)]]/Table2123242526[[#This Row],[gpu-layered]]</f>
        <v>0.77066235309105025</v>
      </c>
      <c r="M36" s="109">
        <f>Table2123242526[[#This Row],[gpu-layered]]/Table2123242526[[#This Row],[G2AIMD (pingpong)]]</f>
        <v>1.2975851175149522</v>
      </c>
      <c r="N36" s="41">
        <v>1.6876949999999999</v>
      </c>
      <c r="O36" s="76">
        <v>1.085415</v>
      </c>
      <c r="P36" s="71">
        <v>7.0529869999999999</v>
      </c>
      <c r="Q36" s="71">
        <v>2.076346</v>
      </c>
      <c r="R36" s="34"/>
      <c r="S36" s="34"/>
      <c r="W36" s="35"/>
      <c r="Y36" s="2"/>
      <c r="AA36" s="2"/>
    </row>
    <row r="37" spans="3:33" ht="24" x14ac:dyDescent="0.3">
      <c r="C37" s="11" t="s">
        <v>1449</v>
      </c>
      <c r="D37" s="38">
        <v>4799646</v>
      </c>
      <c r="E37" s="38">
        <v>63844012</v>
      </c>
      <c r="F37" s="38">
        <f>Table2123242526[[#This Row],[E]]/Table2123242526[[#This Row],[V]]</f>
        <v>13.301816842325454</v>
      </c>
      <c r="G37" s="38">
        <v>1076572</v>
      </c>
      <c r="H37" s="39">
        <v>157475935</v>
      </c>
      <c r="I37" s="41">
        <v>6.8452809999999999</v>
      </c>
      <c r="J37" s="108">
        <f>MIN(Table2123242526[[#This Row],[G2AIMD (pingpong)]], Table2123242526[[#This Row],[gpu-layered]])</f>
        <v>6.8452809999999999</v>
      </c>
      <c r="K37" s="109">
        <f>Table2123242526[[#This Row],[gpu-hybrid]]/Table2123242526[[#This Row],[min]]</f>
        <v>0.74077689433056149</v>
      </c>
      <c r="L37" s="109">
        <f>Table2123242526[[#This Row],[G2AIMD (pingpong)]]/Table2123242526[[#This Row],[gpu-layered]]</f>
        <v>0.91813385453118346</v>
      </c>
      <c r="M37" s="109">
        <f>Table2123242526[[#This Row],[gpu-layered]]/Table2123242526[[#This Row],[G2AIMD (pingpong)]]</f>
        <v>1.0891658063416243</v>
      </c>
      <c r="N37" s="41">
        <v>7.4556459999999998</v>
      </c>
      <c r="O37" s="75">
        <v>5.0708260000000003</v>
      </c>
      <c r="P37" s="71">
        <v>23.708839000000001</v>
      </c>
      <c r="Q37" s="71">
        <v>7.6292460000000002</v>
      </c>
      <c r="R37" s="34"/>
      <c r="S37" s="34"/>
      <c r="W37" s="35"/>
      <c r="Y37" s="2"/>
      <c r="AA37" s="2"/>
    </row>
    <row r="38" spans="3:33" ht="24" x14ac:dyDescent="0.3">
      <c r="C38" s="22" t="s">
        <v>3912</v>
      </c>
      <c r="D38" s="38">
        <v>4033138</v>
      </c>
      <c r="E38" s="38">
        <v>55866126</v>
      </c>
      <c r="F38" s="38">
        <f>Table2123242526[[#This Row],[E]]/Table2123242526[[#This Row],[V]]</f>
        <v>13.851776457934244</v>
      </c>
      <c r="G38" s="38">
        <v>2651</v>
      </c>
      <c r="H38" s="39">
        <v>38413666</v>
      </c>
      <c r="I38" s="41">
        <v>1.571016</v>
      </c>
      <c r="J38" s="108">
        <f>MIN(Table2123242526[[#This Row],[G2AIMD (pingpong)]], Table2123242526[[#This Row],[gpu-layered]])</f>
        <v>1.571016</v>
      </c>
      <c r="K38" s="109">
        <f>Table2123242526[[#This Row],[gpu-hybrid]]/Table2123242526[[#This Row],[min]]</f>
        <v>0.91647443437877152</v>
      </c>
      <c r="L38" s="109">
        <f>Table2123242526[[#This Row],[G2AIMD (pingpong)]]/Table2123242526[[#This Row],[gpu-layered]]</f>
        <v>0.77042047071181519</v>
      </c>
      <c r="M38" s="109">
        <f>Table2123242526[[#This Row],[gpu-layered]]/Table2123242526[[#This Row],[G2AIMD (pingpong)]]</f>
        <v>1.2979925093060796</v>
      </c>
      <c r="N38" s="41">
        <v>2.039167</v>
      </c>
      <c r="O38" s="76">
        <v>1.4397960000000001</v>
      </c>
      <c r="P38" s="71">
        <v>6.711659</v>
      </c>
      <c r="Q38" s="71">
        <v>4.0897119999999996</v>
      </c>
      <c r="R38" s="34"/>
      <c r="S38" s="34"/>
      <c r="W38" s="35"/>
      <c r="Y38" s="2"/>
      <c r="AA38" s="2"/>
    </row>
    <row r="39" spans="3:33" ht="24" x14ac:dyDescent="0.3">
      <c r="C39" s="11" t="s">
        <v>1</v>
      </c>
      <c r="D39" s="38">
        <v>18268991</v>
      </c>
      <c r="E39" s="38">
        <v>253780418</v>
      </c>
      <c r="F39" s="38">
        <f>Table2123242526[[#This Row],[E]]/Table2123242526[[#This Row],[V]]</f>
        <v>13.891320982094742</v>
      </c>
      <c r="G39" s="38">
        <v>612308</v>
      </c>
      <c r="H39" s="39">
        <v>240680701</v>
      </c>
      <c r="I39" s="41">
        <v>6.968604</v>
      </c>
      <c r="J39" s="108">
        <f>MIN(Table2123242526[[#This Row],[G2AIMD (pingpong)]], Table2123242526[[#This Row],[gpu-layered]])</f>
        <v>6.968604</v>
      </c>
      <c r="K39" s="109">
        <f>Table2123242526[[#This Row],[gpu-hybrid]]/Table2123242526[[#This Row],[min]]</f>
        <v>0.99422524224364017</v>
      </c>
      <c r="L39" s="109">
        <f>Table2123242526[[#This Row],[G2AIMD (pingpong)]]/Table2123242526[[#This Row],[gpu-layered]]</f>
        <v>0.64066786962288547</v>
      </c>
      <c r="M39" s="109">
        <f>Table2123242526[[#This Row],[gpu-layered]]/Table2123242526[[#This Row],[G2AIMD (pingpong)]]</f>
        <v>1.5608711586997912</v>
      </c>
      <c r="N39" s="41">
        <v>10.877093</v>
      </c>
      <c r="O39" s="75">
        <v>6.9283619999999999</v>
      </c>
      <c r="P39" s="71">
        <v>45.206122000000001</v>
      </c>
      <c r="Q39" s="71">
        <v>10.693218999999999</v>
      </c>
      <c r="R39" s="34"/>
      <c r="S39" s="34"/>
      <c r="W39" s="35"/>
      <c r="Y39" s="2"/>
      <c r="AA39" s="2"/>
      <c r="AE39" s="2"/>
      <c r="AG39" s="2"/>
    </row>
    <row r="40" spans="3:33" ht="24" x14ac:dyDescent="0.3">
      <c r="C40" s="22" t="s">
        <v>3919</v>
      </c>
      <c r="D40" s="38">
        <v>2937612</v>
      </c>
      <c r="E40" s="38">
        <v>41919708</v>
      </c>
      <c r="F40" s="38">
        <f>Table2123242526[[#This Row],[E]]/Table2123242526[[#This Row],[V]]</f>
        <v>14.269994812112696</v>
      </c>
      <c r="G40" s="38">
        <v>4356</v>
      </c>
      <c r="H40" s="39">
        <v>27593398</v>
      </c>
      <c r="I40" s="41">
        <v>0.62366100000000002</v>
      </c>
      <c r="J40" s="108">
        <f>MIN(Table2123242526[[#This Row],[G2AIMD (pingpong)]], Table2123242526[[#This Row],[gpu-layered]])</f>
        <v>0.62366100000000002</v>
      </c>
      <c r="K40" s="109">
        <f>Table2123242526[[#This Row],[gpu-hybrid]]/Table2123242526[[#This Row],[min]]</f>
        <v>0.77090759242601348</v>
      </c>
      <c r="L40" s="109">
        <f>Table2123242526[[#This Row],[G2AIMD (pingpong)]]/Table2123242526[[#This Row],[gpu-layered]]</f>
        <v>0.97591588790896522</v>
      </c>
      <c r="M40" s="109">
        <f>Table2123242526[[#This Row],[gpu-layered]]/Table2123242526[[#This Row],[G2AIMD (pingpong)]]</f>
        <v>1.0246784711566057</v>
      </c>
      <c r="N40" s="41">
        <v>0.63905199999999995</v>
      </c>
      <c r="O40" s="76">
        <v>0.48078500000000002</v>
      </c>
      <c r="P40" s="71">
        <v>3.6801520000000001</v>
      </c>
      <c r="Q40" s="71">
        <v>1.075196</v>
      </c>
      <c r="R40" s="34"/>
      <c r="S40" s="34"/>
      <c r="W40" s="35"/>
      <c r="Y40" s="2"/>
      <c r="AA40" s="2"/>
      <c r="AE40" s="2"/>
      <c r="AG40" s="2"/>
    </row>
    <row r="41" spans="3:33" ht="24" x14ac:dyDescent="0.3">
      <c r="C41" s="11" t="s">
        <v>1437</v>
      </c>
      <c r="D41" s="38">
        <v>2981204</v>
      </c>
      <c r="E41" s="38">
        <v>42832752</v>
      </c>
      <c r="F41" s="38">
        <f>Table2123242526[[#This Row],[E]]/Table2123242526[[#This Row],[V]]</f>
        <v>14.367601814568879</v>
      </c>
      <c r="G41" s="38">
        <v>385104</v>
      </c>
      <c r="H41" s="39">
        <v>35290880</v>
      </c>
      <c r="I41" s="41">
        <v>1.446725</v>
      </c>
      <c r="J41" s="108">
        <f>MIN(Table2123242526[[#This Row],[G2AIMD (pingpong)]], Table2123242526[[#This Row],[gpu-layered]])</f>
        <v>1.446725</v>
      </c>
      <c r="K41" s="109">
        <f>Table2123242526[[#This Row],[gpu-hybrid]]/Table2123242526[[#This Row],[min]]</f>
        <v>0.90417667490366171</v>
      </c>
      <c r="L41" s="109">
        <f>Table2123242526[[#This Row],[G2AIMD (pingpong)]]/Table2123242526[[#This Row],[gpu-layered]]</f>
        <v>0.99468597838089079</v>
      </c>
      <c r="M41" s="109">
        <f>Table2123242526[[#This Row],[gpu-layered]]/Table2123242526[[#This Row],[G2AIMD (pingpong)]]</f>
        <v>1.0053424113082996</v>
      </c>
      <c r="N41" s="41">
        <v>1.4544539999999999</v>
      </c>
      <c r="O41" s="76">
        <v>1.308095</v>
      </c>
      <c r="P41" s="71">
        <v>5.6263290000000001</v>
      </c>
      <c r="Q41" s="71">
        <v>2.3065820000000001</v>
      </c>
      <c r="R41" s="34"/>
      <c r="S41" s="34"/>
      <c r="W41" s="35"/>
      <c r="Y41" s="2"/>
      <c r="AA41" s="2"/>
      <c r="AE41" s="2"/>
      <c r="AG41" s="2"/>
    </row>
    <row r="42" spans="3:33" ht="24" x14ac:dyDescent="0.3">
      <c r="C42" s="9" t="s">
        <v>1371</v>
      </c>
      <c r="D42" s="38">
        <v>2140198</v>
      </c>
      <c r="E42" s="38">
        <v>34029892</v>
      </c>
      <c r="F42" s="38">
        <f>Table2123242526[[#This Row],[E]]/Table2123242526[[#This Row],[V]]</f>
        <v>15.900347537938078</v>
      </c>
      <c r="G42" s="38">
        <v>97848</v>
      </c>
      <c r="H42" s="39">
        <v>19365288</v>
      </c>
      <c r="I42" s="41">
        <v>0.85894899999999996</v>
      </c>
      <c r="J42" s="108">
        <f>MIN(Table2123242526[[#This Row],[G2AIMD (pingpong)]], Table2123242526[[#This Row],[gpu-layered]])</f>
        <v>0.85894899999999996</v>
      </c>
      <c r="K42" s="109">
        <f>Table2123242526[[#This Row],[gpu-hybrid]]/Table2123242526[[#This Row],[min]]</f>
        <v>0.83012961188615386</v>
      </c>
      <c r="L42" s="109">
        <f>Table2123242526[[#This Row],[G2AIMD (pingpong)]]/Table2123242526[[#This Row],[gpu-layered]]</f>
        <v>0.99974510223844459</v>
      </c>
      <c r="M42" s="109">
        <f>Table2123242526[[#This Row],[gpu-layered]]/Table2123242526[[#This Row],[G2AIMD (pingpong)]]</f>
        <v>1.00025496275099</v>
      </c>
      <c r="N42" s="41">
        <v>0.85916800000000004</v>
      </c>
      <c r="O42" s="76">
        <v>0.71303899999999998</v>
      </c>
      <c r="P42" s="71">
        <v>3.3648449999999999</v>
      </c>
      <c r="Q42" s="71">
        <v>1.127974</v>
      </c>
      <c r="R42" s="34"/>
      <c r="S42" s="34"/>
      <c r="W42" s="35"/>
      <c r="Y42" s="2"/>
      <c r="AA42" s="2"/>
      <c r="AE42" s="2"/>
      <c r="AG42" s="2"/>
    </row>
    <row r="43" spans="3:33" ht="24" x14ac:dyDescent="0.3">
      <c r="C43" s="9" t="s">
        <v>1434</v>
      </c>
      <c r="D43" s="38">
        <v>7825669</v>
      </c>
      <c r="E43" s="38">
        <v>124492028</v>
      </c>
      <c r="F43" s="38">
        <f>Table2123242526[[#This Row],[E]]/Table2123242526[[#This Row],[V]]</f>
        <v>15.90816427323977</v>
      </c>
      <c r="G43" s="38">
        <v>204282</v>
      </c>
      <c r="H43" s="39">
        <v>74995873</v>
      </c>
      <c r="I43" s="75">
        <v>2.4138410000000001</v>
      </c>
      <c r="J43" s="108">
        <f>MIN(Table2123242526[[#This Row],[G2AIMD (pingpong)]], Table2123242526[[#This Row],[gpu-layered]])</f>
        <v>2.4138410000000001</v>
      </c>
      <c r="K43" s="109">
        <f>Table2123242526[[#This Row],[gpu-hybrid]]/Table2123242526[[#This Row],[min]]</f>
        <v>1.0056548877908693</v>
      </c>
      <c r="L43" s="109">
        <f>Table2123242526[[#This Row],[G2AIMD (pingpong)]]/Table2123242526[[#This Row],[gpu-layered]]</f>
        <v>0.65194525567849582</v>
      </c>
      <c r="M43" s="109">
        <f>Table2123242526[[#This Row],[gpu-layered]]/Table2123242526[[#This Row],[G2AIMD (pingpong)]]</f>
        <v>1.5338711207573323</v>
      </c>
      <c r="N43" s="41">
        <v>3.702521</v>
      </c>
      <c r="O43" s="40">
        <v>2.4274909999999998</v>
      </c>
      <c r="P43" s="71">
        <v>11.794521</v>
      </c>
      <c r="Q43" s="71">
        <v>4.758845</v>
      </c>
      <c r="R43" s="34"/>
      <c r="S43" s="34"/>
      <c r="W43" s="35"/>
      <c r="Y43" s="2"/>
      <c r="AA43" s="2"/>
      <c r="AE43" s="2"/>
      <c r="AG43" s="2"/>
    </row>
    <row r="44" spans="3:33" ht="24" x14ac:dyDescent="0.3">
      <c r="C44" s="11" t="s">
        <v>1433</v>
      </c>
      <c r="D44" s="38">
        <v>2646291</v>
      </c>
      <c r="E44" s="38">
        <v>42433496</v>
      </c>
      <c r="F44" s="38">
        <f>Table2123242526[[#This Row],[E]]/Table2123242526[[#This Row],[V]]</f>
        <v>16.035083065316702</v>
      </c>
      <c r="G44" s="38">
        <v>850681</v>
      </c>
      <c r="H44" s="39">
        <v>110149144</v>
      </c>
      <c r="I44" s="41">
        <v>3.8337750000000002</v>
      </c>
      <c r="J44" s="108">
        <f>MIN(Table2123242526[[#This Row],[G2AIMD (pingpong)]], Table2123242526[[#This Row],[gpu-layered]])</f>
        <v>3.8337750000000002</v>
      </c>
      <c r="K44" s="109">
        <f>Table2123242526[[#This Row],[gpu-hybrid]]/Table2123242526[[#This Row],[min]]</f>
        <v>0.95988001382449406</v>
      </c>
      <c r="L44" s="109">
        <f>Table2123242526[[#This Row],[G2AIMD (pingpong)]]/Table2123242526[[#This Row],[gpu-layered]]</f>
        <v>0.83077934232826467</v>
      </c>
      <c r="M44" s="109">
        <f>Table2123242526[[#This Row],[gpu-layered]]/Table2123242526[[#This Row],[G2AIMD (pingpong)]]</f>
        <v>1.2036890532177813</v>
      </c>
      <c r="N44" s="41">
        <v>4.6146729999999998</v>
      </c>
      <c r="O44" s="76">
        <v>3.679964</v>
      </c>
      <c r="P44" s="71">
        <v>15.348898999999999</v>
      </c>
      <c r="Q44" s="71">
        <v>4.8238430000000001</v>
      </c>
      <c r="R44" s="34"/>
      <c r="S44" s="34"/>
      <c r="W44" s="35"/>
      <c r="Y44" s="2"/>
      <c r="AA44" s="2"/>
      <c r="AE44" s="2"/>
      <c r="AG44" s="2"/>
    </row>
    <row r="45" spans="3:33" ht="24" x14ac:dyDescent="0.3">
      <c r="C45" s="9" t="s">
        <v>1438</v>
      </c>
      <c r="D45" s="38">
        <v>7891015</v>
      </c>
      <c r="E45" s="38">
        <v>127830770</v>
      </c>
      <c r="F45" s="38">
        <f>Table2123242526[[#This Row],[E]]/Table2123242526[[#This Row],[V]]</f>
        <v>16.199534533897097</v>
      </c>
      <c r="G45" s="38">
        <v>3636005</v>
      </c>
      <c r="H45" s="39">
        <v>52252646</v>
      </c>
      <c r="I45" s="41">
        <v>11.282028</v>
      </c>
      <c r="J45" s="108">
        <f>MIN(Table2123242526[[#This Row],[G2AIMD (pingpong)]], Table2123242526[[#This Row],[gpu-layered]])</f>
        <v>11.195107</v>
      </c>
      <c r="K45" s="109">
        <f>Table2123242526[[#This Row],[gpu-hybrid]]/Table2123242526[[#This Row],[min]]</f>
        <v>0.95735779925998021</v>
      </c>
      <c r="L45" s="109">
        <f>Table2123242526[[#This Row],[G2AIMD (pingpong)]]/Table2123242526[[#This Row],[gpu-layered]]</f>
        <v>1.0077641955543615</v>
      </c>
      <c r="M45" s="109">
        <f>Table2123242526[[#This Row],[gpu-layered]]/Table2123242526[[#This Row],[G2AIMD (pingpong)]]</f>
        <v>0.99229562273733052</v>
      </c>
      <c r="N45" s="41">
        <v>11.195107</v>
      </c>
      <c r="O45" s="41">
        <v>10.717722999999999</v>
      </c>
      <c r="P45" s="71">
        <v>2.9514300000000002</v>
      </c>
      <c r="Q45" s="74">
        <v>2.0402999999999998</v>
      </c>
      <c r="R45" s="34"/>
      <c r="S45" s="34"/>
      <c r="W45" s="35"/>
      <c r="Y45" s="2"/>
      <c r="AA45" s="2"/>
      <c r="AE45" s="2"/>
      <c r="AG45" s="2"/>
    </row>
    <row r="46" spans="3:33" ht="24" x14ac:dyDescent="0.3">
      <c r="C46" s="11" t="s">
        <v>1456</v>
      </c>
      <c r="D46" s="38">
        <v>5829441</v>
      </c>
      <c r="E46" s="38">
        <v>110439216</v>
      </c>
      <c r="F46" s="38">
        <f>Table2123242526[[#This Row],[E]]/Table2123242526[[#This Row],[V]]</f>
        <v>18.945078267367318</v>
      </c>
      <c r="G46" s="38">
        <v>818185</v>
      </c>
      <c r="H46" s="39">
        <v>1508704249</v>
      </c>
      <c r="I46" s="41">
        <v>84.078997999999999</v>
      </c>
      <c r="J46" s="108">
        <f>MIN(Table2123242526[[#This Row],[G2AIMD (pingpong)]], Table2123242526[[#This Row],[gpu-layered]])</f>
        <v>51.512694000000003</v>
      </c>
      <c r="K46" s="109">
        <f>Table2123242526[[#This Row],[gpu-hybrid]]/Table2123242526[[#This Row],[min]]</f>
        <v>1.0230488042423096</v>
      </c>
      <c r="L46" s="109">
        <f>Table2123242526[[#This Row],[G2AIMD (pingpong)]]/Table2123242526[[#This Row],[gpu-layered]]</f>
        <v>1.6321995894837105</v>
      </c>
      <c r="M46" s="109">
        <f>Table2123242526[[#This Row],[gpu-layered]]/Table2123242526[[#This Row],[G2AIMD (pingpong)]]</f>
        <v>0.61267017002272084</v>
      </c>
      <c r="N46" s="41">
        <v>51.512694000000003</v>
      </c>
      <c r="O46" s="41">
        <v>52.7</v>
      </c>
      <c r="P46" s="71">
        <v>245.51799</v>
      </c>
      <c r="Q46" s="74">
        <v>37.410254999999999</v>
      </c>
      <c r="R46" s="34"/>
      <c r="S46" s="34"/>
      <c r="W46" s="35"/>
      <c r="Y46" s="2"/>
      <c r="AA46" s="2"/>
      <c r="AE46" s="2"/>
      <c r="AG46" s="2"/>
    </row>
    <row r="47" spans="3:33" ht="24" x14ac:dyDescent="0.3">
      <c r="C47" s="11" t="s">
        <v>7</v>
      </c>
      <c r="D47" s="38">
        <v>2584164</v>
      </c>
      <c r="E47" s="38">
        <v>56367036</v>
      </c>
      <c r="F47" s="38">
        <f>Table2123242526[[#This Row],[E]]/Table2123242526[[#This Row],[V]]</f>
        <v>21.812484037390817</v>
      </c>
      <c r="G47" s="38">
        <v>44065</v>
      </c>
      <c r="H47" s="39">
        <v>918563917</v>
      </c>
      <c r="I47" s="41">
        <v>71.662347999999994</v>
      </c>
      <c r="J47" s="108">
        <f>MIN(Table2123242526[[#This Row],[G2AIMD (pingpong)]], Table2123242526[[#This Row],[gpu-layered]])</f>
        <v>33.369999999999997</v>
      </c>
      <c r="K47" s="109">
        <f>Table2123242526[[#This Row],[gpu-hybrid]]/Table2123242526[[#This Row],[min]]</f>
        <v>0.84896613724902603</v>
      </c>
      <c r="L47" s="109">
        <f>Table2123242526[[#This Row],[G2AIMD (pingpong)]]/Table2123242526[[#This Row],[gpu-layered]]</f>
        <v>2.1475081810008989</v>
      </c>
      <c r="M47" s="109">
        <f>Table2123242526[[#This Row],[gpu-layered]]/Table2123242526[[#This Row],[G2AIMD (pingpong)]]</f>
        <v>0.46565596762193728</v>
      </c>
      <c r="N47" s="41">
        <v>33.369999999999997</v>
      </c>
      <c r="O47" s="41">
        <v>28.33</v>
      </c>
      <c r="P47" s="71">
        <v>129.14542800000001</v>
      </c>
      <c r="Q47" s="74">
        <v>21.417175</v>
      </c>
      <c r="R47" s="34"/>
      <c r="S47" s="34"/>
      <c r="W47" s="35"/>
      <c r="Y47" s="2"/>
      <c r="AA47" s="2"/>
      <c r="AE47" s="2"/>
      <c r="AG47" s="2"/>
    </row>
    <row r="48" spans="3:33" ht="24" x14ac:dyDescent="0.3">
      <c r="C48" s="9" t="s">
        <v>1405</v>
      </c>
      <c r="D48" s="38">
        <v>2093449</v>
      </c>
      <c r="E48" s="38">
        <v>52098498</v>
      </c>
      <c r="F48" s="38">
        <f>Table2123242526[[#This Row],[E]]/Table2123242526[[#This Row],[V]]</f>
        <v>24.886442421095524</v>
      </c>
      <c r="G48" s="38">
        <v>1140084</v>
      </c>
      <c r="H48" s="39">
        <v>7254227</v>
      </c>
      <c r="I48" s="41">
        <v>17.421547</v>
      </c>
      <c r="J48" s="108">
        <f>MIN(Table2123242526[[#This Row],[G2AIMD (pingpong)]], Table2123242526[[#This Row],[gpu-layered]])</f>
        <v>17.122154999999999</v>
      </c>
      <c r="K48" s="109">
        <f>Table2123242526[[#This Row],[gpu-hybrid]]/Table2123242526[[#This Row],[min]]</f>
        <v>1.0047960084463667</v>
      </c>
      <c r="L48" s="109">
        <f>Table2123242526[[#This Row],[G2AIMD (pingpong)]]/Table2123242526[[#This Row],[gpu-layered]]</f>
        <v>1.0174856494407392</v>
      </c>
      <c r="M48" s="109">
        <f>Table2123242526[[#This Row],[gpu-layered]]/Table2123242526[[#This Row],[G2AIMD (pingpong)]]</f>
        <v>0.98281484416969389</v>
      </c>
      <c r="N48" s="41">
        <v>17.122154999999999</v>
      </c>
      <c r="O48" s="41">
        <v>17.204273000000001</v>
      </c>
      <c r="P48" s="71">
        <v>23.765003</v>
      </c>
      <c r="Q48" s="74">
        <v>14.029244</v>
      </c>
      <c r="R48" s="34"/>
      <c r="S48" s="34"/>
      <c r="W48" s="35"/>
      <c r="Y48" s="2"/>
      <c r="AA48" s="2"/>
      <c r="AE48" s="2"/>
      <c r="AG48" s="2"/>
    </row>
    <row r="49" spans="3:33" ht="24" x14ac:dyDescent="0.3">
      <c r="C49" s="11" t="s">
        <v>3</v>
      </c>
      <c r="D49" s="38">
        <v>2212663</v>
      </c>
      <c r="E49" s="38">
        <v>58330960</v>
      </c>
      <c r="F49" s="38">
        <f>Table2123242526[[#This Row],[E]]/Table2123242526[[#This Row],[V]]</f>
        <v>26.362333532038093</v>
      </c>
      <c r="G49" s="38">
        <v>137021</v>
      </c>
      <c r="H49" s="39">
        <v>1569924556</v>
      </c>
      <c r="I49" s="41">
        <v>68.285578000000001</v>
      </c>
      <c r="J49" s="108">
        <f>MIN(Table2123242526[[#This Row],[G2AIMD (pingpong)]], Table2123242526[[#This Row],[gpu-layered]])</f>
        <v>67.303210000000007</v>
      </c>
      <c r="K49" s="109">
        <f>Table2123242526[[#This Row],[gpu-hybrid]]/Table2123242526[[#This Row],[min]]</f>
        <v>0.96919597148486669</v>
      </c>
      <c r="L49" s="109">
        <f>Table2123242526[[#This Row],[G2AIMD (pingpong)]]/Table2123242526[[#This Row],[gpu-layered]]</f>
        <v>1.0145961537347177</v>
      </c>
      <c r="M49" s="109">
        <f>Table2123242526[[#This Row],[gpu-layered]]/Table2123242526[[#This Row],[G2AIMD (pingpong)]]</f>
        <v>0.98561382902843708</v>
      </c>
      <c r="N49" s="41">
        <v>67.303210000000007</v>
      </c>
      <c r="O49" s="41">
        <v>65.23</v>
      </c>
      <c r="P49" s="71">
        <v>223.255968</v>
      </c>
      <c r="Q49" s="74">
        <v>33.600096000000001</v>
      </c>
      <c r="R49" s="34"/>
      <c r="S49" s="34"/>
      <c r="W49" s="35"/>
      <c r="Y49" s="2"/>
      <c r="AA49" s="2"/>
      <c r="AE49" s="2"/>
      <c r="AG49" s="2"/>
    </row>
    <row r="50" spans="3:33" ht="24" x14ac:dyDescent="0.3">
      <c r="C50" s="22" t="s">
        <v>3920</v>
      </c>
      <c r="D50" s="38">
        <v>1632803</v>
      </c>
      <c r="E50" s="38">
        <v>44603928</v>
      </c>
      <c r="F50" s="38">
        <f>Table2123242526[[#This Row],[E]]/Table2123242526[[#This Row],[V]]</f>
        <v>27.31739713854029</v>
      </c>
      <c r="G50" s="38">
        <v>14854</v>
      </c>
      <c r="H50" s="39">
        <v>19376873</v>
      </c>
      <c r="I50" s="41">
        <v>2.154563</v>
      </c>
      <c r="J50" s="108">
        <f>MIN(Table2123242526[[#This Row],[G2AIMD (pingpong)]], Table2123242526[[#This Row],[gpu-layered]])</f>
        <v>0.43253999999999998</v>
      </c>
      <c r="K50" s="109">
        <f>Table2123242526[[#This Row],[gpu-hybrid]]/Table2123242526[[#This Row],[min]]</f>
        <v>0.80559485827900312</v>
      </c>
      <c r="L50" s="109">
        <f>Table2123242526[[#This Row],[G2AIMD (pingpong)]]/Table2123242526[[#This Row],[gpu-layered]]</f>
        <v>4.9811878670180798</v>
      </c>
      <c r="M50" s="109">
        <f>Table2123242526[[#This Row],[gpu-layered]]/Table2123242526[[#This Row],[G2AIMD (pingpong)]]</f>
        <v>0.2007553271823567</v>
      </c>
      <c r="N50" s="41">
        <v>0.43253999999999998</v>
      </c>
      <c r="O50" s="76">
        <v>0.34845199999999998</v>
      </c>
      <c r="P50" s="71">
        <v>2.2659929999999999</v>
      </c>
      <c r="Q50" s="71">
        <v>0.96733800000000003</v>
      </c>
      <c r="R50" s="34"/>
      <c r="S50" s="34"/>
      <c r="W50" s="35"/>
      <c r="Y50" s="2"/>
      <c r="AA50" s="2"/>
      <c r="AE50" s="2"/>
      <c r="AG50" s="2"/>
    </row>
    <row r="51" spans="3:33" ht="24" x14ac:dyDescent="0.3">
      <c r="C51" s="9" t="s">
        <v>3917</v>
      </c>
      <c r="D51" s="38">
        <v>1791489</v>
      </c>
      <c r="E51" s="38">
        <v>50888414</v>
      </c>
      <c r="F51" s="38">
        <f>Table2123242526[[#This Row],[E]]/Table2123242526[[#This Row],[V]]</f>
        <v>28.405652504704186</v>
      </c>
      <c r="G51" s="38">
        <v>238342</v>
      </c>
      <c r="H51" s="39">
        <v>27229873</v>
      </c>
      <c r="I51" s="41">
        <v>1.3038989999999999</v>
      </c>
      <c r="J51" s="108">
        <f>MIN(Table2123242526[[#This Row],[G2AIMD (pingpong)]], Table2123242526[[#This Row],[gpu-layered]])</f>
        <v>1.3038989999999999</v>
      </c>
      <c r="K51" s="109">
        <f>Table2123242526[[#This Row],[gpu-hybrid]]/Table2123242526[[#This Row],[min]]</f>
        <v>0.84972148916442147</v>
      </c>
      <c r="L51" s="109">
        <f>Table2123242526[[#This Row],[G2AIMD (pingpong)]]/Table2123242526[[#This Row],[gpu-layered]]</f>
        <v>0.89480308346675208</v>
      </c>
      <c r="M51" s="109">
        <f>Table2123242526[[#This Row],[gpu-layered]]/Table2123242526[[#This Row],[G2AIMD (pingpong)]]</f>
        <v>1.1175643205493677</v>
      </c>
      <c r="N51" s="41">
        <v>1.4571909999999999</v>
      </c>
      <c r="O51" s="76">
        <v>1.1079509999999999</v>
      </c>
      <c r="P51" s="71">
        <v>4.5417589999999999</v>
      </c>
      <c r="Q51" s="71">
        <v>1.3929849999999999</v>
      </c>
      <c r="R51" s="34"/>
      <c r="S51" s="34"/>
      <c r="W51" s="35"/>
      <c r="Y51" s="2"/>
      <c r="AA51" s="2"/>
      <c r="AE51" s="2"/>
      <c r="AG51" s="2"/>
    </row>
    <row r="52" spans="3:33" ht="24" x14ac:dyDescent="0.3">
      <c r="C52" s="9" t="s">
        <v>1414</v>
      </c>
      <c r="D52" s="38">
        <v>3033373</v>
      </c>
      <c r="E52" s="38">
        <v>87691916</v>
      </c>
      <c r="F52" s="38">
        <f>Table2123242526[[#This Row],[E]]/Table2123242526[[#This Row],[V]]</f>
        <v>28.909044815787574</v>
      </c>
      <c r="G52" s="38">
        <v>275166</v>
      </c>
      <c r="H52" s="39">
        <v>118034566</v>
      </c>
      <c r="I52" s="41">
        <v>8.8155560000000008</v>
      </c>
      <c r="J52" s="108">
        <f>MIN(Table2123242526[[#This Row],[G2AIMD (pingpong)]], Table2123242526[[#This Row],[gpu-layered]])</f>
        <v>8.8155560000000008</v>
      </c>
      <c r="K52" s="109">
        <f>Table2123242526[[#This Row],[gpu-hybrid]]/Table2123242526[[#This Row],[min]]</f>
        <v>0.94478351677421135</v>
      </c>
      <c r="L52" s="109">
        <f>Table2123242526[[#This Row],[G2AIMD (pingpong)]]/Table2123242526[[#This Row],[gpu-layered]]</f>
        <v>0.77397589210569806</v>
      </c>
      <c r="M52" s="109">
        <f>Table2123242526[[#This Row],[gpu-layered]]/Table2123242526[[#This Row],[G2AIMD (pingpong)]]</f>
        <v>1.2920299071323464</v>
      </c>
      <c r="N52" s="41">
        <v>11.389962000000001</v>
      </c>
      <c r="O52" s="75">
        <v>8.328792</v>
      </c>
      <c r="P52" s="71">
        <v>24.346118000000001</v>
      </c>
      <c r="Q52" s="71">
        <v>9.3502709999999993</v>
      </c>
      <c r="R52" s="34"/>
      <c r="S52" s="34"/>
      <c r="W52" s="35"/>
      <c r="Y52" s="2"/>
      <c r="AA52" s="2"/>
      <c r="AE52" s="2"/>
      <c r="AG52" s="2"/>
    </row>
    <row r="53" spans="3:33" ht="24" x14ac:dyDescent="0.3">
      <c r="C53" s="11" t="s">
        <v>1447</v>
      </c>
      <c r="D53" s="38">
        <v>7489073</v>
      </c>
      <c r="E53" s="38">
        <v>224610814</v>
      </c>
      <c r="F53" s="38">
        <f>Table2123242526[[#This Row],[E]]/Table2123242526[[#This Row],[V]]</f>
        <v>29.991804593171945</v>
      </c>
      <c r="G53" s="38">
        <v>1053720</v>
      </c>
      <c r="H53" s="39">
        <v>148627058</v>
      </c>
      <c r="I53" s="41">
        <v>4.1408459999999998</v>
      </c>
      <c r="J53" s="108">
        <f>MIN(Table2123242526[[#This Row],[G2AIMD (pingpong)]], Table2123242526[[#This Row],[gpu-layered]])</f>
        <v>4.1408459999999998</v>
      </c>
      <c r="K53" s="109">
        <f>Table2123242526[[#This Row],[gpu-hybrid]]/Table2123242526[[#This Row],[min]]</f>
        <v>0.95904146157572634</v>
      </c>
      <c r="L53" s="109">
        <f>Table2123242526[[#This Row],[G2AIMD (pingpong)]]/Table2123242526[[#This Row],[gpu-layered]]</f>
        <v>0.7535979681034759</v>
      </c>
      <c r="M53" s="109">
        <f>Table2123242526[[#This Row],[gpu-layered]]/Table2123242526[[#This Row],[G2AIMD (pingpong)]]</f>
        <v>1.3269674844222654</v>
      </c>
      <c r="N53" s="41">
        <v>5.4947679999999997</v>
      </c>
      <c r="O53" s="75">
        <v>3.9712429999999999</v>
      </c>
      <c r="P53" s="71">
        <v>37.416477</v>
      </c>
      <c r="Q53" s="71">
        <v>5.235112</v>
      </c>
      <c r="R53" s="34"/>
      <c r="S53" s="34"/>
      <c r="W53" s="35"/>
      <c r="Y53" s="2"/>
      <c r="AA53" s="2"/>
      <c r="AE53" s="2"/>
      <c r="AG53" s="2"/>
    </row>
    <row r="54" spans="3:33" ht="24" x14ac:dyDescent="0.3">
      <c r="C54" s="9" t="s">
        <v>1446</v>
      </c>
      <c r="D54" s="38">
        <v>6100692</v>
      </c>
      <c r="E54" s="38">
        <v>199729748</v>
      </c>
      <c r="F54" s="38">
        <f>Table2123242526[[#This Row],[E]]/Table2123242526[[#This Row],[V]]</f>
        <v>32.738867656324892</v>
      </c>
      <c r="G54" s="38">
        <v>2732817</v>
      </c>
      <c r="H54" s="39">
        <v>97362094</v>
      </c>
      <c r="I54" s="41">
        <v>59.816648000000001</v>
      </c>
      <c r="J54" s="108">
        <f>MIN(Table2123242526[[#This Row],[G2AIMD (pingpong)]], Table2123242526[[#This Row],[gpu-layered]])</f>
        <v>59.816648000000001</v>
      </c>
      <c r="K54" s="109">
        <f>Table2123242526[[#This Row],[gpu-hybrid]]/Table2123242526[[#This Row],[min]]</f>
        <v>0.97896792879467265</v>
      </c>
      <c r="L54" s="109">
        <f>Table2123242526[[#This Row],[G2AIMD (pingpong)]]/Table2123242526[[#This Row],[gpu-layered]]</f>
        <v>0.97841454364684111</v>
      </c>
      <c r="M54" s="109">
        <f>Table2123242526[[#This Row],[gpu-layered]]/Table2123242526[[#This Row],[G2AIMD (pingpong)]]</f>
        <v>1.0220616675143681</v>
      </c>
      <c r="N54" s="41">
        <v>61.136302999999998</v>
      </c>
      <c r="O54" s="41">
        <v>58.558579999999999</v>
      </c>
      <c r="P54" s="74">
        <v>32.213045000000001</v>
      </c>
      <c r="Q54" s="71">
        <v>53.737893</v>
      </c>
      <c r="R54" s="110" t="s">
        <v>3996</v>
      </c>
      <c r="S54" s="34"/>
      <c r="W54" s="35"/>
      <c r="Y54" s="2"/>
      <c r="AA54" s="2"/>
      <c r="AE54" s="2"/>
      <c r="AG54" s="2"/>
    </row>
    <row r="55" spans="3:33" ht="24" x14ac:dyDescent="0.3">
      <c r="C55" s="11" t="s">
        <v>4</v>
      </c>
      <c r="D55" s="38">
        <v>1203995</v>
      </c>
      <c r="E55" s="38">
        <v>40033816</v>
      </c>
      <c r="F55" s="38">
        <f>Table2123242526[[#This Row],[E]]/Table2123242526[[#This Row],[V]]</f>
        <v>33.250815825647116</v>
      </c>
      <c r="G55" s="38">
        <v>81090</v>
      </c>
      <c r="H55" s="39">
        <v>148294115</v>
      </c>
      <c r="I55" s="41">
        <v>3.9173870000000002</v>
      </c>
      <c r="J55" s="108">
        <f>MIN(Table2123242526[[#This Row],[G2AIMD (pingpong)]], Table2123242526[[#This Row],[gpu-layered]])</f>
        <v>3.9173870000000002</v>
      </c>
      <c r="K55" s="109">
        <f>Table2123242526[[#This Row],[gpu-hybrid]]/Table2123242526[[#This Row],[min]]</f>
        <v>0.94781725675813999</v>
      </c>
      <c r="L55" s="109">
        <f>Table2123242526[[#This Row],[G2AIMD (pingpong)]]/Table2123242526[[#This Row],[gpu-layered]]</f>
        <v>0.6776986678836473</v>
      </c>
      <c r="M55" s="109">
        <f>Table2123242526[[#This Row],[gpu-layered]]/Table2123242526[[#This Row],[G2AIMD (pingpong)]]</f>
        <v>1.4755820652899496</v>
      </c>
      <c r="N55" s="41">
        <v>5.7804260000000003</v>
      </c>
      <c r="O55" s="75">
        <v>3.7129669999999999</v>
      </c>
      <c r="P55" s="71">
        <v>28.647296999999998</v>
      </c>
      <c r="Q55" s="71">
        <v>7.8326770000000003</v>
      </c>
      <c r="R55" s="34"/>
      <c r="S55" s="34"/>
      <c r="W55" s="35"/>
      <c r="Y55" s="2"/>
      <c r="AA55" s="2"/>
      <c r="AE55" s="2"/>
      <c r="AG55" s="2"/>
    </row>
    <row r="56" spans="3:33" ht="24" x14ac:dyDescent="0.3">
      <c r="C56" s="9" t="s">
        <v>1422</v>
      </c>
      <c r="D56" s="38">
        <v>2622756</v>
      </c>
      <c r="E56" s="38">
        <v>94934908</v>
      </c>
      <c r="F56" s="38">
        <f>Table2123242526[[#This Row],[E]]/Table2123242526[[#This Row],[V]]</f>
        <v>36.196622179112353</v>
      </c>
      <c r="G56" s="38">
        <v>900354</v>
      </c>
      <c r="H56" s="39">
        <v>104704438</v>
      </c>
      <c r="I56" s="41">
        <v>23.738012000000001</v>
      </c>
      <c r="J56" s="108">
        <f>MIN(Table2123242526[[#This Row],[G2AIMD (pingpong)]], Table2123242526[[#This Row],[gpu-layered]])</f>
        <v>23.738012000000001</v>
      </c>
      <c r="K56" s="109">
        <f>Table2123242526[[#This Row],[gpu-hybrid]]/Table2123242526[[#This Row],[min]]</f>
        <v>0.97737481133634951</v>
      </c>
      <c r="L56" s="109">
        <f>Table2123242526[[#This Row],[G2AIMD (pingpong)]]/Table2123242526[[#This Row],[gpu-layered]]</f>
        <v>0.85636372661830229</v>
      </c>
      <c r="M56" s="109">
        <f>Table2123242526[[#This Row],[gpu-layered]]/Table2123242526[[#This Row],[G2AIMD (pingpong)]]</f>
        <v>1.1677281147216538</v>
      </c>
      <c r="N56" s="41">
        <v>27.719543999999999</v>
      </c>
      <c r="O56" s="41">
        <v>23.200935000000001</v>
      </c>
      <c r="P56" s="71">
        <v>31.811346</v>
      </c>
      <c r="Q56" s="74">
        <v>17.874461</v>
      </c>
      <c r="R56" s="34"/>
      <c r="S56" s="34"/>
      <c r="W56" s="35"/>
      <c r="Y56" s="2"/>
      <c r="AA56" s="2"/>
      <c r="AE56" s="2"/>
      <c r="AG56" s="2"/>
    </row>
    <row r="57" spans="3:33" ht="24" x14ac:dyDescent="0.3">
      <c r="C57" s="9" t="s">
        <v>1443</v>
      </c>
      <c r="D57" s="38">
        <v>3924218</v>
      </c>
      <c r="E57" s="38">
        <v>152878772</v>
      </c>
      <c r="F57" s="38">
        <f>Table2123242526[[#This Row],[E]]/Table2123242526[[#This Row],[V]]</f>
        <v>38.957767381934438</v>
      </c>
      <c r="G57" s="38">
        <v>254555</v>
      </c>
      <c r="H57" s="39">
        <v>36008128</v>
      </c>
      <c r="I57" s="41">
        <v>486.47726599999999</v>
      </c>
      <c r="J57" s="108">
        <f>MIN(Table2123242526[[#This Row],[G2AIMD (pingpong)]], Table2123242526[[#This Row],[gpu-layered]])</f>
        <v>484.93</v>
      </c>
      <c r="K57" s="109">
        <f>Table2123242526[[#This Row],[gpu-hybrid]]/Table2123242526[[#This Row],[min]]</f>
        <v>0.99345634421462881</v>
      </c>
      <c r="L57" s="109">
        <f>Table2123242526[[#This Row],[G2AIMD (pingpong)]]/Table2123242526[[#This Row],[gpu-layered]]</f>
        <v>1.0031906996886149</v>
      </c>
      <c r="M57" s="109">
        <f>Table2123242526[[#This Row],[gpu-layered]]/Table2123242526[[#This Row],[G2AIMD (pingpong)]]</f>
        <v>0.9968194484960784</v>
      </c>
      <c r="N57" s="41">
        <v>484.93</v>
      </c>
      <c r="O57" s="41">
        <v>481.75678499999998</v>
      </c>
      <c r="P57" s="72">
        <v>450.831255</v>
      </c>
      <c r="Q57" s="74">
        <v>220.903085</v>
      </c>
      <c r="R57" s="34"/>
      <c r="S57" s="34"/>
      <c r="W57" s="35"/>
      <c r="Y57" s="2"/>
      <c r="AA57" s="2"/>
      <c r="AE57" s="2"/>
      <c r="AG57" s="2"/>
    </row>
    <row r="58" spans="3:33" ht="21" customHeight="1" x14ac:dyDescent="0.3">
      <c r="C58" s="9" t="s">
        <v>3915</v>
      </c>
      <c r="D58" s="38">
        <v>25921548</v>
      </c>
      <c r="E58" s="38">
        <v>1086367222</v>
      </c>
      <c r="F58" s="38">
        <f>Table2123242526[[#This Row],[E]]/Table2123242526[[#This Row],[V]]</f>
        <v>41.909812716431901</v>
      </c>
      <c r="G58" s="38">
        <v>4271341</v>
      </c>
      <c r="H58" s="39">
        <v>568730123</v>
      </c>
      <c r="I58" s="41">
        <v>150.722433</v>
      </c>
      <c r="J58" s="108">
        <f>MIN(Table2123242526[[#This Row],[G2AIMD (pingpong)]], Table2123242526[[#This Row],[gpu-layered]])</f>
        <v>150.722433</v>
      </c>
      <c r="K58" s="109">
        <f>Table2123242526[[#This Row],[gpu-hybrid]]/Table2123242526[[#This Row],[min]]</f>
        <v>0.97761555507798892</v>
      </c>
      <c r="L58" s="109">
        <f>Table2123242526[[#This Row],[G2AIMD (pingpong)]]/Table2123242526[[#This Row],[gpu-layered]]</f>
        <v>0.66899131923207145</v>
      </c>
      <c r="M58" s="109">
        <f>Table2123242526[[#This Row],[gpu-layered]]/Table2123242526[[#This Row],[G2AIMD (pingpong)]]</f>
        <v>1.4947877068836859</v>
      </c>
      <c r="N58" s="41">
        <v>225.29803999999999</v>
      </c>
      <c r="O58" s="41">
        <v>147.34859499999999</v>
      </c>
      <c r="P58" s="71">
        <v>227.71192199999999</v>
      </c>
      <c r="Q58" s="74">
        <v>99.896929</v>
      </c>
      <c r="R58" s="34"/>
      <c r="S58" s="34"/>
      <c r="W58" s="35"/>
      <c r="Y58" s="2"/>
      <c r="AA58" s="2"/>
      <c r="AE58" s="2"/>
      <c r="AG58" s="2"/>
    </row>
    <row r="59" spans="3:33" ht="24" x14ac:dyDescent="0.3">
      <c r="C59" s="9" t="s">
        <v>1442</v>
      </c>
      <c r="D59" s="38">
        <v>3370462</v>
      </c>
      <c r="E59" s="38">
        <v>143901836</v>
      </c>
      <c r="F59" s="38">
        <f>Table2123242526[[#This Row],[E]]/Table2123242526[[#This Row],[V]]</f>
        <v>42.694988402183441</v>
      </c>
      <c r="G59" s="38">
        <v>282591</v>
      </c>
      <c r="H59" s="39">
        <v>563203047</v>
      </c>
      <c r="I59" s="41">
        <v>127.82051300000001</v>
      </c>
      <c r="J59" s="108">
        <f>MIN(Table2123242526[[#This Row],[G2AIMD (pingpong)]], Table2123242526[[#This Row],[gpu-layered]])</f>
        <v>80.39</v>
      </c>
      <c r="K59" s="109">
        <f>Table2123242526[[#This Row],[gpu-hybrid]]/Table2123242526[[#This Row],[min]]</f>
        <v>0.84774225649956469</v>
      </c>
      <c r="L59" s="109">
        <f>Table2123242526[[#This Row],[G2AIMD (pingpong)]]/Table2123242526[[#This Row],[gpu-layered]]</f>
        <v>1.5900051374549073</v>
      </c>
      <c r="M59" s="109">
        <f>Table2123242526[[#This Row],[gpu-layered]]/Table2123242526[[#This Row],[G2AIMD (pingpong)]]</f>
        <v>0.62892878547592745</v>
      </c>
      <c r="N59" s="41">
        <v>80.39</v>
      </c>
      <c r="O59" s="41">
        <v>68.150000000000006</v>
      </c>
      <c r="P59" s="73">
        <v>200.62130099999999</v>
      </c>
      <c r="Q59" s="74">
        <v>47.39</v>
      </c>
      <c r="R59" s="34"/>
      <c r="S59" s="34"/>
      <c r="W59" s="35"/>
      <c r="Y59" s="2"/>
      <c r="AA59" s="2"/>
      <c r="AE59" s="2"/>
      <c r="AG59" s="2"/>
    </row>
    <row r="60" spans="3:33" ht="24" x14ac:dyDescent="0.3">
      <c r="C60" s="9" t="s">
        <v>10</v>
      </c>
      <c r="D60" s="38">
        <v>3603726</v>
      </c>
      <c r="E60" s="38">
        <v>155093964</v>
      </c>
      <c r="F60" s="38">
        <f>Table2123242526[[#This Row],[E]]/Table2123242526[[#This Row],[V]]</f>
        <v>43.037113254448315</v>
      </c>
      <c r="G60" s="38">
        <v>434234</v>
      </c>
      <c r="H60" s="39">
        <v>1237624958</v>
      </c>
      <c r="I60" s="41">
        <v>107.39003200000001</v>
      </c>
      <c r="J60" s="108">
        <f>MIN(Table2123242526[[#This Row],[G2AIMD (pingpong)]], Table2123242526[[#This Row],[gpu-layered]])</f>
        <v>94.19</v>
      </c>
      <c r="K60" s="109">
        <f>Table2123242526[[#This Row],[gpu-hybrid]]/Table2123242526[[#This Row],[min]]</f>
        <v>1.0446968892663766</v>
      </c>
      <c r="L60" s="109">
        <f>Table2123242526[[#This Row],[G2AIMD (pingpong)]]/Table2123242526[[#This Row],[gpu-layered]]</f>
        <v>1.1401426053721202</v>
      </c>
      <c r="M60" s="109">
        <f>Table2123242526[[#This Row],[gpu-layered]]/Table2123242526[[#This Row],[G2AIMD (pingpong)]]</f>
        <v>0.87708326597760944</v>
      </c>
      <c r="N60" s="41">
        <v>94.19</v>
      </c>
      <c r="O60" s="41">
        <v>98.4</v>
      </c>
      <c r="P60" s="72">
        <v>196.60153800000001</v>
      </c>
      <c r="Q60" s="74">
        <v>68.88</v>
      </c>
      <c r="R60" s="110" t="s">
        <v>3997</v>
      </c>
      <c r="S60" s="34"/>
      <c r="W60" s="35"/>
      <c r="Y60" s="2"/>
      <c r="AA60" s="2"/>
      <c r="AE60" s="2"/>
      <c r="AG60" s="2"/>
    </row>
    <row r="61" spans="3:33" ht="24" x14ac:dyDescent="0.3">
      <c r="C61" s="9" t="s">
        <v>1451</v>
      </c>
      <c r="D61" s="38">
        <v>3333397</v>
      </c>
      <c r="E61" s="38">
        <v>200923810</v>
      </c>
      <c r="F61" s="38">
        <f>Table2123242526[[#This Row],[E]]/Table2123242526[[#This Row],[V]]</f>
        <v>60.275991728557983</v>
      </c>
      <c r="G61" s="38">
        <v>399358</v>
      </c>
      <c r="H61" s="39">
        <v>1902943357</v>
      </c>
      <c r="I61" s="41">
        <v>224.11627300000001</v>
      </c>
      <c r="J61" s="108">
        <f>MIN(Table2123242526[[#This Row],[G2AIMD (pingpong)]], Table2123242526[[#This Row],[gpu-layered]])</f>
        <v>224.11627300000001</v>
      </c>
      <c r="K61" s="109">
        <f>Table2123242526[[#This Row],[gpu-hybrid]]/Table2123242526[[#This Row],[min]]</f>
        <v>1.048161281889602</v>
      </c>
      <c r="L61" s="109">
        <f>Table2123242526[[#This Row],[G2AIMD (pingpong)]]/Table2123242526[[#This Row],[gpu-layered]]</f>
        <v>0.95514947579270382</v>
      </c>
      <c r="M61" s="109">
        <f>Table2123242526[[#This Row],[gpu-layered]]/Table2123242526[[#This Row],[G2AIMD (pingpong)]]</f>
        <v>1.0469565500939773</v>
      </c>
      <c r="N61" s="41">
        <v>234.64</v>
      </c>
      <c r="O61" s="41">
        <v>234.91</v>
      </c>
      <c r="P61" s="71">
        <v>834.23</v>
      </c>
      <c r="Q61" s="74">
        <v>179.01</v>
      </c>
      <c r="R61" s="34"/>
      <c r="S61" s="34"/>
      <c r="W61" s="35"/>
      <c r="Y61" s="2"/>
      <c r="AA61" s="2"/>
      <c r="AE61" s="2"/>
      <c r="AG61" s="2"/>
    </row>
    <row r="62" spans="3:33" ht="24" x14ac:dyDescent="0.3">
      <c r="C62" s="9" t="s">
        <v>1452</v>
      </c>
      <c r="D62" s="38">
        <v>3175009</v>
      </c>
      <c r="E62" s="38">
        <v>206621674</v>
      </c>
      <c r="F62" s="38">
        <f>Table2123242526[[#This Row],[E]]/Table2123242526[[#This Row],[V]]</f>
        <v>65.077508126748612</v>
      </c>
      <c r="G62" s="38">
        <v>369566</v>
      </c>
      <c r="H62" s="39">
        <v>67547002</v>
      </c>
      <c r="I62" s="40">
        <v>433.71</v>
      </c>
      <c r="J62" s="108">
        <f>MIN(Table2123242526[[#This Row],[G2AIMD (pingpong)]], Table2123242526[[#This Row],[gpu-layered]])</f>
        <v>433.71</v>
      </c>
      <c r="K62" s="109">
        <f>Table2123242526[[#This Row],[gpu-hybrid]]/Table2123242526[[#This Row],[min]]</f>
        <v>0.94114235087962006</v>
      </c>
      <c r="L62" s="109">
        <f>Table2123242526[[#This Row],[G2AIMD (pingpong)]]/Table2123242526[[#This Row],[gpu-layered]]</f>
        <v>0.88021837517504509</v>
      </c>
      <c r="M62" s="109">
        <f>Table2123242526[[#This Row],[gpu-layered]]/Table2123242526[[#This Row],[G2AIMD (pingpong)]]</f>
        <v>1.1360817135874202</v>
      </c>
      <c r="N62" s="41">
        <v>492.73</v>
      </c>
      <c r="O62" s="41">
        <v>408.18284899999998</v>
      </c>
      <c r="P62" s="72">
        <v>346.19295299999999</v>
      </c>
      <c r="Q62" s="74">
        <v>102.65375299999999</v>
      </c>
      <c r="R62" s="34"/>
      <c r="S62" s="34"/>
      <c r="W62" s="35"/>
      <c r="Y62" s="2"/>
      <c r="AA62" s="2"/>
      <c r="AE62" s="2"/>
      <c r="AG62" s="2"/>
    </row>
    <row r="63" spans="3:33" ht="24" x14ac:dyDescent="0.3">
      <c r="C63" s="9" t="s">
        <v>1445</v>
      </c>
      <c r="D63" s="38">
        <v>2148791</v>
      </c>
      <c r="E63" s="38">
        <v>155750262</v>
      </c>
      <c r="F63" s="38">
        <f>Table2123242526[[#This Row],[E]]/Table2123242526[[#This Row],[V]]</f>
        <v>72.482741225181968</v>
      </c>
      <c r="G63" s="38">
        <v>286585</v>
      </c>
      <c r="H63" s="39">
        <v>147929073</v>
      </c>
      <c r="I63" s="41">
        <v>33.766888999999999</v>
      </c>
      <c r="J63" s="108">
        <f>MIN(Table2123242526[[#This Row],[G2AIMD (pingpong)]], Table2123242526[[#This Row],[gpu-layered]])</f>
        <v>33.766888999999999</v>
      </c>
      <c r="K63" s="109">
        <f>Table2123242526[[#This Row],[gpu-hybrid]]/Table2123242526[[#This Row],[min]]</f>
        <v>0.93935920481155377</v>
      </c>
      <c r="L63" s="109">
        <f>Table2123242526[[#This Row],[G2AIMD (pingpong)]]/Table2123242526[[#This Row],[gpu-layered]]</f>
        <v>0.8721002094912097</v>
      </c>
      <c r="M63" s="109">
        <f>Table2123242526[[#This Row],[gpu-layered]]/Table2123242526[[#This Row],[G2AIMD (pingpong)]]</f>
        <v>1.1466572179628394</v>
      </c>
      <c r="N63" s="41">
        <v>38.719047000000003</v>
      </c>
      <c r="O63" s="41">
        <v>31.719238000000001</v>
      </c>
      <c r="P63" s="71">
        <v>110.60061399999999</v>
      </c>
      <c r="Q63" s="74">
        <v>23.840702</v>
      </c>
      <c r="R63" s="34"/>
      <c r="S63" s="34"/>
      <c r="W63" s="35"/>
      <c r="Y63" s="2"/>
      <c r="AA63" s="2"/>
      <c r="AE63" s="2"/>
      <c r="AG63" s="2"/>
    </row>
    <row r="64" spans="3:33" ht="24" x14ac:dyDescent="0.3">
      <c r="C64" s="11" t="s">
        <v>5</v>
      </c>
      <c r="D64" s="38">
        <v>8730857</v>
      </c>
      <c r="E64" s="38">
        <v>654072972</v>
      </c>
      <c r="F64" s="38">
        <f>Table2123242526[[#This Row],[E]]/Table2123242526[[#This Row],[V]]</f>
        <v>74.915093902007555</v>
      </c>
      <c r="G64" s="38">
        <v>318268</v>
      </c>
      <c r="H64" s="39">
        <v>417032363</v>
      </c>
      <c r="I64" s="41">
        <v>14.054064</v>
      </c>
      <c r="J64" s="108">
        <f>MIN(Table2123242526[[#This Row],[G2AIMD (pingpong)]], Table2123242526[[#This Row],[gpu-layered]])</f>
        <v>14.054064</v>
      </c>
      <c r="K64" s="109">
        <f>Table2123242526[[#This Row],[gpu-hybrid]]/Table2123242526[[#This Row],[min]]</f>
        <v>1.3416645889758294</v>
      </c>
      <c r="L64" s="109">
        <f>Table2123242526[[#This Row],[G2AIMD (pingpong)]]/Table2123242526[[#This Row],[gpu-layered]]</f>
        <v>0.57310340195713072</v>
      </c>
      <c r="M64" s="109">
        <f>Table2123242526[[#This Row],[gpu-layered]]/Table2123242526[[#This Row],[G2AIMD (pingpong)]]</f>
        <v>1.7448858209269573</v>
      </c>
      <c r="N64" s="41">
        <v>24.522736999999999</v>
      </c>
      <c r="O64" s="75">
        <v>18.855840000000001</v>
      </c>
      <c r="P64" s="71">
        <v>249.501497</v>
      </c>
      <c r="Q64" s="71">
        <v>19.519027000000001</v>
      </c>
      <c r="R64" s="34"/>
      <c r="S64" s="34"/>
      <c r="W64" s="35"/>
      <c r="Y64" s="2"/>
      <c r="AA64" s="2"/>
      <c r="AE64" s="2"/>
      <c r="AG64" s="2"/>
    </row>
    <row r="65" spans="3:33" ht="24" x14ac:dyDescent="0.3">
      <c r="C65" s="11" t="s">
        <v>6</v>
      </c>
      <c r="D65" s="38">
        <v>3072441</v>
      </c>
      <c r="E65" s="38">
        <v>234369798</v>
      </c>
      <c r="F65" s="38">
        <f>Table2123242526[[#This Row],[E]]/Table2123242526[[#This Row],[V]]</f>
        <v>76.281301414738309</v>
      </c>
      <c r="G65" s="38">
        <v>33313</v>
      </c>
      <c r="H65" s="39">
        <v>2270456447</v>
      </c>
      <c r="I65" s="41">
        <v>85.151685000000001</v>
      </c>
      <c r="J65" s="108">
        <f>MIN(Table2123242526[[#This Row],[G2AIMD (pingpong)]], Table2123242526[[#This Row],[gpu-layered]])</f>
        <v>84.17</v>
      </c>
      <c r="K65" s="109">
        <f>Table2123242526[[#This Row],[gpu-hybrid]]/Table2123242526[[#This Row],[min]]</f>
        <v>0.87014375668290356</v>
      </c>
      <c r="L65" s="109">
        <f>Table2123242526[[#This Row],[G2AIMD (pingpong)]]/Table2123242526[[#This Row],[gpu-layered]]</f>
        <v>1.011663122252584</v>
      </c>
      <c r="M65" s="109">
        <f>Table2123242526[[#This Row],[gpu-layered]]/Table2123242526[[#This Row],[G2AIMD (pingpong)]]</f>
        <v>0.98847133794240249</v>
      </c>
      <c r="N65" s="41">
        <v>84.17</v>
      </c>
      <c r="O65" s="41">
        <v>73.239999999999995</v>
      </c>
      <c r="P65" s="71">
        <v>281.76346699999999</v>
      </c>
      <c r="Q65" s="74">
        <v>51.644970999999998</v>
      </c>
      <c r="R65" s="34"/>
      <c r="S65" s="34"/>
      <c r="W65" s="35"/>
      <c r="Y65" s="2"/>
      <c r="AA65" s="2"/>
      <c r="AE65" s="2"/>
      <c r="AG65" s="2"/>
    </row>
    <row r="66" spans="3:33" x14ac:dyDescent="0.3">
      <c r="D66" s="11"/>
      <c r="E66" s="11"/>
      <c r="F66" s="11"/>
      <c r="G66" s="11"/>
      <c r="H66" s="10"/>
      <c r="I66" s="19"/>
      <c r="J66" s="9"/>
      <c r="K66" s="9"/>
      <c r="L66" s="9"/>
      <c r="M66" s="9"/>
      <c r="N66" s="10"/>
      <c r="O66" s="10"/>
      <c r="S66" s="15"/>
      <c r="T66" s="9"/>
    </row>
    <row r="67" spans="3:33" x14ac:dyDescent="0.3">
      <c r="D67" s="11"/>
      <c r="E67" s="11"/>
      <c r="F67" s="11"/>
      <c r="G67" s="11"/>
      <c r="H67" s="10"/>
      <c r="I67" s="19"/>
      <c r="J67" s="9"/>
      <c r="K67" s="9"/>
      <c r="L67" s="9"/>
      <c r="M67" s="9"/>
      <c r="N67" s="10"/>
      <c r="O67" s="10"/>
      <c r="S67" s="15"/>
      <c r="T67" s="9"/>
    </row>
    <row r="68" spans="3:33" x14ac:dyDescent="0.3">
      <c r="D68" s="11"/>
      <c r="E68" s="11"/>
      <c r="F68" s="11"/>
      <c r="G68" s="11"/>
      <c r="H68" s="10"/>
      <c r="I68" s="19"/>
      <c r="J68" s="9"/>
      <c r="K68" s="9"/>
      <c r="L68" s="9"/>
      <c r="M68" s="9"/>
      <c r="N68" s="10"/>
      <c r="O68" s="10"/>
      <c r="S68" s="15"/>
      <c r="T68" s="9"/>
    </row>
    <row r="69" spans="3:33" x14ac:dyDescent="0.3">
      <c r="C69" s="11"/>
      <c r="D69" s="11"/>
      <c r="E69" s="11"/>
      <c r="F69" s="11"/>
      <c r="G69" s="10"/>
      <c r="H69" s="20"/>
      <c r="I69" s="9"/>
      <c r="J69" s="19"/>
      <c r="K69" s="19"/>
      <c r="L69" s="19"/>
      <c r="M69" s="19"/>
      <c r="N69" s="20"/>
      <c r="O69" s="20"/>
      <c r="S69" s="9"/>
    </row>
    <row r="70" spans="3:33" x14ac:dyDescent="0.3">
      <c r="C70" s="11"/>
      <c r="D70" s="11"/>
      <c r="E70" s="11"/>
      <c r="F70" s="11"/>
      <c r="G70" s="10"/>
      <c r="H70" s="20"/>
      <c r="I70" s="9"/>
      <c r="J70" s="19"/>
      <c r="K70" s="19"/>
      <c r="L70" s="19"/>
      <c r="M70" s="19"/>
      <c r="N70" s="20"/>
      <c r="O70" s="20"/>
      <c r="S70" s="9"/>
    </row>
    <row r="71" spans="3:33" x14ac:dyDescent="0.3">
      <c r="C71" s="11"/>
      <c r="D71" s="11"/>
      <c r="E71" s="11"/>
      <c r="F71" s="11"/>
      <c r="G71" s="10"/>
      <c r="H71" s="20"/>
      <c r="I71" s="9"/>
      <c r="J71" s="19"/>
      <c r="K71" s="19"/>
      <c r="L71" s="19"/>
      <c r="M71" s="19"/>
      <c r="N71" s="20"/>
      <c r="O71" s="20"/>
      <c r="S71" s="9"/>
    </row>
    <row r="72" spans="3:33" x14ac:dyDescent="0.3">
      <c r="C72" s="11"/>
      <c r="D72" s="11"/>
      <c r="E72" s="11"/>
      <c r="F72" s="11"/>
      <c r="G72" s="10"/>
      <c r="H72" s="20"/>
      <c r="I72" s="9"/>
      <c r="J72" s="19"/>
      <c r="K72" s="19"/>
      <c r="L72" s="19"/>
      <c r="M72" s="19"/>
      <c r="N72" s="20"/>
      <c r="O72" s="20"/>
      <c r="S72" s="9"/>
    </row>
    <row r="73" spans="3:33" x14ac:dyDescent="0.3">
      <c r="C73" s="11"/>
      <c r="D73" s="11"/>
      <c r="E73" s="11"/>
      <c r="F73" s="11"/>
      <c r="G73" s="10"/>
      <c r="H73" s="20"/>
      <c r="I73" s="9"/>
      <c r="J73" s="19"/>
      <c r="K73" s="19"/>
      <c r="L73" s="19"/>
      <c r="M73" s="19"/>
      <c r="N73" s="20"/>
      <c r="O73" s="20"/>
      <c r="S73" s="9"/>
    </row>
    <row r="74" spans="3:33" x14ac:dyDescent="0.3">
      <c r="C74" s="11"/>
      <c r="D74" s="11"/>
      <c r="E74" s="11"/>
      <c r="F74" s="11"/>
      <c r="G74" s="10"/>
      <c r="H74" s="10"/>
      <c r="I74" s="9"/>
      <c r="J74" s="9"/>
      <c r="K74" s="9"/>
      <c r="L74" s="9"/>
      <c r="M74" s="9"/>
      <c r="N74" s="10"/>
      <c r="O74" s="10"/>
      <c r="S74" s="9"/>
    </row>
    <row r="75" spans="3:33" x14ac:dyDescent="0.3">
      <c r="C75" s="11"/>
      <c r="D75" s="11"/>
      <c r="E75" s="11"/>
      <c r="F75" s="11"/>
      <c r="G75" s="10"/>
      <c r="H75" s="10"/>
      <c r="I75" s="9"/>
      <c r="J75" s="9"/>
      <c r="K75" s="9"/>
      <c r="L75" s="9"/>
      <c r="M75" s="9"/>
      <c r="N75" s="10"/>
      <c r="O75" s="10"/>
      <c r="S75" s="9"/>
    </row>
    <row r="76" spans="3:33" x14ac:dyDescent="0.3">
      <c r="C76" s="11"/>
      <c r="D76" s="11"/>
      <c r="E76" s="11"/>
      <c r="F76" s="11"/>
      <c r="G76" s="10"/>
      <c r="H76" s="10"/>
      <c r="I76" s="9"/>
      <c r="J76" s="9"/>
      <c r="K76" s="9"/>
      <c r="L76" s="9"/>
      <c r="M76" s="9"/>
      <c r="N76" s="10"/>
      <c r="O76" s="10"/>
      <c r="S76" s="9"/>
    </row>
    <row r="77" spans="3:33" x14ac:dyDescent="0.3">
      <c r="C77" s="11"/>
      <c r="D77" s="11"/>
      <c r="E77" s="11"/>
      <c r="F77" s="11"/>
      <c r="G77" s="10"/>
      <c r="H77" s="10"/>
      <c r="I77" s="9"/>
      <c r="J77" s="9"/>
      <c r="K77" s="9"/>
      <c r="L77" s="9"/>
      <c r="M77" s="9"/>
      <c r="N77" s="10"/>
      <c r="O77" s="10"/>
      <c r="S77" s="9"/>
    </row>
    <row r="78" spans="3:33" x14ac:dyDescent="0.3">
      <c r="C78" s="11"/>
      <c r="D78" s="11"/>
      <c r="E78" s="11"/>
      <c r="F78" s="11"/>
      <c r="G78" s="10"/>
      <c r="H78" s="10"/>
      <c r="I78" s="9"/>
      <c r="J78" s="9"/>
      <c r="K78" s="9"/>
      <c r="L78" s="9"/>
      <c r="M78" s="9"/>
      <c r="N78" s="10"/>
      <c r="O78" s="10"/>
      <c r="S78" s="9"/>
    </row>
    <row r="79" spans="3:33" x14ac:dyDescent="0.3">
      <c r="C79" s="11"/>
      <c r="D79" s="11"/>
      <c r="E79" s="11"/>
      <c r="F79" s="11"/>
      <c r="G79" s="10"/>
      <c r="H79" s="10"/>
      <c r="I79" s="9"/>
      <c r="J79" s="9"/>
      <c r="K79" s="9"/>
      <c r="L79" s="9"/>
      <c r="M79" s="9"/>
      <c r="N79" s="10"/>
      <c r="O79" s="10"/>
      <c r="S79" s="9"/>
    </row>
    <row r="80" spans="3:33" x14ac:dyDescent="0.3">
      <c r="C80" s="11"/>
      <c r="D80" s="11"/>
      <c r="E80" s="11"/>
      <c r="F80" s="11"/>
      <c r="G80" s="10"/>
      <c r="H80" s="10"/>
      <c r="I80" s="9"/>
      <c r="J80" s="9"/>
      <c r="K80" s="9"/>
      <c r="L80" s="9"/>
      <c r="M80" s="9"/>
      <c r="N80" s="10"/>
      <c r="O80" s="10"/>
      <c r="S80" s="9"/>
    </row>
    <row r="81" spans="3:19" x14ac:dyDescent="0.3">
      <c r="C81" s="11"/>
      <c r="D81" s="11"/>
      <c r="E81" s="11"/>
      <c r="F81" s="11"/>
      <c r="G81" s="10"/>
      <c r="H81" s="10"/>
      <c r="I81" s="9"/>
      <c r="J81" s="9"/>
      <c r="K81" s="9"/>
      <c r="L81" s="9"/>
      <c r="M81" s="9"/>
      <c r="N81" s="10"/>
      <c r="O81" s="10"/>
      <c r="S81" s="9"/>
    </row>
    <row r="82" spans="3:19" x14ac:dyDescent="0.3">
      <c r="C82" s="11"/>
      <c r="D82" s="11"/>
      <c r="E82" s="11"/>
      <c r="F82" s="11"/>
      <c r="G82" s="10"/>
      <c r="H82" s="10"/>
      <c r="I82" s="9"/>
      <c r="J82" s="9"/>
      <c r="K82" s="9"/>
      <c r="L82" s="9"/>
      <c r="M82" s="9"/>
      <c r="N82" s="10"/>
      <c r="O82" s="10"/>
      <c r="S82" s="9"/>
    </row>
    <row r="83" spans="3:19" x14ac:dyDescent="0.3">
      <c r="C83" s="11"/>
      <c r="D83" s="11"/>
      <c r="E83" s="11"/>
      <c r="F83" s="11"/>
      <c r="G83" s="10"/>
      <c r="H83" s="10"/>
      <c r="I83" s="9"/>
      <c r="J83" s="9"/>
      <c r="K83" s="9"/>
      <c r="L83" s="9"/>
      <c r="M83" s="9"/>
      <c r="N83" s="10"/>
      <c r="O83" s="10"/>
      <c r="S83" s="9"/>
    </row>
    <row r="84" spans="3:19" x14ac:dyDescent="0.3">
      <c r="C84" s="11"/>
      <c r="D84" s="11"/>
      <c r="E84" s="11"/>
      <c r="F84" s="11"/>
      <c r="G84" s="10"/>
      <c r="H84" s="10"/>
      <c r="I84" s="9"/>
      <c r="J84" s="9"/>
      <c r="K84" s="9"/>
      <c r="L84" s="9"/>
      <c r="M84" s="9"/>
      <c r="N84" s="10"/>
      <c r="O84" s="10"/>
      <c r="S84" s="9"/>
    </row>
    <row r="85" spans="3:19" x14ac:dyDescent="0.3">
      <c r="C85" s="11"/>
      <c r="D85" s="11"/>
      <c r="E85" s="11"/>
      <c r="F85" s="11"/>
      <c r="G85" s="10"/>
      <c r="H85" s="10"/>
      <c r="I85" s="9"/>
      <c r="J85" s="9"/>
      <c r="K85" s="9"/>
      <c r="L85" s="9"/>
      <c r="M85" s="9"/>
      <c r="N85" s="10"/>
      <c r="O85" s="10"/>
      <c r="S85" s="9"/>
    </row>
    <row r="86" spans="3:19" x14ac:dyDescent="0.3">
      <c r="C86" s="11"/>
      <c r="D86" s="11"/>
      <c r="E86" s="11"/>
      <c r="F86" s="11"/>
      <c r="G86" s="10"/>
      <c r="H86" s="10"/>
      <c r="I86" s="9"/>
      <c r="J86" s="9"/>
      <c r="K86" s="9"/>
      <c r="L86" s="9"/>
      <c r="M86" s="9"/>
      <c r="N86" s="10"/>
      <c r="O86" s="10"/>
      <c r="S86" s="9"/>
    </row>
    <row r="87" spans="3:19" x14ac:dyDescent="0.3">
      <c r="C87" s="11"/>
      <c r="D87" s="11"/>
      <c r="E87" s="11"/>
      <c r="F87" s="11"/>
      <c r="G87" s="10"/>
      <c r="H87" s="10"/>
      <c r="I87" s="9"/>
      <c r="J87" s="9"/>
      <c r="K87" s="9"/>
      <c r="L87" s="9"/>
      <c r="M87" s="9"/>
      <c r="N87" s="10"/>
      <c r="O87" s="10"/>
      <c r="S87" s="9"/>
    </row>
    <row r="88" spans="3:19" x14ac:dyDescent="0.3">
      <c r="C88" s="11"/>
      <c r="D88" s="11"/>
      <c r="E88" s="11"/>
      <c r="F88" s="11"/>
      <c r="G88" s="10"/>
      <c r="H88" s="10"/>
      <c r="I88" s="9"/>
      <c r="J88" s="9"/>
      <c r="K88" s="9"/>
      <c r="L88" s="9"/>
      <c r="M88" s="9"/>
      <c r="N88" s="10"/>
      <c r="O88" s="10"/>
      <c r="S88" s="9"/>
    </row>
    <row r="90" spans="3:19" x14ac:dyDescent="0.3">
      <c r="E90" s="3"/>
      <c r="F90" s="3"/>
    </row>
    <row r="91" spans="3:19" x14ac:dyDescent="0.3">
      <c r="E91" s="3"/>
      <c r="F91" s="3"/>
    </row>
    <row r="92" spans="3:19" x14ac:dyDescent="0.3">
      <c r="E92" s="3"/>
      <c r="F92" s="3"/>
    </row>
    <row r="93" spans="3:19" x14ac:dyDescent="0.3">
      <c r="E93" s="3"/>
      <c r="F93" s="3"/>
    </row>
    <row r="94" spans="3:19" x14ac:dyDescent="0.3">
      <c r="E94" s="3"/>
      <c r="F94" s="3"/>
    </row>
    <row r="95" spans="3:19" x14ac:dyDescent="0.3">
      <c r="E95" s="3"/>
      <c r="F95" s="3"/>
    </row>
    <row r="96" spans="3:19"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mergeCells count="1">
    <mergeCell ref="I4:O4"/>
  </mergeCells>
  <phoneticPr fontId="5" type="noConversion"/>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63" zoomScale="91" workbookViewId="0">
      <selection activeCell="I154" sqref="I154"/>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7.83203125" bestFit="1" customWidth="1"/>
    <col min="11" max="11" width="16.6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3991</v>
      </c>
      <c r="G73" s="80" t="s">
        <v>3948</v>
      </c>
      <c r="H73" s="80" t="s">
        <v>3929</v>
      </c>
      <c r="I73" s="80" t="s">
        <v>3935</v>
      </c>
      <c r="J73" s="80" t="s">
        <v>3999</v>
      </c>
      <c r="K73" s="80" t="s">
        <v>4000</v>
      </c>
      <c r="M73" s="80" t="s">
        <v>3998</v>
      </c>
      <c r="V73" s="35"/>
    </row>
    <row r="74" spans="4:22" ht="27" x14ac:dyDescent="0.35">
      <c r="D74" s="80" t="s">
        <v>1346</v>
      </c>
      <c r="E74" s="80">
        <v>2</v>
      </c>
      <c r="F74" s="36">
        <v>2.4068320000000001</v>
      </c>
      <c r="G74" s="36">
        <v>0.53377600000000003</v>
      </c>
      <c r="H74" s="36">
        <v>22.320332000000001</v>
      </c>
      <c r="I74" s="36">
        <v>2.36</v>
      </c>
      <c r="J74" s="111">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11">
        <f>Table2[[#This Row],[CPU+GPU]]/Table2[[#This Row],[GPU Only]]</f>
        <v>1.1654744140904432</v>
      </c>
      <c r="K75" s="36">
        <f>Table2[[#This Row],[CPU Only]]/Table2[[#This Row],[CPU+GPU]]</f>
        <v>41.971469285714285</v>
      </c>
      <c r="V75" s="35"/>
    </row>
    <row r="76" spans="4:22" ht="27" x14ac:dyDescent="0.35">
      <c r="D76" s="80" t="s">
        <v>1346</v>
      </c>
      <c r="E76" s="80">
        <v>6</v>
      </c>
      <c r="F76" s="36" t="s">
        <v>3990</v>
      </c>
      <c r="G76" s="36" t="s">
        <v>3990</v>
      </c>
      <c r="H76" s="36" t="s">
        <v>3990</v>
      </c>
      <c r="I76" s="36" t="s">
        <v>3990</v>
      </c>
      <c r="J76" s="111"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3990</v>
      </c>
      <c r="I77" s="36">
        <v>28.14</v>
      </c>
      <c r="J77" s="111">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3990</v>
      </c>
      <c r="I78" s="36">
        <v>34.840000000000003</v>
      </c>
      <c r="J78" s="111">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11">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11">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11">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11">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11">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11">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11">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11">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3990</v>
      </c>
      <c r="I87" s="36">
        <v>62.99</v>
      </c>
      <c r="J87" s="111">
        <f>Table2[[#This Row],[CPU+GPU]]/Table2[[#This Row],[GPU Only]]</f>
        <v>1.0378790938246161</v>
      </c>
      <c r="K87" s="36" t="e">
        <f>Table2[[#This Row],[CPU Only]]/Table2[[#This Row],[CPU+GPU]]</f>
        <v>#VALUE!</v>
      </c>
      <c r="V87" s="35"/>
    </row>
    <row r="88" spans="4:22" ht="27" x14ac:dyDescent="0.35">
      <c r="D88" s="80" t="s">
        <v>3</v>
      </c>
      <c r="E88" s="80">
        <v>6</v>
      </c>
      <c r="F88" s="36" t="s">
        <v>3990</v>
      </c>
      <c r="G88" s="36" t="s">
        <v>3990</v>
      </c>
      <c r="H88" s="36" t="s">
        <v>3990</v>
      </c>
      <c r="I88" s="36" t="s">
        <v>3990</v>
      </c>
      <c r="J88" s="111"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3990</v>
      </c>
      <c r="I89" s="36">
        <v>267.39</v>
      </c>
      <c r="J89" s="111">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3990</v>
      </c>
      <c r="I90" s="36">
        <v>192.79</v>
      </c>
      <c r="J90" s="111">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3990</v>
      </c>
      <c r="I91" s="36">
        <v>13.57</v>
      </c>
      <c r="J91" s="111">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11">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3990</v>
      </c>
      <c r="I93" s="36">
        <v>45.52</v>
      </c>
      <c r="J93" s="111">
        <f>Table2[[#This Row],[CPU+GPU]]/Table2[[#This Row],[GPU Only]]</f>
        <v>1.0403258596783707</v>
      </c>
      <c r="K93" s="36" t="e">
        <f>Table2[[#This Row],[CPU Only]]/Table2[[#This Row],[CPU+GPU]]</f>
        <v>#VALUE!</v>
      </c>
      <c r="V93" s="35"/>
    </row>
    <row r="94" spans="4:22" ht="27" x14ac:dyDescent="0.35">
      <c r="D94" s="80" t="s">
        <v>4</v>
      </c>
      <c r="E94" s="80">
        <v>6</v>
      </c>
      <c r="F94" s="36" t="s">
        <v>3990</v>
      </c>
      <c r="G94" s="36" t="s">
        <v>3990</v>
      </c>
      <c r="H94" s="36" t="s">
        <v>3990</v>
      </c>
      <c r="I94" s="36" t="s">
        <v>3990</v>
      </c>
      <c r="J94" s="111"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3990</v>
      </c>
      <c r="I95" s="36">
        <v>195.36</v>
      </c>
      <c r="J95" s="111">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3990</v>
      </c>
      <c r="I96" s="36">
        <v>145.37</v>
      </c>
      <c r="J96" s="111">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3990</v>
      </c>
      <c r="I97" s="36">
        <v>8.3000000000000007</v>
      </c>
      <c r="J97" s="111">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11">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3990</v>
      </c>
      <c r="I99" s="36">
        <v>61.04</v>
      </c>
      <c r="J99" s="111">
        <f>Table2[[#This Row],[CPU+GPU]]/Table2[[#This Row],[GPU Only]]</f>
        <v>1.03370634597474</v>
      </c>
      <c r="K99" s="36" t="e">
        <f>Table2[[#This Row],[CPU Only]]/Table2[[#This Row],[CPU+GPU]]</f>
        <v>#VALUE!</v>
      </c>
      <c r="V99" s="35"/>
    </row>
    <row r="100" spans="4:22" ht="27" x14ac:dyDescent="0.35">
      <c r="D100" s="80" t="s">
        <v>6</v>
      </c>
      <c r="E100" s="80">
        <v>6</v>
      </c>
      <c r="F100" s="36" t="s">
        <v>3990</v>
      </c>
      <c r="G100" s="36" t="s">
        <v>3990</v>
      </c>
      <c r="H100" s="36" t="s">
        <v>3990</v>
      </c>
      <c r="I100" s="36" t="s">
        <v>3990</v>
      </c>
      <c r="J100" s="111"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3990</v>
      </c>
      <c r="I101" s="36">
        <v>184.52</v>
      </c>
      <c r="J101" s="111">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3990</v>
      </c>
      <c r="I102" s="36">
        <v>206.21</v>
      </c>
      <c r="J102" s="111">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3990</v>
      </c>
      <c r="I103" s="36">
        <v>25.19</v>
      </c>
      <c r="J103" s="111">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11">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11">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3990</v>
      </c>
      <c r="I106" s="36">
        <v>53.98</v>
      </c>
      <c r="J106" s="111">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3990</v>
      </c>
      <c r="I107" s="36">
        <v>20.329999999999998</v>
      </c>
      <c r="J107" s="111">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11">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11">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11">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11">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11">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11">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11">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11">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11">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3990</v>
      </c>
      <c r="I117" s="36">
        <v>39.369999999999997</v>
      </c>
      <c r="J117" s="111">
        <f>Table2[[#This Row],[CPU+GPU]]/Table2[[#This Row],[GPU Only]]</f>
        <v>1.0596966102332239</v>
      </c>
      <c r="K117" s="36" t="e">
        <f>Table2[[#This Row],[CPU Only]]/Table2[[#This Row],[CPU+GPU]]</f>
        <v>#VALUE!</v>
      </c>
      <c r="V117" s="35"/>
    </row>
    <row r="118" spans="4:22" ht="27" x14ac:dyDescent="0.35">
      <c r="D118" s="80" t="s">
        <v>3913</v>
      </c>
      <c r="E118" s="80">
        <v>6</v>
      </c>
      <c r="F118" s="36" t="s">
        <v>3990</v>
      </c>
      <c r="G118" s="36" t="s">
        <v>3990</v>
      </c>
      <c r="H118" s="36" t="s">
        <v>3990</v>
      </c>
      <c r="I118" s="36" t="s">
        <v>3990</v>
      </c>
      <c r="J118" s="111"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3990</v>
      </c>
      <c r="I119" s="36">
        <v>103.16</v>
      </c>
      <c r="J119" s="111">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3990</v>
      </c>
      <c r="I120" s="36">
        <v>111.83</v>
      </c>
      <c r="J120" s="111">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3990</v>
      </c>
      <c r="I121" s="36">
        <v>17.7</v>
      </c>
      <c r="J121" s="111">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11">
        <f>Table2[[#This Row],[CPU+GPU]]/Table2[[#This Row],[GPU Only]]</f>
        <v>1.1628603778584807</v>
      </c>
      <c r="K122" s="36">
        <f>Table2[[#This Row],[CPU Only]]/Table2[[#This Row],[CPU+GPU]]</f>
        <v>14.793808346173268</v>
      </c>
      <c r="M122" t="s">
        <v>4001</v>
      </c>
      <c r="V122" s="35"/>
    </row>
    <row r="123" spans="4:22" ht="27" x14ac:dyDescent="0.35">
      <c r="D123" s="80" t="s">
        <v>3919</v>
      </c>
      <c r="E123" s="80">
        <v>5</v>
      </c>
      <c r="F123" s="36">
        <v>3.7282199999999999</v>
      </c>
      <c r="G123" s="36">
        <v>1.8812679999999999</v>
      </c>
      <c r="H123" s="36">
        <v>34.506560999999998</v>
      </c>
      <c r="I123" s="36">
        <v>2.2555969999999999</v>
      </c>
      <c r="J123" s="111">
        <f>Table2[[#This Row],[CPU+GPU]]/Table2[[#This Row],[GPU Only]]</f>
        <v>1.1989769665991235</v>
      </c>
      <c r="K123" s="36">
        <f>Table2[[#This Row],[CPU Only]]/Table2[[#This Row],[CPU+GPU]]</f>
        <v>15.298194225298225</v>
      </c>
      <c r="M123" t="s">
        <v>4002</v>
      </c>
      <c r="V123" s="35"/>
    </row>
    <row r="124" spans="4:22" ht="27" x14ac:dyDescent="0.35">
      <c r="D124" s="80" t="s">
        <v>3919</v>
      </c>
      <c r="E124" s="80">
        <v>6</v>
      </c>
      <c r="F124" s="36">
        <v>18.152170999999999</v>
      </c>
      <c r="G124" s="36">
        <v>14.551477999999999</v>
      </c>
      <c r="H124" s="36">
        <v>122.148618</v>
      </c>
      <c r="I124" s="36">
        <v>14.177133</v>
      </c>
      <c r="J124" s="111">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11">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11">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11">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11">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3990</v>
      </c>
      <c r="I129" s="36">
        <v>33.020000000000003</v>
      </c>
      <c r="J129" s="111">
        <f>Table2[[#This Row],[CPU+GPU]]/Table2[[#This Row],[GPU Only]]</f>
        <v>1.0057292453820368</v>
      </c>
      <c r="K129" s="36" t="e">
        <f>Table2[[#This Row],[CPU Only]]/Table2[[#This Row],[CPU+GPU]]</f>
        <v>#VALUE!</v>
      </c>
    </row>
    <row r="130" spans="4:11" ht="27" x14ac:dyDescent="0.35">
      <c r="D130" s="80" t="s">
        <v>7</v>
      </c>
      <c r="E130" s="80">
        <v>6</v>
      </c>
      <c r="F130" s="36" t="s">
        <v>3990</v>
      </c>
      <c r="G130" s="36" t="s">
        <v>3990</v>
      </c>
      <c r="H130" s="36" t="s">
        <v>3990</v>
      </c>
      <c r="I130" s="36" t="s">
        <v>3990</v>
      </c>
      <c r="J130" s="111"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3990</v>
      </c>
      <c r="I131" s="36">
        <v>124.26</v>
      </c>
      <c r="J131" s="111">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3990</v>
      </c>
      <c r="I132" s="36">
        <v>96.26</v>
      </c>
      <c r="J132" s="111">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3990</v>
      </c>
      <c r="I133" s="36">
        <v>10.53</v>
      </c>
      <c r="J133" s="111">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11">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11">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11">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11">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11">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11">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11">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11">
        <f>Table2[[#This Row],[CPU+GPU]]/Table2[[#This Row],[GPU Only]]</f>
        <v>1.1249469976895319</v>
      </c>
      <c r="K141" s="36">
        <f>Table2[[#This Row],[CPU Only]]/Table2[[#This Row],[CPU+GPU]]</f>
        <v>25.633235076923079</v>
      </c>
    </row>
    <row r="142" spans="4:11" ht="27" x14ac:dyDescent="0.35">
      <c r="D142" s="80" t="s">
        <v>3917</v>
      </c>
      <c r="E142" s="80">
        <v>6</v>
      </c>
      <c r="F142" s="36" t="s">
        <v>3990</v>
      </c>
      <c r="G142" s="36" t="s">
        <v>3990</v>
      </c>
      <c r="H142" s="36" t="s">
        <v>3990</v>
      </c>
      <c r="I142" s="36" t="s">
        <v>3990</v>
      </c>
      <c r="J142" s="111"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3990</v>
      </c>
      <c r="I143" s="36">
        <v>18.46</v>
      </c>
      <c r="J143" s="111">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3990</v>
      </c>
      <c r="I144" s="36">
        <v>21.14</v>
      </c>
      <c r="J144" s="111">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11">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11">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3990</v>
      </c>
      <c r="I147" s="36">
        <v>29.58</v>
      </c>
      <c r="J147" s="111">
        <f>Table2[[#This Row],[CPU+GPU]]/Table2[[#This Row],[GPU Only]]</f>
        <v>1.0559858870592034</v>
      </c>
      <c r="K147" s="36" t="e">
        <f>Table2[[#This Row],[CPU Only]]/Table2[[#This Row],[CPU+GPU]]</f>
        <v>#VALUE!</v>
      </c>
    </row>
    <row r="148" spans="4:11" ht="27" x14ac:dyDescent="0.35">
      <c r="D148" s="80" t="s">
        <v>1434</v>
      </c>
      <c r="E148" s="80">
        <v>6</v>
      </c>
      <c r="F148" s="36" t="s">
        <v>3990</v>
      </c>
      <c r="G148" s="36" t="s">
        <v>3990</v>
      </c>
      <c r="H148" s="36" t="s">
        <v>3990</v>
      </c>
      <c r="I148" s="36" t="s">
        <v>3990</v>
      </c>
      <c r="J148" s="111"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3990</v>
      </c>
      <c r="I149" s="36">
        <v>76.33</v>
      </c>
      <c r="J149" s="111">
        <f>Table2[[#This Row],[CPU+GPU]]/Table2[[#This Row],[GPU Only]]</f>
        <v>1.0222097944652555</v>
      </c>
      <c r="K149" s="36" t="e">
        <f>Table2[[#This Row],[CPU Only]]/Table2[[#This Row],[CPU+GPU]]</f>
        <v>#VALUE!</v>
      </c>
    </row>
    <row r="150" spans="4:11" ht="27" x14ac:dyDescent="0.35">
      <c r="D150" s="80" t="s">
        <v>1434</v>
      </c>
      <c r="E150" s="80">
        <v>8</v>
      </c>
      <c r="F150" s="36" t="s">
        <v>4004</v>
      </c>
      <c r="G150" s="36">
        <v>91.631570999999994</v>
      </c>
      <c r="H150" s="36" t="s">
        <v>3990</v>
      </c>
      <c r="I150" s="36">
        <v>91.06</v>
      </c>
      <c r="J150" s="111">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3990</v>
      </c>
      <c r="I151" s="36">
        <v>13.88</v>
      </c>
      <c r="J151" s="111">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11">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11">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3990</v>
      </c>
      <c r="I154" s="36">
        <v>35.83</v>
      </c>
      <c r="J154" s="111">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3990</v>
      </c>
      <c r="I155" s="36">
        <v>10.25</v>
      </c>
      <c r="J155" s="111">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3990</v>
      </c>
      <c r="I156" s="36">
        <v>10.44</v>
      </c>
      <c r="J156" s="111">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11">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9" ht="22" x14ac:dyDescent="0.25">
      <c r="D161" s="77"/>
      <c r="F161" s="77"/>
      <c r="G161" s="77"/>
      <c r="H161" s="77"/>
      <c r="I161" s="77"/>
    </row>
    <row r="162" spans="4:9" ht="22" x14ac:dyDescent="0.25">
      <c r="D162" s="77"/>
      <c r="F162" s="77"/>
      <c r="G162" s="77"/>
      <c r="H162" s="77"/>
      <c r="I162" s="77"/>
    </row>
    <row r="163" spans="4:9" ht="22" x14ac:dyDescent="0.25">
      <c r="D163" s="77"/>
      <c r="F163" s="77"/>
      <c r="G163" s="77"/>
      <c r="H163" s="77"/>
      <c r="I163" s="77"/>
    </row>
    <row r="164" spans="4:9" ht="22" x14ac:dyDescent="0.25">
      <c r="D164" s="77"/>
      <c r="F164" s="77"/>
      <c r="G164" s="77"/>
      <c r="H164" s="77"/>
      <c r="I164" s="77"/>
    </row>
    <row r="165" spans="4:9" ht="22" x14ac:dyDescent="0.25">
      <c r="D165" s="77"/>
      <c r="F165" s="78"/>
      <c r="G165" s="78"/>
      <c r="H165" s="78"/>
      <c r="I165" s="78"/>
    </row>
    <row r="166" spans="4:9" ht="22" x14ac:dyDescent="0.25">
      <c r="D166" s="77"/>
      <c r="F166" s="78"/>
      <c r="G166" s="78"/>
      <c r="H166" s="78"/>
      <c r="I166" s="78"/>
    </row>
    <row r="167" spans="4:9" ht="22" x14ac:dyDescent="0.25">
      <c r="D167" s="77"/>
      <c r="F167" s="78"/>
      <c r="G167" s="78"/>
      <c r="H167" s="78"/>
      <c r="I167" s="78"/>
    </row>
    <row r="168" spans="4:9" ht="22" x14ac:dyDescent="0.25">
      <c r="D168" s="77"/>
      <c r="F168" s="78"/>
      <c r="G168" s="78"/>
      <c r="H168" s="78"/>
      <c r="I168" s="78"/>
    </row>
    <row r="169" spans="4:9" ht="22" x14ac:dyDescent="0.25">
      <c r="D169" s="77"/>
      <c r="F169" s="78"/>
      <c r="G169" s="78"/>
      <c r="H169" s="78"/>
      <c r="I169" s="78"/>
    </row>
    <row r="170" spans="4:9" ht="22" x14ac:dyDescent="0.25">
      <c r="D170" s="77"/>
      <c r="F170" s="78"/>
      <c r="G170" s="78"/>
      <c r="H170" s="78"/>
      <c r="I170" s="78"/>
    </row>
    <row r="171" spans="4:9" ht="22" x14ac:dyDescent="0.25">
      <c r="D171" s="77"/>
      <c r="F171" s="78"/>
      <c r="G171" s="78"/>
      <c r="H171" s="78"/>
      <c r="I171" s="78"/>
    </row>
    <row r="172" spans="4:9" ht="22" x14ac:dyDescent="0.25">
      <c r="D172" s="77"/>
      <c r="F172" s="78"/>
      <c r="G172" s="78"/>
      <c r="H172" s="78"/>
      <c r="I172" s="78"/>
    </row>
    <row r="173" spans="4:9" ht="22" x14ac:dyDescent="0.25">
      <c r="D173" s="77"/>
      <c r="F173" s="78"/>
      <c r="G173" s="78"/>
      <c r="H173" s="78"/>
      <c r="I173" s="78"/>
    </row>
    <row r="174" spans="4:9" ht="22" x14ac:dyDescent="0.25">
      <c r="D174" s="77"/>
      <c r="F174" s="78"/>
      <c r="G174" s="78"/>
      <c r="H174" s="78"/>
      <c r="I174" s="78"/>
    </row>
    <row r="175" spans="4:9" ht="22" x14ac:dyDescent="0.25">
      <c r="D175" s="77"/>
      <c r="F175" s="78"/>
      <c r="G175" s="78"/>
      <c r="H175" s="78"/>
      <c r="I175" s="78"/>
    </row>
    <row r="176" spans="4:9" ht="22" x14ac:dyDescent="0.25">
      <c r="D176" s="77"/>
      <c r="F176" s="78"/>
      <c r="G176" s="78"/>
      <c r="H176" s="78"/>
      <c r="I176" s="78"/>
    </row>
    <row r="177" spans="4:9" ht="22" x14ac:dyDescent="0.25">
      <c r="D177" s="77"/>
      <c r="F177" s="78"/>
      <c r="G177" s="78"/>
      <c r="H177" s="78"/>
      <c r="I177" s="78"/>
    </row>
    <row r="178" spans="4:9" ht="22" x14ac:dyDescent="0.25">
      <c r="D178" s="77"/>
      <c r="F178" s="78"/>
      <c r="G178" s="78"/>
      <c r="H178" s="78"/>
      <c r="I178" s="78"/>
    </row>
    <row r="179" spans="4:9" ht="22" x14ac:dyDescent="0.25">
      <c r="D179" s="77"/>
      <c r="F179" s="78"/>
      <c r="G179" s="78"/>
      <c r="H179" s="78"/>
      <c r="I179" s="78"/>
    </row>
    <row r="180" spans="4:9" ht="22" x14ac:dyDescent="0.25">
      <c r="D180" s="77"/>
      <c r="F180" s="78"/>
      <c r="G180" s="78"/>
      <c r="H180" s="78"/>
      <c r="I180" s="78"/>
    </row>
    <row r="181" spans="4:9" ht="22" x14ac:dyDescent="0.25">
      <c r="D181" s="77"/>
      <c r="F181" s="78"/>
      <c r="G181" s="78"/>
      <c r="H181" s="78"/>
      <c r="I181" s="78"/>
    </row>
    <row r="182" spans="4:9" ht="22" x14ac:dyDescent="0.25">
      <c r="D182" s="77"/>
      <c r="F182" s="78"/>
      <c r="G182" s="78"/>
      <c r="H182" s="78"/>
      <c r="I182" s="78"/>
    </row>
    <row r="183" spans="4:9" ht="22" x14ac:dyDescent="0.25">
      <c r="D183" s="77"/>
      <c r="F183" s="78"/>
      <c r="G183" s="78"/>
      <c r="H183" s="78"/>
      <c r="I183" s="78"/>
    </row>
    <row r="184" spans="4:9" ht="22" x14ac:dyDescent="0.25">
      <c r="D184" s="77"/>
      <c r="F184" s="78"/>
      <c r="G184" s="78"/>
      <c r="H184" s="78"/>
      <c r="I184" s="78"/>
    </row>
    <row r="185" spans="4:9" ht="22" x14ac:dyDescent="0.25">
      <c r="D185" s="77"/>
      <c r="F185" s="78"/>
      <c r="G185" s="78"/>
      <c r="H185" s="78"/>
      <c r="I185" s="78"/>
    </row>
    <row r="186" spans="4:9" ht="22" x14ac:dyDescent="0.25">
      <c r="D186" s="77"/>
      <c r="F186" s="78"/>
      <c r="G186" s="78"/>
      <c r="H186" s="78"/>
      <c r="I186" s="78"/>
    </row>
    <row r="187" spans="4:9" ht="22" x14ac:dyDescent="0.25">
      <c r="D187" s="77"/>
      <c r="F187" s="78"/>
      <c r="G187" s="78"/>
      <c r="H187" s="78"/>
      <c r="I187" s="78"/>
    </row>
    <row r="188" spans="4:9" ht="22" x14ac:dyDescent="0.25">
      <c r="D188" s="77"/>
      <c r="F188" s="78"/>
      <c r="G188" s="78"/>
      <c r="H188" s="78"/>
      <c r="I188" s="78"/>
    </row>
    <row r="189" spans="4:9" ht="22" x14ac:dyDescent="0.25">
      <c r="D189" s="77"/>
      <c r="F189" s="78"/>
      <c r="G189" s="78"/>
      <c r="H189" s="78"/>
      <c r="I189" s="78"/>
    </row>
    <row r="190" spans="4:9" ht="22" x14ac:dyDescent="0.25">
      <c r="D190" s="77"/>
      <c r="F190" s="78"/>
      <c r="G190" s="78"/>
      <c r="H190" s="78"/>
      <c r="I190" s="78"/>
    </row>
    <row r="191" spans="4:9" ht="22" x14ac:dyDescent="0.25">
      <c r="D191" s="77"/>
      <c r="F191" s="78"/>
      <c r="G191" s="78"/>
      <c r="H191" s="78"/>
      <c r="I191" s="78"/>
    </row>
    <row r="192" spans="4:9" ht="22" x14ac:dyDescent="0.25">
      <c r="D192" s="77"/>
      <c r="F192" s="78"/>
      <c r="G192" s="78"/>
      <c r="H192" s="78"/>
      <c r="I192" s="78"/>
    </row>
    <row r="193" spans="4:9" ht="22" x14ac:dyDescent="0.25">
      <c r="D193" s="77"/>
      <c r="F193" s="78"/>
      <c r="G193" s="78"/>
      <c r="H193" s="78"/>
      <c r="I193" s="78"/>
    </row>
    <row r="194" spans="4:9" ht="22" x14ac:dyDescent="0.25">
      <c r="D194" s="77"/>
      <c r="F194" s="78"/>
      <c r="G194" s="78"/>
      <c r="H194" s="78"/>
      <c r="I194" s="78"/>
    </row>
    <row r="195" spans="4:9" ht="22" x14ac:dyDescent="0.25">
      <c r="D195" s="77"/>
      <c r="F195" s="78"/>
      <c r="G195" s="78"/>
      <c r="H195" s="78"/>
      <c r="I195" s="78"/>
    </row>
    <row r="196" spans="4:9" ht="22" x14ac:dyDescent="0.25">
      <c r="D196" s="77"/>
      <c r="F196" s="78"/>
      <c r="G196" s="78"/>
      <c r="H196" s="78"/>
      <c r="I196" s="78"/>
    </row>
    <row r="197" spans="4:9" ht="22" x14ac:dyDescent="0.25">
      <c r="D197" s="77"/>
      <c r="F197" s="78"/>
      <c r="G197" s="78"/>
      <c r="H197" s="78"/>
      <c r="I197" s="78"/>
    </row>
    <row r="198" spans="4:9" ht="22" x14ac:dyDescent="0.25">
      <c r="D198" s="77"/>
      <c r="F198" s="78"/>
      <c r="G198" s="78"/>
      <c r="H198" s="78"/>
      <c r="I198" s="78"/>
    </row>
    <row r="199" spans="4:9" ht="22" x14ac:dyDescent="0.25">
      <c r="D199" s="77"/>
      <c r="F199" s="78"/>
      <c r="G199" s="78"/>
      <c r="H199" s="78"/>
      <c r="I199" s="78"/>
    </row>
    <row r="200" spans="4:9" ht="22" x14ac:dyDescent="0.25">
      <c r="D200" s="77"/>
      <c r="F200" s="78"/>
      <c r="G200" s="78"/>
      <c r="H200" s="78"/>
      <c r="I200" s="78"/>
    </row>
    <row r="201" spans="4:9" ht="22" x14ac:dyDescent="0.25">
      <c r="D201" s="77"/>
      <c r="F201" s="78"/>
      <c r="G201" s="78"/>
      <c r="H201" s="78"/>
      <c r="I201" s="78"/>
    </row>
    <row r="202" spans="4:9" ht="22" x14ac:dyDescent="0.25">
      <c r="D202" s="77"/>
      <c r="F202" s="78"/>
      <c r="G202" s="78"/>
      <c r="H202" s="78"/>
      <c r="I202" s="78"/>
    </row>
    <row r="203" spans="4:9" ht="22" x14ac:dyDescent="0.25">
      <c r="D203" s="77"/>
      <c r="F203" s="78"/>
      <c r="G203" s="78"/>
      <c r="H203" s="78"/>
      <c r="I203" s="78"/>
    </row>
    <row r="204" spans="4:9" ht="22" x14ac:dyDescent="0.25">
      <c r="D204" s="77"/>
      <c r="F204" s="78"/>
      <c r="G204" s="78"/>
      <c r="H204" s="78"/>
      <c r="I204" s="78"/>
    </row>
    <row r="205" spans="4:9" ht="22" x14ac:dyDescent="0.25">
      <c r="D205" s="77"/>
      <c r="F205" s="78"/>
      <c r="G205" s="78"/>
      <c r="H205" s="78"/>
      <c r="I205" s="78"/>
    </row>
    <row r="206" spans="4:9" ht="22" x14ac:dyDescent="0.25">
      <c r="D206" s="77"/>
      <c r="F206" s="78"/>
      <c r="G206" s="78"/>
      <c r="H206" s="78"/>
      <c r="I206" s="78"/>
    </row>
    <row r="207" spans="4:9" ht="22" x14ac:dyDescent="0.25">
      <c r="D207" s="77"/>
      <c r="F207" s="78"/>
      <c r="G207" s="78"/>
      <c r="H207" s="78"/>
      <c r="I207" s="78"/>
    </row>
    <row r="208" spans="4:9"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Q218"/>
  <sheetViews>
    <sheetView topLeftCell="AE1" workbookViewId="0">
      <selection activeCell="AO129" sqref="AO129"/>
    </sheetView>
  </sheetViews>
  <sheetFormatPr baseColWidth="10" defaultRowHeight="16" x14ac:dyDescent="0.2"/>
  <cols>
    <col min="2" max="2" width="27.6640625" bestFit="1" customWidth="1"/>
    <col min="4" max="4" width="11.5" customWidth="1"/>
    <col min="5" max="5" width="16.1640625" customWidth="1"/>
    <col min="6" max="6" width="14.83203125" customWidth="1"/>
    <col min="7" max="7" width="13.83203125" customWidth="1"/>
    <col min="8" max="8" width="18.1640625" bestFit="1" customWidth="1"/>
    <col min="9" max="10" width="18.1640625" style="117" customWidth="1"/>
    <col min="11" max="11" width="19.6640625" bestFit="1" customWidth="1"/>
    <col min="12" max="12" width="19.1640625" style="117" bestFit="1" customWidth="1"/>
    <col min="35" max="35" width="32.33203125" customWidth="1"/>
    <col min="38" max="41" width="22.83203125" customWidth="1"/>
    <col min="42" max="42" width="28.5" bestFit="1" customWidth="1"/>
  </cols>
  <sheetData>
    <row r="1" spans="2:42" ht="33" thickBot="1" x14ac:dyDescent="0.45">
      <c r="AL1" s="143"/>
      <c r="AM1" s="141"/>
      <c r="AN1" s="141" t="s">
        <v>3935</v>
      </c>
      <c r="AO1" s="141"/>
      <c r="AP1" s="142"/>
    </row>
    <row r="2" spans="2:42" ht="24" x14ac:dyDescent="0.3">
      <c r="AH2" t="s">
        <v>4018</v>
      </c>
      <c r="AI2" s="101" t="s">
        <v>25</v>
      </c>
      <c r="AJ2" s="101" t="s">
        <v>4019</v>
      </c>
      <c r="AK2" s="101" t="s">
        <v>4020</v>
      </c>
      <c r="AL2" s="101" t="s">
        <v>4025</v>
      </c>
      <c r="AM2" s="101" t="s">
        <v>4021</v>
      </c>
      <c r="AN2" s="101" t="s">
        <v>4022</v>
      </c>
      <c r="AO2" s="101" t="s">
        <v>4023</v>
      </c>
      <c r="AP2" s="101" t="s">
        <v>4024</v>
      </c>
    </row>
    <row r="3" spans="2:42" ht="22" hidden="1" x14ac:dyDescent="0.25">
      <c r="AI3" s="77" t="s">
        <v>1408</v>
      </c>
      <c r="AJ3">
        <v>9</v>
      </c>
      <c r="AK3" s="2">
        <v>0.117589</v>
      </c>
      <c r="AL3" s="2">
        <v>5.3818999999999999E-2</v>
      </c>
      <c r="AM3" s="107">
        <f>Table7[[#This Row],[GPU]]/Table7[[#This Row],[expand mode]]</f>
        <v>2.184897526895706</v>
      </c>
      <c r="AP3" t="e">
        <f>Table7[[#This Row],[GPU]]/Table7[[#This Row],[cpuchunk=10]]</f>
        <v>#DIV/0!</v>
      </c>
    </row>
    <row r="4" spans="2:42" ht="23" hidden="1" x14ac:dyDescent="0.3">
      <c r="B4" t="s">
        <v>3973</v>
      </c>
      <c r="C4" t="s">
        <v>3947</v>
      </c>
      <c r="D4" s="80" t="s">
        <v>3959</v>
      </c>
      <c r="E4" s="112" t="s">
        <v>3977</v>
      </c>
      <c r="F4" s="112" t="s">
        <v>3978</v>
      </c>
      <c r="G4" s="112" t="s">
        <v>3929</v>
      </c>
      <c r="H4" s="113" t="s">
        <v>4006</v>
      </c>
      <c r="I4" s="115" t="s">
        <v>4012</v>
      </c>
      <c r="J4" s="115" t="s">
        <v>4013</v>
      </c>
      <c r="K4" s="114" t="s">
        <v>4005</v>
      </c>
      <c r="L4" s="118" t="s">
        <v>4010</v>
      </c>
      <c r="M4" s="114" t="s">
        <v>4011</v>
      </c>
      <c r="N4" s="114" t="s">
        <v>4014</v>
      </c>
      <c r="AI4" s="77" t="s">
        <v>1346</v>
      </c>
      <c r="AJ4">
        <v>24</v>
      </c>
      <c r="AK4" s="2">
        <v>0.170796</v>
      </c>
      <c r="AL4" s="2">
        <v>0.337451</v>
      </c>
      <c r="AM4" s="107">
        <f>Table7[[#This Row],[GPU]]/Table7[[#This Row],[expand mode]]</f>
        <v>0.50613570562837273</v>
      </c>
      <c r="AP4" t="e">
        <f>Table7[[#This Row],[GPU]]/Table7[[#This Row],[cpuchunk=10]]</f>
        <v>#DIV/0!</v>
      </c>
    </row>
    <row r="5" spans="2:42" ht="23" hidden="1" x14ac:dyDescent="0.3">
      <c r="B5" s="80" t="s">
        <v>1346</v>
      </c>
      <c r="C5" s="80">
        <v>6</v>
      </c>
      <c r="D5" s="36" t="s">
        <v>3990</v>
      </c>
      <c r="E5" s="36" t="s">
        <v>3990</v>
      </c>
      <c r="F5" s="36" t="s">
        <v>3990</v>
      </c>
      <c r="G5" s="36">
        <v>1118.7856750000001</v>
      </c>
      <c r="H5" s="36" t="s">
        <v>3990</v>
      </c>
      <c r="I5" s="116" t="e">
        <f>Table3[[#This Row],[CPU Only]]/Table3[[#This Row],[CPU+GPU (1)]]</f>
        <v>#VALUE!</v>
      </c>
      <c r="J5" s="116" t="e">
        <f>Table3[[#This Row],[gpu-layered]]/Table3[[#This Row],[CPU+GPU (1)]]</f>
        <v>#VALUE!</v>
      </c>
      <c r="K5" s="36" t="s">
        <v>3990</v>
      </c>
      <c r="L5" s="116" t="e">
        <f>Table3[[#This Row],[CPU+GPU (10)]]/Table3[[#This Row],[CPU+GPU (1)]]</f>
        <v>#VALUE!</v>
      </c>
      <c r="M5" s="116" t="e">
        <f>Table3[[#This Row],[gpu-hybrid]]/Table3[[#This Row],[gpu-layered]]</f>
        <v>#VALUE!</v>
      </c>
      <c r="N5" s="36" t="e">
        <f>Table3[[#This Row],[g2aimd]]/Table3[[#This Row],[gpu-layered]]</f>
        <v>#VALUE!</v>
      </c>
      <c r="O5" t="s">
        <v>4003</v>
      </c>
      <c r="P5" t="s">
        <v>4007</v>
      </c>
      <c r="AI5" s="77" t="s">
        <v>1371</v>
      </c>
      <c r="AJ5">
        <v>24</v>
      </c>
      <c r="AK5" s="2">
        <v>0.18123400000000001</v>
      </c>
      <c r="AL5" s="2">
        <v>0.21973599999999999</v>
      </c>
      <c r="AM5" s="107">
        <f>Table7[[#This Row],[GPU]]/Table7[[#This Row],[expand mode]]</f>
        <v>0.82478064586594835</v>
      </c>
      <c r="AP5" t="e">
        <f>Table7[[#This Row],[GPU]]/Table7[[#This Row],[cpuchunk=10]]</f>
        <v>#DIV/0!</v>
      </c>
    </row>
    <row r="6" spans="2:42" ht="23" hidden="1" x14ac:dyDescent="0.3">
      <c r="B6" s="80" t="s">
        <v>3</v>
      </c>
      <c r="C6" s="80">
        <v>6</v>
      </c>
      <c r="D6" s="36">
        <v>1487.950779</v>
      </c>
      <c r="E6" s="36" t="s">
        <v>3990</v>
      </c>
      <c r="F6" s="36" t="s">
        <v>3990</v>
      </c>
      <c r="G6" s="36" t="s">
        <v>4003</v>
      </c>
      <c r="H6" s="36" t="s">
        <v>3990</v>
      </c>
      <c r="I6" s="116" t="e">
        <f>Table3[[#This Row],[CPU Only]]/Table3[[#This Row],[CPU+GPU (1)]]</f>
        <v>#VALUE!</v>
      </c>
      <c r="J6" s="116" t="e">
        <f>Table3[[#This Row],[gpu-layered]]/Table3[[#This Row],[CPU+GPU (1)]]</f>
        <v>#VALUE!</v>
      </c>
      <c r="K6" s="36" t="s">
        <v>3990</v>
      </c>
      <c r="L6" s="116" t="e">
        <f>Table3[[#This Row],[CPU+GPU (10)]]/Table3[[#This Row],[CPU+GPU (1)]]</f>
        <v>#VALUE!</v>
      </c>
      <c r="M6" s="116" t="e">
        <f>Table3[[#This Row],[gpu-hybrid]]/Table3[[#This Row],[gpu-layered]]</f>
        <v>#VALUE!</v>
      </c>
      <c r="N6" s="36" t="e">
        <f>Table3[[#This Row],[g2aimd]]/Table3[[#This Row],[gpu-layered]]</f>
        <v>#VALUE!</v>
      </c>
      <c r="O6" t="s">
        <v>3990</v>
      </c>
      <c r="P6" t="s">
        <v>4008</v>
      </c>
      <c r="AI6" s="77" t="s">
        <v>1408</v>
      </c>
      <c r="AJ6">
        <v>7</v>
      </c>
      <c r="AK6" s="2">
        <v>0.25453300000000001</v>
      </c>
      <c r="AL6" s="2">
        <v>1.04</v>
      </c>
      <c r="AM6" s="107">
        <f>Table7[[#This Row],[GPU]]/Table7[[#This Row],[expand mode]]</f>
        <v>0.24474326923076922</v>
      </c>
      <c r="AP6" t="e">
        <f>Table7[[#This Row],[GPU]]/Table7[[#This Row],[cpuchunk=10]]</f>
        <v>#DIV/0!</v>
      </c>
    </row>
    <row r="7" spans="2:42" ht="23" hidden="1" x14ac:dyDescent="0.3">
      <c r="B7" s="80" t="s">
        <v>4</v>
      </c>
      <c r="C7" s="80">
        <v>6</v>
      </c>
      <c r="D7" s="36">
        <v>1074.476539</v>
      </c>
      <c r="E7" s="36" t="s">
        <v>3990</v>
      </c>
      <c r="F7" s="36" t="s">
        <v>3990</v>
      </c>
      <c r="G7" s="36" t="s">
        <v>4003</v>
      </c>
      <c r="H7" s="36" t="s">
        <v>3990</v>
      </c>
      <c r="I7" s="116" t="e">
        <f>Table3[[#This Row],[CPU Only]]/Table3[[#This Row],[CPU+GPU (1)]]</f>
        <v>#VALUE!</v>
      </c>
      <c r="J7" s="116" t="e">
        <f>Table3[[#This Row],[gpu-layered]]/Table3[[#This Row],[CPU+GPU (1)]]</f>
        <v>#VALUE!</v>
      </c>
      <c r="K7" s="36" t="s">
        <v>3990</v>
      </c>
      <c r="L7" s="116" t="e">
        <f>Table3[[#This Row],[CPU+GPU (10)]]/Table3[[#This Row],[CPU+GPU (1)]]</f>
        <v>#VALUE!</v>
      </c>
      <c r="M7" s="116" t="e">
        <f>Table3[[#This Row],[gpu-hybrid]]/Table3[[#This Row],[gpu-layered]]</f>
        <v>#VALUE!</v>
      </c>
      <c r="N7" s="36" t="e">
        <f>Table3[[#This Row],[g2aimd]]/Table3[[#This Row],[gpu-layered]]</f>
        <v>#VALUE!</v>
      </c>
      <c r="O7" t="s">
        <v>4015</v>
      </c>
      <c r="AI7" s="77" t="s">
        <v>3919</v>
      </c>
      <c r="AJ7">
        <v>24</v>
      </c>
      <c r="AK7" s="2">
        <v>0.27111200000000002</v>
      </c>
      <c r="AL7" s="2">
        <v>0.26826100000000003</v>
      </c>
      <c r="AM7" s="107">
        <f>Table7[[#This Row],[GPU]]/Table7[[#This Row],[expand mode]]</f>
        <v>1.0106277095813405</v>
      </c>
      <c r="AP7" t="e">
        <f>Table7[[#This Row],[GPU]]/Table7[[#This Row],[cpuchunk=10]]</f>
        <v>#DIV/0!</v>
      </c>
    </row>
    <row r="8" spans="2:42" ht="23" hidden="1" x14ac:dyDescent="0.3">
      <c r="B8" s="80" t="s">
        <v>3917</v>
      </c>
      <c r="C8" s="80">
        <v>6</v>
      </c>
      <c r="D8" s="36" t="s">
        <v>3990</v>
      </c>
      <c r="E8" s="36" t="s">
        <v>3990</v>
      </c>
      <c r="F8" s="36" t="s">
        <v>3990</v>
      </c>
      <c r="G8" s="36" t="s">
        <v>3990</v>
      </c>
      <c r="H8" s="36" t="s">
        <v>3990</v>
      </c>
      <c r="I8" s="116" t="e">
        <f>Table3[[#This Row],[CPU Only]]/Table3[[#This Row],[CPU+GPU (1)]]</f>
        <v>#VALUE!</v>
      </c>
      <c r="J8" s="116" t="e">
        <f>Table3[[#This Row],[gpu-layered]]/Table3[[#This Row],[CPU+GPU (1)]]</f>
        <v>#VALUE!</v>
      </c>
      <c r="K8" s="36" t="s">
        <v>3990</v>
      </c>
      <c r="L8" s="116" t="e">
        <f>Table3[[#This Row],[CPU+GPU (10)]]/Table3[[#This Row],[CPU+GPU (1)]]</f>
        <v>#VALUE!</v>
      </c>
      <c r="M8" s="116" t="e">
        <f>Table3[[#This Row],[gpu-hybrid]]/Table3[[#This Row],[gpu-layered]]</f>
        <v>#VALUE!</v>
      </c>
      <c r="N8" s="36" t="e">
        <f>Table3[[#This Row],[g2aimd]]/Table3[[#This Row],[gpu-layered]]</f>
        <v>#VALUE!</v>
      </c>
      <c r="P8" t="s">
        <v>4016</v>
      </c>
      <c r="AI8" s="77" t="s">
        <v>1425</v>
      </c>
      <c r="AJ8">
        <v>24</v>
      </c>
      <c r="AK8" s="2">
        <v>0.27822200000000002</v>
      </c>
      <c r="AL8" s="2">
        <v>0.40602700000000003</v>
      </c>
      <c r="AM8" s="107">
        <f>Table7[[#This Row],[GPU]]/Table7[[#This Row],[expand mode]]</f>
        <v>0.6852302925667505</v>
      </c>
      <c r="AP8" t="e">
        <f>Table7[[#This Row],[GPU]]/Table7[[#This Row],[cpuchunk=10]]</f>
        <v>#DIV/0!</v>
      </c>
    </row>
    <row r="9" spans="2:42" ht="23" hidden="1" x14ac:dyDescent="0.3">
      <c r="B9" s="80" t="s">
        <v>1434</v>
      </c>
      <c r="C9" s="80">
        <v>6</v>
      </c>
      <c r="D9" s="36" t="s">
        <v>3990</v>
      </c>
      <c r="E9" s="36" t="s">
        <v>3990</v>
      </c>
      <c r="F9" s="36" t="s">
        <v>3990</v>
      </c>
      <c r="G9" s="36" t="s">
        <v>4003</v>
      </c>
      <c r="H9" s="36" t="s">
        <v>3990</v>
      </c>
      <c r="I9" s="116" t="e">
        <f>Table3[[#This Row],[CPU Only]]/Table3[[#This Row],[CPU+GPU (1)]]</f>
        <v>#VALUE!</v>
      </c>
      <c r="J9" s="116" t="e">
        <f>Table3[[#This Row],[gpu-layered]]/Table3[[#This Row],[CPU+GPU (1)]]</f>
        <v>#VALUE!</v>
      </c>
      <c r="K9" s="36" t="s">
        <v>3990</v>
      </c>
      <c r="L9" s="116" t="e">
        <f>Table3[[#This Row],[CPU+GPU (10)]]/Table3[[#This Row],[CPU+GPU (1)]]</f>
        <v>#VALUE!</v>
      </c>
      <c r="M9" s="116" t="e">
        <f>Table3[[#This Row],[gpu-hybrid]]/Table3[[#This Row],[gpu-layered]]</f>
        <v>#VALUE!</v>
      </c>
      <c r="N9" s="36" t="e">
        <f>Table3[[#This Row],[g2aimd]]/Table3[[#This Row],[gpu-layered]]</f>
        <v>#VALUE!</v>
      </c>
      <c r="AI9" s="77" t="s">
        <v>1371</v>
      </c>
      <c r="AJ9">
        <v>25</v>
      </c>
      <c r="AK9" s="2">
        <v>0.29469600000000001</v>
      </c>
      <c r="AL9" s="2">
        <v>0.42981799999999998</v>
      </c>
      <c r="AM9" s="107">
        <f>Table7[[#This Row],[GPU]]/Table7[[#This Row],[expand mode]]</f>
        <v>0.68562973165386287</v>
      </c>
      <c r="AP9" t="e">
        <f>Table7[[#This Row],[GPU]]/Table7[[#This Row],[cpuchunk=10]]</f>
        <v>#DIV/0!</v>
      </c>
    </row>
    <row r="10" spans="2:42" ht="23" hidden="1" x14ac:dyDescent="0.3">
      <c r="B10" s="80" t="s">
        <v>3917</v>
      </c>
      <c r="C10" s="80">
        <v>2</v>
      </c>
      <c r="D10" s="36">
        <v>0.73555000000000004</v>
      </c>
      <c r="E10" s="36">
        <v>0.65947100000000003</v>
      </c>
      <c r="F10" s="36">
        <v>0.96021000000000001</v>
      </c>
      <c r="G10" s="36">
        <v>36.615682</v>
      </c>
      <c r="H10" s="36">
        <v>1.06</v>
      </c>
      <c r="I10" s="116">
        <f>Table3[[#This Row],[CPU Only]]/Table3[[#This Row],[CPU+GPU (1)]]</f>
        <v>34.543096226415095</v>
      </c>
      <c r="J10" s="119">
        <f>Table3[[#This Row],[gpu-layered]]/Table3[[#This Row],[CPU+GPU (1)]]</f>
        <v>0.90585849056603773</v>
      </c>
      <c r="K10" s="36">
        <v>5.13</v>
      </c>
      <c r="L10" s="116">
        <f>Table3[[#This Row],[CPU+GPU (10)]]/Table3[[#This Row],[CPU+GPU (1)]]</f>
        <v>4.8396226415094334</v>
      </c>
      <c r="M10" s="116">
        <f>Table3[[#This Row],[gpu-hybrid]]/Table3[[#This Row],[gpu-layered]]</f>
        <v>0.68679872111308982</v>
      </c>
      <c r="N10" s="36">
        <f>Table3[[#This Row],[g2aimd]]/Table3[[#This Row],[gpu-layered]]</f>
        <v>0.76603034752814492</v>
      </c>
      <c r="AI10" s="77" t="s">
        <v>1437</v>
      </c>
      <c r="AJ10">
        <v>24</v>
      </c>
      <c r="AK10" s="2">
        <v>0.29792999999999997</v>
      </c>
      <c r="AL10" s="2">
        <v>0.41574800000000001</v>
      </c>
      <c r="AM10" s="107">
        <f>Table7[[#This Row],[GPU]]/Table7[[#This Row],[expand mode]]</f>
        <v>0.71661198610696852</v>
      </c>
      <c r="AP10" t="e">
        <f>Table7[[#This Row],[GPU]]/Table7[[#This Row],[cpuchunk=10]]</f>
        <v>#DIV/0!</v>
      </c>
    </row>
    <row r="11" spans="2:42" ht="23" hidden="1" x14ac:dyDescent="0.3">
      <c r="B11" s="80" t="s">
        <v>3917</v>
      </c>
      <c r="C11" s="80">
        <v>9</v>
      </c>
      <c r="D11" s="36">
        <v>1.1580220000000001</v>
      </c>
      <c r="E11" s="36">
        <v>1.130881</v>
      </c>
      <c r="F11" s="36">
        <v>1.481114</v>
      </c>
      <c r="G11" s="36">
        <v>36.354160999999998</v>
      </c>
      <c r="H11" s="36">
        <v>1.53</v>
      </c>
      <c r="I11" s="116">
        <f>Table3[[#This Row],[CPU Only]]/Table3[[#This Row],[CPU+GPU (1)]]</f>
        <v>23.760889542483657</v>
      </c>
      <c r="J11" s="119">
        <f>Table3[[#This Row],[gpu-layered]]/Table3[[#This Row],[CPU+GPU (1)]]</f>
        <v>0.96804836601307187</v>
      </c>
      <c r="K11" s="36">
        <v>5.82</v>
      </c>
      <c r="L11" s="116">
        <f>Table3[[#This Row],[CPU+GPU (10)]]/Table3[[#This Row],[CPU+GPU (1)]]</f>
        <v>3.8039215686274512</v>
      </c>
      <c r="M11" s="116">
        <f>Table3[[#This Row],[gpu-hybrid]]/Table3[[#This Row],[gpu-layered]]</f>
        <v>0.7635340696259707</v>
      </c>
      <c r="N11" s="36">
        <f>Table3[[#This Row],[g2aimd]]/Table3[[#This Row],[gpu-layered]]</f>
        <v>0.78185879007287762</v>
      </c>
      <c r="AI11" s="77" t="s">
        <v>1411</v>
      </c>
      <c r="AJ11">
        <v>25</v>
      </c>
      <c r="AK11" s="2">
        <v>0.30438700000000002</v>
      </c>
      <c r="AL11" s="2">
        <v>0.33315800000000001</v>
      </c>
      <c r="AM11" s="107">
        <f>Table7[[#This Row],[GPU]]/Table7[[#This Row],[expand mode]]</f>
        <v>0.91364157546869651</v>
      </c>
      <c r="AO11" s="136"/>
      <c r="AP11" t="e">
        <f>Table7[[#This Row],[GPU]]/Table7[[#This Row],[cpuchunk=10]]</f>
        <v>#DIV/0!</v>
      </c>
    </row>
    <row r="12" spans="2:42" ht="23" hidden="1" x14ac:dyDescent="0.3">
      <c r="B12" s="80" t="s">
        <v>1371</v>
      </c>
      <c r="C12" s="80">
        <v>2</v>
      </c>
      <c r="D12" s="36">
        <v>2.2413180000000001</v>
      </c>
      <c r="E12" s="36">
        <v>0.35935400000000001</v>
      </c>
      <c r="F12" s="36">
        <v>0.39108199999999999</v>
      </c>
      <c r="G12" s="36">
        <v>18.897711999999999</v>
      </c>
      <c r="H12" s="36">
        <v>0.79</v>
      </c>
      <c r="I12" s="116">
        <f>Table3[[#This Row],[CPU Only]]/Table3[[#This Row],[CPU+GPU (1)]]</f>
        <v>23.921154430379744</v>
      </c>
      <c r="J12" s="119">
        <f>Table3[[#This Row],[gpu-layered]]/Table3[[#This Row],[CPU+GPU (1)]]</f>
        <v>0.49504050632911389</v>
      </c>
      <c r="K12" s="36">
        <v>2.16</v>
      </c>
      <c r="L12" s="116">
        <f>Table3[[#This Row],[CPU+GPU (10)]]/Table3[[#This Row],[CPU+GPU (1)]]</f>
        <v>2.7341772151898733</v>
      </c>
      <c r="M12" s="116">
        <f>Table3[[#This Row],[gpu-hybrid]]/Table3[[#This Row],[gpu-layered]]</f>
        <v>0.91887123416572491</v>
      </c>
      <c r="N12" s="36">
        <f>Table3[[#This Row],[g2aimd]]/Table3[[#This Row],[gpu-layered]]</f>
        <v>5.7310691875361179</v>
      </c>
      <c r="AI12" s="77" t="s">
        <v>3919</v>
      </c>
      <c r="AJ12">
        <v>2</v>
      </c>
      <c r="AK12" s="2">
        <v>0.35126800000000002</v>
      </c>
      <c r="AL12" s="2">
        <v>0.38397100000000001</v>
      </c>
      <c r="AM12" s="107">
        <f>Table7[[#This Row],[GPU]]/Table7[[#This Row],[expand mode]]</f>
        <v>0.9148295053532689</v>
      </c>
      <c r="AP12" t="e">
        <f>Table7[[#This Row],[GPU]]/Table7[[#This Row],[cpuchunk=10]]</f>
        <v>#DIV/0!</v>
      </c>
    </row>
    <row r="13" spans="2:42" ht="23" hidden="1" x14ac:dyDescent="0.3">
      <c r="B13" s="80" t="s">
        <v>1434</v>
      </c>
      <c r="C13" s="80">
        <v>2</v>
      </c>
      <c r="D13" s="36">
        <v>3.206035</v>
      </c>
      <c r="E13" s="36">
        <v>1.885907</v>
      </c>
      <c r="F13" s="36">
        <v>2.2730779999999999</v>
      </c>
      <c r="G13" s="36">
        <v>74.721911000000006</v>
      </c>
      <c r="H13" s="36">
        <v>2.3137690000000002</v>
      </c>
      <c r="I13" s="116">
        <f>Table3[[#This Row],[CPU Only]]/Table3[[#This Row],[CPU+GPU (1)]]</f>
        <v>32.294455928833003</v>
      </c>
      <c r="J13" s="119">
        <f>Table3[[#This Row],[gpu-layered]]/Table3[[#This Row],[CPU+GPU (1)]]</f>
        <v>0.98241354257922886</v>
      </c>
      <c r="K13" s="36">
        <v>5.57</v>
      </c>
      <c r="L13" s="116">
        <f>Table3[[#This Row],[CPU+GPU (10)]]/Table3[[#This Row],[CPU+GPU (1)]]</f>
        <v>2.4073276113561897</v>
      </c>
      <c r="M13" s="116">
        <f>Table3[[#This Row],[gpu-hybrid]]/Table3[[#This Row],[gpu-layered]]</f>
        <v>0.82967104516431023</v>
      </c>
      <c r="N13" s="36">
        <f>Table3[[#This Row],[g2aimd]]/Table3[[#This Row],[gpu-layered]]</f>
        <v>1.4104377412477707</v>
      </c>
      <c r="AI13" s="77" t="s">
        <v>1371</v>
      </c>
      <c r="AJ13">
        <v>2</v>
      </c>
      <c r="AK13" s="2">
        <v>0.39108199999999999</v>
      </c>
      <c r="AL13" s="2">
        <v>0.79</v>
      </c>
      <c r="AM13" s="107">
        <f>Table7[[#This Row],[GPU]]/Table7[[#This Row],[expand mode]]</f>
        <v>0.49504050632911389</v>
      </c>
      <c r="AP13" t="e">
        <f>Table7[[#This Row],[GPU]]/Table7[[#This Row],[cpuchunk=10]]</f>
        <v>#DIV/0!</v>
      </c>
    </row>
    <row r="14" spans="2:42" ht="23" hidden="1" x14ac:dyDescent="0.3">
      <c r="B14" s="80" t="s">
        <v>1371</v>
      </c>
      <c r="C14" s="80">
        <v>9</v>
      </c>
      <c r="D14" s="36">
        <v>2.5862780000000001</v>
      </c>
      <c r="E14" s="36">
        <v>0.50664799999999999</v>
      </c>
      <c r="F14" s="36">
        <v>0.67302200000000001</v>
      </c>
      <c r="G14" s="36">
        <v>22.9221</v>
      </c>
      <c r="H14" s="36">
        <v>0.91</v>
      </c>
      <c r="I14" s="116">
        <f>Table3[[#This Row],[CPU Only]]/Table3[[#This Row],[CPU+GPU (1)]]</f>
        <v>25.189120879120878</v>
      </c>
      <c r="J14" s="119">
        <f>Table3[[#This Row],[gpu-layered]]/Table3[[#This Row],[CPU+GPU (1)]]</f>
        <v>0.7395846153846154</v>
      </c>
      <c r="K14" s="36">
        <v>1.95</v>
      </c>
      <c r="L14" s="116">
        <f>Table3[[#This Row],[CPU+GPU (10)]]/Table3[[#This Row],[CPU+GPU (1)]]</f>
        <v>2.1428571428571428</v>
      </c>
      <c r="M14" s="116">
        <f>Table3[[#This Row],[gpu-hybrid]]/Table3[[#This Row],[gpu-layered]]</f>
        <v>0.7527955995494946</v>
      </c>
      <c r="N14" s="36">
        <f>Table3[[#This Row],[g2aimd]]/Table3[[#This Row],[gpu-layered]]</f>
        <v>3.842783742581966</v>
      </c>
      <c r="AI14" s="77" t="s">
        <v>1433</v>
      </c>
      <c r="AJ14">
        <v>24</v>
      </c>
      <c r="AK14" s="2">
        <v>0.39257300000000001</v>
      </c>
      <c r="AL14" s="2">
        <v>0.47</v>
      </c>
      <c r="AM14" s="107">
        <f>Table7[[#This Row],[GPU]]/Table7[[#This Row],[expand mode]]</f>
        <v>0.8352617021276596</v>
      </c>
      <c r="AP14" t="e">
        <f>Table7[[#This Row],[GPU]]/Table7[[#This Row],[cpuchunk=10]]</f>
        <v>#DIV/0!</v>
      </c>
    </row>
    <row r="15" spans="2:42" ht="23" hidden="1" x14ac:dyDescent="0.3">
      <c r="B15" s="80" t="s">
        <v>3912</v>
      </c>
      <c r="C15" s="80">
        <v>2</v>
      </c>
      <c r="D15" s="36">
        <v>0.51276999999999995</v>
      </c>
      <c r="E15" s="36">
        <v>0.67556099999999997</v>
      </c>
      <c r="F15" s="36">
        <v>0.57725099999999996</v>
      </c>
      <c r="G15" s="36">
        <v>9.4467379999999999</v>
      </c>
      <c r="H15" s="36">
        <v>0.85087900000000005</v>
      </c>
      <c r="I15" s="116">
        <f>Table3[[#This Row],[CPU Only]]/Table3[[#This Row],[CPU+GPU (1)]]</f>
        <v>11.10232829814815</v>
      </c>
      <c r="J15" s="119">
        <f>Table3[[#This Row],[gpu-layered]]/Table3[[#This Row],[CPU+GPU (1)]]</f>
        <v>0.67841726026849869</v>
      </c>
      <c r="K15" s="36">
        <v>1.52</v>
      </c>
      <c r="L15" s="116">
        <f>Table3[[#This Row],[CPU+GPU (10)]]/Table3[[#This Row],[CPU+GPU (1)]]</f>
        <v>1.7863879588049534</v>
      </c>
      <c r="M15" s="116">
        <f>Table3[[#This Row],[gpu-hybrid]]/Table3[[#This Row],[gpu-layered]]</f>
        <v>1.170307197389004</v>
      </c>
      <c r="N15" s="36">
        <f>Table3[[#This Row],[g2aimd]]/Table3[[#This Row],[gpu-layered]]</f>
        <v>0.88829642564499667</v>
      </c>
      <c r="AI15" s="77" t="s">
        <v>1411</v>
      </c>
      <c r="AJ15">
        <v>24</v>
      </c>
      <c r="AK15" s="2">
        <v>0.40340599999999999</v>
      </c>
      <c r="AL15" s="2">
        <v>0.76059299999999996</v>
      </c>
      <c r="AM15" s="107">
        <f>Table7[[#This Row],[GPU]]/Table7[[#This Row],[expand mode]]</f>
        <v>0.53038352969327884</v>
      </c>
      <c r="AP15" t="e">
        <f>Table7[[#This Row],[GPU]]/Table7[[#This Row],[cpuchunk=10]]</f>
        <v>#DIV/0!</v>
      </c>
    </row>
    <row r="16" spans="2:42" ht="23" hidden="1" x14ac:dyDescent="0.3">
      <c r="B16" s="80" t="s">
        <v>1346</v>
      </c>
      <c r="C16" s="80">
        <v>2</v>
      </c>
      <c r="D16" s="36">
        <v>2.4068320000000001</v>
      </c>
      <c r="E16" s="36">
        <v>0.47236899999999998</v>
      </c>
      <c r="F16" s="36">
        <v>0.71216500000000005</v>
      </c>
      <c r="G16" s="36">
        <v>22.320332000000001</v>
      </c>
      <c r="H16" s="36">
        <v>1.38</v>
      </c>
      <c r="I16" s="116">
        <f>Table3[[#This Row],[CPU Only]]/Table3[[#This Row],[CPU+GPU (1)]]</f>
        <v>16.174153623188406</v>
      </c>
      <c r="J16" s="119">
        <f>Table3[[#This Row],[gpu-layered]]/Table3[[#This Row],[CPU+GPU (1)]]</f>
        <v>0.51606159420289865</v>
      </c>
      <c r="K16" s="36">
        <v>2.36</v>
      </c>
      <c r="L16" s="116">
        <f>Table3[[#This Row],[CPU+GPU (10)]]/Table3[[#This Row],[CPU+GPU (1)]]</f>
        <v>1.7101449275362319</v>
      </c>
      <c r="M16" s="116">
        <f>Table3[[#This Row],[gpu-hybrid]]/Table3[[#This Row],[gpu-layered]]</f>
        <v>0.66328589582470343</v>
      </c>
      <c r="N16" s="36">
        <f>Table3[[#This Row],[g2aimd]]/Table3[[#This Row],[gpu-layered]]</f>
        <v>3.3795988289230725</v>
      </c>
      <c r="AI16" s="77" t="s">
        <v>1391</v>
      </c>
      <c r="AJ16">
        <v>9</v>
      </c>
      <c r="AK16" s="2">
        <v>0.40964400000000001</v>
      </c>
      <c r="AL16" s="2">
        <v>0.44578600000000002</v>
      </c>
      <c r="AM16" s="107">
        <f>Table7[[#This Row],[GPU]]/Table7[[#This Row],[expand mode]]</f>
        <v>0.91892522421071998</v>
      </c>
      <c r="AP16" t="e">
        <f>Table7[[#This Row],[GPU]]/Table7[[#This Row],[cpuchunk=10]]</f>
        <v>#DIV/0!</v>
      </c>
    </row>
    <row r="17" spans="2:42" ht="23" hidden="1" x14ac:dyDescent="0.3">
      <c r="B17" s="80" t="s">
        <v>3920</v>
      </c>
      <c r="C17" s="80">
        <v>2</v>
      </c>
      <c r="D17" s="36">
        <v>2.126449</v>
      </c>
      <c r="E17" s="36">
        <v>0.24036199999999999</v>
      </c>
      <c r="F17" s="36">
        <v>0.31116500000000002</v>
      </c>
      <c r="G17" s="36">
        <v>2.7199119999999999</v>
      </c>
      <c r="H17" s="36">
        <v>0.31</v>
      </c>
      <c r="I17" s="116">
        <f>Table3[[#This Row],[CPU Only]]/Table3[[#This Row],[CPU+GPU (1)]]</f>
        <v>8.7739096774193541</v>
      </c>
      <c r="J17" s="119">
        <f>Table3[[#This Row],[gpu-layered]]/Table3[[#This Row],[CPU+GPU (1)]]</f>
        <v>1.003758064516129</v>
      </c>
      <c r="K17" s="36">
        <v>0.51</v>
      </c>
      <c r="L17" s="116">
        <f>Table3[[#This Row],[CPU+GPU (10)]]/Table3[[#This Row],[CPU+GPU (1)]]</f>
        <v>1.6451612903225807</v>
      </c>
      <c r="M17" s="116">
        <f>Table3[[#This Row],[gpu-hybrid]]/Table3[[#This Row],[gpu-layered]]</f>
        <v>0.77245834203718278</v>
      </c>
      <c r="N17" s="36">
        <f>Table3[[#This Row],[g2aimd]]/Table3[[#This Row],[gpu-layered]]</f>
        <v>6.8338309257146523</v>
      </c>
      <c r="AI17" s="77" t="s">
        <v>1436</v>
      </c>
      <c r="AJ17">
        <v>24</v>
      </c>
      <c r="AK17" s="2">
        <v>0.44019900000000001</v>
      </c>
      <c r="AL17" s="2">
        <v>0.61475199999999997</v>
      </c>
      <c r="AM17" s="107">
        <f>Table7[[#This Row],[GPU]]/Table7[[#This Row],[expand mode]]</f>
        <v>0.71605948414970599</v>
      </c>
      <c r="AP17" t="e">
        <f>Table7[[#This Row],[GPU]]/Table7[[#This Row],[cpuchunk=10]]</f>
        <v>#DIV/0!</v>
      </c>
    </row>
    <row r="18" spans="2:42" ht="23" hidden="1" x14ac:dyDescent="0.3">
      <c r="B18" s="80" t="s">
        <v>11</v>
      </c>
      <c r="C18" s="80">
        <v>9</v>
      </c>
      <c r="D18" s="36">
        <v>2.588984</v>
      </c>
      <c r="E18" s="36">
        <v>0.52321399999999996</v>
      </c>
      <c r="F18" s="36">
        <v>1.868876</v>
      </c>
      <c r="G18" s="36">
        <v>58.565491999999999</v>
      </c>
      <c r="H18" s="36">
        <v>1.8857489999999999</v>
      </c>
      <c r="I18" s="116">
        <f>Table3[[#This Row],[CPU Only]]/Table3[[#This Row],[CPU+GPU (1)]]</f>
        <v>31.056886149747395</v>
      </c>
      <c r="J18" s="119">
        <f>Table3[[#This Row],[gpu-layered]]/Table3[[#This Row],[CPU+GPU (1)]]</f>
        <v>0.99105236168758415</v>
      </c>
      <c r="K18" s="36">
        <v>2.58</v>
      </c>
      <c r="L18" s="116">
        <f>Table3[[#This Row],[CPU+GPU (10)]]/Table3[[#This Row],[CPU+GPU (1)]]</f>
        <v>1.3681566316620082</v>
      </c>
      <c r="M18" s="116">
        <f>Table3[[#This Row],[gpu-hybrid]]/Table3[[#This Row],[gpu-layered]]</f>
        <v>0.27996185942780577</v>
      </c>
      <c r="N18" s="36">
        <f>Table3[[#This Row],[g2aimd]]/Table3[[#This Row],[gpu-layered]]</f>
        <v>1.3853160937376263</v>
      </c>
      <c r="AI18" s="77" t="s">
        <v>1448</v>
      </c>
      <c r="AJ18">
        <v>24</v>
      </c>
      <c r="AK18" s="2">
        <v>0.44334899999999999</v>
      </c>
      <c r="AL18" s="2">
        <v>0.57999999999999996</v>
      </c>
      <c r="AM18" s="107">
        <f>Table7[[#This Row],[GPU]]/Table7[[#This Row],[expand mode]]</f>
        <v>0.76439482758620692</v>
      </c>
      <c r="AP18" t="e">
        <f>Table7[[#This Row],[GPU]]/Table7[[#This Row],[cpuchunk=10]]</f>
        <v>#DIV/0!</v>
      </c>
    </row>
    <row r="19" spans="2:42" ht="23" hidden="1" x14ac:dyDescent="0.3">
      <c r="B19" s="80" t="s">
        <v>3913</v>
      </c>
      <c r="C19" s="80">
        <v>2</v>
      </c>
      <c r="D19" s="36">
        <v>5.0296279999999998</v>
      </c>
      <c r="E19" s="36">
        <v>6.1220730000000003</v>
      </c>
      <c r="F19" s="36">
        <v>6.6124929999999997</v>
      </c>
      <c r="G19" s="36">
        <v>169.17798400000001</v>
      </c>
      <c r="H19" s="36">
        <v>7.3539139999999996</v>
      </c>
      <c r="I19" s="116">
        <f>Table3[[#This Row],[CPU Only]]/Table3[[#This Row],[CPU+GPU (1)]]</f>
        <v>23.005162149027036</v>
      </c>
      <c r="J19" s="119">
        <f>Table3[[#This Row],[gpu-layered]]/Table3[[#This Row],[CPU+GPU (1)]]</f>
        <v>0.89918008287831486</v>
      </c>
      <c r="K19" s="36">
        <v>9.89</v>
      </c>
      <c r="L19" s="116">
        <f>Table3[[#This Row],[CPU+GPU (10)]]/Table3[[#This Row],[CPU+GPU (1)]]</f>
        <v>1.3448620693687743</v>
      </c>
      <c r="M19" s="116">
        <f>Table3[[#This Row],[gpu-hybrid]]/Table3[[#This Row],[gpu-layered]]</f>
        <v>0.92583432602499549</v>
      </c>
      <c r="N19" s="36">
        <f>Table3[[#This Row],[g2aimd]]/Table3[[#This Row],[gpu-layered]]</f>
        <v>0.76062507741028984</v>
      </c>
      <c r="AI19" s="77" t="s">
        <v>1346</v>
      </c>
      <c r="AJ19">
        <v>25</v>
      </c>
      <c r="AK19" s="2">
        <v>0.482099</v>
      </c>
      <c r="AL19" s="2">
        <v>0.59</v>
      </c>
      <c r="AM19" s="107">
        <f>Table7[[#This Row],[GPU]]/Table7[[#This Row],[expand mode]]</f>
        <v>0.8171169491525424</v>
      </c>
      <c r="AP19" t="e">
        <f>Table7[[#This Row],[GPU]]/Table7[[#This Row],[cpuchunk=10]]</f>
        <v>#DIV/0!</v>
      </c>
    </row>
    <row r="20" spans="2:42" ht="23" hidden="1" x14ac:dyDescent="0.3">
      <c r="B20" s="80" t="s">
        <v>6</v>
      </c>
      <c r="C20" s="80">
        <v>2</v>
      </c>
      <c r="D20" s="36">
        <v>4.73224</v>
      </c>
      <c r="E20" s="36">
        <v>3.0964010000000002</v>
      </c>
      <c r="F20" s="36">
        <v>4.0004189999999999</v>
      </c>
      <c r="G20" s="36">
        <v>165.95991699999999</v>
      </c>
      <c r="H20" s="36">
        <v>3.74</v>
      </c>
      <c r="I20" s="116">
        <f>Table3[[#This Row],[CPU Only]]/Table3[[#This Row],[CPU+GPU (1)]]</f>
        <v>44.374309358288762</v>
      </c>
      <c r="J20" s="119">
        <f>Table3[[#This Row],[gpu-layered]]/Table3[[#This Row],[CPU+GPU (1)]]</f>
        <v>1.0696307486631016</v>
      </c>
      <c r="K20" s="36">
        <v>4.84</v>
      </c>
      <c r="L20" s="116">
        <f>Table3[[#This Row],[CPU+GPU (10)]]/Table3[[#This Row],[CPU+GPU (1)]]</f>
        <v>1.2941176470588234</v>
      </c>
      <c r="M20" s="116">
        <f>Table3[[#This Row],[gpu-hybrid]]/Table3[[#This Row],[gpu-layered]]</f>
        <v>0.77401917149178634</v>
      </c>
      <c r="N20" s="36">
        <f>Table3[[#This Row],[g2aimd]]/Table3[[#This Row],[gpu-layered]]</f>
        <v>1.1829360874448402</v>
      </c>
      <c r="AI20" s="77" t="s">
        <v>1409</v>
      </c>
      <c r="AJ20">
        <v>25</v>
      </c>
      <c r="AK20" s="2">
        <v>0.486155</v>
      </c>
      <c r="AL20" s="2">
        <v>0.55121500000000001</v>
      </c>
      <c r="AM20" s="107">
        <f>Table7[[#This Row],[GPU]]/Table7[[#This Row],[expand mode]]</f>
        <v>0.88196983028400899</v>
      </c>
      <c r="AP20" t="e">
        <f>Table7[[#This Row],[GPU]]/Table7[[#This Row],[cpuchunk=10]]</f>
        <v>#DIV/0!</v>
      </c>
    </row>
    <row r="21" spans="2:42" ht="23" hidden="1" x14ac:dyDescent="0.3">
      <c r="B21" s="80" t="s">
        <v>7</v>
      </c>
      <c r="C21" s="80">
        <v>2</v>
      </c>
      <c r="D21" s="36">
        <v>2.9119600000000001</v>
      </c>
      <c r="E21" s="36">
        <v>1.009671</v>
      </c>
      <c r="F21" s="36">
        <v>1.193622</v>
      </c>
      <c r="G21" s="36">
        <v>103.731858</v>
      </c>
      <c r="H21" s="36">
        <v>1.61</v>
      </c>
      <c r="I21" s="116">
        <f>Table3[[#This Row],[CPU Only]]/Table3[[#This Row],[CPU+GPU (1)]]</f>
        <v>64.429725465838501</v>
      </c>
      <c r="J21" s="119">
        <f>Table3[[#This Row],[gpu-layered]]/Table3[[#This Row],[CPU+GPU (1)]]</f>
        <v>0.74138012422360244</v>
      </c>
      <c r="K21" s="36">
        <v>2.06</v>
      </c>
      <c r="L21" s="116">
        <f>Table3[[#This Row],[CPU+GPU (10)]]/Table3[[#This Row],[CPU+GPU (1)]]</f>
        <v>1.2795031055900621</v>
      </c>
      <c r="M21" s="116">
        <f>Table3[[#This Row],[gpu-hybrid]]/Table3[[#This Row],[gpu-layered]]</f>
        <v>0.84588839682914696</v>
      </c>
      <c r="N21" s="36">
        <f>Table3[[#This Row],[g2aimd]]/Table3[[#This Row],[gpu-layered]]</f>
        <v>2.4395998063038382</v>
      </c>
      <c r="AI21" s="77" t="s">
        <v>3912</v>
      </c>
      <c r="AJ21">
        <v>24</v>
      </c>
      <c r="AK21" s="2">
        <v>0.52312099999999995</v>
      </c>
      <c r="AL21" s="2">
        <v>0.74816199999999999</v>
      </c>
      <c r="AM21" s="107">
        <f>Table7[[#This Row],[GPU]]/Table7[[#This Row],[expand mode]]</f>
        <v>0.69920819287801295</v>
      </c>
      <c r="AP21" t="e">
        <f>Table7[[#This Row],[GPU]]/Table7[[#This Row],[cpuchunk=10]]</f>
        <v>#DIV/0!</v>
      </c>
    </row>
    <row r="22" spans="2:42" ht="23" hidden="1" x14ac:dyDescent="0.3">
      <c r="B22" s="80" t="s">
        <v>1434</v>
      </c>
      <c r="C22" s="80">
        <v>9</v>
      </c>
      <c r="D22" s="36">
        <v>11.925243999999999</v>
      </c>
      <c r="E22" s="36">
        <v>21.2</v>
      </c>
      <c r="F22" s="36">
        <v>11.339861000000001</v>
      </c>
      <c r="G22" s="36" t="s">
        <v>4003</v>
      </c>
      <c r="H22" s="36">
        <v>10.973511999999999</v>
      </c>
      <c r="I22" s="116" t="e">
        <f>Table3[[#This Row],[CPU Only]]/Table3[[#This Row],[CPU+GPU (1)]]</f>
        <v>#VALUE!</v>
      </c>
      <c r="J22" s="119">
        <f>Table3[[#This Row],[gpu-layered]]/Table3[[#This Row],[CPU+GPU (1)]]</f>
        <v>1.0333848452528234</v>
      </c>
      <c r="K22" s="36">
        <v>13.88</v>
      </c>
      <c r="L22" s="116">
        <f>Table3[[#This Row],[CPU+GPU (10)]]/Table3[[#This Row],[CPU+GPU (1)]]</f>
        <v>1.2648639742682197</v>
      </c>
      <c r="M22" s="116">
        <f>Table3[[#This Row],[gpu-hybrid]]/Table3[[#This Row],[gpu-layered]]</f>
        <v>1.8695114516835787</v>
      </c>
      <c r="N22" s="36">
        <f>Table3[[#This Row],[g2aimd]]/Table3[[#This Row],[gpu-layered]]</f>
        <v>1.0516217085906079</v>
      </c>
      <c r="AI22" s="77" t="s">
        <v>1409</v>
      </c>
      <c r="AJ22">
        <v>24</v>
      </c>
      <c r="AK22" s="2">
        <v>0.54158700000000004</v>
      </c>
      <c r="AL22" s="2">
        <v>0.47471099999999999</v>
      </c>
      <c r="AM22" s="107">
        <f>Table7[[#This Row],[GPU]]/Table7[[#This Row],[expand mode]]</f>
        <v>1.1408772916574506</v>
      </c>
      <c r="AP22" t="e">
        <f>Table7[[#This Row],[GPU]]/Table7[[#This Row],[cpuchunk=10]]</f>
        <v>#DIV/0!</v>
      </c>
    </row>
    <row r="23" spans="2:42" ht="23" hidden="1" x14ac:dyDescent="0.3">
      <c r="B23" s="80" t="s">
        <v>11</v>
      </c>
      <c r="C23" s="80">
        <v>2</v>
      </c>
      <c r="D23" s="36">
        <v>2.0498639999999999</v>
      </c>
      <c r="E23" s="36">
        <v>7.8891000000000003E-2</v>
      </c>
      <c r="F23" s="36">
        <v>1.0775619999999999</v>
      </c>
      <c r="G23" s="36">
        <v>5.4700819999999997</v>
      </c>
      <c r="H23" s="36">
        <v>1.565396</v>
      </c>
      <c r="I23" s="116">
        <f>Table3[[#This Row],[CPU Only]]/Table3[[#This Row],[CPU+GPU (1)]]</f>
        <v>3.4943758639986302</v>
      </c>
      <c r="J23" s="119">
        <f>Table3[[#This Row],[gpu-layered]]/Table3[[#This Row],[CPU+GPU (1)]]</f>
        <v>0.6883638389263802</v>
      </c>
      <c r="K23" s="36">
        <v>1.98</v>
      </c>
      <c r="L23" s="116">
        <f>Table3[[#This Row],[CPU+GPU (10)]]/Table3[[#This Row],[CPU+GPU (1)]]</f>
        <v>1.2648556659145673</v>
      </c>
      <c r="M23" s="116">
        <f>Table3[[#This Row],[gpu-hybrid]]/Table3[[#This Row],[gpu-layered]]</f>
        <v>7.3212492645434793E-2</v>
      </c>
      <c r="N23" s="36">
        <f>Table3[[#This Row],[g2aimd]]/Table3[[#This Row],[gpu-layered]]</f>
        <v>1.902316525638432</v>
      </c>
      <c r="AI23" s="77" t="s">
        <v>1423</v>
      </c>
      <c r="AJ23">
        <v>24</v>
      </c>
      <c r="AK23" s="2">
        <v>0.54716100000000001</v>
      </c>
      <c r="AL23" s="2">
        <v>0.65305999999999997</v>
      </c>
      <c r="AM23" s="107">
        <f>Table7[[#This Row],[GPU]]/Table7[[#This Row],[expand mode]]</f>
        <v>0.83784185220347296</v>
      </c>
      <c r="AP23" t="e">
        <f>Table7[[#This Row],[GPU]]/Table7[[#This Row],[cpuchunk=10]]</f>
        <v>#DIV/0!</v>
      </c>
    </row>
    <row r="24" spans="2:42" ht="23" hidden="1" x14ac:dyDescent="0.3">
      <c r="B24" s="80" t="s">
        <v>1462</v>
      </c>
      <c r="C24" s="80">
        <v>5</v>
      </c>
      <c r="D24" s="36">
        <v>3.9674299999999998</v>
      </c>
      <c r="E24" s="36">
        <v>2.183567</v>
      </c>
      <c r="F24" s="36">
        <v>2.203678</v>
      </c>
      <c r="G24" s="36">
        <v>22.594553000000001</v>
      </c>
      <c r="H24" s="36">
        <v>2.4108589999999999</v>
      </c>
      <c r="I24" s="116">
        <f>Table3[[#This Row],[CPU Only]]/Table3[[#This Row],[CPU+GPU (1)]]</f>
        <v>9.3719927212665706</v>
      </c>
      <c r="J24" s="119">
        <f>Table3[[#This Row],[gpu-layered]]/Table3[[#This Row],[CPU+GPU (1)]]</f>
        <v>0.91406341059348561</v>
      </c>
      <c r="K24" s="36">
        <v>3.04</v>
      </c>
      <c r="L24" s="116">
        <f>Table3[[#This Row],[CPU+GPU (10)]]/Table3[[#This Row],[CPU+GPU (1)]]</f>
        <v>1.2609613419946999</v>
      </c>
      <c r="M24" s="116">
        <f>Table3[[#This Row],[gpu-hybrid]]/Table3[[#This Row],[gpu-layered]]</f>
        <v>0.99087389355432143</v>
      </c>
      <c r="N24" s="36">
        <f>Table3[[#This Row],[g2aimd]]/Table3[[#This Row],[gpu-layered]]</f>
        <v>1.8003673857977436</v>
      </c>
      <c r="AI24" s="77" t="s">
        <v>3912</v>
      </c>
      <c r="AJ24">
        <v>2</v>
      </c>
      <c r="AK24" s="2">
        <v>0.57725099999999996</v>
      </c>
      <c r="AL24" s="2">
        <v>0.85087900000000005</v>
      </c>
      <c r="AM24" s="107">
        <f>Table7[[#This Row],[GPU]]/Table7[[#This Row],[expand mode]]</f>
        <v>0.67841726026849869</v>
      </c>
      <c r="AP24" t="e">
        <f>Table7[[#This Row],[GPU]]/Table7[[#This Row],[cpuchunk=10]]</f>
        <v>#DIV/0!</v>
      </c>
    </row>
    <row r="25" spans="2:42" ht="23" hidden="1" x14ac:dyDescent="0.3">
      <c r="B25" s="80" t="s">
        <v>3913</v>
      </c>
      <c r="C25" s="80">
        <v>9</v>
      </c>
      <c r="D25" s="36">
        <v>11.879336</v>
      </c>
      <c r="E25" s="36">
        <v>10.944592</v>
      </c>
      <c r="F25" s="36">
        <v>13.779476000000001</v>
      </c>
      <c r="G25" s="36" t="s">
        <v>3990</v>
      </c>
      <c r="H25" s="36">
        <v>14.152165</v>
      </c>
      <c r="I25" s="116" t="e">
        <f>Table3[[#This Row],[CPU Only]]/Table3[[#This Row],[CPU+GPU (1)]]</f>
        <v>#VALUE!</v>
      </c>
      <c r="J25" s="119">
        <f>Table3[[#This Row],[gpu-layered]]/Table3[[#This Row],[CPU+GPU (1)]]</f>
        <v>0.97366558402901615</v>
      </c>
      <c r="K25" s="36">
        <v>17.7</v>
      </c>
      <c r="L25" s="116">
        <f>Table3[[#This Row],[CPU+GPU (10)]]/Table3[[#This Row],[CPU+GPU (1)]]</f>
        <v>1.2506920319258572</v>
      </c>
      <c r="M25" s="116">
        <f>Table3[[#This Row],[gpu-hybrid]]/Table3[[#This Row],[gpu-layered]]</f>
        <v>0.79426764849403564</v>
      </c>
      <c r="N25" s="36">
        <f>Table3[[#This Row],[g2aimd]]/Table3[[#This Row],[gpu-layered]]</f>
        <v>0.86210360974539235</v>
      </c>
      <c r="AI25" s="77" t="s">
        <v>1425</v>
      </c>
      <c r="AJ25">
        <v>25</v>
      </c>
      <c r="AK25" s="2">
        <v>0.60898099999999999</v>
      </c>
      <c r="AL25" s="2">
        <v>0.69583600000000001</v>
      </c>
      <c r="AM25" s="107">
        <f>Table7[[#This Row],[GPU]]/Table7[[#This Row],[expand mode]]</f>
        <v>0.87517892147000154</v>
      </c>
      <c r="AP25" t="e">
        <f>Table7[[#This Row],[GPU]]/Table7[[#This Row],[cpuchunk=10]]</f>
        <v>#DIV/0!</v>
      </c>
    </row>
    <row r="26" spans="2:42" ht="23" hidden="1" x14ac:dyDescent="0.3">
      <c r="B26" s="80" t="s">
        <v>3917</v>
      </c>
      <c r="C26" s="80">
        <v>7</v>
      </c>
      <c r="D26" s="36">
        <v>14.436394</v>
      </c>
      <c r="E26" s="36">
        <v>13.187498</v>
      </c>
      <c r="F26" s="36">
        <v>15.422058</v>
      </c>
      <c r="G26" s="36" t="s">
        <v>3990</v>
      </c>
      <c r="H26" s="36">
        <v>15.35</v>
      </c>
      <c r="I26" s="116" t="e">
        <f>Table3[[#This Row],[CPU Only]]/Table3[[#This Row],[CPU+GPU (1)]]</f>
        <v>#VALUE!</v>
      </c>
      <c r="J26" s="119">
        <f>Table3[[#This Row],[gpu-layered]]/Table3[[#This Row],[CPU+GPU (1)]]</f>
        <v>1.004694332247557</v>
      </c>
      <c r="K26" s="36">
        <v>18.46</v>
      </c>
      <c r="L26" s="116">
        <f>Table3[[#This Row],[CPU+GPU (10)]]/Table3[[#This Row],[CPU+GPU (1)]]</f>
        <v>1.2026058631921825</v>
      </c>
      <c r="M26" s="116">
        <f>Table3[[#This Row],[gpu-hybrid]]/Table3[[#This Row],[gpu-layered]]</f>
        <v>0.85510623809092146</v>
      </c>
      <c r="N26" s="36">
        <f>Table3[[#This Row],[g2aimd]]/Table3[[#This Row],[gpu-layered]]</f>
        <v>0.93608738859625606</v>
      </c>
      <c r="AI26" s="77" t="s">
        <v>3919</v>
      </c>
      <c r="AJ26">
        <v>25</v>
      </c>
      <c r="AK26" s="2">
        <v>0.61563900000000005</v>
      </c>
      <c r="AL26" s="2">
        <v>0.64154999999999995</v>
      </c>
      <c r="AM26" s="107">
        <f>Table7[[#This Row],[GPU]]/Table7[[#This Row],[expand mode]]</f>
        <v>0.95961187748421806</v>
      </c>
      <c r="AP26" t="e">
        <f>Table7[[#This Row],[GPU]]/Table7[[#This Row],[cpuchunk=10]]</f>
        <v>#DIV/0!</v>
      </c>
    </row>
    <row r="27" spans="2:42" ht="23" hidden="1" x14ac:dyDescent="0.3">
      <c r="B27" s="80" t="s">
        <v>3</v>
      </c>
      <c r="C27" s="80">
        <v>9</v>
      </c>
      <c r="D27" s="36">
        <v>12.114246</v>
      </c>
      <c r="E27" s="36">
        <v>8.6898769999999992</v>
      </c>
      <c r="F27" s="36">
        <v>11.126132</v>
      </c>
      <c r="G27" s="36">
        <v>1727.890727</v>
      </c>
      <c r="H27" s="36">
        <v>11.53</v>
      </c>
      <c r="I27" s="116">
        <f>Table3[[#This Row],[CPU Only]]/Table3[[#This Row],[CPU+GPU (1)]]</f>
        <v>149.86042732003469</v>
      </c>
      <c r="J27" s="119">
        <f>Table3[[#This Row],[gpu-layered]]/Table3[[#This Row],[CPU+GPU (1)]]</f>
        <v>0.96497241977450132</v>
      </c>
      <c r="K27" s="36">
        <v>13.57</v>
      </c>
      <c r="L27" s="116">
        <f>Table3[[#This Row],[CPU+GPU (10)]]/Table3[[#This Row],[CPU+GPU (1)]]</f>
        <v>1.1769297484822203</v>
      </c>
      <c r="M27" s="116">
        <f>Table3[[#This Row],[gpu-hybrid]]/Table3[[#This Row],[gpu-layered]]</f>
        <v>0.78103306701736053</v>
      </c>
      <c r="N27" s="36">
        <f>Table3[[#This Row],[g2aimd]]/Table3[[#This Row],[gpu-layered]]</f>
        <v>1.0888101992678139</v>
      </c>
      <c r="AI27" s="77" t="s">
        <v>1437</v>
      </c>
      <c r="AJ27">
        <v>25</v>
      </c>
      <c r="AK27" s="2">
        <v>0.62617800000000001</v>
      </c>
      <c r="AL27" s="2">
        <v>0.76</v>
      </c>
      <c r="AM27" s="107">
        <f>Table7[[#This Row],[GPU]]/Table7[[#This Row],[expand mode]]</f>
        <v>0.82391842105263158</v>
      </c>
      <c r="AP27" t="e">
        <f>Table7[[#This Row],[GPU]]/Table7[[#This Row],[cpuchunk=10]]</f>
        <v>#DIV/0!</v>
      </c>
    </row>
    <row r="28" spans="2:42" ht="23" hidden="1" x14ac:dyDescent="0.3">
      <c r="B28" s="80" t="s">
        <v>3919</v>
      </c>
      <c r="C28" s="80">
        <v>5</v>
      </c>
      <c r="D28" s="36">
        <v>3.7282199999999999</v>
      </c>
      <c r="E28" s="36">
        <v>1.6201559999999999</v>
      </c>
      <c r="F28" s="36">
        <v>2.0098569999999998</v>
      </c>
      <c r="G28" s="36">
        <v>34.506560999999998</v>
      </c>
      <c r="H28" s="36">
        <v>1.9574800000000001</v>
      </c>
      <c r="I28" s="116">
        <f>Table3[[#This Row],[CPU Only]]/Table3[[#This Row],[CPU+GPU (1)]]</f>
        <v>17.628052904755091</v>
      </c>
      <c r="J28" s="119">
        <f>Table3[[#This Row],[gpu-layered]]/Table3[[#This Row],[CPU+GPU (1)]]</f>
        <v>1.0267573615056091</v>
      </c>
      <c r="K28" s="36">
        <v>2.2555969999999999</v>
      </c>
      <c r="L28" s="116">
        <f>Table3[[#This Row],[CPU+GPU (10)]]/Table3[[#This Row],[CPU+GPU (1)]]</f>
        <v>1.1522963197580562</v>
      </c>
      <c r="M28" s="116">
        <f>Table3[[#This Row],[gpu-hybrid]]/Table3[[#This Row],[gpu-layered]]</f>
        <v>0.80610511096063053</v>
      </c>
      <c r="N28" s="36">
        <f>Table3[[#This Row],[g2aimd]]/Table3[[#This Row],[gpu-layered]]</f>
        <v>1.8549677912408695</v>
      </c>
      <c r="AI28" s="77" t="s">
        <v>1371</v>
      </c>
      <c r="AJ28">
        <v>9</v>
      </c>
      <c r="AK28" s="2">
        <v>0.67302200000000001</v>
      </c>
      <c r="AL28" s="2">
        <v>0.91</v>
      </c>
      <c r="AM28" s="107">
        <f>Table7[[#This Row],[GPU]]/Table7[[#This Row],[expand mode]]</f>
        <v>0.7395846153846154</v>
      </c>
      <c r="AP28" t="e">
        <f>Table7[[#This Row],[GPU]]/Table7[[#This Row],[cpuchunk=10]]</f>
        <v>#DIV/0!</v>
      </c>
    </row>
    <row r="29" spans="2:42" ht="23" hidden="1" x14ac:dyDescent="0.3">
      <c r="B29" s="80" t="s">
        <v>3917</v>
      </c>
      <c r="C29" s="80">
        <v>5</v>
      </c>
      <c r="D29" s="36">
        <v>5.4046500000000002</v>
      </c>
      <c r="E29" s="36">
        <v>5.0493269999999999</v>
      </c>
      <c r="F29" s="36">
        <v>5.7876849999999997</v>
      </c>
      <c r="G29" s="36">
        <v>166.616028</v>
      </c>
      <c r="H29" s="36">
        <v>5.76</v>
      </c>
      <c r="I29" s="116">
        <f>Table3[[#This Row],[CPU Only]]/Table3[[#This Row],[CPU+GPU (1)]]</f>
        <v>28.926393750000003</v>
      </c>
      <c r="J29" s="119">
        <f>Table3[[#This Row],[gpu-layered]]/Table3[[#This Row],[CPU+GPU (1)]]</f>
        <v>1.0048064236111112</v>
      </c>
      <c r="K29" s="36">
        <v>6.5</v>
      </c>
      <c r="L29" s="116">
        <f>Table3[[#This Row],[CPU+GPU (10)]]/Table3[[#This Row],[CPU+GPU (1)]]</f>
        <v>1.1284722222222223</v>
      </c>
      <c r="M29" s="116">
        <f>Table3[[#This Row],[gpu-hybrid]]/Table3[[#This Row],[gpu-layered]]</f>
        <v>0.87242602180319073</v>
      </c>
      <c r="N29" s="36">
        <f>Table3[[#This Row],[g2aimd]]/Table3[[#This Row],[gpu-layered]]</f>
        <v>0.93381896215844507</v>
      </c>
      <c r="AI29" s="77" t="s">
        <v>1346</v>
      </c>
      <c r="AJ29">
        <v>2</v>
      </c>
      <c r="AK29" s="2">
        <v>0.71216500000000005</v>
      </c>
      <c r="AL29" s="2">
        <v>1.38</v>
      </c>
      <c r="AM29" s="107">
        <f>Table7[[#This Row],[GPU]]/Table7[[#This Row],[expand mode]]</f>
        <v>0.51606159420289865</v>
      </c>
      <c r="AP29" t="e">
        <f>Table7[[#This Row],[GPU]]/Table7[[#This Row],[cpuchunk=10]]</f>
        <v>#DIV/0!</v>
      </c>
    </row>
    <row r="30" spans="2:42" ht="23" hidden="1" x14ac:dyDescent="0.3">
      <c r="B30" s="80" t="s">
        <v>11</v>
      </c>
      <c r="C30" s="80">
        <v>7</v>
      </c>
      <c r="D30" s="36">
        <v>4.9430160000000001</v>
      </c>
      <c r="E30" s="36">
        <v>4.6234380000000002</v>
      </c>
      <c r="F30" s="36">
        <v>4.9147360000000004</v>
      </c>
      <c r="G30" s="36">
        <v>567.67966899999999</v>
      </c>
      <c r="H30" s="36">
        <v>5.94</v>
      </c>
      <c r="I30" s="116">
        <f>Table3[[#This Row],[CPU Only]]/Table3[[#This Row],[CPU+GPU (1)]]</f>
        <v>95.568967845117839</v>
      </c>
      <c r="J30" s="119">
        <f>Table3[[#This Row],[gpu-layered]]/Table3[[#This Row],[CPU+GPU (1)]]</f>
        <v>0.82739663299663302</v>
      </c>
      <c r="K30" s="36">
        <v>6.67</v>
      </c>
      <c r="L30" s="116">
        <f>Table3[[#This Row],[CPU+GPU (10)]]/Table3[[#This Row],[CPU+GPU (1)]]</f>
        <v>1.1228956228956228</v>
      </c>
      <c r="M30" s="116">
        <f>Table3[[#This Row],[gpu-hybrid]]/Table3[[#This Row],[gpu-layered]]</f>
        <v>0.94072967500187188</v>
      </c>
      <c r="N30" s="36">
        <f>Table3[[#This Row],[g2aimd]]/Table3[[#This Row],[gpu-layered]]</f>
        <v>1.005754123924459</v>
      </c>
      <c r="AI30" s="77" t="s">
        <v>1450</v>
      </c>
      <c r="AJ30">
        <v>24</v>
      </c>
      <c r="AK30" s="2">
        <v>0.75700999999999996</v>
      </c>
      <c r="AL30" s="2">
        <v>0.79857999999999996</v>
      </c>
      <c r="AM30" s="107">
        <f>Table7[[#This Row],[GPU]]/Table7[[#This Row],[expand mode]]</f>
        <v>0.94794510255703879</v>
      </c>
      <c r="AP30" t="e">
        <f>Table7[[#This Row],[GPU]]/Table7[[#This Row],[cpuchunk=10]]</f>
        <v>#DIV/0!</v>
      </c>
    </row>
    <row r="31" spans="2:42" ht="23" hidden="1" x14ac:dyDescent="0.3">
      <c r="B31" s="80" t="s">
        <v>1346</v>
      </c>
      <c r="C31" s="80">
        <v>9</v>
      </c>
      <c r="D31" s="36">
        <v>3.3691879999999998</v>
      </c>
      <c r="E31" s="36">
        <v>1.2777769999999999</v>
      </c>
      <c r="F31" s="36">
        <v>1.544257</v>
      </c>
      <c r="G31" s="36">
        <v>131.51616200000001</v>
      </c>
      <c r="H31" s="36">
        <v>2.2000000000000002</v>
      </c>
      <c r="I31" s="116">
        <f>Table3[[#This Row],[CPU Only]]/Table3[[#This Row],[CPU+GPU (1)]]</f>
        <v>59.780073636363639</v>
      </c>
      <c r="J31" s="119">
        <f>Table3[[#This Row],[gpu-layered]]/Table3[[#This Row],[CPU+GPU (1)]]</f>
        <v>0.70193499999999998</v>
      </c>
      <c r="K31" s="36">
        <v>2.44</v>
      </c>
      <c r="L31" s="116">
        <f>Table3[[#This Row],[CPU+GPU (10)]]/Table3[[#This Row],[CPU+GPU (1)]]</f>
        <v>1.1090909090909089</v>
      </c>
      <c r="M31" s="116">
        <f>Table3[[#This Row],[gpu-hybrid]]/Table3[[#This Row],[gpu-layered]]</f>
        <v>0.82743804949564737</v>
      </c>
      <c r="N31" s="36">
        <f>Table3[[#This Row],[g2aimd]]/Table3[[#This Row],[gpu-layered]]</f>
        <v>2.1817534257575</v>
      </c>
      <c r="AI31" s="77" t="s">
        <v>1449</v>
      </c>
      <c r="AJ31">
        <v>24</v>
      </c>
      <c r="AK31" s="2">
        <v>0.76452299999999995</v>
      </c>
      <c r="AL31" s="2">
        <v>0.688994</v>
      </c>
      <c r="AM31" s="107">
        <f>Table7[[#This Row],[GPU]]/Table7[[#This Row],[expand mode]]</f>
        <v>1.109622144750172</v>
      </c>
      <c r="AP31" t="e">
        <f>Table7[[#This Row],[GPU]]/Table7[[#This Row],[cpuchunk=10]]</f>
        <v>#DIV/0!</v>
      </c>
    </row>
    <row r="32" spans="2:42" ht="23" hidden="1" x14ac:dyDescent="0.3">
      <c r="B32" s="80" t="s">
        <v>4</v>
      </c>
      <c r="C32" s="80">
        <v>2</v>
      </c>
      <c r="D32" s="36">
        <v>3.367397</v>
      </c>
      <c r="E32" s="36">
        <v>1.411589</v>
      </c>
      <c r="F32" s="36">
        <v>1.686871</v>
      </c>
      <c r="G32" s="36">
        <v>164.88842099999999</v>
      </c>
      <c r="H32" s="36">
        <v>3.27</v>
      </c>
      <c r="I32" s="116">
        <f>Table3[[#This Row],[CPU Only]]/Table3[[#This Row],[CPU+GPU (1)]]</f>
        <v>50.424593577981646</v>
      </c>
      <c r="J32" s="119">
        <f>Table3[[#This Row],[gpu-layered]]/Table3[[#This Row],[CPU+GPU (1)]]</f>
        <v>0.51586269113149852</v>
      </c>
      <c r="K32" s="36">
        <v>3.59</v>
      </c>
      <c r="L32" s="116">
        <f>Table3[[#This Row],[CPU+GPU (10)]]/Table3[[#This Row],[CPU+GPU (1)]]</f>
        <v>1.0978593272171253</v>
      </c>
      <c r="M32" s="116">
        <f>Table3[[#This Row],[gpu-hybrid]]/Table3[[#This Row],[gpu-layered]]</f>
        <v>0.83680909802824277</v>
      </c>
      <c r="N32" s="36">
        <f>Table3[[#This Row],[g2aimd]]/Table3[[#This Row],[gpu-layered]]</f>
        <v>1.9962385979722219</v>
      </c>
      <c r="AI32" s="77" t="s">
        <v>1423</v>
      </c>
      <c r="AJ32">
        <v>25</v>
      </c>
      <c r="AK32" s="2">
        <v>0.79256700000000002</v>
      </c>
      <c r="AL32" s="2">
        <v>0.87964399999999998</v>
      </c>
      <c r="AM32" s="107">
        <f>Table7[[#This Row],[GPU]]/Table7[[#This Row],[expand mode]]</f>
        <v>0.90100881720332315</v>
      </c>
      <c r="AP32" t="e">
        <f>Table7[[#This Row],[GPU]]/Table7[[#This Row],[cpuchunk=10]]</f>
        <v>#DIV/0!</v>
      </c>
    </row>
    <row r="33" spans="2:42" ht="23" hidden="1" x14ac:dyDescent="0.3">
      <c r="B33" s="80" t="s">
        <v>11</v>
      </c>
      <c r="C33" s="80">
        <v>5</v>
      </c>
      <c r="D33" s="36">
        <v>3.718569</v>
      </c>
      <c r="E33" s="36">
        <v>1.6351830000000001</v>
      </c>
      <c r="F33" s="36">
        <v>2.6529889999999998</v>
      </c>
      <c r="G33" s="36">
        <v>103.83867100000001</v>
      </c>
      <c r="H33" s="36">
        <v>3.031288</v>
      </c>
      <c r="I33" s="116">
        <f>Table3[[#This Row],[CPU Only]]/Table3[[#This Row],[CPU+GPU (1)]]</f>
        <v>34.255626981006095</v>
      </c>
      <c r="J33" s="119">
        <f>Table3[[#This Row],[gpu-layered]]/Table3[[#This Row],[CPU+GPU (1)]]</f>
        <v>0.87520189437625184</v>
      </c>
      <c r="K33" s="36">
        <v>3.32</v>
      </c>
      <c r="L33" s="116">
        <f>Table3[[#This Row],[CPU+GPU (10)]]/Table3[[#This Row],[CPU+GPU (1)]]</f>
        <v>1.0952440018896257</v>
      </c>
      <c r="M33" s="116">
        <f>Table3[[#This Row],[gpu-hybrid]]/Table3[[#This Row],[gpu-layered]]</f>
        <v>0.61635498677152456</v>
      </c>
      <c r="N33" s="36">
        <f>Table3[[#This Row],[g2aimd]]/Table3[[#This Row],[gpu-layered]]</f>
        <v>1.4016526265280407</v>
      </c>
      <c r="AI33" s="77" t="s">
        <v>1408</v>
      </c>
      <c r="AJ33">
        <v>24</v>
      </c>
      <c r="AK33" s="2">
        <v>0.94571400000000005</v>
      </c>
      <c r="AL33" s="2">
        <v>1.2743180000000001</v>
      </c>
      <c r="AM33" s="107">
        <f>Table7[[#This Row],[GPU]]/Table7[[#This Row],[expand mode]]</f>
        <v>0.74213343922003772</v>
      </c>
      <c r="AP33" t="e">
        <f>Table7[[#This Row],[GPU]]/Table7[[#This Row],[cpuchunk=10]]</f>
        <v>#DIV/0!</v>
      </c>
    </row>
    <row r="34" spans="2:42" ht="23" hidden="1" x14ac:dyDescent="0.3">
      <c r="B34" s="80" t="s">
        <v>1346</v>
      </c>
      <c r="C34" s="80">
        <v>5</v>
      </c>
      <c r="D34" s="36">
        <v>10.325545</v>
      </c>
      <c r="E34" s="36">
        <v>7.6145430000000003</v>
      </c>
      <c r="F34" s="36">
        <v>8.3391870000000008</v>
      </c>
      <c r="G34" s="36">
        <v>411.32039900000001</v>
      </c>
      <c r="H34" s="36">
        <v>9</v>
      </c>
      <c r="I34" s="116">
        <f>Table3[[#This Row],[CPU Only]]/Table3[[#This Row],[CPU+GPU (1)]]</f>
        <v>45.702266555555553</v>
      </c>
      <c r="J34" s="119">
        <f>Table3[[#This Row],[gpu-layered]]/Table3[[#This Row],[CPU+GPU (1)]]</f>
        <v>0.92657633333333345</v>
      </c>
      <c r="K34" s="36">
        <v>9.8000000000000007</v>
      </c>
      <c r="L34" s="116">
        <f>Table3[[#This Row],[CPU+GPU (10)]]/Table3[[#This Row],[CPU+GPU (1)]]</f>
        <v>1.088888888888889</v>
      </c>
      <c r="M34" s="116">
        <f>Table3[[#This Row],[gpu-hybrid]]/Table3[[#This Row],[gpu-layered]]</f>
        <v>0.91310375939525035</v>
      </c>
      <c r="N34" s="36">
        <f>Table3[[#This Row],[g2aimd]]/Table3[[#This Row],[gpu-layered]]</f>
        <v>1.2381956418533364</v>
      </c>
      <c r="AI34" s="77" t="s">
        <v>3919</v>
      </c>
      <c r="AJ34">
        <v>9</v>
      </c>
      <c r="AK34" s="2">
        <v>0.948967</v>
      </c>
      <c r="AL34" s="2">
        <v>0.96928099999999995</v>
      </c>
      <c r="AM34" s="107">
        <f>Table7[[#This Row],[GPU]]/Table7[[#This Row],[expand mode]]</f>
        <v>0.97904219725755492</v>
      </c>
      <c r="AP34" t="e">
        <f>Table7[[#This Row],[GPU]]/Table7[[#This Row],[cpuchunk=10]]</f>
        <v>#DIV/0!</v>
      </c>
    </row>
    <row r="35" spans="2:42" ht="23" hidden="1" x14ac:dyDescent="0.3">
      <c r="B35" s="80" t="s">
        <v>1371</v>
      </c>
      <c r="C35" s="80">
        <v>6</v>
      </c>
      <c r="D35" s="36">
        <v>42.350599000000003</v>
      </c>
      <c r="E35" s="36" t="s">
        <v>3990</v>
      </c>
      <c r="F35" s="36">
        <v>40.238999999999997</v>
      </c>
      <c r="G35" s="36">
        <v>398.639387</v>
      </c>
      <c r="H35" s="36">
        <v>33.44</v>
      </c>
      <c r="I35" s="116">
        <f>Table3[[#This Row],[CPU Only]]/Table3[[#This Row],[CPU+GPU (1)]]</f>
        <v>11.921034300239235</v>
      </c>
      <c r="J35" s="119">
        <f>Table3[[#This Row],[gpu-layered]]/Table3[[#This Row],[CPU+GPU (1)]]</f>
        <v>1.2033193779904305</v>
      </c>
      <c r="K35" s="36">
        <v>35.83</v>
      </c>
      <c r="L35" s="116">
        <f>Table3[[#This Row],[CPU+GPU (10)]]/Table3[[#This Row],[CPU+GPU (1)]]</f>
        <v>1.0714712918660287</v>
      </c>
      <c r="M35" s="116" t="e">
        <f>Table3[[#This Row],[gpu-hybrid]]/Table3[[#This Row],[gpu-layered]]</f>
        <v>#VALUE!</v>
      </c>
      <c r="N35" s="36">
        <f>Table3[[#This Row],[g2aimd]]/Table3[[#This Row],[gpu-layered]]</f>
        <v>1.0524764283406647</v>
      </c>
      <c r="AI35" s="77" t="s">
        <v>1440</v>
      </c>
      <c r="AJ35">
        <v>24</v>
      </c>
      <c r="AK35" s="2">
        <v>1.0290090000000001</v>
      </c>
      <c r="AL35" s="2">
        <v>0.85449399999999998</v>
      </c>
      <c r="AM35" s="107">
        <f>Table7[[#This Row],[GPU]]/Table7[[#This Row],[expand mode]]</f>
        <v>1.2042319782233697</v>
      </c>
      <c r="AP35" t="e">
        <f>Table7[[#This Row],[GPU]]/Table7[[#This Row],[cpuchunk=10]]</f>
        <v>#DIV/0!</v>
      </c>
    </row>
    <row r="36" spans="2:42" ht="23" hidden="1" x14ac:dyDescent="0.3">
      <c r="B36" s="80" t="s">
        <v>1434</v>
      </c>
      <c r="C36" s="80">
        <v>5</v>
      </c>
      <c r="D36" s="36">
        <v>30.819552000000002</v>
      </c>
      <c r="E36" s="36">
        <v>41.68</v>
      </c>
      <c r="F36" s="36">
        <v>27.584989</v>
      </c>
      <c r="G36" s="36">
        <v>1506.423</v>
      </c>
      <c r="H36" s="36">
        <v>27.874337000000001</v>
      </c>
      <c r="I36" s="116">
        <f>Table3[[#This Row],[CPU Only]]/Table3[[#This Row],[CPU+GPU (1)]]</f>
        <v>54.043366125623002</v>
      </c>
      <c r="J36" s="119">
        <f>Table3[[#This Row],[gpu-layered]]/Table3[[#This Row],[CPU+GPU (1)]]</f>
        <v>0.98961955579427774</v>
      </c>
      <c r="K36" s="36">
        <v>29.58</v>
      </c>
      <c r="L36" s="116">
        <f>Table3[[#This Row],[CPU+GPU (10)]]/Table3[[#This Row],[CPU+GPU (1)]]</f>
        <v>1.0611911594525099</v>
      </c>
      <c r="M36" s="116">
        <f>Table3[[#This Row],[gpu-hybrid]]/Table3[[#This Row],[gpu-layered]]</f>
        <v>1.5109667072914186</v>
      </c>
      <c r="N36" s="36">
        <f>Table3[[#This Row],[g2aimd]]/Table3[[#This Row],[gpu-layered]]</f>
        <v>1.1172580855479044</v>
      </c>
      <c r="AI36" s="77" t="s">
        <v>1434</v>
      </c>
      <c r="AJ36">
        <v>24</v>
      </c>
      <c r="AK36" s="2">
        <v>1.0415239999999999</v>
      </c>
      <c r="AL36" s="2">
        <v>1.117137</v>
      </c>
      <c r="AM36" s="107">
        <f>Table7[[#This Row],[GPU]]/Table7[[#This Row],[expand mode]]</f>
        <v>0.93231537403201203</v>
      </c>
      <c r="AP36" t="e">
        <f>Table7[[#This Row],[GPU]]/Table7[[#This Row],[cpuchunk=10]]</f>
        <v>#DIV/0!</v>
      </c>
    </row>
    <row r="37" spans="2:42" ht="23" hidden="1" x14ac:dyDescent="0.3">
      <c r="B37" s="80" t="s">
        <v>1371</v>
      </c>
      <c r="C37" s="80">
        <v>7</v>
      </c>
      <c r="D37" s="36">
        <v>8.8645990000000001</v>
      </c>
      <c r="E37" s="36">
        <v>7.8966529999999997</v>
      </c>
      <c r="F37" s="36">
        <v>8.8003280000000004</v>
      </c>
      <c r="G37" s="36" t="s">
        <v>4003</v>
      </c>
      <c r="H37" s="36">
        <v>9.67</v>
      </c>
      <c r="I37" s="116" t="e">
        <f>Table3[[#This Row],[CPU Only]]/Table3[[#This Row],[CPU+GPU (1)]]</f>
        <v>#VALUE!</v>
      </c>
      <c r="J37" s="119">
        <f>Table3[[#This Row],[gpu-layered]]/Table3[[#This Row],[CPU+GPU (1)]]</f>
        <v>0.91006494312306108</v>
      </c>
      <c r="K37" s="36">
        <v>10.25</v>
      </c>
      <c r="L37" s="116">
        <f>Table3[[#This Row],[CPU+GPU (10)]]/Table3[[#This Row],[CPU+GPU (1)]]</f>
        <v>1.0599793174767322</v>
      </c>
      <c r="M37" s="116">
        <f>Table3[[#This Row],[gpu-hybrid]]/Table3[[#This Row],[gpu-layered]]</f>
        <v>0.89731348649732134</v>
      </c>
      <c r="N37" s="36">
        <f>Table3[[#This Row],[g2aimd]]/Table3[[#This Row],[gpu-layered]]</f>
        <v>1.007303250515208</v>
      </c>
      <c r="AI37" s="77" t="s">
        <v>1408</v>
      </c>
      <c r="AJ37">
        <v>2</v>
      </c>
      <c r="AK37" s="2">
        <v>1.103539</v>
      </c>
      <c r="AL37" s="2">
        <v>7.4453000000000005E-2</v>
      </c>
      <c r="AM37" s="107">
        <f>Table7[[#This Row],[GPU]]/Table7[[#This Row],[expand mode]]</f>
        <v>14.821954790270372</v>
      </c>
      <c r="AP37" t="e">
        <f>Table7[[#This Row],[GPU]]/Table7[[#This Row],[cpuchunk=10]]</f>
        <v>#DIV/0!</v>
      </c>
    </row>
    <row r="38" spans="2:42" ht="23" hidden="1" x14ac:dyDescent="0.3">
      <c r="B38" s="80" t="s">
        <v>3919</v>
      </c>
      <c r="C38" s="80">
        <v>7</v>
      </c>
      <c r="D38" s="36">
        <v>3.8864519999999998</v>
      </c>
      <c r="E38" s="36">
        <v>3.0940750000000001</v>
      </c>
      <c r="F38" s="36">
        <v>3.7306889999999999</v>
      </c>
      <c r="G38" s="36">
        <v>259.05960099999999</v>
      </c>
      <c r="H38" s="36">
        <v>3.7988149999999998</v>
      </c>
      <c r="I38" s="116">
        <f>Table3[[#This Row],[CPU Only]]/Table3[[#This Row],[CPU+GPU (1)]]</f>
        <v>68.194845234632382</v>
      </c>
      <c r="J38" s="119">
        <f>Table3[[#This Row],[gpu-layered]]/Table3[[#This Row],[CPU+GPU (1)]]</f>
        <v>0.98206651284676938</v>
      </c>
      <c r="K38" s="36">
        <v>4.01</v>
      </c>
      <c r="L38" s="116">
        <f>Table3[[#This Row],[CPU+GPU (10)]]/Table3[[#This Row],[CPU+GPU (1)]]</f>
        <v>1.0555923360311044</v>
      </c>
      <c r="M38" s="116">
        <f>Table3[[#This Row],[gpu-hybrid]]/Table3[[#This Row],[gpu-layered]]</f>
        <v>0.82935752618350123</v>
      </c>
      <c r="N38" s="36">
        <f>Table3[[#This Row],[g2aimd]]/Table3[[#This Row],[gpu-layered]]</f>
        <v>1.0417518050955199</v>
      </c>
      <c r="AI38" s="77" t="s">
        <v>1408</v>
      </c>
      <c r="AJ38">
        <v>5</v>
      </c>
      <c r="AK38" s="2">
        <v>1.2022219999999999</v>
      </c>
      <c r="AL38" s="2">
        <v>0.160383</v>
      </c>
      <c r="AM38" s="107">
        <f>Table7[[#This Row],[GPU]]/Table7[[#This Row],[expand mode]]</f>
        <v>7.4959440838492855</v>
      </c>
      <c r="AP38" t="e">
        <f>Table7[[#This Row],[GPU]]/Table7[[#This Row],[cpuchunk=10]]</f>
        <v>#DIV/0!</v>
      </c>
    </row>
    <row r="39" spans="2:42" ht="23" hidden="1" x14ac:dyDescent="0.3">
      <c r="B39" s="80" t="s">
        <v>7</v>
      </c>
      <c r="C39" s="80">
        <v>9</v>
      </c>
      <c r="D39" s="36">
        <v>12.739504</v>
      </c>
      <c r="E39" s="36">
        <v>20.92</v>
      </c>
      <c r="F39" s="36">
        <v>9.7242979999999992</v>
      </c>
      <c r="G39" s="36">
        <v>1338.2834230000001</v>
      </c>
      <c r="H39" s="36">
        <v>9.9776030000000002</v>
      </c>
      <c r="I39" s="116">
        <f>Table3[[#This Row],[CPU Only]]/Table3[[#This Row],[CPU+GPU (1)]]</f>
        <v>134.12875046241066</v>
      </c>
      <c r="J39" s="119">
        <f>Table3[[#This Row],[gpu-layered]]/Table3[[#This Row],[CPU+GPU (1)]]</f>
        <v>0.9746126399296503</v>
      </c>
      <c r="K39" s="36">
        <v>10.53</v>
      </c>
      <c r="L39" s="116">
        <f>Table3[[#This Row],[CPU+GPU (10)]]/Table3[[#This Row],[CPU+GPU (1)]]</f>
        <v>1.0553636980745775</v>
      </c>
      <c r="M39" s="116">
        <f>Table3[[#This Row],[gpu-hybrid]]/Table3[[#This Row],[gpu-layered]]</f>
        <v>2.1513121049971939</v>
      </c>
      <c r="N39" s="36">
        <f>Table3[[#This Row],[g2aimd]]/Table3[[#This Row],[gpu-layered]]</f>
        <v>1.3100692718384404</v>
      </c>
      <c r="AI39" s="77" t="s">
        <v>1438</v>
      </c>
      <c r="AJ39">
        <v>24</v>
      </c>
      <c r="AK39" s="2">
        <v>1.2497990000000001</v>
      </c>
      <c r="AL39" s="2">
        <v>1.1667449999999999</v>
      </c>
      <c r="AM39" s="107">
        <f>Table7[[#This Row],[GPU]]/Table7[[#This Row],[expand mode]]</f>
        <v>1.0711843633356048</v>
      </c>
      <c r="AP39" t="e">
        <f>Table7[[#This Row],[GPU]]/Table7[[#This Row],[cpuchunk=10]]</f>
        <v>#DIV/0!</v>
      </c>
    </row>
    <row r="40" spans="2:42" ht="23" hidden="1" x14ac:dyDescent="0.3">
      <c r="B40" s="80" t="s">
        <v>1346</v>
      </c>
      <c r="C40" s="80">
        <v>7</v>
      </c>
      <c r="D40" s="36">
        <v>28.379384999999999</v>
      </c>
      <c r="E40" s="36">
        <v>25.055896000000001</v>
      </c>
      <c r="F40" s="36">
        <v>26.479275000000001</v>
      </c>
      <c r="G40" s="36">
        <v>2038.237151</v>
      </c>
      <c r="H40" s="36">
        <v>26.73</v>
      </c>
      <c r="I40" s="116">
        <f>Table3[[#This Row],[CPU Only]]/Table3[[#This Row],[CPU+GPU (1)]]</f>
        <v>76.252792779648331</v>
      </c>
      <c r="J40" s="119">
        <f>Table3[[#This Row],[gpu-layered]]/Table3[[#This Row],[CPU+GPU (1)]]</f>
        <v>0.99062008978675653</v>
      </c>
      <c r="K40" s="36">
        <v>28.14</v>
      </c>
      <c r="L40" s="116">
        <f>Table3[[#This Row],[CPU+GPU (10)]]/Table3[[#This Row],[CPU+GPU (1)]]</f>
        <v>1.0527497194163862</v>
      </c>
      <c r="M40" s="116">
        <f>Table3[[#This Row],[gpu-hybrid]]/Table3[[#This Row],[gpu-layered]]</f>
        <v>0.94624554486480461</v>
      </c>
      <c r="N40" s="36">
        <f>Table3[[#This Row],[g2aimd]]/Table3[[#This Row],[gpu-layered]]</f>
        <v>1.071758384623446</v>
      </c>
      <c r="AI40" s="77" t="s">
        <v>1433</v>
      </c>
      <c r="AJ40">
        <v>25</v>
      </c>
      <c r="AK40" s="2">
        <v>1.3173029999999999</v>
      </c>
      <c r="AL40" s="2">
        <v>1.378973</v>
      </c>
      <c r="AM40" s="107">
        <f>Table7[[#This Row],[GPU]]/Table7[[#This Row],[expand mode]]</f>
        <v>0.95527831219320458</v>
      </c>
      <c r="AP40" t="e">
        <f>Table7[[#This Row],[GPU]]/Table7[[#This Row],[cpuchunk=10]]</f>
        <v>#DIV/0!</v>
      </c>
    </row>
    <row r="41" spans="2:42" ht="23" hidden="1" x14ac:dyDescent="0.3">
      <c r="B41" s="80" t="s">
        <v>3913</v>
      </c>
      <c r="C41" s="80">
        <v>5</v>
      </c>
      <c r="D41" s="36">
        <v>40.253179000000003</v>
      </c>
      <c r="E41" s="36">
        <v>68.56</v>
      </c>
      <c r="F41" s="36">
        <v>38.012590000000003</v>
      </c>
      <c r="G41" s="36" t="s">
        <v>3990</v>
      </c>
      <c r="H41" s="36">
        <v>37.554713999999997</v>
      </c>
      <c r="I41" s="116" t="e">
        <f>Table3[[#This Row],[CPU Only]]/Table3[[#This Row],[CPU+GPU (1)]]</f>
        <v>#VALUE!</v>
      </c>
      <c r="J41" s="119">
        <f>Table3[[#This Row],[gpu-layered]]/Table3[[#This Row],[CPU+GPU (1)]]</f>
        <v>1.012192237704167</v>
      </c>
      <c r="K41" s="36">
        <v>39.369999999999997</v>
      </c>
      <c r="L41" s="116">
        <f>Table3[[#This Row],[CPU+GPU (10)]]/Table3[[#This Row],[CPU+GPU (1)]]</f>
        <v>1.0483371009029652</v>
      </c>
      <c r="M41" s="116">
        <f>Table3[[#This Row],[gpu-hybrid]]/Table3[[#This Row],[gpu-layered]]</f>
        <v>1.8036129608637559</v>
      </c>
      <c r="N41" s="36">
        <f>Table3[[#This Row],[g2aimd]]/Table3[[#This Row],[gpu-layered]]</f>
        <v>1.0589433395619714</v>
      </c>
      <c r="AI41" s="77" t="s">
        <v>1455</v>
      </c>
      <c r="AJ41">
        <v>24</v>
      </c>
      <c r="AK41" s="2">
        <v>1.3242640000000001</v>
      </c>
      <c r="AL41" s="2">
        <v>1.53</v>
      </c>
      <c r="AM41" s="107">
        <f>Table7[[#This Row],[GPU]]/Table7[[#This Row],[expand mode]]</f>
        <v>0.86553202614379088</v>
      </c>
      <c r="AP41" t="e">
        <f>Table7[[#This Row],[GPU]]/Table7[[#This Row],[cpuchunk=10]]</f>
        <v>#DIV/0!</v>
      </c>
    </row>
    <row r="42" spans="2:42" ht="23" hidden="1" x14ac:dyDescent="0.3">
      <c r="B42" s="80" t="s">
        <v>3913</v>
      </c>
      <c r="C42" s="80">
        <v>8</v>
      </c>
      <c r="D42" s="36">
        <v>103.787575</v>
      </c>
      <c r="E42" s="36" t="s">
        <v>3990</v>
      </c>
      <c r="F42" s="36">
        <v>105.932852</v>
      </c>
      <c r="G42" s="36" t="s">
        <v>3990</v>
      </c>
      <c r="H42" s="36">
        <v>107.266351</v>
      </c>
      <c r="I42" s="116" t="e">
        <f>Table3[[#This Row],[CPU Only]]/Table3[[#This Row],[CPU+GPU (1)]]</f>
        <v>#VALUE!</v>
      </c>
      <c r="J42" s="119">
        <f>Table3[[#This Row],[gpu-layered]]/Table3[[#This Row],[CPU+GPU (1)]]</f>
        <v>0.98756833818277268</v>
      </c>
      <c r="K42" s="36">
        <v>111.83</v>
      </c>
      <c r="L42" s="116">
        <f>Table3[[#This Row],[CPU+GPU (10)]]/Table3[[#This Row],[CPU+GPU (1)]]</f>
        <v>1.042545019546717</v>
      </c>
      <c r="M42" s="116" t="e">
        <f>Table3[[#This Row],[gpu-hybrid]]/Table3[[#This Row],[gpu-layered]]</f>
        <v>#VALUE!</v>
      </c>
      <c r="N42" s="36">
        <f>Table3[[#This Row],[g2aimd]]/Table3[[#This Row],[gpu-layered]]</f>
        <v>0.97974870911622403</v>
      </c>
      <c r="AI42" s="77" t="s">
        <v>1408</v>
      </c>
      <c r="AJ42">
        <v>8</v>
      </c>
      <c r="AK42" s="2">
        <v>1.359286</v>
      </c>
      <c r="AL42" s="2">
        <v>0.25954500000000003</v>
      </c>
      <c r="AM42" s="107">
        <f>Table7[[#This Row],[GPU]]/Table7[[#This Row],[expand mode]]</f>
        <v>5.23718815619642</v>
      </c>
      <c r="AP42" t="e">
        <f>Table7[[#This Row],[GPU]]/Table7[[#This Row],[cpuchunk=10]]</f>
        <v>#DIV/0!</v>
      </c>
    </row>
    <row r="43" spans="2:42" ht="23" hidden="1" x14ac:dyDescent="0.3">
      <c r="B43" s="80" t="s">
        <v>6</v>
      </c>
      <c r="C43" s="80">
        <v>6</v>
      </c>
      <c r="D43" s="36">
        <v>1562.4032239999999</v>
      </c>
      <c r="E43" s="36" t="s">
        <v>3990</v>
      </c>
      <c r="F43" s="36">
        <v>1501.401734</v>
      </c>
      <c r="G43" s="36" t="s">
        <v>4003</v>
      </c>
      <c r="H43" s="36">
        <v>1452.5031590000001</v>
      </c>
      <c r="I43" s="116" t="e">
        <f>Table3[[#This Row],[CPU Only]]/Table3[[#This Row],[CPU+GPU (1)]]</f>
        <v>#VALUE!</v>
      </c>
      <c r="J43" s="119">
        <f>Table3[[#This Row],[gpu-layered]]/Table3[[#This Row],[CPU+GPU (1)]]</f>
        <v>1.0336650386589623</v>
      </c>
      <c r="K43" s="36">
        <v>1510.85</v>
      </c>
      <c r="L43" s="116">
        <f>Table3[[#This Row],[CPU+GPU (10)]]/Table3[[#This Row],[CPU+GPU (1)]]</f>
        <v>1.0401698548044258</v>
      </c>
      <c r="M43" s="116" t="e">
        <f>Table3[[#This Row],[gpu-hybrid]]/Table3[[#This Row],[gpu-layered]]</f>
        <v>#VALUE!</v>
      </c>
      <c r="N43" s="36">
        <f>Table3[[#This Row],[g2aimd]]/Table3[[#This Row],[gpu-layered]]</f>
        <v>1.0406296919862221</v>
      </c>
      <c r="AI43" s="77" t="s">
        <v>1408</v>
      </c>
      <c r="AJ43">
        <v>25</v>
      </c>
      <c r="AK43" s="2">
        <v>1.3638410000000001</v>
      </c>
      <c r="AL43" s="2">
        <v>1.2744979999999999</v>
      </c>
      <c r="AM43" s="107">
        <f>Table7[[#This Row],[GPU]]/Table7[[#This Row],[expand mode]]</f>
        <v>1.0701005415465541</v>
      </c>
      <c r="AP43" t="e">
        <f>Table7[[#This Row],[GPU]]/Table7[[#This Row],[cpuchunk=10]]</f>
        <v>#DIV/0!</v>
      </c>
    </row>
    <row r="44" spans="2:42" ht="23" hidden="1" x14ac:dyDescent="0.3">
      <c r="B44" s="80" t="s">
        <v>3912</v>
      </c>
      <c r="C44" s="80">
        <v>7</v>
      </c>
      <c r="D44" s="36">
        <v>19.990193000000001</v>
      </c>
      <c r="E44" s="36">
        <v>29.57</v>
      </c>
      <c r="F44" s="36">
        <v>19.956325</v>
      </c>
      <c r="G44" s="36" t="s">
        <v>4003</v>
      </c>
      <c r="H44" s="36">
        <v>19.59</v>
      </c>
      <c r="I44" s="116" t="e">
        <f>Table3[[#This Row],[CPU Only]]/Table3[[#This Row],[CPU+GPU (1)]]</f>
        <v>#VALUE!</v>
      </c>
      <c r="J44" s="119">
        <f>Table3[[#This Row],[gpu-layered]]/Table3[[#This Row],[CPU+GPU (1)]]</f>
        <v>1.0186995916283819</v>
      </c>
      <c r="K44" s="36">
        <v>20.329999999999998</v>
      </c>
      <c r="L44" s="116">
        <f>Table3[[#This Row],[CPU+GPU (10)]]/Table3[[#This Row],[CPU+GPU (1)]]</f>
        <v>1.0377743746809596</v>
      </c>
      <c r="M44" s="116">
        <f>Table3[[#This Row],[gpu-hybrid]]/Table3[[#This Row],[gpu-layered]]</f>
        <v>1.481735740423149</v>
      </c>
      <c r="N44" s="36">
        <f>Table3[[#This Row],[g2aimd]]/Table3[[#This Row],[gpu-layered]]</f>
        <v>1.0016971060553486</v>
      </c>
      <c r="AI44" s="77" t="s">
        <v>1448</v>
      </c>
      <c r="AJ44">
        <v>25</v>
      </c>
      <c r="AK44" s="2">
        <v>1.3693169999999999</v>
      </c>
      <c r="AL44" s="2">
        <v>1.475509</v>
      </c>
      <c r="AM44" s="107">
        <f>Table7[[#This Row],[GPU]]/Table7[[#This Row],[expand mode]]</f>
        <v>0.92803025938845507</v>
      </c>
      <c r="AP44" t="e">
        <f>Table7[[#This Row],[GPU]]/Table7[[#This Row],[cpuchunk=10]]</f>
        <v>#DIV/0!</v>
      </c>
    </row>
    <row r="45" spans="2:42" ht="23" hidden="1" x14ac:dyDescent="0.3">
      <c r="B45" s="80" t="s">
        <v>1434</v>
      </c>
      <c r="C45" s="80">
        <v>7</v>
      </c>
      <c r="D45" s="36">
        <v>76.175668000000002</v>
      </c>
      <c r="E45" s="36">
        <v>87.41</v>
      </c>
      <c r="F45" s="36">
        <v>74.836130999999995</v>
      </c>
      <c r="G45" s="36" t="s">
        <v>3990</v>
      </c>
      <c r="H45" s="36">
        <v>73.849999999999994</v>
      </c>
      <c r="I45" s="116" t="e">
        <f>Table3[[#This Row],[CPU Only]]/Table3[[#This Row],[CPU+GPU (1)]]</f>
        <v>#VALUE!</v>
      </c>
      <c r="J45" s="119">
        <f>Table3[[#This Row],[gpu-layered]]/Table3[[#This Row],[CPU+GPU (1)]]</f>
        <v>1.0133531618144889</v>
      </c>
      <c r="K45" s="36">
        <v>76.33</v>
      </c>
      <c r="L45" s="116">
        <f>Table3[[#This Row],[CPU+GPU (10)]]/Table3[[#This Row],[CPU+GPU (1)]]</f>
        <v>1.0335815842924849</v>
      </c>
      <c r="M45" s="116">
        <f>Table3[[#This Row],[gpu-hybrid]]/Table3[[#This Row],[gpu-layered]]</f>
        <v>1.1680186940717179</v>
      </c>
      <c r="N45" s="36">
        <f>Table3[[#This Row],[g2aimd]]/Table3[[#This Row],[gpu-layered]]</f>
        <v>1.0178996025328997</v>
      </c>
      <c r="AI45" s="77" t="s">
        <v>1391</v>
      </c>
      <c r="AJ45">
        <v>24</v>
      </c>
      <c r="AK45" s="2">
        <v>1.4042870000000001</v>
      </c>
      <c r="AL45" s="2">
        <v>1.6955709999999999</v>
      </c>
      <c r="AM45" s="107">
        <f>Table7[[#This Row],[GPU]]/Table7[[#This Row],[expand mode]]</f>
        <v>0.82820890425703209</v>
      </c>
      <c r="AP45" t="e">
        <f>Table7[[#This Row],[GPU]]/Table7[[#This Row],[cpuchunk=10]]</f>
        <v>#DIV/0!</v>
      </c>
    </row>
    <row r="46" spans="2:42" ht="23" hidden="1" x14ac:dyDescent="0.3">
      <c r="B46" s="80" t="s">
        <v>3912</v>
      </c>
      <c r="C46" s="80">
        <v>5</v>
      </c>
      <c r="D46" s="36">
        <v>12.009475999999999</v>
      </c>
      <c r="E46" s="36">
        <v>21.48</v>
      </c>
      <c r="F46" s="36">
        <v>9.7607599999999994</v>
      </c>
      <c r="G46" s="36">
        <v>516.02195900000004</v>
      </c>
      <c r="H46" s="36">
        <v>9.9234120000000008</v>
      </c>
      <c r="I46" s="116">
        <f>Table3[[#This Row],[CPU Only]]/Table3[[#This Row],[CPU+GPU (1)]]</f>
        <v>52.000457000072153</v>
      </c>
      <c r="J46" s="119">
        <f>Table3[[#This Row],[gpu-layered]]/Table3[[#This Row],[CPU+GPU (1)]]</f>
        <v>0.98360926665142989</v>
      </c>
      <c r="K46" s="36">
        <v>10.24</v>
      </c>
      <c r="L46" s="116">
        <f>Table3[[#This Row],[CPU+GPU (10)]]/Table3[[#This Row],[CPU+GPU (1)]]</f>
        <v>1.0319031397668463</v>
      </c>
      <c r="M46" s="116">
        <f>Table3[[#This Row],[gpu-hybrid]]/Table3[[#This Row],[gpu-layered]]</f>
        <v>2.2006483101725687</v>
      </c>
      <c r="N46" s="36">
        <f>Table3[[#This Row],[g2aimd]]/Table3[[#This Row],[gpu-layered]]</f>
        <v>1.2303832898257923</v>
      </c>
      <c r="AI46" s="77" t="s">
        <v>1431</v>
      </c>
      <c r="AJ46">
        <v>24</v>
      </c>
      <c r="AK46" s="2">
        <v>1.43831</v>
      </c>
      <c r="AL46" s="2">
        <v>1.5642450000000001</v>
      </c>
      <c r="AM46" s="107">
        <f>Table7[[#This Row],[GPU]]/Table7[[#This Row],[expand mode]]</f>
        <v>0.91949151187953282</v>
      </c>
      <c r="AP46" t="e">
        <f>Table7[[#This Row],[GPU]]/Table7[[#This Row],[cpuchunk=10]]</f>
        <v>#DIV/0!</v>
      </c>
    </row>
    <row r="47" spans="2:42" ht="23" hidden="1" x14ac:dyDescent="0.3">
      <c r="B47" s="80" t="s">
        <v>6</v>
      </c>
      <c r="C47" s="80">
        <v>5</v>
      </c>
      <c r="D47" s="36">
        <v>62.593834000000001</v>
      </c>
      <c r="E47" s="36">
        <v>121.55</v>
      </c>
      <c r="F47" s="36">
        <v>60.324700999999997</v>
      </c>
      <c r="G47" s="36">
        <v>3480.1903889999999</v>
      </c>
      <c r="H47" s="36">
        <v>59.16</v>
      </c>
      <c r="I47" s="116">
        <f>Table3[[#This Row],[CPU Only]]/Table3[[#This Row],[CPU+GPU (1)]]</f>
        <v>58.826747616632858</v>
      </c>
      <c r="J47" s="119">
        <f>Table3[[#This Row],[gpu-layered]]/Table3[[#This Row],[CPU+GPU (1)]]</f>
        <v>1.0196873056119</v>
      </c>
      <c r="K47" s="36">
        <v>61.04</v>
      </c>
      <c r="L47" s="116">
        <f>Table3[[#This Row],[CPU+GPU (10)]]/Table3[[#This Row],[CPU+GPU (1)]]</f>
        <v>1.0317782285327926</v>
      </c>
      <c r="M47" s="116">
        <f>Table3[[#This Row],[gpu-hybrid]]/Table3[[#This Row],[gpu-layered]]</f>
        <v>2.0149291747007583</v>
      </c>
      <c r="N47" s="36">
        <f>Table3[[#This Row],[g2aimd]]/Table3[[#This Row],[gpu-layered]]</f>
        <v>1.0376153211269128</v>
      </c>
      <c r="AI47" s="77" t="s">
        <v>1440</v>
      </c>
      <c r="AJ47">
        <v>25</v>
      </c>
      <c r="AK47" s="2">
        <v>1.476593</v>
      </c>
      <c r="AL47" s="2">
        <v>1.31</v>
      </c>
      <c r="AM47" s="107">
        <f>Table7[[#This Row],[GPU]]/Table7[[#This Row],[expand mode]]</f>
        <v>1.1271702290076335</v>
      </c>
      <c r="AP47" t="e">
        <f>Table7[[#This Row],[GPU]]/Table7[[#This Row],[cpuchunk=10]]</f>
        <v>#DIV/0!</v>
      </c>
    </row>
    <row r="48" spans="2:42" ht="23" hidden="1" x14ac:dyDescent="0.3">
      <c r="B48" s="80" t="s">
        <v>1371</v>
      </c>
      <c r="C48" s="80">
        <v>8</v>
      </c>
      <c r="D48" s="36">
        <v>15.318994999999999</v>
      </c>
      <c r="E48" s="36">
        <v>18.23</v>
      </c>
      <c r="F48" s="36">
        <v>10.159229</v>
      </c>
      <c r="G48" s="36">
        <v>1844.568945</v>
      </c>
      <c r="H48" s="36">
        <v>10.119999999999999</v>
      </c>
      <c r="I48" s="116">
        <f>Table3[[#This Row],[CPU Only]]/Table3[[#This Row],[CPU+GPU (1)]]</f>
        <v>182.26965859683796</v>
      </c>
      <c r="J48" s="119">
        <f>Table3[[#This Row],[gpu-layered]]/Table3[[#This Row],[CPU+GPU (1)]]</f>
        <v>1.0038763833992095</v>
      </c>
      <c r="K48" s="36">
        <v>10.44</v>
      </c>
      <c r="L48" s="116">
        <f>Table3[[#This Row],[CPU+GPU (10)]]/Table3[[#This Row],[CPU+GPU (1)]]</f>
        <v>1.0316205533596838</v>
      </c>
      <c r="M48" s="116">
        <f>Table3[[#This Row],[gpu-hybrid]]/Table3[[#This Row],[gpu-layered]]</f>
        <v>1.7944275101978704</v>
      </c>
      <c r="N48" s="36">
        <f>Table3[[#This Row],[g2aimd]]/Table3[[#This Row],[gpu-layered]]</f>
        <v>1.5078895258685476</v>
      </c>
      <c r="AI48" s="77" t="s">
        <v>1431</v>
      </c>
      <c r="AJ48">
        <v>7</v>
      </c>
      <c r="AK48" s="2">
        <v>1.4923439999999999</v>
      </c>
      <c r="AL48" s="2">
        <v>1.57</v>
      </c>
      <c r="AM48" s="107">
        <f>Table7[[#This Row],[GPU]]/Table7[[#This Row],[expand mode]]</f>
        <v>0.95053757961783425</v>
      </c>
      <c r="AP48" t="e">
        <f>Table7[[#This Row],[GPU]]/Table7[[#This Row],[cpuchunk=10]]</f>
        <v>#DIV/0!</v>
      </c>
    </row>
    <row r="49" spans="2:42" ht="23" hidden="1" x14ac:dyDescent="0.3">
      <c r="B49" s="80" t="s">
        <v>3</v>
      </c>
      <c r="C49" s="80">
        <v>7</v>
      </c>
      <c r="D49" s="36">
        <v>279.21020399999998</v>
      </c>
      <c r="E49" s="36">
        <v>271.83</v>
      </c>
      <c r="F49" s="36">
        <v>258.56020699999999</v>
      </c>
      <c r="G49" s="36" t="s">
        <v>4003</v>
      </c>
      <c r="H49" s="36">
        <v>260.18</v>
      </c>
      <c r="I49" s="116" t="e">
        <f>Table3[[#This Row],[CPU Only]]/Table3[[#This Row],[CPU+GPU (1)]]</f>
        <v>#VALUE!</v>
      </c>
      <c r="J49" s="119">
        <f>Table3[[#This Row],[gpu-layered]]/Table3[[#This Row],[CPU+GPU (1)]]</f>
        <v>0.9937743369974632</v>
      </c>
      <c r="K49" s="36">
        <v>267.39</v>
      </c>
      <c r="L49" s="116">
        <f>Table3[[#This Row],[CPU+GPU (10)]]/Table3[[#This Row],[CPU+GPU (1)]]</f>
        <v>1.0277115842878006</v>
      </c>
      <c r="M49" s="116">
        <f>Table3[[#This Row],[gpu-hybrid]]/Table3[[#This Row],[gpu-layered]]</f>
        <v>1.0513218687205026</v>
      </c>
      <c r="N49" s="36">
        <f>Table3[[#This Row],[g2aimd]]/Table3[[#This Row],[gpu-layered]]</f>
        <v>1.0798653328739019</v>
      </c>
      <c r="AI49" s="77" t="s">
        <v>1431</v>
      </c>
      <c r="AJ49">
        <v>25</v>
      </c>
      <c r="AK49" s="2">
        <v>1.4968319999999999</v>
      </c>
      <c r="AL49" s="2">
        <v>1.3744320000000001</v>
      </c>
      <c r="AM49" s="107">
        <f>Table7[[#This Row],[GPU]]/Table7[[#This Row],[expand mode]]</f>
        <v>1.0890549696165397</v>
      </c>
      <c r="AP49" t="e">
        <f>Table7[[#This Row],[GPU]]/Table7[[#This Row],[cpuchunk=10]]</f>
        <v>#DIV/0!</v>
      </c>
    </row>
    <row r="50" spans="2:42" ht="23" hidden="1" x14ac:dyDescent="0.3">
      <c r="B50" s="80" t="s">
        <v>3913</v>
      </c>
      <c r="C50" s="80">
        <v>7</v>
      </c>
      <c r="D50" s="36">
        <v>98.432535999999999</v>
      </c>
      <c r="E50" s="36">
        <v>113.15</v>
      </c>
      <c r="F50" s="36">
        <v>100.074282</v>
      </c>
      <c r="G50" s="36" t="s">
        <v>3990</v>
      </c>
      <c r="H50" s="36">
        <v>100.387533</v>
      </c>
      <c r="I50" s="116" t="e">
        <f>Table3[[#This Row],[CPU Only]]/Table3[[#This Row],[CPU+GPU (1)]]</f>
        <v>#VALUE!</v>
      </c>
      <c r="J50" s="119">
        <f>Table3[[#This Row],[gpu-layered]]/Table3[[#This Row],[CPU+GPU (1)]]</f>
        <v>0.99687958264698062</v>
      </c>
      <c r="K50" s="36">
        <v>103.16</v>
      </c>
      <c r="L50" s="116">
        <f>Table3[[#This Row],[CPU+GPU (10)]]/Table3[[#This Row],[CPU+GPU (1)]]</f>
        <v>1.0276176425214074</v>
      </c>
      <c r="M50" s="116">
        <f>Table3[[#This Row],[gpu-hybrid]]/Table3[[#This Row],[gpu-layered]]</f>
        <v>1.130660123047398</v>
      </c>
      <c r="N50" s="36">
        <f>Table3[[#This Row],[g2aimd]]/Table3[[#This Row],[gpu-layered]]</f>
        <v>0.9835947261655098</v>
      </c>
      <c r="AI50" s="77" t="s">
        <v>1431</v>
      </c>
      <c r="AJ50">
        <v>9</v>
      </c>
      <c r="AK50" s="2">
        <v>1.5036099999999999</v>
      </c>
      <c r="AL50" s="2">
        <v>0.21093100000000001</v>
      </c>
      <c r="AM50" s="107">
        <f>Table7[[#This Row],[GPU]]/Table7[[#This Row],[expand mode]]</f>
        <v>7.1284448468930588</v>
      </c>
      <c r="AP50" t="e">
        <f>Table7[[#This Row],[GPU]]/Table7[[#This Row],[cpuchunk=10]]</f>
        <v>#DIV/0!</v>
      </c>
    </row>
    <row r="51" spans="2:42" ht="23" hidden="1" x14ac:dyDescent="0.3">
      <c r="B51" s="80" t="s">
        <v>1462</v>
      </c>
      <c r="C51" s="80">
        <v>2</v>
      </c>
      <c r="D51" s="36">
        <v>3.2300070000000001</v>
      </c>
      <c r="E51" s="36">
        <v>1.6100859999999999</v>
      </c>
      <c r="F51" s="36">
        <v>1.6843790000000001</v>
      </c>
      <c r="G51" s="36">
        <v>18.296703000000001</v>
      </c>
      <c r="H51" s="36">
        <v>1.919454</v>
      </c>
      <c r="I51" s="116">
        <f>Table3[[#This Row],[CPU Only]]/Table3[[#This Row],[CPU+GPU (1)]]</f>
        <v>9.5322435442578985</v>
      </c>
      <c r="J51" s="119">
        <f>Table3[[#This Row],[gpu-layered]]/Table3[[#This Row],[CPU+GPU (1)]]</f>
        <v>0.87753027683914286</v>
      </c>
      <c r="K51" s="36">
        <v>1.9714830000000001</v>
      </c>
      <c r="L51" s="116">
        <f>Table3[[#This Row],[CPU+GPU (10)]]/Table3[[#This Row],[CPU+GPU (1)]]</f>
        <v>1.0271061458102149</v>
      </c>
      <c r="M51" s="116">
        <f>Table3[[#This Row],[gpu-hybrid]]/Table3[[#This Row],[gpu-layered]]</f>
        <v>0.95589294333401198</v>
      </c>
      <c r="N51" s="36">
        <f>Table3[[#This Row],[g2aimd]]/Table3[[#This Row],[gpu-layered]]</f>
        <v>1.9176248338408399</v>
      </c>
      <c r="AI51" s="77" t="s">
        <v>1346</v>
      </c>
      <c r="AJ51">
        <v>9</v>
      </c>
      <c r="AK51" s="2">
        <v>1.544257</v>
      </c>
      <c r="AL51" s="2">
        <v>2.2000000000000002</v>
      </c>
      <c r="AM51" s="107">
        <f>Table7[[#This Row],[GPU]]/Table7[[#This Row],[expand mode]]</f>
        <v>0.70193499999999998</v>
      </c>
      <c r="AP51" t="e">
        <f>Table7[[#This Row],[GPU]]/Table7[[#This Row],[cpuchunk=10]]</f>
        <v>#DIV/0!</v>
      </c>
    </row>
    <row r="52" spans="2:42" ht="23" hidden="1" x14ac:dyDescent="0.3">
      <c r="B52" s="80" t="s">
        <v>4</v>
      </c>
      <c r="C52" s="80">
        <v>7</v>
      </c>
      <c r="D52" s="36">
        <v>207.060396</v>
      </c>
      <c r="E52" s="36">
        <v>202.55</v>
      </c>
      <c r="F52" s="36">
        <v>191.928202</v>
      </c>
      <c r="G52" s="36" t="s">
        <v>4003</v>
      </c>
      <c r="H52" s="36">
        <v>190.21</v>
      </c>
      <c r="I52" s="116" t="e">
        <f>Table3[[#This Row],[CPU Only]]/Table3[[#This Row],[CPU+GPU (1)]]</f>
        <v>#VALUE!</v>
      </c>
      <c r="J52" s="119">
        <f>Table3[[#This Row],[gpu-layered]]/Table3[[#This Row],[CPU+GPU (1)]]</f>
        <v>1.0090331843751643</v>
      </c>
      <c r="K52" s="36">
        <v>195.36</v>
      </c>
      <c r="L52" s="116">
        <f>Table3[[#This Row],[CPU+GPU (10)]]/Table3[[#This Row],[CPU+GPU (1)]]</f>
        <v>1.0270753377845538</v>
      </c>
      <c r="M52" s="116">
        <f>Table3[[#This Row],[gpu-hybrid]]/Table3[[#This Row],[gpu-layered]]</f>
        <v>1.0553425598182804</v>
      </c>
      <c r="N52" s="36">
        <f>Table3[[#This Row],[g2aimd]]/Table3[[#This Row],[gpu-layered]]</f>
        <v>1.0788429935898634</v>
      </c>
      <c r="AI52" s="77" t="s">
        <v>1391</v>
      </c>
      <c r="AJ52">
        <v>25</v>
      </c>
      <c r="AK52" s="2">
        <v>1.5655140000000001</v>
      </c>
      <c r="AL52" s="2">
        <v>1.534151</v>
      </c>
      <c r="AM52" s="107">
        <f>Table7[[#This Row],[GPU]]/Table7[[#This Row],[expand mode]]</f>
        <v>1.0204432288607836</v>
      </c>
      <c r="AP52" t="e">
        <f>Table7[[#This Row],[GPU]]/Table7[[#This Row],[cpuchunk=10]]</f>
        <v>#DIV/0!</v>
      </c>
    </row>
    <row r="53" spans="2:42" ht="23" hidden="1" x14ac:dyDescent="0.3">
      <c r="B53" s="80" t="s">
        <v>3</v>
      </c>
      <c r="C53" s="80">
        <v>5</v>
      </c>
      <c r="D53" s="36">
        <v>66.359600999999998</v>
      </c>
      <c r="E53" s="36">
        <v>86.02</v>
      </c>
      <c r="F53" s="36">
        <v>60.815420000000003</v>
      </c>
      <c r="G53" s="36" t="s">
        <v>4003</v>
      </c>
      <c r="H53" s="36">
        <v>61.53</v>
      </c>
      <c r="I53" s="116" t="e">
        <f>Table3[[#This Row],[CPU Only]]/Table3[[#This Row],[CPU+GPU (1)]]</f>
        <v>#VALUE!</v>
      </c>
      <c r="J53" s="119">
        <f>Table3[[#This Row],[gpu-layered]]/Table3[[#This Row],[CPU+GPU (1)]]</f>
        <v>0.98838647814074443</v>
      </c>
      <c r="K53" s="36">
        <v>62.99</v>
      </c>
      <c r="L53" s="116">
        <f>Table3[[#This Row],[CPU+GPU (10)]]/Table3[[#This Row],[CPU+GPU (1)]]</f>
        <v>1.0237282626361124</v>
      </c>
      <c r="M53" s="116">
        <f>Table3[[#This Row],[gpu-hybrid]]/Table3[[#This Row],[gpu-layered]]</f>
        <v>1.4144439025497151</v>
      </c>
      <c r="N53" s="36">
        <f>Table3[[#This Row],[g2aimd]]/Table3[[#This Row],[gpu-layered]]</f>
        <v>1.0911640666133686</v>
      </c>
      <c r="AI53" s="77" t="s">
        <v>1438</v>
      </c>
      <c r="AJ53">
        <v>25</v>
      </c>
      <c r="AK53" s="2">
        <v>1.742991</v>
      </c>
      <c r="AL53" s="2">
        <v>1.7512220000000001</v>
      </c>
      <c r="AM53" s="107">
        <f>Table7[[#This Row],[GPU]]/Table7[[#This Row],[expand mode]]</f>
        <v>0.99529985347374572</v>
      </c>
      <c r="AP53" t="e">
        <f>Table7[[#This Row],[GPU]]/Table7[[#This Row],[cpuchunk=10]]</f>
        <v>#DIV/0!</v>
      </c>
    </row>
    <row r="54" spans="2:42" ht="23" hidden="1" x14ac:dyDescent="0.3">
      <c r="B54" s="80" t="s">
        <v>3912</v>
      </c>
      <c r="C54" s="80">
        <v>8</v>
      </c>
      <c r="D54" s="36">
        <v>23.409692</v>
      </c>
      <c r="E54" s="36">
        <v>39.299999999999997</v>
      </c>
      <c r="F54" s="36">
        <v>22.264191</v>
      </c>
      <c r="G54" s="36">
        <v>579.55940199999998</v>
      </c>
      <c r="H54" s="36">
        <v>21.730737999999999</v>
      </c>
      <c r="I54" s="116">
        <f>Table3[[#This Row],[CPU Only]]/Table3[[#This Row],[CPU+GPU (1)]]</f>
        <v>26.670028509846283</v>
      </c>
      <c r="J54" s="119">
        <f>Table3[[#This Row],[gpu-layered]]/Table3[[#This Row],[CPU+GPU (1)]]</f>
        <v>1.0245483149260739</v>
      </c>
      <c r="K54" s="36">
        <v>22.22</v>
      </c>
      <c r="L54" s="116">
        <f>Table3[[#This Row],[CPU+GPU (10)]]/Table3[[#This Row],[CPU+GPU (1)]]</f>
        <v>1.0225147438618973</v>
      </c>
      <c r="M54" s="116">
        <f>Table3[[#This Row],[gpu-hybrid]]/Table3[[#This Row],[gpu-layered]]</f>
        <v>1.765166315721959</v>
      </c>
      <c r="N54" s="36">
        <f>Table3[[#This Row],[g2aimd]]/Table3[[#This Row],[gpu-layered]]</f>
        <v>1.0514503760769929</v>
      </c>
      <c r="AI54" s="77" t="s">
        <v>1391</v>
      </c>
      <c r="AJ54">
        <v>2</v>
      </c>
      <c r="AK54" s="2">
        <v>1.8836040000000001</v>
      </c>
      <c r="AL54" s="2">
        <v>0.68614200000000003</v>
      </c>
      <c r="AM54" s="107">
        <f>Table7[[#This Row],[GPU]]/Table7[[#This Row],[expand mode]]</f>
        <v>2.7452101751532481</v>
      </c>
      <c r="AP54" t="e">
        <f>Table7[[#This Row],[GPU]]/Table7[[#This Row],[cpuchunk=10]]</f>
        <v>#DIV/0!</v>
      </c>
    </row>
    <row r="55" spans="2:42" ht="23" hidden="1" x14ac:dyDescent="0.3">
      <c r="B55" s="80" t="s">
        <v>11</v>
      </c>
      <c r="C55" s="80">
        <v>8</v>
      </c>
      <c r="D55" s="36">
        <v>5.9961650000000004</v>
      </c>
      <c r="E55" s="36">
        <v>3.9097149999999998</v>
      </c>
      <c r="F55" s="36">
        <v>5.788678</v>
      </c>
      <c r="G55" s="36">
        <v>442.99318599999998</v>
      </c>
      <c r="H55" s="36">
        <v>5.86</v>
      </c>
      <c r="I55" s="116">
        <f>Table3[[#This Row],[CPU Only]]/Table3[[#This Row],[CPU+GPU (1)]]</f>
        <v>75.596106825938563</v>
      </c>
      <c r="J55" s="119">
        <f>Table3[[#This Row],[gpu-layered]]/Table3[[#This Row],[CPU+GPU (1)]]</f>
        <v>0.98782901023890779</v>
      </c>
      <c r="K55" s="36">
        <v>5.98</v>
      </c>
      <c r="L55" s="116">
        <f>Table3[[#This Row],[CPU+GPU (10)]]/Table3[[#This Row],[CPU+GPU (1)]]</f>
        <v>1.0204778156996588</v>
      </c>
      <c r="M55" s="116">
        <f>Table3[[#This Row],[gpu-hybrid]]/Table3[[#This Row],[gpu-layered]]</f>
        <v>0.67540723460520691</v>
      </c>
      <c r="N55" s="36">
        <f>Table3[[#This Row],[g2aimd]]/Table3[[#This Row],[gpu-layered]]</f>
        <v>1.0358435898490121</v>
      </c>
      <c r="AI55" s="77" t="s">
        <v>3919</v>
      </c>
      <c r="AJ55">
        <v>5</v>
      </c>
      <c r="AK55" s="2">
        <v>2.0098569999999998</v>
      </c>
      <c r="AL55" s="2">
        <v>1.9574800000000001</v>
      </c>
      <c r="AM55" s="107">
        <f>Table7[[#This Row],[GPU]]/Table7[[#This Row],[expand mode]]</f>
        <v>1.0267573615056091</v>
      </c>
      <c r="AP55" t="e">
        <f>Table7[[#This Row],[GPU]]/Table7[[#This Row],[cpuchunk=10]]</f>
        <v>#DIV/0!</v>
      </c>
    </row>
    <row r="56" spans="2:42" ht="23" hidden="1" x14ac:dyDescent="0.3">
      <c r="B56" s="80" t="s">
        <v>3920</v>
      </c>
      <c r="C56" s="80">
        <v>6</v>
      </c>
      <c r="D56" s="36">
        <v>5.8634139999999997</v>
      </c>
      <c r="E56" s="36">
        <v>3.406231</v>
      </c>
      <c r="F56" s="36">
        <v>3.5727570000000002</v>
      </c>
      <c r="G56" s="36">
        <v>26.891376999999999</v>
      </c>
      <c r="H56" s="36">
        <v>3.3676020000000002</v>
      </c>
      <c r="I56" s="116">
        <f>Table3[[#This Row],[CPU Only]]/Table3[[#This Row],[CPU+GPU (1)]]</f>
        <v>7.9853192271533269</v>
      </c>
      <c r="J56" s="119">
        <f>Table3[[#This Row],[gpu-layered]]/Table3[[#This Row],[CPU+GPU (1)]]</f>
        <v>1.0609202037532939</v>
      </c>
      <c r="K56" s="36">
        <v>3.4364520000000001</v>
      </c>
      <c r="L56" s="116">
        <f>Table3[[#This Row],[CPU+GPU (10)]]/Table3[[#This Row],[CPU+GPU (1)]]</f>
        <v>1.0204448150345558</v>
      </c>
      <c r="M56" s="116">
        <f>Table3[[#This Row],[gpu-hybrid]]/Table3[[#This Row],[gpu-layered]]</f>
        <v>0.9533900570343854</v>
      </c>
      <c r="N56" s="36">
        <f>Table3[[#This Row],[g2aimd]]/Table3[[#This Row],[gpu-layered]]</f>
        <v>1.6411454795274347</v>
      </c>
      <c r="AI56" s="77" t="s">
        <v>1431</v>
      </c>
      <c r="AJ56">
        <v>2</v>
      </c>
      <c r="AK56" s="2">
        <v>2.023552</v>
      </c>
      <c r="AL56" s="2">
        <v>0.59798799999999996</v>
      </c>
      <c r="AM56" s="107">
        <f>Table7[[#This Row],[GPU]]/Table7[[#This Row],[expand mode]]</f>
        <v>3.3839341257684104</v>
      </c>
      <c r="AP56" t="e">
        <f>Table7[[#This Row],[GPU]]/Table7[[#This Row],[cpuchunk=10]]</f>
        <v>#DIV/0!</v>
      </c>
    </row>
    <row r="57" spans="2:42" ht="23" hidden="1" x14ac:dyDescent="0.3">
      <c r="B57" s="80" t="s">
        <v>4</v>
      </c>
      <c r="C57" s="80">
        <v>5</v>
      </c>
      <c r="D57" s="36">
        <v>47.480569000000003</v>
      </c>
      <c r="E57" s="36">
        <v>41.232602999999997</v>
      </c>
      <c r="F57" s="36">
        <v>43.904589999999999</v>
      </c>
      <c r="G57" s="36" t="s">
        <v>4003</v>
      </c>
      <c r="H57" s="36">
        <v>44.86</v>
      </c>
      <c r="I57" s="116" t="e">
        <f>Table3[[#This Row],[CPU Only]]/Table3[[#This Row],[CPU+GPU (1)]]</f>
        <v>#VALUE!</v>
      </c>
      <c r="J57" s="119">
        <f>Table3[[#This Row],[gpu-layered]]/Table3[[#This Row],[CPU+GPU (1)]]</f>
        <v>0.97870240748996873</v>
      </c>
      <c r="K57" s="36">
        <v>45.52</v>
      </c>
      <c r="L57" s="116">
        <f>Table3[[#This Row],[CPU+GPU (10)]]/Table3[[#This Row],[CPU+GPU (1)]]</f>
        <v>1.0147124386981721</v>
      </c>
      <c r="M57" s="116">
        <f>Table3[[#This Row],[gpu-hybrid]]/Table3[[#This Row],[gpu-layered]]</f>
        <v>0.93914105563905725</v>
      </c>
      <c r="N57" s="36">
        <f>Table3[[#This Row],[g2aimd]]/Table3[[#This Row],[gpu-layered]]</f>
        <v>1.0814488644581353</v>
      </c>
      <c r="AI57" s="77" t="s">
        <v>1</v>
      </c>
      <c r="AJ57">
        <v>24</v>
      </c>
      <c r="AK57" s="2">
        <v>2.031037</v>
      </c>
      <c r="AL57" s="2">
        <v>2.3999739999999998</v>
      </c>
      <c r="AM57" s="107">
        <f>Table7[[#This Row],[GPU]]/Table7[[#This Row],[expand mode]]</f>
        <v>0.84627458464133365</v>
      </c>
      <c r="AP57" t="e">
        <f>Table7[[#This Row],[GPU]]/Table7[[#This Row],[cpuchunk=10]]</f>
        <v>#DIV/0!</v>
      </c>
    </row>
    <row r="58" spans="2:42" ht="23" hidden="1" x14ac:dyDescent="0.3">
      <c r="B58" s="80" t="s">
        <v>6</v>
      </c>
      <c r="C58" s="80">
        <v>9</v>
      </c>
      <c r="D58" s="36">
        <v>24.850701999999998</v>
      </c>
      <c r="E58" s="36">
        <v>32.82</v>
      </c>
      <c r="F58" s="36">
        <v>24.883706</v>
      </c>
      <c r="G58" s="36">
        <v>1539.1344429999999</v>
      </c>
      <c r="H58" s="36">
        <v>24.850791000000001</v>
      </c>
      <c r="I58" s="116">
        <f>Table3[[#This Row],[CPU Only]]/Table3[[#This Row],[CPU+GPU (1)]]</f>
        <v>61.935028265297468</v>
      </c>
      <c r="J58" s="119">
        <f>Table3[[#This Row],[gpu-layered]]/Table3[[#This Row],[CPU+GPU (1)]]</f>
        <v>1.0013245051233983</v>
      </c>
      <c r="K58" s="36">
        <v>25.19</v>
      </c>
      <c r="L58" s="116">
        <f>Table3[[#This Row],[CPU+GPU (10)]]/Table3[[#This Row],[CPU+GPU (1)]]</f>
        <v>1.0136498270819629</v>
      </c>
      <c r="M58" s="116">
        <f>Table3[[#This Row],[gpu-hybrid]]/Table3[[#This Row],[gpu-layered]]</f>
        <v>1.3189353708004747</v>
      </c>
      <c r="N58" s="36">
        <f>Table3[[#This Row],[g2aimd]]/Table3[[#This Row],[gpu-layered]]</f>
        <v>0.99867367023223941</v>
      </c>
      <c r="AI58" s="77" t="s">
        <v>1436</v>
      </c>
      <c r="AJ58">
        <v>25</v>
      </c>
      <c r="AK58" s="2">
        <v>2.174401</v>
      </c>
      <c r="AL58" s="2">
        <v>2.4900000000000002</v>
      </c>
      <c r="AM58" s="107">
        <f>Table7[[#This Row],[GPU]]/Table7[[#This Row],[expand mode]]</f>
        <v>0.87325341365461839</v>
      </c>
      <c r="AP58" t="e">
        <f>Table7[[#This Row],[GPU]]/Table7[[#This Row],[cpuchunk=10]]</f>
        <v>#DIV/0!</v>
      </c>
    </row>
    <row r="59" spans="2:42" ht="23" hidden="1" x14ac:dyDescent="0.3">
      <c r="B59" s="80" t="s">
        <v>4</v>
      </c>
      <c r="C59" s="80">
        <v>9</v>
      </c>
      <c r="D59" s="36">
        <v>7.6169279999999997</v>
      </c>
      <c r="E59" s="36">
        <v>5.2367189999999999</v>
      </c>
      <c r="F59" s="36">
        <v>6.6400360000000003</v>
      </c>
      <c r="G59" s="36">
        <v>985.75977</v>
      </c>
      <c r="H59" s="36">
        <v>8.1999999999999993</v>
      </c>
      <c r="I59" s="116">
        <f>Table3[[#This Row],[CPU Only]]/Table3[[#This Row],[CPU+GPU (1)]]</f>
        <v>120.21460609756099</v>
      </c>
      <c r="J59" s="119">
        <f>Table3[[#This Row],[gpu-layered]]/Table3[[#This Row],[CPU+GPU (1)]]</f>
        <v>0.80976048780487819</v>
      </c>
      <c r="K59" s="36">
        <v>8.3000000000000007</v>
      </c>
      <c r="L59" s="116">
        <f>Table3[[#This Row],[CPU+GPU (10)]]/Table3[[#This Row],[CPU+GPU (1)]]</f>
        <v>1.0121951219512197</v>
      </c>
      <c r="M59" s="116">
        <f>Table3[[#This Row],[gpu-hybrid]]/Table3[[#This Row],[gpu-layered]]</f>
        <v>0.78865822414215825</v>
      </c>
      <c r="N59" s="36">
        <f>Table3[[#This Row],[g2aimd]]/Table3[[#This Row],[gpu-layered]]</f>
        <v>1.1471214915099857</v>
      </c>
      <c r="AI59" s="77" t="s">
        <v>1449</v>
      </c>
      <c r="AJ59">
        <v>25</v>
      </c>
      <c r="AK59" s="2">
        <v>2.2564649999999999</v>
      </c>
      <c r="AL59" s="2">
        <v>2.3250690000000001</v>
      </c>
      <c r="AM59" s="107">
        <f>Table7[[#This Row],[GPU]]/Table7[[#This Row],[expand mode]]</f>
        <v>0.97049377889430377</v>
      </c>
      <c r="AP59" t="e">
        <f>Table7[[#This Row],[GPU]]/Table7[[#This Row],[cpuchunk=10]]</f>
        <v>#DIV/0!</v>
      </c>
    </row>
    <row r="60" spans="2:42" ht="23" hidden="1" x14ac:dyDescent="0.3">
      <c r="B60" s="80" t="s">
        <v>1434</v>
      </c>
      <c r="C60" s="80">
        <v>8</v>
      </c>
      <c r="D60" s="36" t="s">
        <v>4009</v>
      </c>
      <c r="E60" s="36">
        <v>121.24</v>
      </c>
      <c r="F60" s="36">
        <v>91.497511000000003</v>
      </c>
      <c r="G60" s="36" t="s">
        <v>3990</v>
      </c>
      <c r="H60" s="36">
        <v>89.974523000000005</v>
      </c>
      <c r="I60" s="116" t="e">
        <f>Table3[[#This Row],[CPU Only]]/Table3[[#This Row],[CPU+GPU (1)]]</f>
        <v>#VALUE!</v>
      </c>
      <c r="J60" s="119">
        <f>Table3[[#This Row],[gpu-layered]]/Table3[[#This Row],[CPU+GPU (1)]]</f>
        <v>1.016926880512609</v>
      </c>
      <c r="K60" s="36">
        <v>91.06</v>
      </c>
      <c r="L60" s="116">
        <f>Table3[[#This Row],[CPU+GPU (10)]]/Table3[[#This Row],[CPU+GPU (1)]]</f>
        <v>1.0120642706824909</v>
      </c>
      <c r="M60" s="116">
        <f>Table3[[#This Row],[gpu-hybrid]]/Table3[[#This Row],[gpu-layered]]</f>
        <v>1.325063367024268</v>
      </c>
      <c r="N60" s="36" t="e">
        <f>Table3[[#This Row],[g2aimd]]/Table3[[#This Row],[gpu-layered]]</f>
        <v>#VALUE!</v>
      </c>
      <c r="AI60" s="77" t="s">
        <v>1434</v>
      </c>
      <c r="AJ60">
        <v>2</v>
      </c>
      <c r="AK60" s="2">
        <v>2.2730779999999999</v>
      </c>
      <c r="AL60" s="2">
        <v>2.3137690000000002</v>
      </c>
      <c r="AM60" s="107">
        <f>Table7[[#This Row],[GPU]]/Table7[[#This Row],[expand mode]]</f>
        <v>0.98241354257922886</v>
      </c>
      <c r="AP60" t="e">
        <f>Table7[[#This Row],[GPU]]/Table7[[#This Row],[cpuchunk=10]]</f>
        <v>#DIV/0!</v>
      </c>
    </row>
    <row r="61" spans="2:42" ht="23" hidden="1" x14ac:dyDescent="0.3">
      <c r="B61" s="80" t="s">
        <v>7</v>
      </c>
      <c r="C61" s="80">
        <v>6</v>
      </c>
      <c r="D61" s="36">
        <v>1217.675581</v>
      </c>
      <c r="E61" s="36">
        <v>1364.56</v>
      </c>
      <c r="F61" s="36">
        <v>1142.9680169999999</v>
      </c>
      <c r="G61" s="36" t="s">
        <v>4003</v>
      </c>
      <c r="H61" s="36">
        <v>1131.5588749999999</v>
      </c>
      <c r="I61" s="116" t="e">
        <f>Table3[[#This Row],[CPU Only]]/Table3[[#This Row],[CPU+GPU (1)]]</f>
        <v>#VALUE!</v>
      </c>
      <c r="J61" s="119">
        <f>Table3[[#This Row],[gpu-layered]]/Table3[[#This Row],[CPU+GPU (1)]]</f>
        <v>1.0100826764316615</v>
      </c>
      <c r="K61" s="36">
        <v>1142.8599999999999</v>
      </c>
      <c r="L61" s="116">
        <f>Table3[[#This Row],[CPU+GPU (10)]]/Table3[[#This Row],[CPU+GPU (1)]]</f>
        <v>1.0099872178546609</v>
      </c>
      <c r="M61" s="116">
        <f>Table3[[#This Row],[gpu-hybrid]]/Table3[[#This Row],[gpu-layered]]</f>
        <v>1.1938741764460064</v>
      </c>
      <c r="N61" s="36">
        <f>Table3[[#This Row],[g2aimd]]/Table3[[#This Row],[gpu-layered]]</f>
        <v>1.065362777338327</v>
      </c>
      <c r="AI61" s="77" t="s">
        <v>3912</v>
      </c>
      <c r="AJ61">
        <v>25</v>
      </c>
      <c r="AK61" s="2">
        <v>2.3830969999999998</v>
      </c>
      <c r="AL61" s="2">
        <v>2.5113150000000002</v>
      </c>
      <c r="AM61" s="107">
        <f>Table7[[#This Row],[GPU]]/Table7[[#This Row],[expand mode]]</f>
        <v>0.94894387999912377</v>
      </c>
      <c r="AP61" t="e">
        <f>Table7[[#This Row],[GPU]]/Table7[[#This Row],[cpuchunk=10]]</f>
        <v>#DIV/0!</v>
      </c>
    </row>
    <row r="62" spans="2:42" ht="23" hidden="1" x14ac:dyDescent="0.3">
      <c r="B62" s="80" t="s">
        <v>3919</v>
      </c>
      <c r="C62" s="80">
        <v>9</v>
      </c>
      <c r="D62" s="36">
        <v>2.8009819999999999</v>
      </c>
      <c r="E62" s="36">
        <v>0.73023899999999997</v>
      </c>
      <c r="F62" s="36">
        <v>0.948967</v>
      </c>
      <c r="G62" s="36">
        <v>18.058859000000002</v>
      </c>
      <c r="H62" s="36">
        <v>0.96928099999999995</v>
      </c>
      <c r="I62" s="116">
        <f>Table3[[#This Row],[CPU Only]]/Table3[[#This Row],[CPU+GPU (1)]]</f>
        <v>18.63119054226793</v>
      </c>
      <c r="J62" s="119">
        <f>Table3[[#This Row],[gpu-layered]]/Table3[[#This Row],[CPU+GPU (1)]]</f>
        <v>0.97904219725755492</v>
      </c>
      <c r="K62" s="36">
        <v>0.97624100000000003</v>
      </c>
      <c r="L62" s="116">
        <f>Table3[[#This Row],[CPU+GPU (10)]]/Table3[[#This Row],[CPU+GPU (1)]]</f>
        <v>1.0071805802445319</v>
      </c>
      <c r="M62" s="116">
        <f>Table3[[#This Row],[gpu-hybrid]]/Table3[[#This Row],[gpu-layered]]</f>
        <v>0.76950937176951351</v>
      </c>
      <c r="N62" s="36">
        <f>Table3[[#This Row],[g2aimd]]/Table3[[#This Row],[gpu-layered]]</f>
        <v>2.9516115945022321</v>
      </c>
      <c r="AI62" s="77" t="s">
        <v>1431</v>
      </c>
      <c r="AJ62">
        <v>5</v>
      </c>
      <c r="AK62" s="2">
        <v>2.4282240000000002</v>
      </c>
      <c r="AL62" s="2">
        <v>1.02386</v>
      </c>
      <c r="AM62" s="107">
        <f>Table7[[#This Row],[GPU]]/Table7[[#This Row],[expand mode]]</f>
        <v>2.3716367472115332</v>
      </c>
      <c r="AP62" t="e">
        <f>Table7[[#This Row],[GPU]]/Table7[[#This Row],[cpuchunk=10]]</f>
        <v>#DIV/0!</v>
      </c>
    </row>
    <row r="63" spans="2:42" ht="23" hidden="1" x14ac:dyDescent="0.3">
      <c r="B63" s="80" t="s">
        <v>3913</v>
      </c>
      <c r="C63" s="80">
        <v>6</v>
      </c>
      <c r="D63" s="36">
        <v>839.63829299999998</v>
      </c>
      <c r="E63" s="36">
        <v>1505.52</v>
      </c>
      <c r="F63" s="36">
        <v>815.00892799999997</v>
      </c>
      <c r="G63" s="36" t="s">
        <v>3990</v>
      </c>
      <c r="H63" s="36">
        <v>790.00315999999998</v>
      </c>
      <c r="I63" s="116" t="e">
        <f>Table3[[#This Row],[CPU Only]]/Table3[[#This Row],[CPU+GPU (1)]]</f>
        <v>#VALUE!</v>
      </c>
      <c r="J63" s="119">
        <f>Table3[[#This Row],[gpu-layered]]/Table3[[#This Row],[CPU+GPU (1)]]</f>
        <v>1.0316527442750989</v>
      </c>
      <c r="K63" s="36">
        <v>795.23</v>
      </c>
      <c r="L63" s="116">
        <f>Table3[[#This Row],[CPU+GPU (10)]]/Table3[[#This Row],[CPU+GPU (1)]]</f>
        <v>1.0066162266996501</v>
      </c>
      <c r="M63" s="116">
        <f>Table3[[#This Row],[gpu-hybrid]]/Table3[[#This Row],[gpu-layered]]</f>
        <v>1.8472435678643266</v>
      </c>
      <c r="N63" s="36">
        <f>Table3[[#This Row],[g2aimd]]/Table3[[#This Row],[gpu-layered]]</f>
        <v>1.030219748709305</v>
      </c>
      <c r="AI63" s="77" t="s">
        <v>1450</v>
      </c>
      <c r="AJ63">
        <v>25</v>
      </c>
      <c r="AK63" s="2">
        <v>2.7511410000000001</v>
      </c>
      <c r="AL63" s="2">
        <v>2.8245459999999998</v>
      </c>
      <c r="AM63" s="107">
        <f>Table7[[#This Row],[GPU]]/Table7[[#This Row],[expand mode]]</f>
        <v>0.97401175268521034</v>
      </c>
      <c r="AP63" t="e">
        <f>Table7[[#This Row],[GPU]]/Table7[[#This Row],[cpuchunk=10]]</f>
        <v>#DIV/0!</v>
      </c>
    </row>
    <row r="64" spans="2:42" ht="23" hidden="1" x14ac:dyDescent="0.3">
      <c r="B64" s="80" t="s">
        <v>1371</v>
      </c>
      <c r="C64" s="80">
        <v>5</v>
      </c>
      <c r="D64" s="36">
        <v>4.8828569999999996</v>
      </c>
      <c r="E64" s="36">
        <v>2.6638769999999998</v>
      </c>
      <c r="F64" s="36">
        <v>2.8553199999999999</v>
      </c>
      <c r="G64" s="36">
        <v>117.90758099999999</v>
      </c>
      <c r="H64" s="36">
        <v>3.23</v>
      </c>
      <c r="I64" s="116">
        <f>Table3[[#This Row],[CPU Only]]/Table3[[#This Row],[CPU+GPU (1)]]</f>
        <v>36.503895046439624</v>
      </c>
      <c r="J64" s="119">
        <f>Table3[[#This Row],[gpu-layered]]/Table3[[#This Row],[CPU+GPU (1)]]</f>
        <v>0.88400000000000001</v>
      </c>
      <c r="K64" s="36">
        <v>3.25</v>
      </c>
      <c r="L64" s="116">
        <f>Table3[[#This Row],[CPU+GPU (10)]]/Table3[[#This Row],[CPU+GPU (1)]]</f>
        <v>1.0061919504643964</v>
      </c>
      <c r="M64" s="116">
        <f>Table3[[#This Row],[gpu-hybrid]]/Table3[[#This Row],[gpu-layered]]</f>
        <v>0.93295217348668447</v>
      </c>
      <c r="N64" s="36">
        <f>Table3[[#This Row],[g2aimd]]/Table3[[#This Row],[gpu-layered]]</f>
        <v>1.7100909880503761</v>
      </c>
      <c r="AI64" s="77" t="s">
        <v>1461</v>
      </c>
      <c r="AJ64">
        <v>24</v>
      </c>
      <c r="AK64" s="2">
        <v>2.8523550000000002</v>
      </c>
      <c r="AL64" s="2">
        <v>3.4593389999999999</v>
      </c>
      <c r="AM64" s="107">
        <f>Table7[[#This Row],[GPU]]/Table7[[#This Row],[expand mode]]</f>
        <v>0.82453757784362858</v>
      </c>
      <c r="AP64" t="e">
        <f>Table7[[#This Row],[GPU]]/Table7[[#This Row],[cpuchunk=10]]</f>
        <v>#DIV/0!</v>
      </c>
    </row>
    <row r="65" spans="2:42" ht="23" hidden="1" x14ac:dyDescent="0.3">
      <c r="B65" s="80" t="s">
        <v>3917</v>
      </c>
      <c r="C65" s="80">
        <v>8</v>
      </c>
      <c r="D65" s="36">
        <v>22.948722</v>
      </c>
      <c r="E65" s="36">
        <v>39.97</v>
      </c>
      <c r="F65" s="36">
        <v>20.900504999999999</v>
      </c>
      <c r="G65" s="36" t="s">
        <v>3990</v>
      </c>
      <c r="H65" s="36">
        <v>21.01</v>
      </c>
      <c r="I65" s="116" t="e">
        <f>Table3[[#This Row],[CPU Only]]/Table3[[#This Row],[CPU+GPU (1)]]</f>
        <v>#VALUE!</v>
      </c>
      <c r="J65" s="119">
        <f>Table3[[#This Row],[gpu-layered]]/Table3[[#This Row],[CPU+GPU (1)]]</f>
        <v>0.99478843407900985</v>
      </c>
      <c r="K65" s="36">
        <v>21.14</v>
      </c>
      <c r="L65" s="116">
        <f>Table3[[#This Row],[CPU+GPU (10)]]/Table3[[#This Row],[CPU+GPU (1)]]</f>
        <v>1.0061875297477392</v>
      </c>
      <c r="M65" s="116">
        <f>Table3[[#This Row],[gpu-hybrid]]/Table3[[#This Row],[gpu-layered]]</f>
        <v>1.9123939828248169</v>
      </c>
      <c r="N65" s="36">
        <f>Table3[[#This Row],[g2aimd]]/Table3[[#This Row],[gpu-layered]]</f>
        <v>1.0979984454921066</v>
      </c>
      <c r="AI65" s="77" t="s">
        <v>1371</v>
      </c>
      <c r="AJ65">
        <v>5</v>
      </c>
      <c r="AK65" s="2">
        <v>2.8553199999999999</v>
      </c>
      <c r="AL65" s="2">
        <v>3.23</v>
      </c>
      <c r="AM65" s="107">
        <f>Table7[[#This Row],[GPU]]/Table7[[#This Row],[expand mode]]</f>
        <v>0.88400000000000001</v>
      </c>
      <c r="AP65" t="e">
        <f>Table7[[#This Row],[GPU]]/Table7[[#This Row],[cpuchunk=10]]</f>
        <v>#DIV/0!</v>
      </c>
    </row>
    <row r="66" spans="2:42" ht="23" hidden="1" x14ac:dyDescent="0.3">
      <c r="B66" s="80" t="s">
        <v>3919</v>
      </c>
      <c r="C66" s="80">
        <v>2</v>
      </c>
      <c r="D66" s="36">
        <v>2.1774770000000001</v>
      </c>
      <c r="E66" s="36">
        <v>0.28040999999999999</v>
      </c>
      <c r="F66" s="36">
        <v>0.35126800000000002</v>
      </c>
      <c r="G66" s="36">
        <v>5.7128509999999997</v>
      </c>
      <c r="H66" s="36">
        <v>0.38397100000000001</v>
      </c>
      <c r="I66" s="116">
        <f>Table3[[#This Row],[CPU Only]]/Table3[[#This Row],[CPU+GPU (1)]]</f>
        <v>14.878339770451413</v>
      </c>
      <c r="J66" s="119">
        <f>Table3[[#This Row],[gpu-layered]]/Table3[[#This Row],[CPU+GPU (1)]]</f>
        <v>0.9148295053532689</v>
      </c>
      <c r="K66" s="36">
        <v>0.38616499999999998</v>
      </c>
      <c r="L66" s="116">
        <f>Table3[[#This Row],[CPU+GPU (10)]]/Table3[[#This Row],[CPU+GPU (1)]]</f>
        <v>1.0057139731906837</v>
      </c>
      <c r="M66" s="116">
        <f>Table3[[#This Row],[gpu-hybrid]]/Table3[[#This Row],[gpu-layered]]</f>
        <v>0.7982793764305316</v>
      </c>
      <c r="N66" s="36">
        <f>Table3[[#This Row],[g2aimd]]/Table3[[#This Row],[gpu-layered]]</f>
        <v>6.1989051094890506</v>
      </c>
      <c r="AI66" s="77" t="s">
        <v>1461</v>
      </c>
      <c r="AJ66">
        <v>25</v>
      </c>
      <c r="AK66" s="2">
        <v>2.9992399999999999</v>
      </c>
      <c r="AL66" s="2">
        <v>3.3042389999999999</v>
      </c>
      <c r="AM66" s="107">
        <f>Table7[[#This Row],[GPU]]/Table7[[#This Row],[expand mode]]</f>
        <v>0.90769463104817782</v>
      </c>
      <c r="AP66" t="e">
        <f>Table7[[#This Row],[GPU]]/Table7[[#This Row],[cpuchunk=10]]</f>
        <v>#DIV/0!</v>
      </c>
    </row>
    <row r="67" spans="2:42" ht="23" hidden="1" x14ac:dyDescent="0.3">
      <c r="B67" s="80" t="s">
        <v>7</v>
      </c>
      <c r="C67" s="80">
        <v>5</v>
      </c>
      <c r="D67" s="36">
        <v>38.241444000000001</v>
      </c>
      <c r="E67" s="36">
        <v>63.98</v>
      </c>
      <c r="F67" s="36">
        <v>32.547307000000004</v>
      </c>
      <c r="G67" s="36" t="s">
        <v>4003</v>
      </c>
      <c r="H67" s="36">
        <v>32.85</v>
      </c>
      <c r="I67" s="116" t="e">
        <f>Table3[[#This Row],[CPU Only]]/Table3[[#This Row],[CPU+GPU (1)]]</f>
        <v>#VALUE!</v>
      </c>
      <c r="J67" s="119">
        <f>Table3[[#This Row],[gpu-layered]]/Table3[[#This Row],[CPU+GPU (1)]]</f>
        <v>0.99078560121765613</v>
      </c>
      <c r="K67" s="36">
        <v>33.020000000000003</v>
      </c>
      <c r="L67" s="116">
        <f>Table3[[#This Row],[CPU+GPU (10)]]/Table3[[#This Row],[CPU+GPU (1)]]</f>
        <v>1.0051750380517503</v>
      </c>
      <c r="M67" s="116">
        <f>Table3[[#This Row],[gpu-hybrid]]/Table3[[#This Row],[gpu-layered]]</f>
        <v>1.9657540330448842</v>
      </c>
      <c r="N67" s="36">
        <f>Table3[[#This Row],[g2aimd]]/Table3[[#This Row],[gpu-layered]]</f>
        <v>1.1749495588068162</v>
      </c>
      <c r="AI67" s="77" t="s">
        <v>1408</v>
      </c>
      <c r="AJ67">
        <v>18</v>
      </c>
      <c r="AK67" s="2">
        <v>3.0108380000000001</v>
      </c>
      <c r="AL67" s="2">
        <v>3.0394079999999999</v>
      </c>
      <c r="AM67" s="107">
        <f>Table7[[#This Row],[GPU]]/Table7[[#This Row],[expand mode]]</f>
        <v>0.99060014318577838</v>
      </c>
      <c r="AP67" t="e">
        <f>Table7[[#This Row],[GPU]]/Table7[[#This Row],[cpuchunk=10]]</f>
        <v>#DIV/0!</v>
      </c>
    </row>
    <row r="68" spans="2:42" ht="23" hidden="1" x14ac:dyDescent="0.3">
      <c r="B68" s="80" t="s">
        <v>3</v>
      </c>
      <c r="C68" s="80">
        <v>2</v>
      </c>
      <c r="D68" s="36">
        <v>3.84511</v>
      </c>
      <c r="E68" s="36">
        <v>1.815944</v>
      </c>
      <c r="F68" s="36">
        <v>2.15144</v>
      </c>
      <c r="G68" s="36">
        <v>224.57836800000001</v>
      </c>
      <c r="H68" s="36">
        <v>4.3099999999999996</v>
      </c>
      <c r="I68" s="116">
        <f>Table3[[#This Row],[CPU Only]]/Table3[[#This Row],[CPU+GPU (1)]]</f>
        <v>52.106349883990724</v>
      </c>
      <c r="J68" s="119">
        <f>Table3[[#This Row],[gpu-layered]]/Table3[[#This Row],[CPU+GPU (1)]]</f>
        <v>0.49917401392111371</v>
      </c>
      <c r="K68" s="36">
        <v>4.32</v>
      </c>
      <c r="L68" s="116">
        <f>Table3[[#This Row],[CPU+GPU (10)]]/Table3[[#This Row],[CPU+GPU (1)]]</f>
        <v>1.0023201856148494</v>
      </c>
      <c r="M68" s="116">
        <f>Table3[[#This Row],[gpu-hybrid]]/Table3[[#This Row],[gpu-layered]]</f>
        <v>0.84405979251106233</v>
      </c>
      <c r="N68" s="36">
        <f>Table3[[#This Row],[g2aimd]]/Table3[[#This Row],[gpu-layered]]</f>
        <v>1.787226229873945</v>
      </c>
      <c r="AI68" s="77" t="s">
        <v>1408</v>
      </c>
      <c r="AJ68">
        <v>6</v>
      </c>
      <c r="AK68" s="2">
        <v>3.2149070000000002</v>
      </c>
      <c r="AL68" s="2">
        <v>1.486974</v>
      </c>
      <c r="AM68" s="107">
        <f>Table7[[#This Row],[GPU]]/Table7[[#This Row],[expand mode]]</f>
        <v>2.1620465455347571</v>
      </c>
      <c r="AP68" t="e">
        <f>Table7[[#This Row],[GPU]]/Table7[[#This Row],[cpuchunk=10]]</f>
        <v>#DIV/0!</v>
      </c>
    </row>
    <row r="69" spans="2:42" ht="23" hidden="1" x14ac:dyDescent="0.3">
      <c r="B69" s="80" t="s">
        <v>3919</v>
      </c>
      <c r="C69" s="80">
        <v>8</v>
      </c>
      <c r="D69" s="36">
        <v>7.8519019999999999</v>
      </c>
      <c r="E69" s="36">
        <v>16.84</v>
      </c>
      <c r="F69" s="36">
        <v>6.0313509999999999</v>
      </c>
      <c r="G69" s="36">
        <v>126.505053</v>
      </c>
      <c r="H69" s="36">
        <v>5.7578069999999997</v>
      </c>
      <c r="I69" s="116">
        <f>Table3[[#This Row],[CPU Only]]/Table3[[#This Row],[CPU+GPU (1)]]</f>
        <v>21.97104783123158</v>
      </c>
      <c r="J69" s="119">
        <f>Table3[[#This Row],[gpu-layered]]/Table3[[#This Row],[CPU+GPU (1)]]</f>
        <v>1.0475083655982218</v>
      </c>
      <c r="K69" s="36">
        <v>5.77</v>
      </c>
      <c r="L69" s="116">
        <f>Table3[[#This Row],[CPU+GPU (10)]]/Table3[[#This Row],[CPU+GPU (1)]]</f>
        <v>1.0021176465275754</v>
      </c>
      <c r="M69" s="116">
        <f>Table3[[#This Row],[gpu-hybrid]]/Table3[[#This Row],[gpu-layered]]</f>
        <v>2.7920775958819175</v>
      </c>
      <c r="N69" s="36">
        <f>Table3[[#This Row],[g2aimd]]/Table3[[#This Row],[gpu-layered]]</f>
        <v>1.301847960763683</v>
      </c>
      <c r="AI69" s="77" t="s">
        <v>18</v>
      </c>
      <c r="AJ69">
        <v>25</v>
      </c>
      <c r="AK69" s="2">
        <v>3.3076409999999998</v>
      </c>
      <c r="AL69" s="2">
        <v>3.524845</v>
      </c>
      <c r="AM69" s="107">
        <f>Table7[[#This Row],[GPU]]/Table7[[#This Row],[expand mode]]</f>
        <v>0.93837913440165455</v>
      </c>
      <c r="AP69" t="e">
        <f>Table7[[#This Row],[GPU]]/Table7[[#This Row],[cpuchunk=10]]</f>
        <v>#DIV/0!</v>
      </c>
    </row>
    <row r="70" spans="2:42" ht="23" hidden="1" x14ac:dyDescent="0.3">
      <c r="B70" s="80" t="s">
        <v>7</v>
      </c>
      <c r="C70" s="80">
        <v>7</v>
      </c>
      <c r="D70" s="36">
        <v>129.855256</v>
      </c>
      <c r="E70" s="36">
        <v>138.38</v>
      </c>
      <c r="F70" s="36">
        <v>124.091087</v>
      </c>
      <c r="G70" s="36" t="s">
        <v>4003</v>
      </c>
      <c r="H70" s="36">
        <v>124.78</v>
      </c>
      <c r="I70" s="116" t="e">
        <f>Table3[[#This Row],[CPU Only]]/Table3[[#This Row],[CPU+GPU (1)]]</f>
        <v>#VALUE!</v>
      </c>
      <c r="J70" s="119">
        <f>Table3[[#This Row],[gpu-layered]]/Table3[[#This Row],[CPU+GPU (1)]]</f>
        <v>0.99447897900304538</v>
      </c>
      <c r="K70" s="36">
        <v>124.26</v>
      </c>
      <c r="L70" s="116">
        <f>Table3[[#This Row],[CPU+GPU (10)]]/Table3[[#This Row],[CPU+GPU (1)]]</f>
        <v>0.9958326654912647</v>
      </c>
      <c r="M70" s="116">
        <f>Table3[[#This Row],[gpu-hybrid]]/Table3[[#This Row],[gpu-layered]]</f>
        <v>1.1151485843620661</v>
      </c>
      <c r="N70" s="36">
        <f>Table3[[#This Row],[g2aimd]]/Table3[[#This Row],[gpu-layered]]</f>
        <v>1.0464511121576363</v>
      </c>
      <c r="AI70" s="77" t="s">
        <v>1</v>
      </c>
      <c r="AJ70">
        <v>2</v>
      </c>
      <c r="AK70" s="2">
        <v>3.6229019999999998</v>
      </c>
      <c r="AL70" s="2">
        <v>9.3419000000000008</v>
      </c>
      <c r="AM70" s="107">
        <f>Table7[[#This Row],[GPU]]/Table7[[#This Row],[expand mode]]</f>
        <v>0.387812115308449</v>
      </c>
      <c r="AP70" t="e">
        <f>Table7[[#This Row],[GPU]]/Table7[[#This Row],[cpuchunk=10]]</f>
        <v>#DIV/0!</v>
      </c>
    </row>
    <row r="71" spans="2:42" ht="23" hidden="1" x14ac:dyDescent="0.3">
      <c r="B71" s="80" t="s">
        <v>6</v>
      </c>
      <c r="C71" s="80">
        <v>7</v>
      </c>
      <c r="D71" s="36">
        <v>183.435092</v>
      </c>
      <c r="E71" s="36">
        <v>234.63</v>
      </c>
      <c r="F71" s="36">
        <v>183.674194</v>
      </c>
      <c r="G71" s="36" t="s">
        <v>4003</v>
      </c>
      <c r="H71" s="36">
        <v>185.72</v>
      </c>
      <c r="I71" s="116" t="e">
        <f>Table3[[#This Row],[CPU Only]]/Table3[[#This Row],[CPU+GPU (1)]]</f>
        <v>#VALUE!</v>
      </c>
      <c r="J71" s="119">
        <f>Table3[[#This Row],[gpu-layered]]/Table3[[#This Row],[CPU+GPU (1)]]</f>
        <v>0.98898446047813915</v>
      </c>
      <c r="K71" s="36">
        <v>184.52</v>
      </c>
      <c r="L71" s="116">
        <f>Table3[[#This Row],[CPU+GPU (10)]]/Table3[[#This Row],[CPU+GPU (1)]]</f>
        <v>0.99353866034891236</v>
      </c>
      <c r="M71" s="116">
        <f>Table3[[#This Row],[gpu-hybrid]]/Table3[[#This Row],[gpu-layered]]</f>
        <v>1.277424960416595</v>
      </c>
      <c r="N71" s="36">
        <f>Table3[[#This Row],[g2aimd]]/Table3[[#This Row],[gpu-layered]]</f>
        <v>0.99869822758008131</v>
      </c>
      <c r="AI71" s="77" t="s">
        <v>3919</v>
      </c>
      <c r="AJ71">
        <v>7</v>
      </c>
      <c r="AK71" s="2">
        <v>3.7306889999999999</v>
      </c>
      <c r="AL71" s="2">
        <v>3.7988149999999998</v>
      </c>
      <c r="AM71" s="107">
        <f>Table7[[#This Row],[GPU]]/Table7[[#This Row],[expand mode]]</f>
        <v>0.98206651284676938</v>
      </c>
      <c r="AP71" t="e">
        <f>Table7[[#This Row],[GPU]]/Table7[[#This Row],[cpuchunk=10]]</f>
        <v>#DIV/0!</v>
      </c>
    </row>
    <row r="72" spans="2:42" ht="23" hidden="1" x14ac:dyDescent="0.3">
      <c r="B72" s="80" t="s">
        <v>3919</v>
      </c>
      <c r="C72" s="80">
        <v>6</v>
      </c>
      <c r="D72" s="36">
        <v>18.152170999999999</v>
      </c>
      <c r="E72" s="36">
        <v>231.16</v>
      </c>
      <c r="F72" s="36">
        <v>14.641228999999999</v>
      </c>
      <c r="G72" s="36">
        <v>122.148618</v>
      </c>
      <c r="H72" s="36">
        <v>14.312435000000001</v>
      </c>
      <c r="I72" s="116">
        <f>Table3[[#This Row],[CPU Only]]/Table3[[#This Row],[CPU+GPU (1)]]</f>
        <v>8.5344400166708176</v>
      </c>
      <c r="J72" s="119">
        <f>Table3[[#This Row],[gpu-layered]]/Table3[[#This Row],[CPU+GPU (1)]]</f>
        <v>1.0229726108799795</v>
      </c>
      <c r="K72" s="36">
        <v>14.177133</v>
      </c>
      <c r="L72" s="116">
        <f>Table3[[#This Row],[CPU+GPU (10)]]/Table3[[#This Row],[CPU+GPU (1)]]</f>
        <v>0.9905465422201043</v>
      </c>
      <c r="M72" s="116">
        <f>Table3[[#This Row],[gpu-hybrid]]/Table3[[#This Row],[gpu-layered]]</f>
        <v>15.78829208941408</v>
      </c>
      <c r="N72" s="36">
        <f>Table3[[#This Row],[g2aimd]]/Table3[[#This Row],[gpu-layered]]</f>
        <v>1.2397983120132881</v>
      </c>
      <c r="AI72" s="77" t="s">
        <v>18</v>
      </c>
      <c r="AJ72">
        <v>24</v>
      </c>
      <c r="AK72" s="2">
        <v>3.8970630000000002</v>
      </c>
      <c r="AL72" s="2">
        <v>3.7520359999999999</v>
      </c>
      <c r="AM72" s="107">
        <f>Table7[[#This Row],[GPU]]/Table7[[#This Row],[expand mode]]</f>
        <v>1.0386528807292894</v>
      </c>
      <c r="AP72" t="e">
        <f>Table7[[#This Row],[GPU]]/Table7[[#This Row],[cpuchunk=10]]</f>
        <v>#DIV/0!</v>
      </c>
    </row>
    <row r="73" spans="2:42" ht="23" hidden="1" x14ac:dyDescent="0.3">
      <c r="B73" s="80" t="s">
        <v>1346</v>
      </c>
      <c r="C73" s="80">
        <v>8</v>
      </c>
      <c r="D73" s="36">
        <v>37.425060000000002</v>
      </c>
      <c r="E73" s="36">
        <v>42.74</v>
      </c>
      <c r="F73" s="36">
        <v>34.536710999999997</v>
      </c>
      <c r="G73" s="36" t="s">
        <v>4003</v>
      </c>
      <c r="H73" s="36">
        <v>35.340000000000003</v>
      </c>
      <c r="I73" s="116" t="e">
        <f>Table3[[#This Row],[CPU Only]]/Table3[[#This Row],[CPU+GPU (1)]]</f>
        <v>#VALUE!</v>
      </c>
      <c r="J73" s="119">
        <f>Table3[[#This Row],[gpu-layered]]/Table3[[#This Row],[CPU+GPU (1)]]</f>
        <v>0.97726969439728339</v>
      </c>
      <c r="K73" s="36">
        <v>34.840000000000003</v>
      </c>
      <c r="L73" s="116">
        <f>Table3[[#This Row],[CPU+GPU (10)]]/Table3[[#This Row],[CPU+GPU (1)]]</f>
        <v>0.98585172608941707</v>
      </c>
      <c r="M73" s="116">
        <f>Table3[[#This Row],[gpu-hybrid]]/Table3[[#This Row],[gpu-layered]]</f>
        <v>1.2375237468327545</v>
      </c>
      <c r="N73" s="36">
        <f>Table3[[#This Row],[g2aimd]]/Table3[[#This Row],[gpu-layered]]</f>
        <v>1.0836312699260797</v>
      </c>
      <c r="AI73" s="77" t="s">
        <v>1434</v>
      </c>
      <c r="AJ73">
        <v>25</v>
      </c>
      <c r="AK73" s="2">
        <v>3.970812</v>
      </c>
      <c r="AL73" s="2">
        <v>4.0998340000000004</v>
      </c>
      <c r="AM73" s="107">
        <f>Table7[[#This Row],[GPU]]/Table7[[#This Row],[expand mode]]</f>
        <v>0.96852994535876324</v>
      </c>
      <c r="AP73" t="e">
        <f>Table7[[#This Row],[GPU]]/Table7[[#This Row],[cpuchunk=10]]</f>
        <v>#DIV/0!</v>
      </c>
    </row>
    <row r="74" spans="2:42" ht="23" hidden="1" x14ac:dyDescent="0.3">
      <c r="B74" s="80" t="s">
        <v>3920</v>
      </c>
      <c r="C74" s="80">
        <v>9</v>
      </c>
      <c r="D74" s="36">
        <v>2.4253800000000001</v>
      </c>
      <c r="E74" s="36">
        <v>0.42129</v>
      </c>
      <c r="F74" s="36">
        <v>0.561531</v>
      </c>
      <c r="G74" s="36">
        <v>6.9036080000000002</v>
      </c>
      <c r="H74" s="36">
        <v>0.57375299999999996</v>
      </c>
      <c r="I74" s="116">
        <f>Table3[[#This Row],[CPU Only]]/Table3[[#This Row],[CPU+GPU (1)]]</f>
        <v>12.03236932965928</v>
      </c>
      <c r="J74" s="119">
        <f>Table3[[#This Row],[gpu-layered]]/Table3[[#This Row],[CPU+GPU (1)]]</f>
        <v>0.97869815059790544</v>
      </c>
      <c r="K74" s="36">
        <v>0.56545599999999996</v>
      </c>
      <c r="L74" s="116">
        <f>Table3[[#This Row],[CPU+GPU (10)]]/Table3[[#This Row],[CPU+GPU (1)]]</f>
        <v>0.98553907343403868</v>
      </c>
      <c r="M74" s="116">
        <f>Table3[[#This Row],[gpu-hybrid]]/Table3[[#This Row],[gpu-layered]]</f>
        <v>0.7502524348611207</v>
      </c>
      <c r="N74" s="36">
        <f>Table3[[#This Row],[g2aimd]]/Table3[[#This Row],[gpu-layered]]</f>
        <v>4.3192272554854494</v>
      </c>
      <c r="AI74" s="77" t="s">
        <v>1425</v>
      </c>
      <c r="AJ74">
        <v>2</v>
      </c>
      <c r="AK74" s="2">
        <v>4.2398239999999996</v>
      </c>
      <c r="AL74" s="2">
        <v>19.149999999999999</v>
      </c>
      <c r="AM74" s="107">
        <f>Table7[[#This Row],[GPU]]/Table7[[#This Row],[expand mode]]</f>
        <v>0.22140073107049607</v>
      </c>
      <c r="AP74" t="e">
        <f>Table7[[#This Row],[GPU]]/Table7[[#This Row],[cpuchunk=10]]</f>
        <v>#DIV/0!</v>
      </c>
    </row>
    <row r="75" spans="2:42" ht="23" hidden="1" x14ac:dyDescent="0.3">
      <c r="B75" s="80" t="s">
        <v>6</v>
      </c>
      <c r="C75" s="80">
        <v>8</v>
      </c>
      <c r="D75" s="36">
        <v>194.56833</v>
      </c>
      <c r="E75" s="36">
        <v>428.51</v>
      </c>
      <c r="F75" s="36">
        <v>211.04357400000001</v>
      </c>
      <c r="G75" s="36" t="s">
        <v>4003</v>
      </c>
      <c r="H75" s="36">
        <v>209.85</v>
      </c>
      <c r="I75" s="116" t="e">
        <f>Table3[[#This Row],[CPU Only]]/Table3[[#This Row],[CPU+GPU (1)]]</f>
        <v>#VALUE!</v>
      </c>
      <c r="J75" s="119">
        <f>Table3[[#This Row],[gpu-layered]]/Table3[[#This Row],[CPU+GPU (1)]]</f>
        <v>1.0056877483917084</v>
      </c>
      <c r="K75" s="36">
        <v>206.21</v>
      </c>
      <c r="L75" s="116">
        <f>Table3[[#This Row],[CPU+GPU (10)]]/Table3[[#This Row],[CPU+GPU (1)]]</f>
        <v>0.98265427686442708</v>
      </c>
      <c r="M75" s="116">
        <f>Table3[[#This Row],[gpu-hybrid]]/Table3[[#This Row],[gpu-layered]]</f>
        <v>2.0304337719375432</v>
      </c>
      <c r="N75" s="36">
        <f>Table3[[#This Row],[g2aimd]]/Table3[[#This Row],[gpu-layered]]</f>
        <v>0.92193439635361751</v>
      </c>
      <c r="AI75" s="77" t="s">
        <v>1411</v>
      </c>
      <c r="AJ75">
        <v>9</v>
      </c>
      <c r="AK75" s="2">
        <v>4.4936379999999998</v>
      </c>
      <c r="AL75" s="2">
        <v>37.25</v>
      </c>
      <c r="AM75" s="107">
        <f>Table7[[#This Row],[GPU]]/Table7[[#This Row],[expand mode]]</f>
        <v>0.12063457718120804</v>
      </c>
      <c r="AP75" t="e">
        <f>Table7[[#This Row],[GPU]]/Table7[[#This Row],[cpuchunk=10]]</f>
        <v>#DIV/0!</v>
      </c>
    </row>
    <row r="76" spans="2:42" ht="23" hidden="1" x14ac:dyDescent="0.3">
      <c r="B76" s="80" t="s">
        <v>1462</v>
      </c>
      <c r="C76" s="80">
        <v>8</v>
      </c>
      <c r="D76" s="36">
        <v>6.4689100000000002</v>
      </c>
      <c r="E76" s="36">
        <v>4.6888670000000001</v>
      </c>
      <c r="F76" s="36">
        <v>5.2331940000000001</v>
      </c>
      <c r="G76" s="36">
        <v>421.41624300000001</v>
      </c>
      <c r="H76" s="36">
        <v>5.53</v>
      </c>
      <c r="I76" s="116">
        <f>Table3[[#This Row],[CPU Only]]/Table3[[#This Row],[CPU+GPU (1)]]</f>
        <v>76.205468896925851</v>
      </c>
      <c r="J76" s="119">
        <f>Table3[[#This Row],[gpu-layered]]/Table3[[#This Row],[CPU+GPU (1)]]</f>
        <v>0.9463280289330922</v>
      </c>
      <c r="K76" s="36">
        <v>5.42</v>
      </c>
      <c r="L76" s="116">
        <f>Table3[[#This Row],[CPU+GPU (10)]]/Table3[[#This Row],[CPU+GPU (1)]]</f>
        <v>0.98010849909584086</v>
      </c>
      <c r="M76" s="116">
        <f>Table3[[#This Row],[gpu-hybrid]]/Table3[[#This Row],[gpu-layered]]</f>
        <v>0.8959857020397104</v>
      </c>
      <c r="N76" s="36">
        <f>Table3[[#This Row],[g2aimd]]/Table3[[#This Row],[gpu-layered]]</f>
        <v>1.2361303632160399</v>
      </c>
      <c r="AI76" s="77" t="s">
        <v>1</v>
      </c>
      <c r="AJ76">
        <v>25</v>
      </c>
      <c r="AK76" s="2">
        <v>4.7557159999999996</v>
      </c>
      <c r="AL76" s="2">
        <v>4.9436109999999998</v>
      </c>
      <c r="AM76" s="107">
        <f>Table7[[#This Row],[GPU]]/Table7[[#This Row],[expand mode]]</f>
        <v>0.96199235740838018</v>
      </c>
      <c r="AP76" t="e">
        <f>Table7[[#This Row],[GPU]]/Table7[[#This Row],[cpuchunk=10]]</f>
        <v>#DIV/0!</v>
      </c>
    </row>
    <row r="77" spans="2:42" ht="23" hidden="1" x14ac:dyDescent="0.3">
      <c r="B77" s="80" t="s">
        <v>4</v>
      </c>
      <c r="C77" s="80">
        <v>8</v>
      </c>
      <c r="D77" s="36">
        <v>141.626859</v>
      </c>
      <c r="E77" s="36">
        <v>182.3</v>
      </c>
      <c r="F77" s="36">
        <v>153.56200100000001</v>
      </c>
      <c r="G77" s="36" t="s">
        <v>4003</v>
      </c>
      <c r="H77" s="36">
        <v>149.04</v>
      </c>
      <c r="I77" s="116" t="e">
        <f>Table3[[#This Row],[CPU Only]]/Table3[[#This Row],[CPU+GPU (1)]]</f>
        <v>#VALUE!</v>
      </c>
      <c r="J77" s="119">
        <f>Table3[[#This Row],[gpu-layered]]/Table3[[#This Row],[CPU+GPU (1)]]</f>
        <v>1.0303408548040796</v>
      </c>
      <c r="K77" s="36">
        <v>145.37</v>
      </c>
      <c r="L77" s="116">
        <f>Table3[[#This Row],[CPU+GPU (10)]]/Table3[[#This Row],[CPU+GPU (1)]]</f>
        <v>0.97537573805689759</v>
      </c>
      <c r="M77" s="116">
        <f>Table3[[#This Row],[gpu-hybrid]]/Table3[[#This Row],[gpu-layered]]</f>
        <v>1.1871426447484232</v>
      </c>
      <c r="N77" s="36">
        <f>Table3[[#This Row],[g2aimd]]/Table3[[#This Row],[gpu-layered]]</f>
        <v>0.92227802501739986</v>
      </c>
      <c r="AI77" s="77" t="s">
        <v>1391</v>
      </c>
      <c r="AJ77">
        <v>5</v>
      </c>
      <c r="AK77" s="2">
        <v>4.8162799999999999</v>
      </c>
      <c r="AL77" s="2">
        <v>3.6336750000000002</v>
      </c>
      <c r="AM77" s="107">
        <f>Table7[[#This Row],[GPU]]/Table7[[#This Row],[expand mode]]</f>
        <v>1.3254570097766034</v>
      </c>
      <c r="AP77" t="e">
        <f>Table7[[#This Row],[GPU]]/Table7[[#This Row],[cpuchunk=10]]</f>
        <v>#DIV/0!</v>
      </c>
    </row>
    <row r="78" spans="2:42" ht="23" hidden="1" x14ac:dyDescent="0.3">
      <c r="B78" s="80" t="s">
        <v>3920</v>
      </c>
      <c r="C78" s="80">
        <v>8</v>
      </c>
      <c r="D78" s="36">
        <v>3.6435110000000002</v>
      </c>
      <c r="E78" s="36">
        <v>1.647799</v>
      </c>
      <c r="F78" s="36">
        <v>2.1922809999999999</v>
      </c>
      <c r="G78" s="36">
        <v>39.925942999999997</v>
      </c>
      <c r="H78" s="36">
        <v>2.0666129999999998</v>
      </c>
      <c r="I78" s="116">
        <f>Table3[[#This Row],[CPU Only]]/Table3[[#This Row],[CPU+GPU (1)]]</f>
        <v>19.319506361374867</v>
      </c>
      <c r="J78" s="119">
        <f>Table3[[#This Row],[gpu-layered]]/Table3[[#This Row],[CPU+GPU (1)]]</f>
        <v>1.0608086758381952</v>
      </c>
      <c r="K78" s="36">
        <v>2.0116350000000001</v>
      </c>
      <c r="L78" s="116">
        <f>Table3[[#This Row],[CPU+GPU (10)]]/Table3[[#This Row],[CPU+GPU (1)]]</f>
        <v>0.97339705111697272</v>
      </c>
      <c r="M78" s="116">
        <f>Table3[[#This Row],[gpu-hybrid]]/Table3[[#This Row],[gpu-layered]]</f>
        <v>0.75163676554237346</v>
      </c>
      <c r="N78" s="36">
        <f>Table3[[#This Row],[g2aimd]]/Table3[[#This Row],[gpu-layered]]</f>
        <v>1.661972621210511</v>
      </c>
      <c r="AI78" s="77" t="s">
        <v>1425</v>
      </c>
      <c r="AJ78">
        <v>9</v>
      </c>
      <c r="AK78" s="2">
        <v>5.2190339999999997</v>
      </c>
      <c r="AL78" s="2">
        <v>8.3800000000000008</v>
      </c>
      <c r="AM78" s="107">
        <f>Table7[[#This Row],[GPU]]/Table7[[#This Row],[expand mode]]</f>
        <v>0.62279642004773261</v>
      </c>
      <c r="AP78" t="e">
        <f>Table7[[#This Row],[GPU]]/Table7[[#This Row],[cpuchunk=10]]</f>
        <v>#DIV/0!</v>
      </c>
    </row>
    <row r="79" spans="2:42" ht="23" hidden="1" x14ac:dyDescent="0.3">
      <c r="B79" s="80" t="s">
        <v>1462</v>
      </c>
      <c r="C79" s="80">
        <v>7</v>
      </c>
      <c r="D79" s="36">
        <v>5.9236139999999997</v>
      </c>
      <c r="E79" s="36">
        <v>5.7007940000000001</v>
      </c>
      <c r="F79" s="36">
        <v>6.1118319999999997</v>
      </c>
      <c r="G79" s="36">
        <v>356.14324099999999</v>
      </c>
      <c r="H79" s="36">
        <v>6.59</v>
      </c>
      <c r="I79" s="116">
        <f>Table3[[#This Row],[CPU Only]]/Table3[[#This Row],[CPU+GPU (1)]]</f>
        <v>54.042980424886188</v>
      </c>
      <c r="J79" s="119">
        <f>Table3[[#This Row],[gpu-layered]]/Table3[[#This Row],[CPU+GPU (1)]]</f>
        <v>0.92744036418816389</v>
      </c>
      <c r="K79" s="36">
        <v>6.41</v>
      </c>
      <c r="L79" s="116">
        <f>Table3[[#This Row],[CPU+GPU (10)]]/Table3[[#This Row],[CPU+GPU (1)]]</f>
        <v>0.9726858877086495</v>
      </c>
      <c r="M79" s="116">
        <f>Table3[[#This Row],[gpu-hybrid]]/Table3[[#This Row],[gpu-layered]]</f>
        <v>0.93274716975204819</v>
      </c>
      <c r="N79" s="36">
        <f>Table3[[#This Row],[g2aimd]]/Table3[[#This Row],[gpu-layered]]</f>
        <v>0.96920432367905396</v>
      </c>
      <c r="AI79" s="77" t="s">
        <v>3912</v>
      </c>
      <c r="AJ79">
        <v>9</v>
      </c>
      <c r="AK79" s="2">
        <v>5.362946</v>
      </c>
      <c r="AL79" s="2">
        <v>5.6056730000000003</v>
      </c>
      <c r="AM79" s="107">
        <f>Table7[[#This Row],[GPU]]/Table7[[#This Row],[expand mode]]</f>
        <v>0.95669975754918268</v>
      </c>
      <c r="AP79" t="e">
        <f>Table7[[#This Row],[GPU]]/Table7[[#This Row],[cpuchunk=10]]</f>
        <v>#DIV/0!</v>
      </c>
    </row>
    <row r="80" spans="2:42" ht="23" hidden="1" x14ac:dyDescent="0.3">
      <c r="B80" s="80" t="s">
        <v>3912</v>
      </c>
      <c r="C80" s="80">
        <v>9</v>
      </c>
      <c r="D80" s="36">
        <v>7.2557400000000003</v>
      </c>
      <c r="E80" s="36">
        <v>13</v>
      </c>
      <c r="F80" s="36">
        <v>5.362946</v>
      </c>
      <c r="G80" s="36">
        <v>267.42445199999997</v>
      </c>
      <c r="H80" s="36">
        <v>5.6056730000000003</v>
      </c>
      <c r="I80" s="116">
        <f>Table3[[#This Row],[CPU Only]]/Table3[[#This Row],[CPU+GPU (1)]]</f>
        <v>47.706038507775958</v>
      </c>
      <c r="J80" s="119">
        <f>Table3[[#This Row],[gpu-layered]]/Table3[[#This Row],[CPU+GPU (1)]]</f>
        <v>0.95669975754918268</v>
      </c>
      <c r="K80" s="36">
        <v>5.4</v>
      </c>
      <c r="L80" s="116">
        <f>Table3[[#This Row],[CPU+GPU (10)]]/Table3[[#This Row],[CPU+GPU (1)]]</f>
        <v>0.96330984700677336</v>
      </c>
      <c r="M80" s="116">
        <f>Table3[[#This Row],[gpu-hybrid]]/Table3[[#This Row],[gpu-layered]]</f>
        <v>2.4240408163721954</v>
      </c>
      <c r="N80" s="36">
        <f>Table3[[#This Row],[g2aimd]]/Table3[[#This Row],[gpu-layered]]</f>
        <v>1.3529392240757225</v>
      </c>
      <c r="AI80" s="77" t="s">
        <v>1461</v>
      </c>
      <c r="AJ80">
        <v>2</v>
      </c>
      <c r="AK80" s="2">
        <v>5.4978040000000004</v>
      </c>
      <c r="AL80" s="2">
        <v>29.18</v>
      </c>
      <c r="AM80" s="107">
        <f>Table7[[#This Row],[GPU]]/Table7[[#This Row],[expand mode]]</f>
        <v>0.1884100068540096</v>
      </c>
      <c r="AP80" t="e">
        <f>Table7[[#This Row],[GPU]]/Table7[[#This Row],[cpuchunk=10]]</f>
        <v>#DIV/0!</v>
      </c>
    </row>
    <row r="81" spans="2:43" ht="23" hidden="1" x14ac:dyDescent="0.3">
      <c r="B81" s="80" t="s">
        <v>1462</v>
      </c>
      <c r="C81" s="80">
        <v>9</v>
      </c>
      <c r="D81" s="36">
        <v>2.9886979999999999</v>
      </c>
      <c r="E81" s="36">
        <v>1.2163930000000001</v>
      </c>
      <c r="F81" s="36">
        <v>1.2906679999999999</v>
      </c>
      <c r="G81" s="36">
        <v>9.6160619999999994</v>
      </c>
      <c r="H81" s="36">
        <v>1.474232</v>
      </c>
      <c r="I81" s="116">
        <f>Table3[[#This Row],[CPU Only]]/Table3[[#This Row],[CPU+GPU (1)]]</f>
        <v>6.5227603253761952</v>
      </c>
      <c r="J81" s="119">
        <f>Table3[[#This Row],[gpu-layered]]/Table3[[#This Row],[CPU+GPU (1)]]</f>
        <v>0.87548499829063531</v>
      </c>
      <c r="K81" s="36">
        <v>1.4097999999999999</v>
      </c>
      <c r="L81" s="116">
        <f>Table3[[#This Row],[CPU+GPU (10)]]/Table3[[#This Row],[CPU+GPU (1)]]</f>
        <v>0.95629453166123102</v>
      </c>
      <c r="M81" s="116">
        <f>Table3[[#This Row],[gpu-hybrid]]/Table3[[#This Row],[gpu-layered]]</f>
        <v>0.94245228052450369</v>
      </c>
      <c r="N81" s="36">
        <f>Table3[[#This Row],[g2aimd]]/Table3[[#This Row],[gpu-layered]]</f>
        <v>2.3156210582427086</v>
      </c>
      <c r="AI81" s="77" t="s">
        <v>18</v>
      </c>
      <c r="AJ81">
        <v>9</v>
      </c>
      <c r="AK81" s="2">
        <v>5.5034890000000001</v>
      </c>
      <c r="AL81" s="2">
        <v>14.01</v>
      </c>
      <c r="AM81" s="107">
        <f>Table7[[#This Row],[GPU]]/Table7[[#This Row],[expand mode]]</f>
        <v>0.39282576730906499</v>
      </c>
      <c r="AP81" t="e">
        <f>Table7[[#This Row],[GPU]]/Table7[[#This Row],[cpuchunk=10]]</f>
        <v>#DIV/0!</v>
      </c>
    </row>
    <row r="82" spans="2:43" ht="23" hidden="1" x14ac:dyDescent="0.3">
      <c r="B82" s="80" t="s">
        <v>3920</v>
      </c>
      <c r="C82" s="80">
        <v>7</v>
      </c>
      <c r="D82" s="36">
        <v>1.3551930000000001</v>
      </c>
      <c r="E82" s="36">
        <v>1.157859</v>
      </c>
      <c r="F82" s="36">
        <v>1.482437</v>
      </c>
      <c r="G82" s="36">
        <v>57.515585000000002</v>
      </c>
      <c r="H82" s="36">
        <v>1.460269</v>
      </c>
      <c r="I82" s="116">
        <f>Table3[[#This Row],[CPU Only]]/Table3[[#This Row],[CPU+GPU (1)]]</f>
        <v>39.38697938530504</v>
      </c>
      <c r="J82" s="119">
        <f>Table3[[#This Row],[gpu-layered]]/Table3[[#This Row],[CPU+GPU (1)]]</f>
        <v>1.0151807646399396</v>
      </c>
      <c r="K82" s="36">
        <v>1.3889899999999999</v>
      </c>
      <c r="L82" s="116">
        <f>Table3[[#This Row],[CPU+GPU (10)]]/Table3[[#This Row],[CPU+GPU (1)]]</f>
        <v>0.95118776061122978</v>
      </c>
      <c r="M82" s="116">
        <f>Table3[[#This Row],[gpu-hybrid]]/Table3[[#This Row],[gpu-layered]]</f>
        <v>0.78105106658832713</v>
      </c>
      <c r="N82" s="36">
        <f>Table3[[#This Row],[g2aimd]]/Table3[[#This Row],[gpu-layered]]</f>
        <v>0.91416566100279473</v>
      </c>
      <c r="AI82" s="77" t="s">
        <v>1455</v>
      </c>
      <c r="AJ82">
        <v>25</v>
      </c>
      <c r="AK82" s="2">
        <v>5.7600699999999998</v>
      </c>
      <c r="AL82" s="2">
        <v>5.54</v>
      </c>
      <c r="AM82" s="107">
        <f>Table7[[#This Row],[GPU]]/Table7[[#This Row],[expand mode]]</f>
        <v>1.0397238267148015</v>
      </c>
      <c r="AP82" t="e">
        <f>Table7[[#This Row],[GPU]]/Table7[[#This Row],[cpuchunk=10]]</f>
        <v>#DIV/0!</v>
      </c>
    </row>
    <row r="83" spans="2:43" ht="23" hidden="1" x14ac:dyDescent="0.3">
      <c r="B83" s="80" t="s">
        <v>7</v>
      </c>
      <c r="C83" s="80">
        <v>8</v>
      </c>
      <c r="D83" s="36">
        <v>102.774126</v>
      </c>
      <c r="E83" s="36">
        <v>159.88999999999999</v>
      </c>
      <c r="F83" s="36">
        <v>100.45858800000001</v>
      </c>
      <c r="G83" s="36" t="s">
        <v>4003</v>
      </c>
      <c r="H83" s="36">
        <v>101.5</v>
      </c>
      <c r="I83" s="116" t="e">
        <f>Table3[[#This Row],[CPU Only]]/Table3[[#This Row],[CPU+GPU (1)]]</f>
        <v>#VALUE!</v>
      </c>
      <c r="J83" s="119">
        <f>Table3[[#This Row],[gpu-layered]]/Table3[[#This Row],[CPU+GPU (1)]]</f>
        <v>0.98973978325123158</v>
      </c>
      <c r="K83" s="36">
        <v>96.26</v>
      </c>
      <c r="L83" s="116">
        <f>Table3[[#This Row],[CPU+GPU (10)]]/Table3[[#This Row],[CPU+GPU (1)]]</f>
        <v>0.94837438423645326</v>
      </c>
      <c r="M83" s="116">
        <f>Table3[[#This Row],[gpu-hybrid]]/Table3[[#This Row],[gpu-layered]]</f>
        <v>1.5916011083094257</v>
      </c>
      <c r="N83" s="36">
        <f>Table3[[#This Row],[g2aimd]]/Table3[[#This Row],[gpu-layered]]</f>
        <v>1.0230496769474799</v>
      </c>
      <c r="AI83" s="77" t="s">
        <v>3919</v>
      </c>
      <c r="AJ83">
        <v>8</v>
      </c>
      <c r="AK83" s="2">
        <v>6.0313509999999999</v>
      </c>
      <c r="AL83" s="2">
        <v>5.7578069999999997</v>
      </c>
      <c r="AM83" s="107">
        <f>Table7[[#This Row],[GPU]]/Table7[[#This Row],[expand mode]]</f>
        <v>1.0475083655982218</v>
      </c>
      <c r="AP83" t="e">
        <f>Table7[[#This Row],[GPU]]/Table7[[#This Row],[cpuchunk=10]]</f>
        <v>#DIV/0!</v>
      </c>
    </row>
    <row r="84" spans="2:43" ht="23" hidden="1" x14ac:dyDescent="0.3">
      <c r="B84" s="80" t="s">
        <v>3912</v>
      </c>
      <c r="C84" s="80">
        <v>6</v>
      </c>
      <c r="D84" s="36">
        <v>62.898426000000001</v>
      </c>
      <c r="E84" s="36">
        <v>275.37</v>
      </c>
      <c r="F84" s="36">
        <v>57.623711</v>
      </c>
      <c r="G84" s="36">
        <v>681.58641899999998</v>
      </c>
      <c r="H84" s="36">
        <v>57.396535</v>
      </c>
      <c r="I84" s="116">
        <f>Table3[[#This Row],[CPU Only]]/Table3[[#This Row],[CPU+GPU (1)]]</f>
        <v>11.875044704353668</v>
      </c>
      <c r="J84" s="119">
        <f>Table3[[#This Row],[gpu-layered]]/Table3[[#This Row],[CPU+GPU (1)]]</f>
        <v>1.003958008963433</v>
      </c>
      <c r="K84" s="36">
        <v>53.98</v>
      </c>
      <c r="L84" s="116">
        <f>Table3[[#This Row],[CPU+GPU (10)]]/Table3[[#This Row],[CPU+GPU (1)]]</f>
        <v>0.94047489103654069</v>
      </c>
      <c r="M84" s="116">
        <f>Table3[[#This Row],[gpu-hybrid]]/Table3[[#This Row],[gpu-layered]]</f>
        <v>4.7787619926109928</v>
      </c>
      <c r="N84" s="36">
        <f>Table3[[#This Row],[g2aimd]]/Table3[[#This Row],[gpu-layered]]</f>
        <v>1.0915372319564771</v>
      </c>
      <c r="AI84" s="77" t="s">
        <v>1461</v>
      </c>
      <c r="AJ84">
        <v>9</v>
      </c>
      <c r="AK84" s="2">
        <v>6.5457919999999996</v>
      </c>
      <c r="AL84" s="2">
        <v>11.88</v>
      </c>
      <c r="AM84" s="107">
        <f>Table7[[#This Row],[GPU]]/Table7[[#This Row],[expand mode]]</f>
        <v>0.55099259259259248</v>
      </c>
      <c r="AP84" t="e">
        <f>Table7[[#This Row],[GPU]]/Table7[[#This Row],[cpuchunk=10]]</f>
        <v>#DIV/0!</v>
      </c>
    </row>
    <row r="85" spans="2:43" ht="23" hidden="1" x14ac:dyDescent="0.3">
      <c r="B85" s="80" t="s">
        <v>3</v>
      </c>
      <c r="C85" s="80">
        <v>8</v>
      </c>
      <c r="D85" s="36">
        <v>186.73593600000001</v>
      </c>
      <c r="E85" s="36">
        <v>260.60000000000002</v>
      </c>
      <c r="F85" s="36">
        <v>207.64514199999999</v>
      </c>
      <c r="G85" s="36" t="s">
        <v>4003</v>
      </c>
      <c r="H85" s="36">
        <v>205.28</v>
      </c>
      <c r="I85" s="116" t="e">
        <f>Table3[[#This Row],[CPU Only]]/Table3[[#This Row],[CPU+GPU (1)]]</f>
        <v>#VALUE!</v>
      </c>
      <c r="J85" s="119">
        <f>Table3[[#This Row],[gpu-layered]]/Table3[[#This Row],[CPU+GPU (1)]]</f>
        <v>1.0115215413094309</v>
      </c>
      <c r="K85" s="36">
        <v>192.79</v>
      </c>
      <c r="L85" s="116">
        <f>Table3[[#This Row],[CPU+GPU (10)]]/Table3[[#This Row],[CPU+GPU (1)]]</f>
        <v>0.9391562743569758</v>
      </c>
      <c r="M85" s="116">
        <f>Table3[[#This Row],[gpu-hybrid]]/Table3[[#This Row],[gpu-layered]]</f>
        <v>1.2550257496512971</v>
      </c>
      <c r="N85" s="36">
        <f>Table3[[#This Row],[g2aimd]]/Table3[[#This Row],[gpu-layered]]</f>
        <v>0.89930317753352507</v>
      </c>
      <c r="AI85" s="77" t="s">
        <v>1423</v>
      </c>
      <c r="AJ85">
        <v>9</v>
      </c>
      <c r="AK85" s="2">
        <v>8.3094400000000004</v>
      </c>
      <c r="AL85" s="2">
        <v>14.07</v>
      </c>
      <c r="AM85" s="107">
        <f>Table7[[#This Row],[GPU]]/Table7[[#This Row],[expand mode]]</f>
        <v>0.59057853589196874</v>
      </c>
      <c r="AP85" t="e">
        <f>Table7[[#This Row],[GPU]]/Table7[[#This Row],[cpuchunk=10]]</f>
        <v>#DIV/0!</v>
      </c>
    </row>
    <row r="86" spans="2:43" ht="23" hidden="1" x14ac:dyDescent="0.3">
      <c r="B86" s="80" t="s">
        <v>1462</v>
      </c>
      <c r="C86" s="80">
        <v>6</v>
      </c>
      <c r="D86" s="36">
        <v>40.95899</v>
      </c>
      <c r="E86" s="36">
        <v>420.24</v>
      </c>
      <c r="F86" s="36">
        <v>36.258899</v>
      </c>
      <c r="G86" s="36">
        <v>267.27299799999997</v>
      </c>
      <c r="H86" s="36">
        <v>34.991681</v>
      </c>
      <c r="I86" s="116">
        <f>Table3[[#This Row],[CPU Only]]/Table3[[#This Row],[CPU+GPU (1)]]</f>
        <v>7.6381868593280782</v>
      </c>
      <c r="J86" s="119">
        <f>Table3[[#This Row],[gpu-layered]]/Table3[[#This Row],[CPU+GPU (1)]]</f>
        <v>1.0362148363206671</v>
      </c>
      <c r="K86" s="36">
        <v>32.47</v>
      </c>
      <c r="L86" s="116">
        <f>Table3[[#This Row],[CPU+GPU (10)]]/Table3[[#This Row],[CPU+GPU (1)]]</f>
        <v>0.92793484257015257</v>
      </c>
      <c r="M86" s="116">
        <f>Table3[[#This Row],[gpu-hybrid]]/Table3[[#This Row],[gpu-layered]]</f>
        <v>11.589982365432553</v>
      </c>
      <c r="N86" s="36">
        <f>Table3[[#This Row],[g2aimd]]/Table3[[#This Row],[gpu-layered]]</f>
        <v>1.1296258609507144</v>
      </c>
      <c r="AI86" s="77" t="s">
        <v>1346</v>
      </c>
      <c r="AJ86">
        <v>5</v>
      </c>
      <c r="AK86" s="2">
        <v>8.3391870000000008</v>
      </c>
      <c r="AL86" s="2">
        <v>9</v>
      </c>
      <c r="AM86" s="107">
        <f>Table7[[#This Row],[GPU]]/Table7[[#This Row],[expand mode]]</f>
        <v>0.92657633333333345</v>
      </c>
      <c r="AP86" t="e">
        <f>Table7[[#This Row],[GPU]]/Table7[[#This Row],[cpuchunk=10]]</f>
        <v>#DIV/0!</v>
      </c>
    </row>
    <row r="87" spans="2:43" ht="23" hidden="1" x14ac:dyDescent="0.3">
      <c r="B87" s="80" t="s">
        <v>11</v>
      </c>
      <c r="C87" s="80">
        <v>6</v>
      </c>
      <c r="D87" s="36">
        <v>54.273223999999999</v>
      </c>
      <c r="E87" s="36">
        <v>293.73</v>
      </c>
      <c r="F87" s="36">
        <v>50.285676000000002</v>
      </c>
      <c r="G87" s="36">
        <v>416.52327600000001</v>
      </c>
      <c r="H87" s="36">
        <v>49.908605999999999</v>
      </c>
      <c r="I87" s="116">
        <f>Table3[[#This Row],[CPU Only]]/Table3[[#This Row],[CPU+GPU (1)]]</f>
        <v>8.3457204955794602</v>
      </c>
      <c r="J87" s="119">
        <f>Table3[[#This Row],[gpu-layered]]/Table3[[#This Row],[CPU+GPU (1)]]</f>
        <v>1.0075552100172864</v>
      </c>
      <c r="K87" s="36">
        <v>46.14</v>
      </c>
      <c r="L87" s="116">
        <f>Table3[[#This Row],[CPU+GPU (10)]]/Table3[[#This Row],[CPU+GPU (1)]]</f>
        <v>0.92448985651893389</v>
      </c>
      <c r="M87" s="116">
        <f>Table3[[#This Row],[gpu-hybrid]]/Table3[[#This Row],[gpu-layered]]</f>
        <v>5.8412260382061882</v>
      </c>
      <c r="N87" s="36">
        <f>Table3[[#This Row],[g2aimd]]/Table3[[#This Row],[gpu-layered]]</f>
        <v>1.0792978899199843</v>
      </c>
      <c r="AI87" s="77" t="s">
        <v>1423</v>
      </c>
      <c r="AJ87">
        <v>2</v>
      </c>
      <c r="AK87" s="2">
        <v>8.7754530000000006</v>
      </c>
      <c r="AL87" s="2">
        <v>26.516697000000001</v>
      </c>
      <c r="AM87" s="107">
        <f>Table7[[#This Row],[GPU]]/Table7[[#This Row],[expand mode]]</f>
        <v>0.33094065222376678</v>
      </c>
      <c r="AP87" t="e">
        <f>Table7[[#This Row],[GPU]]/Table7[[#This Row],[cpuchunk=10]]</f>
        <v>#DIV/0!</v>
      </c>
    </row>
    <row r="88" spans="2:43" ht="23" hidden="1" x14ac:dyDescent="0.3">
      <c r="B88" s="80" t="s">
        <v>3920</v>
      </c>
      <c r="C88" s="80">
        <v>5</v>
      </c>
      <c r="D88" s="36">
        <v>2.7372619999999999</v>
      </c>
      <c r="E88" s="36">
        <v>0.72931199999999996</v>
      </c>
      <c r="F88" s="36">
        <v>0.96411000000000002</v>
      </c>
      <c r="G88" s="36">
        <v>8.2980940000000007</v>
      </c>
      <c r="H88" s="36">
        <v>1.0534380000000001</v>
      </c>
      <c r="I88" s="116">
        <f>Table3[[#This Row],[CPU Only]]/Table3[[#This Row],[CPU+GPU (1)]]</f>
        <v>7.8771546118518598</v>
      </c>
      <c r="J88" s="119">
        <f>Table3[[#This Row],[gpu-layered]]/Table3[[#This Row],[CPU+GPU (1)]]</f>
        <v>0.91520336270383251</v>
      </c>
      <c r="K88" s="36">
        <v>0.94176800000000005</v>
      </c>
      <c r="L88" s="116">
        <f>Table3[[#This Row],[CPU+GPU (10)]]/Table3[[#This Row],[CPU+GPU (1)]]</f>
        <v>0.89399471065216929</v>
      </c>
      <c r="M88" s="116">
        <f>Table3[[#This Row],[gpu-hybrid]]/Table3[[#This Row],[gpu-layered]]</f>
        <v>0.75646139963282188</v>
      </c>
      <c r="N88" s="36">
        <f>Table3[[#This Row],[g2aimd]]/Table3[[#This Row],[gpu-layered]]</f>
        <v>2.8391594320150189</v>
      </c>
      <c r="AI88" s="77" t="s">
        <v>1371</v>
      </c>
      <c r="AJ88">
        <v>7</v>
      </c>
      <c r="AK88" s="2">
        <v>8.8003280000000004</v>
      </c>
      <c r="AL88" s="2">
        <v>9.67</v>
      </c>
      <c r="AM88" s="107">
        <f>Table7[[#This Row],[GPU]]/Table7[[#This Row],[expand mode]]</f>
        <v>0.91006494312306108</v>
      </c>
      <c r="AP88" t="e">
        <f>Table7[[#This Row],[GPU]]/Table7[[#This Row],[cpuchunk=10]]</f>
        <v>#DIV/0!</v>
      </c>
    </row>
    <row r="89" spans="2:43" ht="22" hidden="1" x14ac:dyDescent="0.25">
      <c r="AI89" s="77" t="s">
        <v>1391</v>
      </c>
      <c r="AJ89">
        <v>7</v>
      </c>
      <c r="AK89" s="2">
        <v>9.1454550000000001</v>
      </c>
      <c r="AL89" s="2">
        <v>9.1967490000000005</v>
      </c>
      <c r="AM89" s="107">
        <f>Table7[[#This Row],[GPU]]/Table7[[#This Row],[expand mode]]</f>
        <v>0.99442259433197533</v>
      </c>
      <c r="AP89" t="e">
        <f>Table7[[#This Row],[GPU]]/Table7[[#This Row],[cpuchunk=10]]</f>
        <v>#DIV/0!</v>
      </c>
    </row>
    <row r="90" spans="2:43" ht="22" hidden="1" x14ac:dyDescent="0.25">
      <c r="AI90" s="77" t="s">
        <v>3912</v>
      </c>
      <c r="AJ90">
        <v>5</v>
      </c>
      <c r="AK90" s="2">
        <v>9.7607599999999994</v>
      </c>
      <c r="AL90" s="2">
        <v>9.9234120000000008</v>
      </c>
      <c r="AM90" s="107">
        <f>Table7[[#This Row],[GPU]]/Table7[[#This Row],[expand mode]]</f>
        <v>0.98360926665142989</v>
      </c>
      <c r="AP90" t="e">
        <f>Table7[[#This Row],[GPU]]/Table7[[#This Row],[cpuchunk=10]]</f>
        <v>#DIV/0!</v>
      </c>
    </row>
    <row r="91" spans="2:43" ht="26" x14ac:dyDescent="0.35">
      <c r="AH91">
        <v>1</v>
      </c>
      <c r="AI91" s="77" t="s">
        <v>1371</v>
      </c>
      <c r="AJ91">
        <v>8</v>
      </c>
      <c r="AK91" s="2">
        <v>10.159229</v>
      </c>
      <c r="AL91" s="2">
        <v>10.119999999999999</v>
      </c>
      <c r="AM91" s="47">
        <v>9.8000000000000007</v>
      </c>
      <c r="AN91" s="36">
        <v>10.49</v>
      </c>
      <c r="AO91" s="36">
        <v>13.33</v>
      </c>
      <c r="AP91" s="140">
        <f>Table7[[#This Row],[GPU]]/Table7[[#This Row],[cpuchunk=10]]</f>
        <v>0.96846796949475689</v>
      </c>
      <c r="AQ91" s="77"/>
    </row>
    <row r="92" spans="2:43" ht="26" x14ac:dyDescent="0.35">
      <c r="AH92">
        <v>1</v>
      </c>
      <c r="AI92" s="77" t="s">
        <v>1448</v>
      </c>
      <c r="AJ92">
        <v>2</v>
      </c>
      <c r="AK92" s="2">
        <v>10.268869</v>
      </c>
      <c r="AL92" s="2">
        <v>33.94</v>
      </c>
      <c r="AM92" s="47">
        <v>12.47</v>
      </c>
      <c r="AN92" s="36">
        <v>13.1</v>
      </c>
      <c r="AO92" s="36">
        <v>12.38</v>
      </c>
      <c r="AP92" s="140">
        <f>Table7[[#This Row],[GPU]]/Table7[[#This Row],[cpuchunk=10]]</f>
        <v>0.78388312977099239</v>
      </c>
      <c r="AQ92" s="77"/>
    </row>
    <row r="93" spans="2:43" ht="26" x14ac:dyDescent="0.35">
      <c r="AH93">
        <v>1</v>
      </c>
      <c r="AI93" s="77" t="s">
        <v>1434</v>
      </c>
      <c r="AJ93">
        <v>9</v>
      </c>
      <c r="AK93" s="2">
        <v>11.339861000000001</v>
      </c>
      <c r="AL93" s="2">
        <v>10.973511999999999</v>
      </c>
      <c r="AM93" s="47">
        <v>10.944299000000001</v>
      </c>
      <c r="AN93" s="36">
        <v>11.13</v>
      </c>
      <c r="AO93" s="36">
        <v>12.09</v>
      </c>
      <c r="AP93" s="140">
        <f>Table7[[#This Row],[GPU]]/Table7[[#This Row],[cpuchunk=10]]</f>
        <v>1.0188554357592094</v>
      </c>
      <c r="AQ93" s="77"/>
    </row>
    <row r="94" spans="2:43" ht="26" x14ac:dyDescent="0.35">
      <c r="AH94">
        <v>1</v>
      </c>
      <c r="AI94" s="77" t="s">
        <v>1448</v>
      </c>
      <c r="AJ94">
        <v>9</v>
      </c>
      <c r="AK94" s="2">
        <v>14.022862</v>
      </c>
      <c r="AL94" s="2">
        <v>35.89</v>
      </c>
      <c r="AM94" s="47">
        <v>20.95</v>
      </c>
      <c r="AN94" s="36">
        <v>26.07</v>
      </c>
      <c r="AO94" s="36">
        <v>15.63</v>
      </c>
      <c r="AP94" s="140">
        <f>Table7[[#This Row],[GPU]]/Table7[[#This Row],[cpuchunk=10]]</f>
        <v>0.53789267357115456</v>
      </c>
      <c r="AQ94" s="77"/>
    </row>
    <row r="95" spans="2:43" ht="26" x14ac:dyDescent="0.35">
      <c r="AH95">
        <v>1</v>
      </c>
      <c r="AI95" s="77" t="s">
        <v>3919</v>
      </c>
      <c r="AJ95">
        <v>6</v>
      </c>
      <c r="AK95" s="2">
        <v>14.641228999999999</v>
      </c>
      <c r="AL95" s="2">
        <v>14.312435000000001</v>
      </c>
      <c r="AM95" s="47">
        <v>14.524549</v>
      </c>
      <c r="AN95" s="36">
        <v>14.290449000000001</v>
      </c>
      <c r="AO95" s="36">
        <v>14.21</v>
      </c>
      <c r="AP95" s="140">
        <f>Table7[[#This Row],[GPU]]/Table7[[#This Row],[cpuchunk=10]]</f>
        <v>1.0245464645652491</v>
      </c>
      <c r="AQ95" s="77"/>
    </row>
    <row r="96" spans="2:43" ht="26" x14ac:dyDescent="0.35">
      <c r="AH96">
        <v>1</v>
      </c>
      <c r="AI96" s="77" t="s">
        <v>1450</v>
      </c>
      <c r="AJ96">
        <v>2</v>
      </c>
      <c r="AK96" s="2">
        <v>16.624081</v>
      </c>
      <c r="AL96" s="2">
        <v>38.707056000000001</v>
      </c>
      <c r="AM96" s="47">
        <v>19.920000000000002</v>
      </c>
      <c r="AN96" s="36">
        <v>20.420000000000002</v>
      </c>
      <c r="AO96" s="36">
        <v>19.739999999999998</v>
      </c>
      <c r="AP96" s="140">
        <f>Table7[[#This Row],[GPU]]/Table7[[#This Row],[cpuchunk=10]]</f>
        <v>0.8141077864838393</v>
      </c>
      <c r="AQ96" s="77"/>
    </row>
    <row r="97" spans="34:43" ht="26" x14ac:dyDescent="0.35">
      <c r="AH97">
        <v>1</v>
      </c>
      <c r="AI97" s="77" t="s">
        <v>3912</v>
      </c>
      <c r="AJ97">
        <v>7</v>
      </c>
      <c r="AK97" s="2">
        <v>19.956325</v>
      </c>
      <c r="AL97" s="2">
        <v>19.59</v>
      </c>
      <c r="AM97" s="47">
        <v>19.78</v>
      </c>
      <c r="AN97" s="36">
        <v>19.64</v>
      </c>
      <c r="AO97" s="36">
        <v>19.96</v>
      </c>
      <c r="AP97" s="140">
        <f>Table7[[#This Row],[GPU]]/Table7[[#This Row],[cpuchunk=10]]</f>
        <v>1.0161061608961304</v>
      </c>
      <c r="AQ97" s="77"/>
    </row>
    <row r="98" spans="34:43" ht="26" x14ac:dyDescent="0.35">
      <c r="AH98">
        <v>1</v>
      </c>
      <c r="AI98" s="77" t="s">
        <v>1431</v>
      </c>
      <c r="AJ98">
        <v>8</v>
      </c>
      <c r="AK98" s="2">
        <v>21.587534000000002</v>
      </c>
      <c r="AL98" s="2">
        <v>20.056457999999999</v>
      </c>
      <c r="AM98" s="47">
        <v>8.9600000000000009</v>
      </c>
      <c r="AN98" s="36">
        <v>9.31</v>
      </c>
      <c r="AO98" s="36">
        <v>11.89</v>
      </c>
      <c r="AP98" s="140">
        <f>Table7[[#This Row],[GPU]]/Table7[[#This Row],[cpuchunk=10]]</f>
        <v>2.3187469387755102</v>
      </c>
      <c r="AQ98" s="77"/>
    </row>
    <row r="99" spans="34:43" ht="26" x14ac:dyDescent="0.35">
      <c r="AH99">
        <v>1</v>
      </c>
      <c r="AI99" s="77" t="s">
        <v>3912</v>
      </c>
      <c r="AJ99">
        <v>8</v>
      </c>
      <c r="AK99" s="2">
        <v>22.264191</v>
      </c>
      <c r="AL99" s="2">
        <v>21.730737999999999</v>
      </c>
      <c r="AM99" s="47">
        <v>21.95</v>
      </c>
      <c r="AN99" s="36">
        <v>22.3</v>
      </c>
      <c r="AO99" s="36">
        <v>22.88</v>
      </c>
      <c r="AP99" s="140">
        <f>Table7[[#This Row],[GPU]]/Table7[[#This Row],[cpuchunk=10]]</f>
        <v>0.99839421524663674</v>
      </c>
      <c r="AQ99" s="77"/>
    </row>
    <row r="100" spans="34:43" ht="26" x14ac:dyDescent="0.35">
      <c r="AH100">
        <v>1</v>
      </c>
      <c r="AI100" s="135" t="s">
        <v>1433</v>
      </c>
      <c r="AJ100" s="136">
        <v>2</v>
      </c>
      <c r="AK100" s="137">
        <v>22.509125000000001</v>
      </c>
      <c r="AL100" s="137" t="s">
        <v>3990</v>
      </c>
      <c r="AM100" s="47">
        <v>27.45</v>
      </c>
      <c r="AN100" s="36">
        <v>27.35</v>
      </c>
      <c r="AO100" s="36">
        <v>26.74</v>
      </c>
      <c r="AP100" s="140">
        <f>Table7[[#This Row],[GPU]]/Table7[[#This Row],[cpuchunk=10]]</f>
        <v>0.82300274223034731</v>
      </c>
      <c r="AQ100" s="77"/>
    </row>
    <row r="101" spans="34:43" ht="26" x14ac:dyDescent="0.35">
      <c r="AH101">
        <v>1</v>
      </c>
      <c r="AI101" s="135" t="s">
        <v>1436</v>
      </c>
      <c r="AJ101" s="136">
        <v>2</v>
      </c>
      <c r="AK101" s="137">
        <v>23.602007</v>
      </c>
      <c r="AL101" s="137">
        <v>63.010843999999999</v>
      </c>
      <c r="AM101" s="47">
        <v>28.64</v>
      </c>
      <c r="AN101" s="36">
        <v>28.91</v>
      </c>
      <c r="AO101" s="36">
        <v>27.72</v>
      </c>
      <c r="AP101" s="140">
        <f>Table7[[#This Row],[GPU]]/Table7[[#This Row],[cpuchunk=10]]</f>
        <v>0.81639595295745415</v>
      </c>
      <c r="AQ101" s="77"/>
    </row>
    <row r="102" spans="34:43" ht="26" x14ac:dyDescent="0.35">
      <c r="AH102">
        <v>1</v>
      </c>
      <c r="AI102" s="77" t="s">
        <v>1391</v>
      </c>
      <c r="AJ102">
        <v>8</v>
      </c>
      <c r="AK102" s="2">
        <v>24.973725999999999</v>
      </c>
      <c r="AL102" s="2">
        <v>25.777509999999999</v>
      </c>
      <c r="AM102" s="47">
        <v>20.522815000000001</v>
      </c>
      <c r="AN102" s="36">
        <v>21.015433000000002</v>
      </c>
      <c r="AO102" s="36">
        <v>20.965391</v>
      </c>
      <c r="AP102" s="140">
        <f>Table7[[#This Row],[GPU]]/Table7[[#This Row],[cpuchunk=10]]</f>
        <v>1.1883517222795266</v>
      </c>
      <c r="AQ102" s="77"/>
    </row>
    <row r="103" spans="34:43" ht="26" x14ac:dyDescent="0.35">
      <c r="AH103">
        <v>1</v>
      </c>
      <c r="AI103" s="77" t="s">
        <v>1346</v>
      </c>
      <c r="AJ103">
        <v>7</v>
      </c>
      <c r="AK103" s="2">
        <v>26.479275000000001</v>
      </c>
      <c r="AL103" s="2">
        <v>26.73</v>
      </c>
      <c r="AM103" s="47">
        <v>29.23</v>
      </c>
      <c r="AN103" s="36">
        <v>30.8</v>
      </c>
      <c r="AO103" s="36">
        <v>34.92</v>
      </c>
      <c r="AP103" s="140">
        <f>Table7[[#This Row],[GPU]]/Table7[[#This Row],[cpuchunk=10]]</f>
        <v>0.85971672077922079</v>
      </c>
      <c r="AQ103" s="77"/>
    </row>
    <row r="104" spans="34:43" ht="26" x14ac:dyDescent="0.35">
      <c r="AH104">
        <v>1</v>
      </c>
      <c r="AI104" s="77" t="s">
        <v>1434</v>
      </c>
      <c r="AJ104">
        <v>5</v>
      </c>
      <c r="AK104" s="2">
        <v>27.584989</v>
      </c>
      <c r="AL104" s="2">
        <v>27.874337000000001</v>
      </c>
      <c r="AM104" s="47">
        <v>28.18</v>
      </c>
      <c r="AN104" s="36">
        <v>28.29</v>
      </c>
      <c r="AO104" s="36">
        <v>28.36</v>
      </c>
      <c r="AP104" s="140">
        <f>Table7[[#This Row],[GPU]]/Table7[[#This Row],[cpuchunk=10]]</f>
        <v>0.97507914457405442</v>
      </c>
      <c r="AQ104" s="77"/>
    </row>
    <row r="105" spans="34:43" ht="26" x14ac:dyDescent="0.35">
      <c r="AH105">
        <v>1</v>
      </c>
      <c r="AI105" s="77" t="s">
        <v>1450</v>
      </c>
      <c r="AJ105">
        <v>9</v>
      </c>
      <c r="AK105" s="2">
        <v>28.268073000000001</v>
      </c>
      <c r="AL105" s="2">
        <v>59.78</v>
      </c>
      <c r="AM105" s="47">
        <v>40.86</v>
      </c>
      <c r="AN105" s="36">
        <v>53.31</v>
      </c>
      <c r="AO105" s="36">
        <v>31.61</v>
      </c>
      <c r="AP105" s="140">
        <f>Table7[[#This Row],[GPU]]/Table7[[#This Row],[cpuchunk=10]]</f>
        <v>0.53025835678109168</v>
      </c>
      <c r="AQ105" s="77"/>
    </row>
    <row r="106" spans="34:43" ht="26" x14ac:dyDescent="0.35">
      <c r="AH106">
        <v>1</v>
      </c>
      <c r="AI106" s="77" t="s">
        <v>1346</v>
      </c>
      <c r="AJ106">
        <v>8</v>
      </c>
      <c r="AK106" s="2">
        <v>34.536710999999997</v>
      </c>
      <c r="AL106" s="2">
        <v>35.340000000000003</v>
      </c>
      <c r="AM106" s="47">
        <v>34.25</v>
      </c>
      <c r="AN106" s="36">
        <v>34.200000000000003</v>
      </c>
      <c r="AO106" s="36">
        <v>34.51</v>
      </c>
      <c r="AP106" s="140">
        <f>Table7[[#This Row],[GPU]]/Table7[[#This Row],[cpuchunk=10]]</f>
        <v>1.0098453508771927</v>
      </c>
      <c r="AQ106" s="77"/>
    </row>
    <row r="107" spans="34:43" ht="26" x14ac:dyDescent="0.35">
      <c r="AH107">
        <v>1</v>
      </c>
      <c r="AI107" s="77" t="s">
        <v>1411</v>
      </c>
      <c r="AJ107">
        <v>2</v>
      </c>
      <c r="AK107" s="2">
        <v>36.894198000000003</v>
      </c>
      <c r="AL107" s="2">
        <v>264.74</v>
      </c>
      <c r="AM107" s="47">
        <v>43.47</v>
      </c>
      <c r="AN107" s="36">
        <v>44.47</v>
      </c>
      <c r="AO107" s="36">
        <v>43.62</v>
      </c>
      <c r="AP107" s="140">
        <f>Table7[[#This Row],[GPU]]/Table7[[#This Row],[cpuchunk=10]]</f>
        <v>0.8296424106138971</v>
      </c>
      <c r="AQ107" s="77"/>
    </row>
    <row r="108" spans="34:43" ht="26" x14ac:dyDescent="0.35">
      <c r="AH108">
        <v>1</v>
      </c>
      <c r="AI108" s="77" t="s">
        <v>1449</v>
      </c>
      <c r="AJ108">
        <v>2</v>
      </c>
      <c r="AK108" s="2">
        <v>38.434747000000002</v>
      </c>
      <c r="AL108" s="2">
        <v>93.861074000000002</v>
      </c>
      <c r="AM108" s="47">
        <v>46.32</v>
      </c>
      <c r="AN108" s="36">
        <v>45.97</v>
      </c>
      <c r="AO108" s="36">
        <v>46.61</v>
      </c>
      <c r="AP108" s="140">
        <f>Table7[[#This Row],[GPU]]/Table7[[#This Row],[cpuchunk=10]]</f>
        <v>0.83608324994561678</v>
      </c>
      <c r="AQ108" s="77"/>
    </row>
    <row r="109" spans="34:43" ht="26" x14ac:dyDescent="0.35">
      <c r="AH109">
        <v>1</v>
      </c>
      <c r="AI109" s="132" t="s">
        <v>1371</v>
      </c>
      <c r="AJ109" s="133">
        <v>6</v>
      </c>
      <c r="AK109" s="134">
        <v>42.45</v>
      </c>
      <c r="AL109" s="134">
        <v>33.44</v>
      </c>
      <c r="AM109" s="47">
        <v>36.76</v>
      </c>
      <c r="AN109" s="36">
        <v>37</v>
      </c>
      <c r="AO109" s="36">
        <v>36.46</v>
      </c>
      <c r="AP109" s="140">
        <f>Table7[[#This Row],[GPU]]/Table7[[#This Row],[cpuchunk=10]]</f>
        <v>1.1472972972972975</v>
      </c>
      <c r="AQ109" s="77"/>
    </row>
    <row r="110" spans="34:43" ht="24" x14ac:dyDescent="0.3">
      <c r="AH110">
        <v>1</v>
      </c>
      <c r="AI110" s="77" t="s">
        <v>1409</v>
      </c>
      <c r="AJ110">
        <v>9</v>
      </c>
      <c r="AK110" s="2">
        <v>45.427039000000001</v>
      </c>
      <c r="AL110" s="2">
        <v>199.23</v>
      </c>
      <c r="AM110" s="47">
        <v>126.68</v>
      </c>
      <c r="AN110" s="36">
        <v>93.31</v>
      </c>
      <c r="AO110" s="36">
        <v>53.87</v>
      </c>
      <c r="AP110" s="139">
        <f>Table7[[#This Row],[GPU]]/Table7[[#This Row],[cpuchunk=10]]</f>
        <v>0.48683998499624903</v>
      </c>
      <c r="AQ110" s="77"/>
    </row>
    <row r="111" spans="34:43" ht="24" x14ac:dyDescent="0.3">
      <c r="AH111">
        <v>1</v>
      </c>
      <c r="AI111" s="77" t="s">
        <v>1436</v>
      </c>
      <c r="AJ111">
        <v>9</v>
      </c>
      <c r="AK111" s="2">
        <v>45.434877</v>
      </c>
      <c r="AL111" s="2">
        <v>106.22</v>
      </c>
      <c r="AM111" s="47">
        <v>65.650000000000006</v>
      </c>
      <c r="AN111" s="36">
        <v>57.73</v>
      </c>
      <c r="AO111" s="36">
        <v>51.67</v>
      </c>
      <c r="AP111" s="139">
        <f>Table7[[#This Row],[GPU]]/Table7[[#This Row],[cpuchunk=10]]</f>
        <v>0.78702367919625849</v>
      </c>
      <c r="AQ111" s="77"/>
    </row>
    <row r="112" spans="34:43" ht="24" x14ac:dyDescent="0.3">
      <c r="AH112">
        <v>1</v>
      </c>
      <c r="AI112" s="77" t="s">
        <v>18</v>
      </c>
      <c r="AJ112">
        <v>2</v>
      </c>
      <c r="AK112" s="2">
        <v>54.708874999999999</v>
      </c>
      <c r="AL112" s="2">
        <v>477.430588</v>
      </c>
      <c r="AM112" s="47">
        <v>67.98</v>
      </c>
      <c r="AN112" s="36">
        <v>72.959999999999994</v>
      </c>
      <c r="AO112" s="36">
        <v>122.94</v>
      </c>
      <c r="AP112" s="139">
        <f>Table7[[#This Row],[GPU]]/Table7[[#This Row],[cpuchunk=10]]</f>
        <v>0.74984751918859649</v>
      </c>
      <c r="AQ112" s="77"/>
    </row>
    <row r="113" spans="34:43" ht="24" x14ac:dyDescent="0.3">
      <c r="AH113">
        <v>1</v>
      </c>
      <c r="AI113" s="77" t="s">
        <v>1455</v>
      </c>
      <c r="AJ113">
        <v>2</v>
      </c>
      <c r="AK113" s="2">
        <v>56.069319</v>
      </c>
      <c r="AL113" s="2">
        <v>124.84438</v>
      </c>
      <c r="AM113" s="47">
        <v>67.33</v>
      </c>
      <c r="AN113" s="36">
        <v>67.69</v>
      </c>
      <c r="AO113" s="36">
        <v>65.989999999999995</v>
      </c>
      <c r="AP113" s="139">
        <f>Table7[[#This Row],[GPU]]/Table7[[#This Row],[cpuchunk=10]]</f>
        <v>0.82832499630669232</v>
      </c>
      <c r="AQ113" s="77"/>
    </row>
    <row r="114" spans="34:43" ht="24" x14ac:dyDescent="0.3">
      <c r="AH114">
        <v>1</v>
      </c>
      <c r="AI114" s="77" t="s">
        <v>3912</v>
      </c>
      <c r="AJ114">
        <v>6</v>
      </c>
      <c r="AK114" s="2">
        <v>57.623711</v>
      </c>
      <c r="AL114" s="2">
        <v>57.396535</v>
      </c>
      <c r="AM114" s="47">
        <v>56.491925000000002</v>
      </c>
      <c r="AN114" s="36">
        <v>55.23</v>
      </c>
      <c r="AO114" s="36">
        <v>56.37</v>
      </c>
      <c r="AP114" s="139">
        <f>Table7[[#This Row],[GPU]]/Table7[[#This Row],[cpuchunk=10]]</f>
        <v>1.0433407749411552</v>
      </c>
      <c r="AQ114" s="77"/>
    </row>
    <row r="115" spans="34:43" ht="24" x14ac:dyDescent="0.3">
      <c r="AH115">
        <v>1</v>
      </c>
      <c r="AI115" s="77" t="s">
        <v>1</v>
      </c>
      <c r="AJ115">
        <v>5</v>
      </c>
      <c r="AK115" s="2">
        <v>65.316587999999996</v>
      </c>
      <c r="AL115" s="2">
        <v>73.226096999999996</v>
      </c>
      <c r="AM115" s="47">
        <v>57.84</v>
      </c>
      <c r="AN115" s="36">
        <v>60.35</v>
      </c>
      <c r="AO115" s="36">
        <v>62.65</v>
      </c>
      <c r="AP115" s="139">
        <f>Table7[[#This Row],[GPU]]/Table7[[#This Row],[cpuchunk=10]]</f>
        <v>1.082296404308202</v>
      </c>
      <c r="AQ115" s="77"/>
    </row>
    <row r="116" spans="34:43" ht="24" x14ac:dyDescent="0.3">
      <c r="AH116">
        <v>1</v>
      </c>
      <c r="AI116" s="77" t="s">
        <v>1434</v>
      </c>
      <c r="AJ116">
        <v>7</v>
      </c>
      <c r="AK116" s="2">
        <v>74.836130999999995</v>
      </c>
      <c r="AL116" s="2">
        <v>73.849999999999994</v>
      </c>
      <c r="AM116" s="47">
        <v>76.02</v>
      </c>
      <c r="AN116" s="36">
        <v>75.81</v>
      </c>
      <c r="AO116" s="36">
        <v>82.83</v>
      </c>
      <c r="AP116" s="139">
        <f>Table7[[#This Row],[GPU]]/Table7[[#This Row],[cpuchunk=10]]</f>
        <v>0.98715381875741981</v>
      </c>
      <c r="AQ116" s="77"/>
    </row>
    <row r="117" spans="34:43" ht="24" x14ac:dyDescent="0.3">
      <c r="AH117">
        <v>1</v>
      </c>
      <c r="AI117" s="77" t="s">
        <v>1438</v>
      </c>
      <c r="AJ117">
        <v>2</v>
      </c>
      <c r="AK117" s="2">
        <v>85.561336999999995</v>
      </c>
      <c r="AL117" s="2">
        <v>169.211938</v>
      </c>
      <c r="AM117" s="47">
        <v>101.93723900000001</v>
      </c>
      <c r="AN117" s="36">
        <v>103.33</v>
      </c>
      <c r="AO117" s="36">
        <v>105.39</v>
      </c>
      <c r="AP117" s="139">
        <f>Table7[[#This Row],[GPU]]/Table7[[#This Row],[cpuchunk=10]]</f>
        <v>0.8280396496661182</v>
      </c>
      <c r="AQ117" s="77"/>
    </row>
    <row r="118" spans="34:43" ht="24" x14ac:dyDescent="0.3">
      <c r="AH118">
        <v>1</v>
      </c>
      <c r="AI118" s="77" t="s">
        <v>1434</v>
      </c>
      <c r="AJ118">
        <v>8</v>
      </c>
      <c r="AK118" s="2">
        <v>91.497511000000003</v>
      </c>
      <c r="AL118" s="2">
        <v>89.974523000000005</v>
      </c>
      <c r="AM118" s="47">
        <v>89.48</v>
      </c>
      <c r="AN118" s="36">
        <v>87.05</v>
      </c>
      <c r="AO118" s="36">
        <v>91.47</v>
      </c>
      <c r="AP118" s="139">
        <f>Table7[[#This Row],[GPU]]/Table7[[#This Row],[cpuchunk=10]]</f>
        <v>1.0510914531878233</v>
      </c>
      <c r="AQ118" s="77"/>
    </row>
    <row r="119" spans="34:43" ht="24" x14ac:dyDescent="0.3">
      <c r="AH119">
        <v>1</v>
      </c>
      <c r="AI119" s="77" t="s">
        <v>1409</v>
      </c>
      <c r="AJ119">
        <v>2</v>
      </c>
      <c r="AK119" s="2">
        <v>94.717786000000004</v>
      </c>
      <c r="AL119" s="2">
        <v>373.59</v>
      </c>
      <c r="AM119" s="47">
        <v>115.15</v>
      </c>
      <c r="AN119" s="36">
        <v>114.11</v>
      </c>
      <c r="AO119" s="36">
        <v>112.06</v>
      </c>
      <c r="AP119" s="139">
        <f>Table7[[#This Row],[GPU]]/Table7[[#This Row],[cpuchunk=10]]</f>
        <v>0.83005683989133294</v>
      </c>
      <c r="AQ119" s="77"/>
    </row>
    <row r="120" spans="34:43" ht="24" x14ac:dyDescent="0.3">
      <c r="AH120">
        <v>1</v>
      </c>
      <c r="AI120" s="77" t="s">
        <v>1425</v>
      </c>
      <c r="AJ120">
        <v>5</v>
      </c>
      <c r="AK120" s="2">
        <v>100.607213</v>
      </c>
      <c r="AL120" s="2">
        <v>106.86</v>
      </c>
      <c r="AM120" s="47">
        <v>107.16</v>
      </c>
      <c r="AN120" s="36">
        <v>107.55</v>
      </c>
      <c r="AO120" s="36">
        <v>107.62</v>
      </c>
      <c r="AP120" s="139">
        <f>Table7[[#This Row],[GPU]]/Table7[[#This Row],[cpuchunk=10]]</f>
        <v>0.93544596001859603</v>
      </c>
      <c r="AQ120" s="77"/>
    </row>
    <row r="121" spans="34:43" ht="24" x14ac:dyDescent="0.3">
      <c r="AH121">
        <v>1</v>
      </c>
      <c r="AI121" s="135" t="s">
        <v>1440</v>
      </c>
      <c r="AJ121" s="136">
        <v>9</v>
      </c>
      <c r="AK121" s="137">
        <v>121.78675800000001</v>
      </c>
      <c r="AL121" s="137" t="s">
        <v>3990</v>
      </c>
      <c r="AM121" s="47" t="s">
        <v>3990</v>
      </c>
      <c r="AN121" s="36">
        <v>147.19999999999999</v>
      </c>
      <c r="AO121" s="36">
        <v>141.01</v>
      </c>
      <c r="AP121" s="139">
        <f>Table7[[#This Row],[GPU]]/Table7[[#This Row],[cpuchunk=10]]</f>
        <v>0.82735569293478273</v>
      </c>
      <c r="AQ121" s="77"/>
    </row>
    <row r="122" spans="34:43" ht="24" x14ac:dyDescent="0.3">
      <c r="AH122">
        <v>1</v>
      </c>
      <c r="AI122" s="77" t="s">
        <v>3919</v>
      </c>
      <c r="AJ122">
        <v>18</v>
      </c>
      <c r="AK122" s="2">
        <v>129.07867100000001</v>
      </c>
      <c r="AL122" s="2">
        <v>128.053923</v>
      </c>
      <c r="AM122" s="47">
        <v>127.01958</v>
      </c>
      <c r="AN122" s="36">
        <v>126.24</v>
      </c>
      <c r="AO122" s="36">
        <v>126.33</v>
      </c>
      <c r="AP122" s="139">
        <f>Table7[[#This Row],[GPU]]/Table7[[#This Row],[cpuchunk=10]]</f>
        <v>1.0224863038656529</v>
      </c>
      <c r="AQ122" s="77"/>
    </row>
    <row r="123" spans="34:43" ht="24" x14ac:dyDescent="0.3">
      <c r="AH123">
        <v>1</v>
      </c>
      <c r="AI123" s="77" t="s">
        <v>1461</v>
      </c>
      <c r="AJ123">
        <v>5</v>
      </c>
      <c r="AK123" s="2">
        <v>132.62251599999999</v>
      </c>
      <c r="AL123" s="2">
        <v>154.84</v>
      </c>
      <c r="AM123" s="47">
        <v>134.26</v>
      </c>
      <c r="AN123" s="36">
        <v>135.83000000000001</v>
      </c>
      <c r="AO123" s="36">
        <v>136.24</v>
      </c>
      <c r="AP123" s="139">
        <f>Table7[[#This Row],[GPU]]/Table7[[#This Row],[cpuchunk=10]]</f>
        <v>0.97638604137524831</v>
      </c>
      <c r="AQ123" s="77"/>
    </row>
    <row r="124" spans="34:43" ht="24" x14ac:dyDescent="0.3">
      <c r="AH124">
        <v>1</v>
      </c>
      <c r="AI124" s="77" t="s">
        <v>1423</v>
      </c>
      <c r="AJ124">
        <v>5</v>
      </c>
      <c r="AK124" s="2">
        <v>154.899764</v>
      </c>
      <c r="AL124" s="2">
        <v>157.596372</v>
      </c>
      <c r="AM124" s="47">
        <v>167.78</v>
      </c>
      <c r="AN124" s="36">
        <v>172.19</v>
      </c>
      <c r="AO124" s="36">
        <v>168.85</v>
      </c>
      <c r="AP124" s="139">
        <f>Table7[[#This Row],[GPU]]/Table7[[#This Row],[cpuchunk=10]]</f>
        <v>0.89958629420988445</v>
      </c>
      <c r="AQ124" s="77"/>
    </row>
    <row r="125" spans="34:43" ht="24" x14ac:dyDescent="0.3">
      <c r="AH125">
        <v>1</v>
      </c>
      <c r="AI125" s="77" t="s">
        <v>1440</v>
      </c>
      <c r="AJ125">
        <v>2</v>
      </c>
      <c r="AK125" s="2">
        <v>216.72742199999999</v>
      </c>
      <c r="AL125" s="2" t="s">
        <v>3990</v>
      </c>
      <c r="AM125" s="47">
        <v>258.93</v>
      </c>
      <c r="AN125" s="36">
        <v>257.16000000000003</v>
      </c>
      <c r="AO125" s="36">
        <v>255.51</v>
      </c>
      <c r="AP125" s="139">
        <f>Table7[[#This Row],[GPU]]/Table7[[#This Row],[cpuchunk=10]]</f>
        <v>0.84277267848810067</v>
      </c>
      <c r="AQ125" s="77"/>
    </row>
    <row r="126" spans="34:43" ht="24" x14ac:dyDescent="0.3">
      <c r="AH126">
        <v>1</v>
      </c>
      <c r="AI126" s="77" t="s">
        <v>1411</v>
      </c>
      <c r="AJ126">
        <v>5</v>
      </c>
      <c r="AK126" s="2">
        <v>228.41716700000001</v>
      </c>
      <c r="AL126" s="2">
        <v>401.68</v>
      </c>
      <c r="AM126" s="47">
        <v>232.44</v>
      </c>
      <c r="AN126" s="36">
        <v>236.29</v>
      </c>
      <c r="AO126" s="36">
        <v>237.26</v>
      </c>
      <c r="AP126" s="139">
        <f>Table7[[#This Row],[GPU]]/Table7[[#This Row],[cpuchunk=10]]</f>
        <v>0.96668148038427359</v>
      </c>
      <c r="AQ126" s="77"/>
    </row>
    <row r="127" spans="34:43" ht="24" x14ac:dyDescent="0.3">
      <c r="AH127">
        <v>1</v>
      </c>
      <c r="AI127" s="77" t="s">
        <v>1</v>
      </c>
      <c r="AJ127">
        <v>8</v>
      </c>
      <c r="AK127" s="2">
        <v>245.38578000000001</v>
      </c>
      <c r="AL127" s="2">
        <v>248.285864</v>
      </c>
      <c r="AM127" s="47">
        <v>218.27</v>
      </c>
      <c r="AN127" s="36">
        <v>216.17</v>
      </c>
      <c r="AO127" s="36">
        <v>221.86</v>
      </c>
      <c r="AP127" s="139">
        <f>Table7[[#This Row],[GPU]]/Table7[[#This Row],[cpuchunk=10]]</f>
        <v>1.1351518712124717</v>
      </c>
      <c r="AQ127" s="77"/>
    </row>
    <row r="128" spans="34:43" ht="24" x14ac:dyDescent="0.3">
      <c r="AH128">
        <v>1</v>
      </c>
      <c r="AI128" s="77" t="s">
        <v>1448</v>
      </c>
      <c r="AJ128">
        <v>5</v>
      </c>
      <c r="AK128" s="2">
        <v>291.89822400000003</v>
      </c>
      <c r="AL128" s="2">
        <v>323.17</v>
      </c>
      <c r="AM128" s="47">
        <v>314.57</v>
      </c>
      <c r="AN128" s="36" t="s">
        <v>3990</v>
      </c>
      <c r="AO128" s="36" t="s">
        <v>3990</v>
      </c>
      <c r="AP128" s="139" t="e">
        <f>Table7[[#This Row],[GPU]]/Table7[[#This Row],[cpuchunk=10]]</f>
        <v>#VALUE!</v>
      </c>
      <c r="AQ128" s="77"/>
    </row>
    <row r="129" spans="34:43" ht="24" x14ac:dyDescent="0.3">
      <c r="AH129">
        <v>1</v>
      </c>
      <c r="AI129" s="77" t="s">
        <v>1425</v>
      </c>
      <c r="AJ129">
        <v>7</v>
      </c>
      <c r="AK129" s="2">
        <v>397.48090999999999</v>
      </c>
      <c r="AL129" s="2">
        <v>439.04</v>
      </c>
      <c r="AM129" s="47" t="s">
        <v>3990</v>
      </c>
      <c r="AN129" s="36" t="s">
        <v>3990</v>
      </c>
      <c r="AO129" s="36" t="s">
        <v>3990</v>
      </c>
      <c r="AP129" s="139" t="e">
        <f>Table7[[#This Row],[GPU]]/Table7[[#This Row],[cpuchunk=10]]</f>
        <v>#VALUE!</v>
      </c>
      <c r="AQ129" s="77"/>
    </row>
    <row r="130" spans="34:43" ht="24" x14ac:dyDescent="0.3">
      <c r="AH130">
        <v>1</v>
      </c>
      <c r="AI130" s="77" t="s">
        <v>1425</v>
      </c>
      <c r="AJ130">
        <v>8</v>
      </c>
      <c r="AK130" s="2">
        <v>422.13027799999998</v>
      </c>
      <c r="AL130" s="2">
        <v>423.83</v>
      </c>
      <c r="AM130" s="47" t="s">
        <v>3990</v>
      </c>
      <c r="AN130" s="36" t="s">
        <v>3990</v>
      </c>
      <c r="AO130" s="36" t="s">
        <v>3990</v>
      </c>
      <c r="AP130" s="139" t="e">
        <f>Table7[[#This Row],[GPU]]/Table7[[#This Row],[cpuchunk=10]]</f>
        <v>#VALUE!</v>
      </c>
      <c r="AQ130" s="77"/>
    </row>
    <row r="131" spans="34:43" ht="24" x14ac:dyDescent="0.3">
      <c r="AH131">
        <v>1</v>
      </c>
      <c r="AI131" s="77" t="s">
        <v>1461</v>
      </c>
      <c r="AJ131">
        <v>7</v>
      </c>
      <c r="AK131" s="2">
        <v>457.514028</v>
      </c>
      <c r="AL131" s="2">
        <v>456.93</v>
      </c>
      <c r="AM131" s="47" t="s">
        <v>3990</v>
      </c>
      <c r="AN131" s="36" t="s">
        <v>3990</v>
      </c>
      <c r="AO131" s="36" t="s">
        <v>3990</v>
      </c>
      <c r="AP131" s="139" t="e">
        <f>Table7[[#This Row],[GPU]]/Table7[[#This Row],[cpuchunk=10]]</f>
        <v>#VALUE!</v>
      </c>
      <c r="AQ131" s="77"/>
    </row>
    <row r="132" spans="34:43" ht="24" x14ac:dyDescent="0.3">
      <c r="AH132">
        <v>1</v>
      </c>
      <c r="AI132" s="77" t="s">
        <v>18</v>
      </c>
      <c r="AJ132">
        <v>5</v>
      </c>
      <c r="AK132" s="2">
        <v>512.48145</v>
      </c>
      <c r="AL132" s="2">
        <v>508.402221</v>
      </c>
      <c r="AM132" s="47" t="s">
        <v>3990</v>
      </c>
      <c r="AN132" s="36" t="s">
        <v>3990</v>
      </c>
      <c r="AO132" s="36" t="s">
        <v>3990</v>
      </c>
      <c r="AP132" s="139" t="e">
        <f>Table7[[#This Row],[GPU]]/Table7[[#This Row],[cpuchunk=10]]</f>
        <v>#VALUE!</v>
      </c>
      <c r="AQ132" s="77"/>
    </row>
    <row r="133" spans="34:43" ht="24" x14ac:dyDescent="0.3">
      <c r="AH133">
        <v>1</v>
      </c>
      <c r="AI133" s="77" t="s">
        <v>1450</v>
      </c>
      <c r="AJ133">
        <v>5</v>
      </c>
      <c r="AK133" s="2">
        <v>544.28210000000001</v>
      </c>
      <c r="AL133" s="2">
        <v>520.41054799999995</v>
      </c>
      <c r="AM133" s="47" t="s">
        <v>3990</v>
      </c>
      <c r="AN133" s="36" t="s">
        <v>3990</v>
      </c>
      <c r="AO133" s="36" t="s">
        <v>3990</v>
      </c>
      <c r="AP133" s="139" t="e">
        <f>Table7[[#This Row],[GPU]]/Table7[[#This Row],[cpuchunk=10]]</f>
        <v>#VALUE!</v>
      </c>
      <c r="AQ133" s="77"/>
    </row>
    <row r="134" spans="34:43" ht="22" hidden="1" x14ac:dyDescent="0.25">
      <c r="AI134" s="77" t="s">
        <v>1433</v>
      </c>
      <c r="AJ134">
        <v>5</v>
      </c>
      <c r="AK134" s="2">
        <v>567.19409700000006</v>
      </c>
      <c r="AL134" s="2" t="s">
        <v>3990</v>
      </c>
      <c r="AM134" s="107" t="e">
        <f>Table7[[#This Row],[GPU]]/Table7[[#This Row],[expand mode]]</f>
        <v>#VALUE!</v>
      </c>
      <c r="AP134" t="e">
        <f>Table7[[#This Row],[GPU]]/Table7[[#This Row],[cpuchunk=10]]</f>
        <v>#DIV/0!</v>
      </c>
    </row>
    <row r="135" spans="34:43" ht="22" hidden="1" x14ac:dyDescent="0.25">
      <c r="AI135" s="77" t="s">
        <v>1346</v>
      </c>
      <c r="AJ135">
        <v>6</v>
      </c>
      <c r="AK135" s="2" t="s">
        <v>3990</v>
      </c>
      <c r="AL135" s="2" t="s">
        <v>3990</v>
      </c>
      <c r="AM135" s="107" t="e">
        <f>Table7[[#This Row],[GPU]]/Table7[[#This Row],[expand mode]]</f>
        <v>#VALUE!</v>
      </c>
      <c r="AP135" t="e">
        <f>Table7[[#This Row],[GPU]]/Table7[[#This Row],[cpuchunk=10]]</f>
        <v>#VALUE!</v>
      </c>
    </row>
    <row r="136" spans="34:43" ht="22" hidden="1" x14ac:dyDescent="0.25">
      <c r="AI136" s="77" t="s">
        <v>1346</v>
      </c>
      <c r="AJ136">
        <v>18</v>
      </c>
      <c r="AK136" s="2" t="s">
        <v>3990</v>
      </c>
      <c r="AL136" s="2" t="s">
        <v>3990</v>
      </c>
      <c r="AM136" s="107" t="e">
        <f>Table7[[#This Row],[GPU]]/Table7[[#This Row],[expand mode]]</f>
        <v>#VALUE!</v>
      </c>
      <c r="AP136" t="e">
        <f>Table7[[#This Row],[GPU]]/Table7[[#This Row],[cpuchunk=10]]</f>
        <v>#VALUE!</v>
      </c>
    </row>
    <row r="137" spans="34:43" ht="22" hidden="1" x14ac:dyDescent="0.25">
      <c r="AI137" s="77" t="s">
        <v>1</v>
      </c>
      <c r="AJ137">
        <v>6</v>
      </c>
      <c r="AK137" s="2" t="s">
        <v>3990</v>
      </c>
      <c r="AL137" s="2" t="s">
        <v>3990</v>
      </c>
      <c r="AM137" s="107" t="e">
        <f>Table7[[#This Row],[GPU]]/Table7[[#This Row],[expand mode]]</f>
        <v>#VALUE!</v>
      </c>
      <c r="AP137" t="e">
        <f>Table7[[#This Row],[GPU]]/Table7[[#This Row],[cpuchunk=10]]</f>
        <v>#VALUE!</v>
      </c>
    </row>
    <row r="138" spans="34:43" ht="22" hidden="1" x14ac:dyDescent="0.25">
      <c r="AI138" s="77" t="s">
        <v>1</v>
      </c>
      <c r="AJ138">
        <v>7</v>
      </c>
      <c r="AK138" s="2" t="s">
        <v>3990</v>
      </c>
      <c r="AL138" s="2" t="s">
        <v>3990</v>
      </c>
      <c r="AM138" s="107" t="e">
        <f>Table7[[#This Row],[GPU]]/Table7[[#This Row],[expand mode]]</f>
        <v>#VALUE!</v>
      </c>
      <c r="AP138" t="e">
        <f>Table7[[#This Row],[GPU]]/Table7[[#This Row],[cpuchunk=10]]</f>
        <v>#VALUE!</v>
      </c>
    </row>
    <row r="139" spans="34:43" ht="22" hidden="1" x14ac:dyDescent="0.25">
      <c r="AI139" s="77" t="s">
        <v>1</v>
      </c>
      <c r="AJ139">
        <v>9</v>
      </c>
      <c r="AK139" s="2" t="s">
        <v>3990</v>
      </c>
      <c r="AL139" s="2" t="s">
        <v>3990</v>
      </c>
      <c r="AM139" s="107" t="e">
        <f>Table7[[#This Row],[GPU]]/Table7[[#This Row],[expand mode]]</f>
        <v>#VALUE!</v>
      </c>
      <c r="AP139" t="e">
        <f>Table7[[#This Row],[GPU]]/Table7[[#This Row],[cpuchunk=10]]</f>
        <v>#VALUE!</v>
      </c>
    </row>
    <row r="140" spans="34:43" ht="22" hidden="1" x14ac:dyDescent="0.25">
      <c r="AI140" s="77" t="s">
        <v>1</v>
      </c>
      <c r="AJ140">
        <v>18</v>
      </c>
      <c r="AK140" s="2" t="s">
        <v>3990</v>
      </c>
      <c r="AL140" s="2" t="s">
        <v>3990</v>
      </c>
      <c r="AM140" s="107" t="e">
        <f>Table7[[#This Row],[GPU]]/Table7[[#This Row],[expand mode]]</f>
        <v>#VALUE!</v>
      </c>
      <c r="AP140" t="e">
        <f>Table7[[#This Row],[GPU]]/Table7[[#This Row],[cpuchunk=10]]</f>
        <v>#VALUE!</v>
      </c>
    </row>
    <row r="141" spans="34:43" ht="22" hidden="1" x14ac:dyDescent="0.25">
      <c r="AI141" s="77" t="s">
        <v>1461</v>
      </c>
      <c r="AJ141">
        <v>6</v>
      </c>
      <c r="AK141" s="2" t="s">
        <v>3990</v>
      </c>
      <c r="AL141" s="2" t="s">
        <v>3990</v>
      </c>
      <c r="AM141" s="107" t="e">
        <f>Table7[[#This Row],[GPU]]/Table7[[#This Row],[expand mode]]</f>
        <v>#VALUE!</v>
      </c>
      <c r="AP141" t="e">
        <f>Table7[[#This Row],[GPU]]/Table7[[#This Row],[cpuchunk=10]]</f>
        <v>#VALUE!</v>
      </c>
    </row>
    <row r="142" spans="34:43" ht="22" hidden="1" x14ac:dyDescent="0.25">
      <c r="AI142" s="121" t="s">
        <v>1461</v>
      </c>
      <c r="AJ142" s="122">
        <v>8</v>
      </c>
      <c r="AK142" s="123" t="s">
        <v>3990</v>
      </c>
      <c r="AL142" s="123">
        <v>463.53</v>
      </c>
      <c r="AM142" s="124" t="e">
        <f>Table7[[#This Row],[GPU]]/Table7[[#This Row],[expand mode]]</f>
        <v>#VALUE!</v>
      </c>
      <c r="AP142" t="e">
        <f>Table7[[#This Row],[GPU]]/Table7[[#This Row],[cpuchunk=10]]</f>
        <v>#VALUE!</v>
      </c>
    </row>
    <row r="143" spans="34:43" ht="22" hidden="1" x14ac:dyDescent="0.25">
      <c r="AI143" s="77" t="s">
        <v>1461</v>
      </c>
      <c r="AJ143">
        <v>18</v>
      </c>
      <c r="AK143" s="2" t="s">
        <v>3990</v>
      </c>
      <c r="AL143" s="2" t="s">
        <v>3990</v>
      </c>
      <c r="AM143" s="107" t="e">
        <f>Table7[[#This Row],[GPU]]/Table7[[#This Row],[expand mode]]</f>
        <v>#VALUE!</v>
      </c>
      <c r="AP143" t="e">
        <f>Table7[[#This Row],[GPU]]/Table7[[#This Row],[cpuchunk=10]]</f>
        <v>#VALUE!</v>
      </c>
    </row>
    <row r="144" spans="34:43" ht="22" hidden="1" x14ac:dyDescent="0.25">
      <c r="AI144" s="121" t="s">
        <v>1391</v>
      </c>
      <c r="AJ144" s="122">
        <v>6</v>
      </c>
      <c r="AK144" s="123" t="s">
        <v>3990</v>
      </c>
      <c r="AL144" s="123">
        <v>55.96</v>
      </c>
      <c r="AM144" s="124" t="e">
        <f>Table7[[#This Row],[GPU]]/Table7[[#This Row],[expand mode]]</f>
        <v>#VALUE!</v>
      </c>
      <c r="AP144" t="e">
        <f>Table7[[#This Row],[GPU]]/Table7[[#This Row],[cpuchunk=10]]</f>
        <v>#VALUE!</v>
      </c>
    </row>
    <row r="145" spans="35:42" ht="22" hidden="1" x14ac:dyDescent="0.25">
      <c r="AI145" s="77" t="s">
        <v>1391</v>
      </c>
      <c r="AJ145">
        <v>18</v>
      </c>
      <c r="AK145" s="2" t="s">
        <v>3990</v>
      </c>
      <c r="AL145" s="2" t="s">
        <v>3990</v>
      </c>
      <c r="AM145" s="107" t="e">
        <f>Table7[[#This Row],[GPU]]/Table7[[#This Row],[expand mode]]</f>
        <v>#VALUE!</v>
      </c>
      <c r="AP145" t="e">
        <f>Table7[[#This Row],[GPU]]/Table7[[#This Row],[cpuchunk=10]]</f>
        <v>#VALUE!</v>
      </c>
    </row>
    <row r="146" spans="35:42" ht="22" hidden="1" x14ac:dyDescent="0.25">
      <c r="AI146" s="77" t="s">
        <v>1440</v>
      </c>
      <c r="AJ146">
        <v>5</v>
      </c>
      <c r="AK146" s="2" t="s">
        <v>3990</v>
      </c>
      <c r="AL146" s="2" t="s">
        <v>3990</v>
      </c>
      <c r="AM146" s="107" t="e">
        <f>Table7[[#This Row],[GPU]]/Table7[[#This Row],[expand mode]]</f>
        <v>#VALUE!</v>
      </c>
      <c r="AP146" t="e">
        <f>Table7[[#This Row],[GPU]]/Table7[[#This Row],[cpuchunk=10]]</f>
        <v>#VALUE!</v>
      </c>
    </row>
    <row r="147" spans="35:42" ht="22" hidden="1" x14ac:dyDescent="0.25">
      <c r="AI147" s="77" t="s">
        <v>1440</v>
      </c>
      <c r="AJ147">
        <v>6</v>
      </c>
      <c r="AK147" s="2" t="s">
        <v>3990</v>
      </c>
      <c r="AL147" s="2" t="s">
        <v>3990</v>
      </c>
      <c r="AM147" s="107" t="e">
        <f>Table7[[#This Row],[GPU]]/Table7[[#This Row],[expand mode]]</f>
        <v>#VALUE!</v>
      </c>
      <c r="AP147" t="e">
        <f>Table7[[#This Row],[GPU]]/Table7[[#This Row],[cpuchunk=10]]</f>
        <v>#VALUE!</v>
      </c>
    </row>
    <row r="148" spans="35:42" ht="22" hidden="1" x14ac:dyDescent="0.25">
      <c r="AI148" s="77" t="s">
        <v>1440</v>
      </c>
      <c r="AJ148">
        <v>7</v>
      </c>
      <c r="AK148" s="2" t="s">
        <v>3990</v>
      </c>
      <c r="AL148" s="2" t="s">
        <v>3990</v>
      </c>
      <c r="AM148" s="107" t="e">
        <f>Table7[[#This Row],[GPU]]/Table7[[#This Row],[expand mode]]</f>
        <v>#VALUE!</v>
      </c>
      <c r="AP148" t="e">
        <f>Table7[[#This Row],[GPU]]/Table7[[#This Row],[cpuchunk=10]]</f>
        <v>#VALUE!</v>
      </c>
    </row>
    <row r="149" spans="35:42" ht="22" hidden="1" x14ac:dyDescent="0.25">
      <c r="AI149" s="77" t="s">
        <v>1440</v>
      </c>
      <c r="AJ149">
        <v>8</v>
      </c>
      <c r="AK149" s="2" t="s">
        <v>3990</v>
      </c>
      <c r="AL149" s="2" t="s">
        <v>3990</v>
      </c>
      <c r="AM149" s="107" t="e">
        <f>Table7[[#This Row],[GPU]]/Table7[[#This Row],[expand mode]]</f>
        <v>#VALUE!</v>
      </c>
      <c r="AP149" t="e">
        <f>Table7[[#This Row],[GPU]]/Table7[[#This Row],[cpuchunk=10]]</f>
        <v>#VALUE!</v>
      </c>
    </row>
    <row r="150" spans="35:42" ht="22" hidden="1" x14ac:dyDescent="0.25">
      <c r="AI150" s="77" t="s">
        <v>1440</v>
      </c>
      <c r="AJ150">
        <v>18</v>
      </c>
      <c r="AK150" s="2" t="s">
        <v>3990</v>
      </c>
      <c r="AL150" s="2" t="s">
        <v>3990</v>
      </c>
      <c r="AM150" s="107" t="e">
        <f>Table7[[#This Row],[GPU]]/Table7[[#This Row],[expand mode]]</f>
        <v>#VALUE!</v>
      </c>
      <c r="AP150" t="e">
        <f>Table7[[#This Row],[GPU]]/Table7[[#This Row],[cpuchunk=10]]</f>
        <v>#VALUE!</v>
      </c>
    </row>
    <row r="151" spans="35:42" ht="22" hidden="1" x14ac:dyDescent="0.25">
      <c r="AI151" s="77" t="s">
        <v>1450</v>
      </c>
      <c r="AJ151">
        <v>6</v>
      </c>
      <c r="AK151" s="2" t="s">
        <v>3990</v>
      </c>
      <c r="AL151" s="2" t="s">
        <v>3990</v>
      </c>
      <c r="AM151" s="107" t="e">
        <f>Table7[[#This Row],[GPU]]/Table7[[#This Row],[expand mode]]</f>
        <v>#VALUE!</v>
      </c>
      <c r="AP151" t="e">
        <f>Table7[[#This Row],[GPU]]/Table7[[#This Row],[cpuchunk=10]]</f>
        <v>#VALUE!</v>
      </c>
    </row>
    <row r="152" spans="35:42" ht="22" hidden="1" x14ac:dyDescent="0.25">
      <c r="AI152" s="77" t="s">
        <v>1450</v>
      </c>
      <c r="AJ152">
        <v>7</v>
      </c>
      <c r="AK152" s="2" t="s">
        <v>3990</v>
      </c>
      <c r="AL152" s="2" t="s">
        <v>3990</v>
      </c>
      <c r="AM152" s="107" t="e">
        <f>Table7[[#This Row],[GPU]]/Table7[[#This Row],[expand mode]]</f>
        <v>#VALUE!</v>
      </c>
      <c r="AP152" t="e">
        <f>Table7[[#This Row],[GPU]]/Table7[[#This Row],[cpuchunk=10]]</f>
        <v>#VALUE!</v>
      </c>
    </row>
    <row r="153" spans="35:42" ht="22" hidden="1" x14ac:dyDescent="0.25">
      <c r="AI153" s="77" t="s">
        <v>1450</v>
      </c>
      <c r="AJ153">
        <v>8</v>
      </c>
      <c r="AK153" s="2" t="s">
        <v>3990</v>
      </c>
      <c r="AL153" s="2" t="s">
        <v>3990</v>
      </c>
      <c r="AM153" s="107" t="e">
        <f>Table7[[#This Row],[GPU]]/Table7[[#This Row],[expand mode]]</f>
        <v>#VALUE!</v>
      </c>
      <c r="AP153" t="e">
        <f>Table7[[#This Row],[GPU]]/Table7[[#This Row],[cpuchunk=10]]</f>
        <v>#VALUE!</v>
      </c>
    </row>
    <row r="154" spans="35:42" ht="22" hidden="1" x14ac:dyDescent="0.25">
      <c r="AI154" s="77" t="s">
        <v>1450</v>
      </c>
      <c r="AJ154">
        <v>18</v>
      </c>
      <c r="AK154" s="2" t="s">
        <v>3990</v>
      </c>
      <c r="AL154" s="2" t="s">
        <v>3990</v>
      </c>
      <c r="AM154" s="107" t="e">
        <f>Table7[[#This Row],[GPU]]/Table7[[#This Row],[expand mode]]</f>
        <v>#VALUE!</v>
      </c>
      <c r="AP154" t="e">
        <f>Table7[[#This Row],[GPU]]/Table7[[#This Row],[cpuchunk=10]]</f>
        <v>#VALUE!</v>
      </c>
    </row>
    <row r="155" spans="35:42" ht="22" hidden="1" x14ac:dyDescent="0.25">
      <c r="AI155" s="77" t="s">
        <v>1455</v>
      </c>
      <c r="AJ155">
        <v>5</v>
      </c>
      <c r="AK155" s="2" t="s">
        <v>3990</v>
      </c>
      <c r="AL155" s="2" t="s">
        <v>3990</v>
      </c>
      <c r="AM155" s="107" t="e">
        <f>Table7[[#This Row],[GPU]]/Table7[[#This Row],[expand mode]]</f>
        <v>#VALUE!</v>
      </c>
      <c r="AP155" t="e">
        <f>Table7[[#This Row],[GPU]]/Table7[[#This Row],[cpuchunk=10]]</f>
        <v>#VALUE!</v>
      </c>
    </row>
    <row r="156" spans="35:42" ht="22" hidden="1" x14ac:dyDescent="0.25">
      <c r="AI156" s="77" t="s">
        <v>1455</v>
      </c>
      <c r="AJ156">
        <v>6</v>
      </c>
      <c r="AK156" s="2" t="s">
        <v>3990</v>
      </c>
      <c r="AL156" s="2" t="s">
        <v>3990</v>
      </c>
      <c r="AM156" s="107" t="e">
        <f>Table7[[#This Row],[GPU]]/Table7[[#This Row],[expand mode]]</f>
        <v>#VALUE!</v>
      </c>
      <c r="AP156" t="e">
        <f>Table7[[#This Row],[GPU]]/Table7[[#This Row],[cpuchunk=10]]</f>
        <v>#VALUE!</v>
      </c>
    </row>
    <row r="157" spans="35:42" ht="22" hidden="1" x14ac:dyDescent="0.25">
      <c r="AI157" s="77" t="s">
        <v>1455</v>
      </c>
      <c r="AJ157">
        <v>7</v>
      </c>
      <c r="AK157" s="2" t="s">
        <v>3990</v>
      </c>
      <c r="AL157" s="2" t="s">
        <v>3990</v>
      </c>
      <c r="AM157" s="107" t="e">
        <f>Table7[[#This Row],[GPU]]/Table7[[#This Row],[expand mode]]</f>
        <v>#VALUE!</v>
      </c>
      <c r="AP157" t="e">
        <f>Table7[[#This Row],[GPU]]/Table7[[#This Row],[cpuchunk=10]]</f>
        <v>#VALUE!</v>
      </c>
    </row>
    <row r="158" spans="35:42" ht="22" hidden="1" x14ac:dyDescent="0.25">
      <c r="AI158" s="77" t="s">
        <v>1455</v>
      </c>
      <c r="AJ158">
        <v>8</v>
      </c>
      <c r="AK158" s="2" t="s">
        <v>3990</v>
      </c>
      <c r="AL158" s="2" t="s">
        <v>3990</v>
      </c>
      <c r="AM158" s="107" t="e">
        <f>Table7[[#This Row],[GPU]]/Table7[[#This Row],[expand mode]]</f>
        <v>#VALUE!</v>
      </c>
      <c r="AP158" t="e">
        <f>Table7[[#This Row],[GPU]]/Table7[[#This Row],[cpuchunk=10]]</f>
        <v>#VALUE!</v>
      </c>
    </row>
    <row r="159" spans="35:42" ht="22" hidden="1" x14ac:dyDescent="0.25">
      <c r="AI159" s="77" t="s">
        <v>1455</v>
      </c>
      <c r="AJ159">
        <v>9</v>
      </c>
      <c r="AK159" s="2" t="s">
        <v>3990</v>
      </c>
      <c r="AL159" s="2" t="s">
        <v>3990</v>
      </c>
      <c r="AM159" s="107" t="e">
        <f>Table7[[#This Row],[GPU]]/Table7[[#This Row],[expand mode]]</f>
        <v>#VALUE!</v>
      </c>
      <c r="AP159" t="e">
        <f>Table7[[#This Row],[GPU]]/Table7[[#This Row],[cpuchunk=10]]</f>
        <v>#VALUE!</v>
      </c>
    </row>
    <row r="160" spans="35:42" ht="22" hidden="1" x14ac:dyDescent="0.25">
      <c r="AI160" s="77" t="s">
        <v>1455</v>
      </c>
      <c r="AJ160">
        <v>18</v>
      </c>
      <c r="AK160" s="2" t="s">
        <v>3990</v>
      </c>
      <c r="AL160" s="2" t="s">
        <v>3990</v>
      </c>
      <c r="AM160" s="107" t="e">
        <f>Table7[[#This Row],[GPU]]/Table7[[#This Row],[expand mode]]</f>
        <v>#VALUE!</v>
      </c>
      <c r="AP160" t="e">
        <f>Table7[[#This Row],[GPU]]/Table7[[#This Row],[cpuchunk=10]]</f>
        <v>#VALUE!</v>
      </c>
    </row>
    <row r="161" spans="35:42" ht="22" hidden="1" x14ac:dyDescent="0.25">
      <c r="AI161" s="77" t="s">
        <v>1409</v>
      </c>
      <c r="AJ161">
        <v>5</v>
      </c>
      <c r="AK161" s="2" t="s">
        <v>3990</v>
      </c>
      <c r="AL161" s="2" t="s">
        <v>3990</v>
      </c>
      <c r="AM161" s="107" t="e">
        <f>Table7[[#This Row],[GPU]]/Table7[[#This Row],[expand mode]]</f>
        <v>#VALUE!</v>
      </c>
      <c r="AP161" t="e">
        <f>Table7[[#This Row],[GPU]]/Table7[[#This Row],[cpuchunk=10]]</f>
        <v>#VALUE!</v>
      </c>
    </row>
    <row r="162" spans="35:42" ht="22" hidden="1" x14ac:dyDescent="0.25">
      <c r="AI162" s="77" t="s">
        <v>1409</v>
      </c>
      <c r="AJ162">
        <v>6</v>
      </c>
      <c r="AK162" s="2" t="s">
        <v>3990</v>
      </c>
      <c r="AL162" s="2" t="s">
        <v>3990</v>
      </c>
      <c r="AM162" s="107" t="e">
        <f>Table7[[#This Row],[GPU]]/Table7[[#This Row],[expand mode]]</f>
        <v>#VALUE!</v>
      </c>
      <c r="AP162" t="e">
        <f>Table7[[#This Row],[GPU]]/Table7[[#This Row],[cpuchunk=10]]</f>
        <v>#VALUE!</v>
      </c>
    </row>
    <row r="163" spans="35:42" ht="22" hidden="1" x14ac:dyDescent="0.25">
      <c r="AI163" s="77" t="s">
        <v>1409</v>
      </c>
      <c r="AJ163">
        <v>7</v>
      </c>
      <c r="AK163" s="2" t="s">
        <v>3990</v>
      </c>
      <c r="AL163" s="2" t="s">
        <v>3990</v>
      </c>
      <c r="AM163" s="107" t="e">
        <f>Table7[[#This Row],[GPU]]/Table7[[#This Row],[expand mode]]</f>
        <v>#VALUE!</v>
      </c>
      <c r="AP163" t="e">
        <f>Table7[[#This Row],[GPU]]/Table7[[#This Row],[cpuchunk=10]]</f>
        <v>#VALUE!</v>
      </c>
    </row>
    <row r="164" spans="35:42" ht="22" hidden="1" x14ac:dyDescent="0.25">
      <c r="AI164" s="77" t="s">
        <v>1409</v>
      </c>
      <c r="AJ164">
        <v>8</v>
      </c>
      <c r="AK164" s="2" t="s">
        <v>3990</v>
      </c>
      <c r="AL164" s="2" t="s">
        <v>3990</v>
      </c>
      <c r="AM164" s="107" t="e">
        <f>Table7[[#This Row],[GPU]]/Table7[[#This Row],[expand mode]]</f>
        <v>#VALUE!</v>
      </c>
      <c r="AP164" t="e">
        <f>Table7[[#This Row],[GPU]]/Table7[[#This Row],[cpuchunk=10]]</f>
        <v>#VALUE!</v>
      </c>
    </row>
    <row r="165" spans="35:42" ht="22" hidden="1" x14ac:dyDescent="0.25">
      <c r="AI165" s="77" t="s">
        <v>1409</v>
      </c>
      <c r="AJ165">
        <v>18</v>
      </c>
      <c r="AK165" s="2" t="s">
        <v>3990</v>
      </c>
      <c r="AL165" s="2" t="s">
        <v>3990</v>
      </c>
      <c r="AM165" s="107" t="e">
        <f>Table7[[#This Row],[GPU]]/Table7[[#This Row],[expand mode]]</f>
        <v>#VALUE!</v>
      </c>
      <c r="AP165" t="e">
        <f>Table7[[#This Row],[GPU]]/Table7[[#This Row],[cpuchunk=10]]</f>
        <v>#VALUE!</v>
      </c>
    </row>
    <row r="166" spans="35:42" ht="22" hidden="1" x14ac:dyDescent="0.25">
      <c r="AI166" s="77" t="s">
        <v>1449</v>
      </c>
      <c r="AJ166">
        <v>5</v>
      </c>
      <c r="AK166" s="2" t="s">
        <v>3990</v>
      </c>
      <c r="AL166" s="2" t="s">
        <v>3990</v>
      </c>
      <c r="AM166" s="107" t="e">
        <f>Table7[[#This Row],[GPU]]/Table7[[#This Row],[expand mode]]</f>
        <v>#VALUE!</v>
      </c>
      <c r="AP166" t="e">
        <f>Table7[[#This Row],[GPU]]/Table7[[#This Row],[cpuchunk=10]]</f>
        <v>#VALUE!</v>
      </c>
    </row>
    <row r="167" spans="35:42" ht="22" hidden="1" x14ac:dyDescent="0.25">
      <c r="AI167" s="77" t="s">
        <v>1449</v>
      </c>
      <c r="AJ167">
        <v>6</v>
      </c>
      <c r="AK167" s="2" t="s">
        <v>3990</v>
      </c>
      <c r="AL167" s="2" t="s">
        <v>3990</v>
      </c>
      <c r="AM167" s="107" t="e">
        <f>Table7[[#This Row],[GPU]]/Table7[[#This Row],[expand mode]]</f>
        <v>#VALUE!</v>
      </c>
      <c r="AP167" t="e">
        <f>Table7[[#This Row],[GPU]]/Table7[[#This Row],[cpuchunk=10]]</f>
        <v>#VALUE!</v>
      </c>
    </row>
    <row r="168" spans="35:42" ht="22" hidden="1" x14ac:dyDescent="0.25">
      <c r="AI168" s="77" t="s">
        <v>1449</v>
      </c>
      <c r="AJ168">
        <v>7</v>
      </c>
      <c r="AK168" s="2" t="s">
        <v>3990</v>
      </c>
      <c r="AL168" s="2" t="s">
        <v>3990</v>
      </c>
      <c r="AM168" s="107" t="e">
        <f>Table7[[#This Row],[GPU]]/Table7[[#This Row],[expand mode]]</f>
        <v>#VALUE!</v>
      </c>
      <c r="AP168" t="e">
        <f>Table7[[#This Row],[GPU]]/Table7[[#This Row],[cpuchunk=10]]</f>
        <v>#VALUE!</v>
      </c>
    </row>
    <row r="169" spans="35:42" ht="22" hidden="1" x14ac:dyDescent="0.25">
      <c r="AI169" s="77" t="s">
        <v>1449</v>
      </c>
      <c r="AJ169">
        <v>8</v>
      </c>
      <c r="AK169" s="2" t="s">
        <v>3990</v>
      </c>
      <c r="AL169" s="2" t="s">
        <v>3990</v>
      </c>
      <c r="AM169" s="107" t="e">
        <f>Table7[[#This Row],[GPU]]/Table7[[#This Row],[expand mode]]</f>
        <v>#VALUE!</v>
      </c>
      <c r="AP169" t="e">
        <f>Table7[[#This Row],[GPU]]/Table7[[#This Row],[cpuchunk=10]]</f>
        <v>#VALUE!</v>
      </c>
    </row>
    <row r="170" spans="35:42" ht="22" hidden="1" x14ac:dyDescent="0.25">
      <c r="AI170" s="77" t="s">
        <v>1449</v>
      </c>
      <c r="AJ170">
        <v>9</v>
      </c>
      <c r="AK170" s="2" t="s">
        <v>3990</v>
      </c>
      <c r="AL170" s="2" t="s">
        <v>3990</v>
      </c>
      <c r="AM170" s="107" t="e">
        <f>Table7[[#This Row],[GPU]]/Table7[[#This Row],[expand mode]]</f>
        <v>#VALUE!</v>
      </c>
      <c r="AP170" t="e">
        <f>Table7[[#This Row],[GPU]]/Table7[[#This Row],[cpuchunk=10]]</f>
        <v>#VALUE!</v>
      </c>
    </row>
    <row r="171" spans="35:42" ht="22" hidden="1" x14ac:dyDescent="0.25">
      <c r="AI171" s="77" t="s">
        <v>1449</v>
      </c>
      <c r="AJ171">
        <v>18</v>
      </c>
      <c r="AK171" s="2" t="s">
        <v>3990</v>
      </c>
      <c r="AL171" s="2" t="s">
        <v>3990</v>
      </c>
      <c r="AM171" s="107" t="e">
        <f>Table7[[#This Row],[GPU]]/Table7[[#This Row],[expand mode]]</f>
        <v>#VALUE!</v>
      </c>
      <c r="AP171" t="e">
        <f>Table7[[#This Row],[GPU]]/Table7[[#This Row],[cpuchunk=10]]</f>
        <v>#VALUE!</v>
      </c>
    </row>
    <row r="172" spans="35:42" ht="22" hidden="1" x14ac:dyDescent="0.25">
      <c r="AI172" s="77" t="s">
        <v>1437</v>
      </c>
      <c r="AJ172">
        <v>2</v>
      </c>
      <c r="AK172" s="2" t="s">
        <v>3990</v>
      </c>
      <c r="AL172" s="2" t="s">
        <v>3990</v>
      </c>
      <c r="AM172" s="107" t="e">
        <f>Table7[[#This Row],[GPU]]/Table7[[#This Row],[expand mode]]</f>
        <v>#VALUE!</v>
      </c>
      <c r="AP172" t="e">
        <f>Table7[[#This Row],[GPU]]/Table7[[#This Row],[cpuchunk=10]]</f>
        <v>#VALUE!</v>
      </c>
    </row>
    <row r="173" spans="35:42" ht="22" hidden="1" x14ac:dyDescent="0.25">
      <c r="AI173" s="77" t="s">
        <v>1437</v>
      </c>
      <c r="AJ173">
        <v>5</v>
      </c>
      <c r="AK173" s="2" t="s">
        <v>3990</v>
      </c>
      <c r="AL173" s="2" t="s">
        <v>3990</v>
      </c>
      <c r="AM173" s="107" t="e">
        <f>Table7[[#This Row],[GPU]]/Table7[[#This Row],[expand mode]]</f>
        <v>#VALUE!</v>
      </c>
      <c r="AP173" t="e">
        <f>Table7[[#This Row],[GPU]]/Table7[[#This Row],[cpuchunk=10]]</f>
        <v>#VALUE!</v>
      </c>
    </row>
    <row r="174" spans="35:42" ht="22" hidden="1" x14ac:dyDescent="0.25">
      <c r="AI174" s="77" t="s">
        <v>1437</v>
      </c>
      <c r="AJ174">
        <v>6</v>
      </c>
      <c r="AK174" s="2" t="s">
        <v>3990</v>
      </c>
      <c r="AL174" s="2" t="s">
        <v>3990</v>
      </c>
      <c r="AM174" s="107" t="e">
        <f>Table7[[#This Row],[GPU]]/Table7[[#This Row],[expand mode]]</f>
        <v>#VALUE!</v>
      </c>
      <c r="AP174" t="e">
        <f>Table7[[#This Row],[GPU]]/Table7[[#This Row],[cpuchunk=10]]</f>
        <v>#VALUE!</v>
      </c>
    </row>
    <row r="175" spans="35:42" ht="22" hidden="1" x14ac:dyDescent="0.25">
      <c r="AI175" s="77" t="s">
        <v>1437</v>
      </c>
      <c r="AJ175">
        <v>7</v>
      </c>
      <c r="AK175" s="2" t="s">
        <v>3990</v>
      </c>
      <c r="AL175" s="2" t="s">
        <v>3990</v>
      </c>
      <c r="AM175" s="107" t="e">
        <f>Table7[[#This Row],[GPU]]/Table7[[#This Row],[expand mode]]</f>
        <v>#VALUE!</v>
      </c>
      <c r="AP175" t="e">
        <f>Table7[[#This Row],[GPU]]/Table7[[#This Row],[cpuchunk=10]]</f>
        <v>#VALUE!</v>
      </c>
    </row>
    <row r="176" spans="35:42" ht="22" hidden="1" x14ac:dyDescent="0.25">
      <c r="AI176" s="77" t="s">
        <v>1437</v>
      </c>
      <c r="AJ176">
        <v>8</v>
      </c>
      <c r="AK176" s="2" t="s">
        <v>3990</v>
      </c>
      <c r="AL176" s="2" t="s">
        <v>3990</v>
      </c>
      <c r="AM176" s="107" t="e">
        <f>Table7[[#This Row],[GPU]]/Table7[[#This Row],[expand mode]]</f>
        <v>#VALUE!</v>
      </c>
      <c r="AP176" t="e">
        <f>Table7[[#This Row],[GPU]]/Table7[[#This Row],[cpuchunk=10]]</f>
        <v>#VALUE!</v>
      </c>
    </row>
    <row r="177" spans="35:42" ht="22" hidden="1" x14ac:dyDescent="0.25">
      <c r="AI177" s="77" t="s">
        <v>1437</v>
      </c>
      <c r="AJ177">
        <v>9</v>
      </c>
      <c r="AK177" s="2" t="s">
        <v>3990</v>
      </c>
      <c r="AL177" s="2" t="s">
        <v>3990</v>
      </c>
      <c r="AM177" s="107" t="e">
        <f>Table7[[#This Row],[GPU]]/Table7[[#This Row],[expand mode]]</f>
        <v>#VALUE!</v>
      </c>
      <c r="AP177" t="e">
        <f>Table7[[#This Row],[GPU]]/Table7[[#This Row],[cpuchunk=10]]</f>
        <v>#VALUE!</v>
      </c>
    </row>
    <row r="178" spans="35:42" ht="22" hidden="1" x14ac:dyDescent="0.25">
      <c r="AI178" s="77" t="s">
        <v>1437</v>
      </c>
      <c r="AJ178">
        <v>18</v>
      </c>
      <c r="AK178" s="2" t="s">
        <v>3990</v>
      </c>
      <c r="AL178" s="2" t="s">
        <v>3990</v>
      </c>
      <c r="AM178" s="107" t="e">
        <f>Table7[[#This Row],[GPU]]/Table7[[#This Row],[expand mode]]</f>
        <v>#VALUE!</v>
      </c>
      <c r="AP178" t="e">
        <f>Table7[[#This Row],[GPU]]/Table7[[#This Row],[cpuchunk=10]]</f>
        <v>#VALUE!</v>
      </c>
    </row>
    <row r="179" spans="35:42" ht="22" hidden="1" x14ac:dyDescent="0.25">
      <c r="AI179" s="77" t="s">
        <v>1436</v>
      </c>
      <c r="AJ179">
        <v>5</v>
      </c>
      <c r="AK179" s="2" t="s">
        <v>3990</v>
      </c>
      <c r="AL179" s="2" t="s">
        <v>3990</v>
      </c>
      <c r="AM179" s="107" t="e">
        <f>Table7[[#This Row],[GPU]]/Table7[[#This Row],[expand mode]]</f>
        <v>#VALUE!</v>
      </c>
      <c r="AP179" t="e">
        <f>Table7[[#This Row],[GPU]]/Table7[[#This Row],[cpuchunk=10]]</f>
        <v>#VALUE!</v>
      </c>
    </row>
    <row r="180" spans="35:42" ht="22" hidden="1" x14ac:dyDescent="0.25">
      <c r="AI180" s="77" t="s">
        <v>1436</v>
      </c>
      <c r="AJ180">
        <v>6</v>
      </c>
      <c r="AK180" s="2" t="s">
        <v>3990</v>
      </c>
      <c r="AL180" s="2" t="s">
        <v>3990</v>
      </c>
      <c r="AM180" s="107" t="e">
        <f>Table7[[#This Row],[GPU]]/Table7[[#This Row],[expand mode]]</f>
        <v>#VALUE!</v>
      </c>
      <c r="AP180" t="e">
        <f>Table7[[#This Row],[GPU]]/Table7[[#This Row],[cpuchunk=10]]</f>
        <v>#VALUE!</v>
      </c>
    </row>
    <row r="181" spans="35:42" ht="22" hidden="1" x14ac:dyDescent="0.25">
      <c r="AI181" s="77" t="s">
        <v>1436</v>
      </c>
      <c r="AJ181">
        <v>7</v>
      </c>
      <c r="AK181" s="2" t="s">
        <v>3990</v>
      </c>
      <c r="AL181" s="2" t="s">
        <v>3990</v>
      </c>
      <c r="AM181" s="107" t="e">
        <f>Table7[[#This Row],[GPU]]/Table7[[#This Row],[expand mode]]</f>
        <v>#VALUE!</v>
      </c>
      <c r="AP181" t="e">
        <f>Table7[[#This Row],[GPU]]/Table7[[#This Row],[cpuchunk=10]]</f>
        <v>#VALUE!</v>
      </c>
    </row>
    <row r="182" spans="35:42" ht="22" hidden="1" x14ac:dyDescent="0.25">
      <c r="AI182" s="77" t="s">
        <v>1436</v>
      </c>
      <c r="AJ182">
        <v>8</v>
      </c>
      <c r="AK182" s="2" t="s">
        <v>3990</v>
      </c>
      <c r="AL182" s="2" t="s">
        <v>3990</v>
      </c>
      <c r="AM182" s="107" t="e">
        <f>Table7[[#This Row],[GPU]]/Table7[[#This Row],[expand mode]]</f>
        <v>#VALUE!</v>
      </c>
      <c r="AP182" t="e">
        <f>Table7[[#This Row],[GPU]]/Table7[[#This Row],[cpuchunk=10]]</f>
        <v>#VALUE!</v>
      </c>
    </row>
    <row r="183" spans="35:42" ht="22" hidden="1" x14ac:dyDescent="0.25">
      <c r="AI183" s="77" t="s">
        <v>1436</v>
      </c>
      <c r="AJ183">
        <v>18</v>
      </c>
      <c r="AK183" s="2" t="s">
        <v>3990</v>
      </c>
      <c r="AL183" s="2" t="s">
        <v>3990</v>
      </c>
      <c r="AM183" s="107" t="e">
        <f>Table7[[#This Row],[GPU]]/Table7[[#This Row],[expand mode]]</f>
        <v>#VALUE!</v>
      </c>
      <c r="AP183" t="e">
        <f>Table7[[#This Row],[GPU]]/Table7[[#This Row],[cpuchunk=10]]</f>
        <v>#VALUE!</v>
      </c>
    </row>
    <row r="184" spans="35:42" ht="22" hidden="1" x14ac:dyDescent="0.25">
      <c r="AI184" s="77" t="s">
        <v>1433</v>
      </c>
      <c r="AJ184">
        <v>6</v>
      </c>
      <c r="AK184" s="2" t="s">
        <v>3990</v>
      </c>
      <c r="AL184" s="2" t="s">
        <v>3990</v>
      </c>
      <c r="AM184" s="107" t="e">
        <f>Table7[[#This Row],[GPU]]/Table7[[#This Row],[expand mode]]</f>
        <v>#VALUE!</v>
      </c>
      <c r="AP184" t="e">
        <f>Table7[[#This Row],[GPU]]/Table7[[#This Row],[cpuchunk=10]]</f>
        <v>#VALUE!</v>
      </c>
    </row>
    <row r="185" spans="35:42" ht="22" hidden="1" x14ac:dyDescent="0.25">
      <c r="AI185" s="77" t="s">
        <v>1433</v>
      </c>
      <c r="AJ185">
        <v>7</v>
      </c>
      <c r="AK185" s="2" t="s">
        <v>3990</v>
      </c>
      <c r="AL185" s="2" t="s">
        <v>3990</v>
      </c>
      <c r="AM185" s="107" t="e">
        <f>Table7[[#This Row],[GPU]]/Table7[[#This Row],[expand mode]]</f>
        <v>#VALUE!</v>
      </c>
      <c r="AP185" t="e">
        <f>Table7[[#This Row],[GPU]]/Table7[[#This Row],[cpuchunk=10]]</f>
        <v>#VALUE!</v>
      </c>
    </row>
    <row r="186" spans="35:42" ht="22" hidden="1" x14ac:dyDescent="0.25">
      <c r="AI186" s="77" t="s">
        <v>1433</v>
      </c>
      <c r="AJ186">
        <v>8</v>
      </c>
      <c r="AK186" s="2" t="s">
        <v>3990</v>
      </c>
      <c r="AL186" s="2" t="s">
        <v>3990</v>
      </c>
      <c r="AM186" s="107" t="e">
        <f>Table7[[#This Row],[GPU]]/Table7[[#This Row],[expand mode]]</f>
        <v>#VALUE!</v>
      </c>
      <c r="AP186" t="e">
        <f>Table7[[#This Row],[GPU]]/Table7[[#This Row],[cpuchunk=10]]</f>
        <v>#VALUE!</v>
      </c>
    </row>
    <row r="187" spans="35:42" ht="22" hidden="1" x14ac:dyDescent="0.25">
      <c r="AI187" s="77" t="s">
        <v>1433</v>
      </c>
      <c r="AJ187">
        <v>9</v>
      </c>
      <c r="AK187" s="2" t="s">
        <v>3990</v>
      </c>
      <c r="AL187" s="2" t="s">
        <v>3990</v>
      </c>
      <c r="AM187" s="107" t="e">
        <f>Table7[[#This Row],[GPU]]/Table7[[#This Row],[expand mode]]</f>
        <v>#VALUE!</v>
      </c>
      <c r="AP187" t="e">
        <f>Table7[[#This Row],[GPU]]/Table7[[#This Row],[cpuchunk=10]]</f>
        <v>#VALUE!</v>
      </c>
    </row>
    <row r="188" spans="35:42" ht="22" hidden="1" x14ac:dyDescent="0.25">
      <c r="AI188" s="77" t="s">
        <v>1433</v>
      </c>
      <c r="AJ188">
        <v>18</v>
      </c>
      <c r="AK188" s="2" t="s">
        <v>3990</v>
      </c>
      <c r="AL188" s="2" t="s">
        <v>3990</v>
      </c>
      <c r="AM188" s="107" t="e">
        <f>Table7[[#This Row],[GPU]]/Table7[[#This Row],[expand mode]]</f>
        <v>#VALUE!</v>
      </c>
      <c r="AP188" t="e">
        <f>Table7[[#This Row],[GPU]]/Table7[[#This Row],[cpuchunk=10]]</f>
        <v>#VALUE!</v>
      </c>
    </row>
    <row r="189" spans="35:42" ht="22" hidden="1" x14ac:dyDescent="0.25">
      <c r="AI189" s="77" t="s">
        <v>1448</v>
      </c>
      <c r="AJ189">
        <v>6</v>
      </c>
      <c r="AK189" s="2" t="s">
        <v>3990</v>
      </c>
      <c r="AL189" s="2" t="s">
        <v>3990</v>
      </c>
      <c r="AM189" s="107" t="e">
        <f>Table7[[#This Row],[GPU]]/Table7[[#This Row],[expand mode]]</f>
        <v>#VALUE!</v>
      </c>
      <c r="AP189" t="e">
        <f>Table7[[#This Row],[GPU]]/Table7[[#This Row],[cpuchunk=10]]</f>
        <v>#VALUE!</v>
      </c>
    </row>
    <row r="190" spans="35:42" ht="22" hidden="1" x14ac:dyDescent="0.25">
      <c r="AI190" s="77" t="s">
        <v>1448</v>
      </c>
      <c r="AJ190">
        <v>7</v>
      </c>
      <c r="AK190" s="2" t="s">
        <v>3990</v>
      </c>
      <c r="AL190" s="2" t="s">
        <v>3990</v>
      </c>
      <c r="AM190" s="107" t="e">
        <f>Table7[[#This Row],[GPU]]/Table7[[#This Row],[expand mode]]</f>
        <v>#VALUE!</v>
      </c>
      <c r="AP190" t="e">
        <f>Table7[[#This Row],[GPU]]/Table7[[#This Row],[cpuchunk=10]]</f>
        <v>#VALUE!</v>
      </c>
    </row>
    <row r="191" spans="35:42" ht="22" hidden="1" x14ac:dyDescent="0.25">
      <c r="AI191" s="77" t="s">
        <v>1448</v>
      </c>
      <c r="AJ191">
        <v>8</v>
      </c>
      <c r="AK191" s="2" t="s">
        <v>3990</v>
      </c>
      <c r="AL191" s="2" t="s">
        <v>3990</v>
      </c>
      <c r="AM191" s="107" t="e">
        <f>Table7[[#This Row],[GPU]]/Table7[[#This Row],[expand mode]]</f>
        <v>#VALUE!</v>
      </c>
      <c r="AP191" t="e">
        <f>Table7[[#This Row],[GPU]]/Table7[[#This Row],[cpuchunk=10]]</f>
        <v>#VALUE!</v>
      </c>
    </row>
    <row r="192" spans="35:42" ht="22" hidden="1" x14ac:dyDescent="0.25">
      <c r="AI192" s="77" t="s">
        <v>1448</v>
      </c>
      <c r="AJ192">
        <v>18</v>
      </c>
      <c r="AK192" s="2" t="s">
        <v>3990</v>
      </c>
      <c r="AL192" s="2" t="s">
        <v>3990</v>
      </c>
      <c r="AM192" s="107" t="e">
        <f>Table7[[#This Row],[GPU]]/Table7[[#This Row],[expand mode]]</f>
        <v>#VALUE!</v>
      </c>
      <c r="AP192" t="e">
        <f>Table7[[#This Row],[GPU]]/Table7[[#This Row],[cpuchunk=10]]</f>
        <v>#VALUE!</v>
      </c>
    </row>
    <row r="193" spans="35:42" ht="22" hidden="1" x14ac:dyDescent="0.25">
      <c r="AI193" s="77" t="s">
        <v>1431</v>
      </c>
      <c r="AJ193">
        <v>6</v>
      </c>
      <c r="AK193" s="2" t="s">
        <v>3990</v>
      </c>
      <c r="AL193" s="2" t="s">
        <v>3990</v>
      </c>
      <c r="AM193" s="107" t="e">
        <f>Table7[[#This Row],[GPU]]/Table7[[#This Row],[expand mode]]</f>
        <v>#VALUE!</v>
      </c>
      <c r="AP193" t="e">
        <f>Table7[[#This Row],[GPU]]/Table7[[#This Row],[cpuchunk=10]]</f>
        <v>#VALUE!</v>
      </c>
    </row>
    <row r="194" spans="35:42" ht="22" hidden="1" x14ac:dyDescent="0.25">
      <c r="AI194" s="77" t="s">
        <v>1431</v>
      </c>
      <c r="AJ194">
        <v>18</v>
      </c>
      <c r="AK194" s="2" t="s">
        <v>3990</v>
      </c>
      <c r="AL194" s="2" t="s">
        <v>3990</v>
      </c>
      <c r="AM194" s="107" t="e">
        <f>Table7[[#This Row],[GPU]]/Table7[[#This Row],[expand mode]]</f>
        <v>#VALUE!</v>
      </c>
      <c r="AP194" t="e">
        <f>Table7[[#This Row],[GPU]]/Table7[[#This Row],[cpuchunk=10]]</f>
        <v>#VALUE!</v>
      </c>
    </row>
    <row r="195" spans="35:42" ht="22" hidden="1" x14ac:dyDescent="0.25">
      <c r="AI195" s="77" t="s">
        <v>1423</v>
      </c>
      <c r="AJ195">
        <v>6</v>
      </c>
      <c r="AK195" s="2" t="s">
        <v>3990</v>
      </c>
      <c r="AL195" s="2" t="s">
        <v>3990</v>
      </c>
      <c r="AM195" s="107" t="e">
        <f>Table7[[#This Row],[GPU]]/Table7[[#This Row],[expand mode]]</f>
        <v>#VALUE!</v>
      </c>
      <c r="AP195" t="e">
        <f>Table7[[#This Row],[GPU]]/Table7[[#This Row],[cpuchunk=10]]</f>
        <v>#VALUE!</v>
      </c>
    </row>
    <row r="196" spans="35:42" ht="22" hidden="1" x14ac:dyDescent="0.25">
      <c r="AI196" s="77" t="s">
        <v>1423</v>
      </c>
      <c r="AJ196">
        <v>7</v>
      </c>
      <c r="AK196" s="2" t="s">
        <v>3990</v>
      </c>
      <c r="AL196" s="2" t="s">
        <v>3990</v>
      </c>
      <c r="AM196" s="107" t="e">
        <f>Table7[[#This Row],[GPU]]/Table7[[#This Row],[expand mode]]</f>
        <v>#VALUE!</v>
      </c>
      <c r="AP196" t="e">
        <f>Table7[[#This Row],[GPU]]/Table7[[#This Row],[cpuchunk=10]]</f>
        <v>#VALUE!</v>
      </c>
    </row>
    <row r="197" spans="35:42" ht="22" hidden="1" x14ac:dyDescent="0.25">
      <c r="AI197" s="77" t="s">
        <v>1423</v>
      </c>
      <c r="AJ197">
        <v>8</v>
      </c>
      <c r="AK197" s="2" t="s">
        <v>3990</v>
      </c>
      <c r="AL197" s="2" t="s">
        <v>3990</v>
      </c>
      <c r="AM197" s="107" t="e">
        <f>Table7[[#This Row],[GPU]]/Table7[[#This Row],[expand mode]]</f>
        <v>#VALUE!</v>
      </c>
      <c r="AP197" t="e">
        <f>Table7[[#This Row],[GPU]]/Table7[[#This Row],[cpuchunk=10]]</f>
        <v>#VALUE!</v>
      </c>
    </row>
    <row r="198" spans="35:42" ht="22" hidden="1" x14ac:dyDescent="0.25">
      <c r="AI198" s="77" t="s">
        <v>1423</v>
      </c>
      <c r="AJ198">
        <v>18</v>
      </c>
      <c r="AK198" s="2" t="s">
        <v>3990</v>
      </c>
      <c r="AL198" s="2" t="s">
        <v>3990</v>
      </c>
      <c r="AM198" s="107" t="e">
        <f>Table7[[#This Row],[GPU]]/Table7[[#This Row],[expand mode]]</f>
        <v>#VALUE!</v>
      </c>
      <c r="AP198" t="e">
        <f>Table7[[#This Row],[GPU]]/Table7[[#This Row],[cpuchunk=10]]</f>
        <v>#VALUE!</v>
      </c>
    </row>
    <row r="199" spans="35:42" ht="22" hidden="1" x14ac:dyDescent="0.25">
      <c r="AI199" s="77" t="s">
        <v>1411</v>
      </c>
      <c r="AJ199">
        <v>6</v>
      </c>
      <c r="AK199" s="2" t="s">
        <v>3990</v>
      </c>
      <c r="AL199" s="2" t="s">
        <v>3990</v>
      </c>
      <c r="AM199" s="107" t="e">
        <f>Table7[[#This Row],[GPU]]/Table7[[#This Row],[expand mode]]</f>
        <v>#VALUE!</v>
      </c>
      <c r="AP199" t="e">
        <f>Table7[[#This Row],[GPU]]/Table7[[#This Row],[cpuchunk=10]]</f>
        <v>#VALUE!</v>
      </c>
    </row>
    <row r="200" spans="35:42" ht="22" hidden="1" x14ac:dyDescent="0.25">
      <c r="AI200" s="77" t="s">
        <v>1411</v>
      </c>
      <c r="AJ200">
        <v>7</v>
      </c>
      <c r="AK200" s="2" t="s">
        <v>3990</v>
      </c>
      <c r="AL200" s="2" t="s">
        <v>3990</v>
      </c>
      <c r="AM200" s="107" t="e">
        <f>Table7[[#This Row],[GPU]]/Table7[[#This Row],[expand mode]]</f>
        <v>#VALUE!</v>
      </c>
      <c r="AP200" t="e">
        <f>Table7[[#This Row],[GPU]]/Table7[[#This Row],[cpuchunk=10]]</f>
        <v>#VALUE!</v>
      </c>
    </row>
    <row r="201" spans="35:42" ht="22" hidden="1" x14ac:dyDescent="0.25">
      <c r="AI201" s="77" t="s">
        <v>1411</v>
      </c>
      <c r="AJ201">
        <v>8</v>
      </c>
      <c r="AK201" s="2" t="s">
        <v>3990</v>
      </c>
      <c r="AL201" s="2" t="s">
        <v>3990</v>
      </c>
      <c r="AM201" s="107" t="e">
        <f>Table7[[#This Row],[GPU]]/Table7[[#This Row],[expand mode]]</f>
        <v>#VALUE!</v>
      </c>
      <c r="AP201" t="e">
        <f>Table7[[#This Row],[GPU]]/Table7[[#This Row],[cpuchunk=10]]</f>
        <v>#VALUE!</v>
      </c>
    </row>
    <row r="202" spans="35:42" ht="22" hidden="1" x14ac:dyDescent="0.25">
      <c r="AI202" s="77" t="s">
        <v>1411</v>
      </c>
      <c r="AJ202">
        <v>18</v>
      </c>
      <c r="AK202" s="2" t="s">
        <v>3990</v>
      </c>
      <c r="AL202" s="2" t="s">
        <v>3990</v>
      </c>
      <c r="AM202" s="107" t="e">
        <f>Table7[[#This Row],[GPU]]/Table7[[#This Row],[expand mode]]</f>
        <v>#VALUE!</v>
      </c>
      <c r="AP202" t="e">
        <f>Table7[[#This Row],[GPU]]/Table7[[#This Row],[cpuchunk=10]]</f>
        <v>#VALUE!</v>
      </c>
    </row>
    <row r="203" spans="35:42" ht="22" hidden="1" x14ac:dyDescent="0.25">
      <c r="AI203" s="77" t="s">
        <v>1425</v>
      </c>
      <c r="AJ203">
        <v>6</v>
      </c>
      <c r="AK203" s="2" t="s">
        <v>3990</v>
      </c>
      <c r="AL203" s="2" t="s">
        <v>3990</v>
      </c>
      <c r="AM203" s="107" t="e">
        <f>Table7[[#This Row],[GPU]]/Table7[[#This Row],[expand mode]]</f>
        <v>#VALUE!</v>
      </c>
      <c r="AP203" t="e">
        <f>Table7[[#This Row],[GPU]]/Table7[[#This Row],[cpuchunk=10]]</f>
        <v>#VALUE!</v>
      </c>
    </row>
    <row r="204" spans="35:42" ht="22" hidden="1" x14ac:dyDescent="0.25">
      <c r="AI204" s="77" t="s">
        <v>1425</v>
      </c>
      <c r="AJ204">
        <v>18</v>
      </c>
      <c r="AK204" s="2" t="s">
        <v>3990</v>
      </c>
      <c r="AL204" s="2" t="s">
        <v>3990</v>
      </c>
      <c r="AM204" s="107" t="e">
        <f>Table7[[#This Row],[GPU]]/Table7[[#This Row],[expand mode]]</f>
        <v>#VALUE!</v>
      </c>
      <c r="AP204" t="e">
        <f>Table7[[#This Row],[GPU]]/Table7[[#This Row],[cpuchunk=10]]</f>
        <v>#VALUE!</v>
      </c>
    </row>
    <row r="205" spans="35:42" ht="22" hidden="1" x14ac:dyDescent="0.25">
      <c r="AI205" s="77" t="s">
        <v>3912</v>
      </c>
      <c r="AJ205">
        <v>18</v>
      </c>
      <c r="AK205" s="2" t="s">
        <v>3990</v>
      </c>
      <c r="AL205" s="2" t="s">
        <v>3990</v>
      </c>
      <c r="AM205" s="107" t="e">
        <f>Table7[[#This Row],[GPU]]/Table7[[#This Row],[expand mode]]</f>
        <v>#VALUE!</v>
      </c>
      <c r="AP205" t="e">
        <f>Table7[[#This Row],[GPU]]/Table7[[#This Row],[cpuchunk=10]]</f>
        <v>#VALUE!</v>
      </c>
    </row>
    <row r="206" spans="35:42" ht="22" hidden="1" x14ac:dyDescent="0.25">
      <c r="AI206" s="77" t="s">
        <v>18</v>
      </c>
      <c r="AJ206">
        <v>6</v>
      </c>
      <c r="AK206" s="2" t="s">
        <v>3990</v>
      </c>
      <c r="AL206" s="2" t="s">
        <v>3990</v>
      </c>
      <c r="AM206" s="107" t="e">
        <f>Table7[[#This Row],[GPU]]/Table7[[#This Row],[expand mode]]</f>
        <v>#VALUE!</v>
      </c>
      <c r="AP206" t="e">
        <f>Table7[[#This Row],[GPU]]/Table7[[#This Row],[cpuchunk=10]]</f>
        <v>#VALUE!</v>
      </c>
    </row>
    <row r="207" spans="35:42" ht="22" hidden="1" x14ac:dyDescent="0.25">
      <c r="AI207" s="77" t="s">
        <v>18</v>
      </c>
      <c r="AJ207">
        <v>7</v>
      </c>
      <c r="AK207" s="2" t="s">
        <v>3990</v>
      </c>
      <c r="AL207" s="2" t="s">
        <v>3990</v>
      </c>
      <c r="AM207" s="107" t="e">
        <f>Table7[[#This Row],[GPU]]/Table7[[#This Row],[expand mode]]</f>
        <v>#VALUE!</v>
      </c>
      <c r="AP207" t="e">
        <f>Table7[[#This Row],[GPU]]/Table7[[#This Row],[cpuchunk=10]]</f>
        <v>#VALUE!</v>
      </c>
    </row>
    <row r="208" spans="35:42" ht="22" hidden="1" x14ac:dyDescent="0.25">
      <c r="AI208" s="77" t="s">
        <v>18</v>
      </c>
      <c r="AJ208">
        <v>8</v>
      </c>
      <c r="AK208" s="2" t="s">
        <v>3990</v>
      </c>
      <c r="AL208" s="2" t="s">
        <v>3990</v>
      </c>
      <c r="AM208" s="107" t="e">
        <f>Table7[[#This Row],[GPU]]/Table7[[#This Row],[expand mode]]</f>
        <v>#VALUE!</v>
      </c>
      <c r="AP208" t="e">
        <f>Table7[[#This Row],[GPU]]/Table7[[#This Row],[cpuchunk=10]]</f>
        <v>#VALUE!</v>
      </c>
    </row>
    <row r="209" spans="35:42" ht="22" hidden="1" x14ac:dyDescent="0.25">
      <c r="AI209" s="77" t="s">
        <v>18</v>
      </c>
      <c r="AJ209">
        <v>18</v>
      </c>
      <c r="AK209" s="2" t="s">
        <v>3990</v>
      </c>
      <c r="AL209" s="2" t="s">
        <v>3990</v>
      </c>
      <c r="AM209" s="107" t="e">
        <f>Table7[[#This Row],[GPU]]/Table7[[#This Row],[expand mode]]</f>
        <v>#VALUE!</v>
      </c>
      <c r="AP209" t="e">
        <f>Table7[[#This Row],[GPU]]/Table7[[#This Row],[cpuchunk=10]]</f>
        <v>#VALUE!</v>
      </c>
    </row>
    <row r="210" spans="35:42" ht="22" hidden="1" x14ac:dyDescent="0.25">
      <c r="AI210" s="77" t="s">
        <v>1438</v>
      </c>
      <c r="AJ210">
        <v>5</v>
      </c>
      <c r="AK210" s="2" t="s">
        <v>3990</v>
      </c>
      <c r="AL210" s="2" t="s">
        <v>3990</v>
      </c>
      <c r="AM210" s="107" t="e">
        <f>Table7[[#This Row],[GPU]]/Table7[[#This Row],[expand mode]]</f>
        <v>#VALUE!</v>
      </c>
      <c r="AP210" t="e">
        <f>Table7[[#This Row],[GPU]]/Table7[[#This Row],[cpuchunk=10]]</f>
        <v>#VALUE!</v>
      </c>
    </row>
    <row r="211" spans="35:42" ht="22" hidden="1" x14ac:dyDescent="0.25">
      <c r="AI211" s="77" t="s">
        <v>1438</v>
      </c>
      <c r="AJ211">
        <v>6</v>
      </c>
      <c r="AK211" s="2" t="s">
        <v>3990</v>
      </c>
      <c r="AL211" s="2" t="s">
        <v>3990</v>
      </c>
      <c r="AM211" s="107" t="e">
        <f>Table7[[#This Row],[GPU]]/Table7[[#This Row],[expand mode]]</f>
        <v>#VALUE!</v>
      </c>
      <c r="AP211" t="e">
        <f>Table7[[#This Row],[GPU]]/Table7[[#This Row],[cpuchunk=10]]</f>
        <v>#VALUE!</v>
      </c>
    </row>
    <row r="212" spans="35:42" ht="22" hidden="1" x14ac:dyDescent="0.25">
      <c r="AI212" s="77" t="s">
        <v>1438</v>
      </c>
      <c r="AJ212">
        <v>7</v>
      </c>
      <c r="AK212" s="2" t="s">
        <v>3990</v>
      </c>
      <c r="AL212" s="2" t="s">
        <v>3990</v>
      </c>
      <c r="AM212" s="107" t="e">
        <f>Table7[[#This Row],[GPU]]/Table7[[#This Row],[expand mode]]</f>
        <v>#VALUE!</v>
      </c>
      <c r="AP212" t="e">
        <f>Table7[[#This Row],[GPU]]/Table7[[#This Row],[cpuchunk=10]]</f>
        <v>#VALUE!</v>
      </c>
    </row>
    <row r="213" spans="35:42" ht="22" hidden="1" x14ac:dyDescent="0.25">
      <c r="AI213" s="77" t="s">
        <v>1438</v>
      </c>
      <c r="AJ213">
        <v>8</v>
      </c>
      <c r="AK213" s="2" t="s">
        <v>3990</v>
      </c>
      <c r="AL213" s="2" t="s">
        <v>3990</v>
      </c>
      <c r="AM213" s="107" t="e">
        <f>Table7[[#This Row],[GPU]]/Table7[[#This Row],[expand mode]]</f>
        <v>#VALUE!</v>
      </c>
      <c r="AP213" t="e">
        <f>Table7[[#This Row],[GPU]]/Table7[[#This Row],[cpuchunk=10]]</f>
        <v>#VALUE!</v>
      </c>
    </row>
    <row r="214" spans="35:42" ht="22" hidden="1" x14ac:dyDescent="0.25">
      <c r="AI214" s="77" t="s">
        <v>1438</v>
      </c>
      <c r="AJ214">
        <v>9</v>
      </c>
      <c r="AK214" s="2" t="s">
        <v>3990</v>
      </c>
      <c r="AL214" s="2" t="s">
        <v>3990</v>
      </c>
      <c r="AM214" s="107" t="e">
        <f>Table7[[#This Row],[GPU]]/Table7[[#This Row],[expand mode]]</f>
        <v>#VALUE!</v>
      </c>
      <c r="AP214" t="e">
        <f>Table7[[#This Row],[GPU]]/Table7[[#This Row],[cpuchunk=10]]</f>
        <v>#VALUE!</v>
      </c>
    </row>
    <row r="215" spans="35:42" ht="22" hidden="1" x14ac:dyDescent="0.25">
      <c r="AI215" s="77" t="s">
        <v>1438</v>
      </c>
      <c r="AJ215">
        <v>18</v>
      </c>
      <c r="AK215" s="2" t="s">
        <v>3990</v>
      </c>
      <c r="AL215" s="2" t="s">
        <v>3990</v>
      </c>
      <c r="AM215" s="107" t="e">
        <f>Table7[[#This Row],[GPU]]/Table7[[#This Row],[expand mode]]</f>
        <v>#VALUE!</v>
      </c>
      <c r="AP215" t="e">
        <f>Table7[[#This Row],[GPU]]/Table7[[#This Row],[cpuchunk=10]]</f>
        <v>#VALUE!</v>
      </c>
    </row>
    <row r="216" spans="35:42" ht="22" hidden="1" x14ac:dyDescent="0.25">
      <c r="AI216" s="77" t="s">
        <v>1434</v>
      </c>
      <c r="AJ216">
        <v>6</v>
      </c>
      <c r="AK216" s="2" t="s">
        <v>3990</v>
      </c>
      <c r="AL216" s="2" t="s">
        <v>3990</v>
      </c>
      <c r="AM216" s="107" t="e">
        <f>Table7[[#This Row],[GPU]]/Table7[[#This Row],[expand mode]]</f>
        <v>#VALUE!</v>
      </c>
      <c r="AP216" t="e">
        <f>Table7[[#This Row],[GPU]]/Table7[[#This Row],[cpuchunk=10]]</f>
        <v>#VALUE!</v>
      </c>
    </row>
    <row r="217" spans="35:42" ht="22" hidden="1" x14ac:dyDescent="0.25">
      <c r="AI217" s="77" t="s">
        <v>1434</v>
      </c>
      <c r="AJ217">
        <v>18</v>
      </c>
      <c r="AK217" s="2" t="s">
        <v>3990</v>
      </c>
      <c r="AL217" s="2" t="s">
        <v>3990</v>
      </c>
      <c r="AM217" s="107" t="e">
        <f>Table7[[#This Row],[GPU]]/Table7[[#This Row],[expand mode]]</f>
        <v>#VALUE!</v>
      </c>
      <c r="AP217" t="e">
        <f>Table7[[#This Row],[GPU]]/Table7[[#This Row],[cpuchunk=10]]</f>
        <v>#VALUE!</v>
      </c>
    </row>
    <row r="218" spans="35:42" ht="22" hidden="1" x14ac:dyDescent="0.25">
      <c r="AI218" s="77" t="s">
        <v>1371</v>
      </c>
      <c r="AJ218">
        <v>18</v>
      </c>
      <c r="AK218" s="2" t="s">
        <v>3990</v>
      </c>
      <c r="AL218" s="2" t="s">
        <v>3990</v>
      </c>
      <c r="AM218" s="107" t="e">
        <f>Table7[[#This Row],[GPU]]/Table7[[#This Row],[expand mode]]</f>
        <v>#VALUE!</v>
      </c>
      <c r="AP218" t="e">
        <f>Table7[[#This Row],[GPU]]/Table7[[#This Row],[cpuchunk=10]]</f>
        <v>#VALUE!</v>
      </c>
    </row>
  </sheetData>
  <phoneticPr fontId="5" type="noConversion"/>
  <pageMargins left="0.7" right="0.7" top="0.75" bottom="0.75" header="0.3" footer="0.3"/>
  <pageSetup orientation="portrait" horizontalDpi="0" verticalDpi="0"/>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topLeftCell="C2"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28" t="s">
        <v>3911</v>
      </c>
      <c r="J4" s="128"/>
      <c r="K4" s="128"/>
      <c r="L4" s="128"/>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3:AJ28"/>
  <sheetViews>
    <sheetView topLeftCell="A14" zoomScale="90" workbookViewId="0">
      <selection activeCell="H28" sqref="H28"/>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13.5" bestFit="1" customWidth="1"/>
    <col min="12" max="12" width="11.6640625" bestFit="1"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3" spans="2:36" x14ac:dyDescent="0.2">
      <c r="N3" t="s">
        <v>3989</v>
      </c>
    </row>
    <row r="4" spans="2:36" ht="26" x14ac:dyDescent="0.35">
      <c r="J4" t="s">
        <v>3912</v>
      </c>
      <c r="K4">
        <v>0.92</v>
      </c>
      <c r="L4">
        <v>215</v>
      </c>
      <c r="N4">
        <v>448192</v>
      </c>
      <c r="W4" s="100" t="s">
        <v>3973</v>
      </c>
      <c r="X4" s="100" t="s">
        <v>3986</v>
      </c>
      <c r="Y4" s="101"/>
      <c r="Z4" s="101"/>
      <c r="AA4" s="102" t="s">
        <v>3942</v>
      </c>
      <c r="AB4" s="103" t="s">
        <v>3988</v>
      </c>
      <c r="AC4" s="101"/>
      <c r="AD4" s="102" t="s">
        <v>3938</v>
      </c>
      <c r="AE4" s="103" t="s">
        <v>3988</v>
      </c>
    </row>
    <row r="5" spans="2:36" ht="26" x14ac:dyDescent="0.35">
      <c r="J5" t="s">
        <v>3960</v>
      </c>
      <c r="W5" s="100" t="s">
        <v>3984</v>
      </c>
      <c r="X5" s="100">
        <v>30</v>
      </c>
      <c r="Y5" s="101"/>
      <c r="Z5" s="101"/>
      <c r="AA5" s="104">
        <v>100</v>
      </c>
      <c r="AB5" s="97">
        <v>111.26600000000001</v>
      </c>
      <c r="AC5" s="101"/>
      <c r="AD5" s="104">
        <v>1</v>
      </c>
      <c r="AE5" s="96">
        <v>19.003499999999999</v>
      </c>
    </row>
    <row r="6" spans="2:36" ht="26" x14ac:dyDescent="0.35">
      <c r="W6" s="100" t="s">
        <v>3985</v>
      </c>
      <c r="X6" s="100">
        <v>0.95</v>
      </c>
      <c r="Y6" s="101"/>
      <c r="Z6" s="101"/>
      <c r="AA6" s="104">
        <v>1000</v>
      </c>
      <c r="AB6" s="97">
        <v>29.1617</v>
      </c>
      <c r="AC6" s="101"/>
      <c r="AD6" s="104">
        <v>10</v>
      </c>
      <c r="AE6" s="96">
        <v>18.909700000000001</v>
      </c>
      <c r="AF6" s="86"/>
      <c r="AJ6" s="35"/>
    </row>
    <row r="7" spans="2:36" ht="27" x14ac:dyDescent="0.35">
      <c r="O7" s="129"/>
      <c r="P7" s="129"/>
      <c r="Q7" s="129"/>
      <c r="R7" s="92"/>
      <c r="S7" s="130"/>
      <c r="T7" s="130"/>
      <c r="W7" s="100" t="s">
        <v>3987</v>
      </c>
      <c r="X7" s="96">
        <v>36085</v>
      </c>
      <c r="Y7" s="101"/>
      <c r="Z7" s="101"/>
      <c r="AA7" s="105">
        <v>10000</v>
      </c>
      <c r="AB7" s="98">
        <v>18.9161</v>
      </c>
      <c r="AC7" s="101"/>
      <c r="AD7" s="104">
        <v>20</v>
      </c>
      <c r="AE7" s="96">
        <v>17.566099999999999</v>
      </c>
      <c r="AF7" s="86"/>
    </row>
    <row r="8" spans="2:36" ht="27" x14ac:dyDescent="0.35">
      <c r="B8" s="81" t="s">
        <v>3973</v>
      </c>
      <c r="C8" s="81" t="s">
        <v>3971</v>
      </c>
      <c r="D8" s="81"/>
      <c r="E8" s="81" t="s">
        <v>3974</v>
      </c>
      <c r="F8" s="81" t="s">
        <v>3934</v>
      </c>
      <c r="G8" s="81" t="s">
        <v>3972</v>
      </c>
      <c r="J8" s="81"/>
      <c r="K8" s="81"/>
      <c r="L8" s="81"/>
      <c r="M8" s="81"/>
      <c r="O8" s="81"/>
      <c r="P8" s="81"/>
      <c r="Q8" s="81"/>
      <c r="R8" s="81"/>
      <c r="S8" s="81"/>
      <c r="T8" s="81"/>
      <c r="W8" s="101"/>
      <c r="X8" s="101"/>
      <c r="Y8" s="101"/>
      <c r="Z8" s="101"/>
      <c r="AA8" s="104">
        <v>20000</v>
      </c>
      <c r="AB8" s="97">
        <v>28.322800000000001</v>
      </c>
      <c r="AC8" s="101"/>
      <c r="AD8" s="104">
        <v>50</v>
      </c>
      <c r="AE8" s="96">
        <v>20.896999999999998</v>
      </c>
      <c r="AF8" s="86"/>
    </row>
    <row r="9" spans="2:36" ht="27" x14ac:dyDescent="0.35">
      <c r="B9" s="79" t="s">
        <v>3965</v>
      </c>
      <c r="C9" s="84">
        <v>360</v>
      </c>
      <c r="D9" s="82"/>
      <c r="E9" s="83">
        <v>0.115312</v>
      </c>
      <c r="F9" s="83">
        <v>16</v>
      </c>
      <c r="G9" s="83">
        <v>0.01</v>
      </c>
      <c r="J9" s="81"/>
      <c r="K9" s="89"/>
      <c r="L9" s="89"/>
      <c r="M9" s="89"/>
      <c r="N9" s="89"/>
      <c r="O9" s="90"/>
      <c r="P9" s="90"/>
      <c r="Q9" s="93"/>
      <c r="R9" s="90"/>
      <c r="S9" s="90"/>
      <c r="T9" s="90"/>
      <c r="W9" s="101"/>
      <c r="X9" s="101"/>
      <c r="Y9" s="101"/>
      <c r="Z9" s="101"/>
      <c r="AA9" s="101"/>
      <c r="AB9" s="101"/>
      <c r="AC9" s="101"/>
      <c r="AD9" s="101"/>
      <c r="AE9" s="106"/>
      <c r="AF9" s="86"/>
    </row>
    <row r="10" spans="2:36" ht="27" x14ac:dyDescent="0.35">
      <c r="B10" s="79" t="s">
        <v>3966</v>
      </c>
      <c r="C10" s="84">
        <v>6145</v>
      </c>
      <c r="D10" s="82"/>
      <c r="E10" s="83">
        <v>0.97065900000000005</v>
      </c>
      <c r="F10" s="83">
        <v>44</v>
      </c>
      <c r="G10" s="83">
        <v>0.22</v>
      </c>
      <c r="J10" s="81"/>
      <c r="K10" s="89"/>
      <c r="L10" s="89"/>
      <c r="M10" s="89"/>
      <c r="N10" s="89"/>
      <c r="O10" s="90"/>
      <c r="P10" s="90"/>
      <c r="Q10" s="93"/>
      <c r="R10" s="90"/>
      <c r="S10" s="90"/>
      <c r="T10" s="90"/>
      <c r="W10" s="101"/>
      <c r="X10" s="101"/>
      <c r="Y10" s="101"/>
      <c r="Z10" s="101"/>
      <c r="AA10" s="101"/>
      <c r="AB10" s="101"/>
      <c r="AC10" s="101"/>
      <c r="AD10" s="101"/>
      <c r="AE10" s="106"/>
      <c r="AF10" s="88"/>
    </row>
    <row r="11" spans="2:36" ht="27" x14ac:dyDescent="0.35">
      <c r="B11" s="79" t="s">
        <v>3967</v>
      </c>
      <c r="C11" s="84">
        <v>28717</v>
      </c>
      <c r="D11" s="82"/>
      <c r="E11" s="83">
        <v>60.854799999999997</v>
      </c>
      <c r="F11" s="83" t="s">
        <v>3902</v>
      </c>
      <c r="G11" s="83">
        <v>49.23</v>
      </c>
      <c r="J11" s="81"/>
      <c r="K11" s="89"/>
      <c r="L11" s="89"/>
      <c r="M11" s="89"/>
      <c r="N11" s="89"/>
      <c r="O11" s="90"/>
      <c r="P11" s="90"/>
      <c r="Q11" s="93"/>
      <c r="R11" s="90"/>
      <c r="S11" s="90"/>
      <c r="T11" s="90"/>
      <c r="W11" s="100" t="s">
        <v>3973</v>
      </c>
      <c r="X11" s="100" t="s">
        <v>1528</v>
      </c>
      <c r="Y11" s="101"/>
      <c r="Z11" s="101"/>
      <c r="AA11" s="102" t="s">
        <v>3942</v>
      </c>
      <c r="AB11" s="103" t="s">
        <v>3988</v>
      </c>
      <c r="AC11" s="101"/>
      <c r="AD11" s="102" t="s">
        <v>3938</v>
      </c>
      <c r="AE11" s="103" t="s">
        <v>3988</v>
      </c>
    </row>
    <row r="12" spans="2:36" ht="27" x14ac:dyDescent="0.35">
      <c r="B12" s="79" t="s">
        <v>3968</v>
      </c>
      <c r="C12" s="84">
        <v>2517</v>
      </c>
      <c r="D12" s="82"/>
      <c r="E12" s="83">
        <v>4.77996</v>
      </c>
      <c r="F12" s="83">
        <v>263</v>
      </c>
      <c r="G12" s="83">
        <v>0.49</v>
      </c>
      <c r="J12" s="81"/>
      <c r="K12" s="89"/>
      <c r="L12" s="89"/>
      <c r="M12" s="89"/>
      <c r="N12" s="89"/>
      <c r="O12" s="90"/>
      <c r="P12" s="90"/>
      <c r="Q12" s="90"/>
      <c r="R12" s="90"/>
      <c r="S12" s="90"/>
      <c r="T12" s="93"/>
      <c r="W12" s="100" t="s">
        <v>3984</v>
      </c>
      <c r="X12" s="100">
        <v>20</v>
      </c>
      <c r="Y12" s="101"/>
      <c r="Z12" s="101"/>
      <c r="AA12" s="101">
        <v>10</v>
      </c>
      <c r="AB12" s="97">
        <v>112.94799999999999</v>
      </c>
      <c r="AC12" s="101"/>
      <c r="AD12" s="104">
        <v>1</v>
      </c>
      <c r="AE12" s="97">
        <v>23.771899999999999</v>
      </c>
    </row>
    <row r="13" spans="2:36" ht="26" x14ac:dyDescent="0.35">
      <c r="B13" s="79" t="s">
        <v>3969</v>
      </c>
      <c r="C13" s="84">
        <v>24383</v>
      </c>
      <c r="D13" s="82"/>
      <c r="E13" s="83">
        <v>1.1475500000000001</v>
      </c>
      <c r="F13" s="83" t="s">
        <v>3902</v>
      </c>
      <c r="G13" s="83">
        <v>3.05</v>
      </c>
      <c r="W13" s="100" t="s">
        <v>3985</v>
      </c>
      <c r="X13" s="100">
        <v>0.8</v>
      </c>
      <c r="Y13" s="101"/>
      <c r="Z13" s="101"/>
      <c r="AA13" s="104">
        <v>100</v>
      </c>
      <c r="AB13" s="97">
        <v>34.610700000000001</v>
      </c>
      <c r="AC13" s="101"/>
      <c r="AD13" s="104">
        <v>10</v>
      </c>
      <c r="AE13" s="97">
        <v>23.1478</v>
      </c>
    </row>
    <row r="14" spans="2:36" ht="26" x14ac:dyDescent="0.35">
      <c r="B14" s="79" t="s">
        <v>3970</v>
      </c>
      <c r="C14" s="84">
        <v>8949</v>
      </c>
      <c r="D14" s="82"/>
      <c r="E14" s="83">
        <v>5.9763599999999997</v>
      </c>
      <c r="F14" s="83">
        <v>20.440000000000001</v>
      </c>
      <c r="G14" s="83">
        <v>0.47</v>
      </c>
      <c r="Q14" s="91"/>
      <c r="R14" s="91"/>
      <c r="W14" s="100" t="s">
        <v>3987</v>
      </c>
      <c r="X14" s="96">
        <v>3785</v>
      </c>
      <c r="Y14" s="101"/>
      <c r="Z14" s="101"/>
      <c r="AA14" s="105">
        <v>1000</v>
      </c>
      <c r="AB14" s="98">
        <v>24.2639</v>
      </c>
      <c r="AC14" s="101"/>
      <c r="AD14" s="104">
        <v>20</v>
      </c>
      <c r="AE14" s="97">
        <v>23.116099999999999</v>
      </c>
    </row>
    <row r="15" spans="2:36" ht="26" x14ac:dyDescent="0.35">
      <c r="W15" s="101"/>
      <c r="X15" s="101"/>
      <c r="Y15" s="101"/>
      <c r="Z15" s="101"/>
      <c r="AA15" s="104">
        <v>10000</v>
      </c>
      <c r="AB15" s="97">
        <v>30.773599999999998</v>
      </c>
      <c r="AC15" s="101"/>
      <c r="AD15" s="104">
        <v>50</v>
      </c>
      <c r="AE15" s="97">
        <v>24.661000000000001</v>
      </c>
    </row>
    <row r="18" spans="2:14" x14ac:dyDescent="0.2">
      <c r="F18" t="s">
        <v>3975</v>
      </c>
    </row>
    <row r="20" spans="2:14" ht="27" x14ac:dyDescent="0.35">
      <c r="G20" s="129" t="s">
        <v>3982</v>
      </c>
      <c r="H20" s="129"/>
      <c r="I20" s="129"/>
      <c r="J20" s="92"/>
      <c r="K20" s="130" t="s">
        <v>3983</v>
      </c>
      <c r="L20" s="130"/>
    </row>
    <row r="21" spans="2:14" ht="27" x14ac:dyDescent="0.35">
      <c r="B21" s="81" t="s">
        <v>3973</v>
      </c>
      <c r="C21" s="81" t="s">
        <v>3984</v>
      </c>
      <c r="D21" s="81" t="s">
        <v>3985</v>
      </c>
      <c r="E21" s="81" t="s">
        <v>3981</v>
      </c>
      <c r="G21" s="81" t="s">
        <v>3929</v>
      </c>
      <c r="H21" s="81" t="s">
        <v>3948</v>
      </c>
      <c r="I21" s="81" t="s">
        <v>3949</v>
      </c>
      <c r="J21" s="81"/>
      <c r="K21" s="81" t="s">
        <v>3934</v>
      </c>
      <c r="L21" s="81" t="s">
        <v>3972</v>
      </c>
      <c r="N21" s="81"/>
    </row>
    <row r="22" spans="2:14" ht="27" x14ac:dyDescent="0.35">
      <c r="B22" s="81" t="s">
        <v>1531</v>
      </c>
      <c r="C22" s="89">
        <v>30</v>
      </c>
      <c r="D22" s="89">
        <v>0.95</v>
      </c>
      <c r="E22" s="89">
        <v>36085</v>
      </c>
      <c r="F22" s="89"/>
      <c r="G22" s="47" t="s">
        <v>3902</v>
      </c>
      <c r="H22" s="47">
        <v>126.065</v>
      </c>
      <c r="I22" s="95">
        <v>20.8201</v>
      </c>
      <c r="J22" s="90"/>
      <c r="K22" s="90" t="s">
        <v>3902</v>
      </c>
      <c r="L22" s="90">
        <v>396.8</v>
      </c>
      <c r="N22" s="94"/>
    </row>
    <row r="23" spans="2:14" ht="27" x14ac:dyDescent="0.35">
      <c r="B23" s="81" t="s">
        <v>3980</v>
      </c>
      <c r="C23" s="89">
        <v>23</v>
      </c>
      <c r="D23" s="89">
        <v>0.9</v>
      </c>
      <c r="E23" s="89">
        <v>16009</v>
      </c>
      <c r="F23" s="89"/>
      <c r="G23" s="47" t="s">
        <v>3902</v>
      </c>
      <c r="H23" s="47">
        <v>390.51600000000002</v>
      </c>
      <c r="I23" s="95">
        <v>275.56599999999997</v>
      </c>
      <c r="J23" s="90"/>
      <c r="K23" s="90" t="s">
        <v>3902</v>
      </c>
      <c r="L23" s="90" t="s">
        <v>3902</v>
      </c>
      <c r="N23" s="94"/>
    </row>
    <row r="24" spans="2:14" ht="27" x14ac:dyDescent="0.35">
      <c r="B24" s="81" t="s">
        <v>1514</v>
      </c>
      <c r="C24" s="89">
        <v>5</v>
      </c>
      <c r="D24" s="89">
        <v>0.8</v>
      </c>
      <c r="E24" s="89">
        <v>94500</v>
      </c>
      <c r="F24" s="89"/>
      <c r="G24" s="47">
        <v>50.255800000000001</v>
      </c>
      <c r="H24" s="47">
        <v>50.8005</v>
      </c>
      <c r="I24" s="95">
        <v>8.9690399999999997</v>
      </c>
      <c r="J24" s="90"/>
      <c r="K24" s="90">
        <v>235.078</v>
      </c>
      <c r="L24" s="90">
        <v>296.74</v>
      </c>
      <c r="N24" s="94"/>
    </row>
    <row r="25" spans="2:14" ht="27" x14ac:dyDescent="0.35">
      <c r="B25" s="81" t="s">
        <v>1528</v>
      </c>
      <c r="C25" s="89">
        <v>20</v>
      </c>
      <c r="D25" s="89">
        <v>0.8</v>
      </c>
      <c r="E25" s="77">
        <v>3785</v>
      </c>
      <c r="F25" s="89"/>
      <c r="G25" s="47">
        <v>1264.97</v>
      </c>
      <c r="H25" s="47">
        <v>30.9161</v>
      </c>
      <c r="I25" s="95">
        <v>30.710999999999999</v>
      </c>
      <c r="J25" s="90"/>
      <c r="K25" s="90" t="s">
        <v>3902</v>
      </c>
      <c r="L25" s="90" t="s">
        <v>3902</v>
      </c>
      <c r="N25" s="94"/>
    </row>
    <row r="26" spans="2:14" ht="22" x14ac:dyDescent="0.25">
      <c r="B26" s="6" t="s">
        <v>3960</v>
      </c>
      <c r="C26" s="89">
        <v>115</v>
      </c>
      <c r="D26" s="89">
        <v>0.96</v>
      </c>
      <c r="G26" s="87" t="s">
        <v>3902</v>
      </c>
      <c r="H26" s="78">
        <v>1087.48</v>
      </c>
      <c r="I26" s="99">
        <v>996.42</v>
      </c>
    </row>
    <row r="27" spans="2:14" ht="22" x14ac:dyDescent="0.25">
      <c r="B27" s="77" t="s">
        <v>3919</v>
      </c>
      <c r="C27" s="89">
        <v>20</v>
      </c>
      <c r="D27" s="89">
        <v>0.95</v>
      </c>
      <c r="G27" s="78">
        <v>1708.14</v>
      </c>
      <c r="H27" s="78">
        <v>1452.82</v>
      </c>
      <c r="I27" s="99">
        <v>639.14099999999996</v>
      </c>
    </row>
    <row r="28" spans="2:14" ht="22" x14ac:dyDescent="0.25">
      <c r="B28" s="6" t="s">
        <v>3920</v>
      </c>
      <c r="C28" s="89">
        <v>20</v>
      </c>
      <c r="D28" s="89">
        <v>0.9</v>
      </c>
      <c r="G28" s="78">
        <v>362.80500000000001</v>
      </c>
      <c r="H28" s="78">
        <v>546.51199999999994</v>
      </c>
      <c r="I28" s="99">
        <v>204.886</v>
      </c>
    </row>
  </sheetData>
  <mergeCells count="4">
    <mergeCell ref="O7:Q7"/>
    <mergeCell ref="S7:T7"/>
    <mergeCell ref="G20:I20"/>
    <mergeCell ref="K20:L20"/>
  </mergeCells>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C1326"/>
  <sheetViews>
    <sheetView topLeftCell="S1" workbookViewId="0">
      <selection activeCell="Z27" sqref="Z27"/>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29" x14ac:dyDescent="0.3">
      <c r="C1" s="8" t="s">
        <v>19</v>
      </c>
      <c r="D1" s="8" t="s">
        <v>20</v>
      </c>
      <c r="E1" s="8" t="s">
        <v>21</v>
      </c>
      <c r="F1" s="8" t="s">
        <v>22</v>
      </c>
      <c r="G1" s="8" t="s">
        <v>23</v>
      </c>
      <c r="H1" s="8" t="s">
        <v>3899</v>
      </c>
      <c r="I1" s="8" t="s">
        <v>3898</v>
      </c>
      <c r="J1" s="8" t="s">
        <v>24</v>
      </c>
      <c r="X1" s="120" t="s">
        <v>25</v>
      </c>
      <c r="Y1" s="114" t="s">
        <v>13</v>
      </c>
      <c r="Z1" s="114" t="s">
        <v>14</v>
      </c>
      <c r="AA1" s="114" t="s">
        <v>4017</v>
      </c>
      <c r="AB1" s="114" t="s">
        <v>15</v>
      </c>
      <c r="AC1" s="112" t="s">
        <v>4018</v>
      </c>
    </row>
    <row r="2" spans="3:29"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3980</v>
      </c>
      <c r="R2" t="s">
        <v>3979</v>
      </c>
      <c r="X2" s="9" t="s">
        <v>1405</v>
      </c>
      <c r="Y2" s="38">
        <v>2093449</v>
      </c>
      <c r="Z2" s="38">
        <v>52098498</v>
      </c>
      <c r="AA2" s="38">
        <f>Table4[[#This Row],[E]]/Table4[[#This Row],[V]]</f>
        <v>24.886442421095524</v>
      </c>
      <c r="AB2" s="38">
        <v>1140084</v>
      </c>
      <c r="AC2" s="38">
        <v>2</v>
      </c>
    </row>
    <row r="3" spans="3:29"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row>
    <row r="4" spans="3:29"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row>
    <row r="5" spans="3:29"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row>
    <row r="6" spans="3:29"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31">
        <v>4579069</v>
      </c>
      <c r="Z6" s="131">
        <v>12530086</v>
      </c>
      <c r="AA6" s="131">
        <f>Table4[[#This Row],[E]]/Table4[[#This Row],[V]]</f>
        <v>2.7363828760824527</v>
      </c>
      <c r="AB6" s="131">
        <v>4043326</v>
      </c>
      <c r="AC6" s="131">
        <v>1</v>
      </c>
    </row>
    <row r="7" spans="3:29"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31">
        <v>8482737</v>
      </c>
      <c r="Z7" s="131">
        <v>23585644</v>
      </c>
      <c r="AA7" s="131">
        <f>Table4[[#This Row],[E]]/Table4[[#This Row],[V]]</f>
        <v>2.7804285338564663</v>
      </c>
      <c r="AB7" s="131">
        <v>8421430</v>
      </c>
      <c r="AC7" s="131">
        <v>1</v>
      </c>
    </row>
    <row r="8" spans="3:29"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31">
        <v>4063587</v>
      </c>
      <c r="Z8" s="131">
        <v>17652554</v>
      </c>
      <c r="AA8" s="131">
        <f>Table4[[#This Row],[E]]/Table4[[#This Row],[V]]</f>
        <v>4.344081718934528</v>
      </c>
      <c r="AB8" s="131">
        <v>4059644</v>
      </c>
      <c r="AC8" s="131">
        <v>1</v>
      </c>
    </row>
    <row r="9" spans="3:29"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31">
        <v>7570051</v>
      </c>
      <c r="Z9" s="131">
        <v>43881980</v>
      </c>
      <c r="AA9" s="131">
        <f>Table4[[#This Row],[E]]/Table4[[#This Row],[V]]</f>
        <v>5.7967878948239582</v>
      </c>
      <c r="AB9" s="131">
        <v>5669991</v>
      </c>
      <c r="AC9" s="131">
        <v>1</v>
      </c>
    </row>
    <row r="10" spans="3:29"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31">
        <v>5005932</v>
      </c>
      <c r="Z10" s="131">
        <v>33083838</v>
      </c>
      <c r="AA10" s="131">
        <f>Table4[[#This Row],[E]]/Table4[[#This Row],[V]]</f>
        <v>6.6089267692809255</v>
      </c>
      <c r="AB10" s="131">
        <v>1208022</v>
      </c>
      <c r="AC10" s="131">
        <v>1</v>
      </c>
    </row>
    <row r="11" spans="3:29"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31">
        <v>3496954</v>
      </c>
      <c r="Z11" s="131">
        <v>27305086</v>
      </c>
      <c r="AA11" s="131">
        <f>Table4[[#This Row],[E]]/Table4[[#This Row],[V]]</f>
        <v>7.808248550023821</v>
      </c>
      <c r="AB11" s="131">
        <v>2187803</v>
      </c>
      <c r="AC11" s="131">
        <v>1</v>
      </c>
    </row>
    <row r="12" spans="3:29"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31">
        <v>3411795</v>
      </c>
      <c r="Z12" s="131">
        <v>26854686</v>
      </c>
      <c r="AA12" s="131">
        <f>Table4[[#This Row],[E]]/Table4[[#This Row],[V]]</f>
        <v>7.8711311787490166</v>
      </c>
      <c r="AB12" s="131">
        <v>2487058</v>
      </c>
      <c r="AC12" s="131">
        <v>1</v>
      </c>
    </row>
    <row r="13" spans="3:29"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31">
        <v>33777768</v>
      </c>
      <c r="Z13" s="131">
        <v>274478882</v>
      </c>
      <c r="AA13" s="131">
        <f>Table4[[#This Row],[E]]/Table4[[#This Row],[V]]</f>
        <v>8.1260218851642296</v>
      </c>
      <c r="AB13" s="131">
        <v>1057783</v>
      </c>
      <c r="AC13" s="131">
        <v>1</v>
      </c>
    </row>
    <row r="14" spans="3:29"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31">
        <v>5812931</v>
      </c>
      <c r="Z14" s="131">
        <v>54238524</v>
      </c>
      <c r="AA14" s="131">
        <f>Table4[[#This Row],[E]]/Table4[[#This Row],[V]]</f>
        <v>9.3306670937604448</v>
      </c>
      <c r="AB14" s="131">
        <v>3504033</v>
      </c>
      <c r="AC14" s="131">
        <v>1</v>
      </c>
    </row>
    <row r="15" spans="3:29"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31">
        <v>27665730</v>
      </c>
      <c r="Z15" s="131">
        <v>281227494</v>
      </c>
      <c r="AA15" s="131">
        <f>Table4[[#This Row],[E]]/Table4[[#This Row],[V]]</f>
        <v>10.165193327629526</v>
      </c>
      <c r="AB15" s="131">
        <v>11571953</v>
      </c>
      <c r="AC15" s="131">
        <v>1</v>
      </c>
    </row>
    <row r="16" spans="3:29"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31">
        <v>5867547</v>
      </c>
      <c r="Z16" s="131">
        <v>61171040</v>
      </c>
      <c r="AA16" s="131">
        <f>Table4[[#This Row],[E]]/Table4[[#This Row],[V]]</f>
        <v>10.425317428220003</v>
      </c>
      <c r="AB16" s="131">
        <v>959344</v>
      </c>
      <c r="AC16" s="131">
        <v>1</v>
      </c>
    </row>
    <row r="17" spans="3:29"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31">
        <v>5267977</v>
      </c>
      <c r="Z17" s="131">
        <v>55363430</v>
      </c>
      <c r="AA17" s="131">
        <f>Table4[[#This Row],[E]]/Table4[[#This Row],[V]]</f>
        <v>10.509428951569074</v>
      </c>
      <c r="AB17" s="131">
        <v>590528</v>
      </c>
      <c r="AC17" s="131">
        <v>1</v>
      </c>
    </row>
    <row r="18" spans="3:29"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31">
        <v>3790750</v>
      </c>
      <c r="Z18" s="131">
        <v>44273578</v>
      </c>
      <c r="AA18" s="131">
        <f>Table4[[#This Row],[E]]/Table4[[#This Row],[V]]</f>
        <v>11.679371628305745</v>
      </c>
      <c r="AB18" s="131">
        <v>866662</v>
      </c>
      <c r="AC18" s="131">
        <v>1</v>
      </c>
    </row>
    <row r="19" spans="3:29"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31">
        <v>8833229</v>
      </c>
      <c r="Z19" s="131">
        <v>105882456</v>
      </c>
      <c r="AA19" s="131">
        <f>Table4[[#This Row],[E]]/Table4[[#This Row],[V]]</f>
        <v>11.986834712425093</v>
      </c>
      <c r="AB19" s="131">
        <v>2126384</v>
      </c>
      <c r="AC19" s="131">
        <v>1</v>
      </c>
    </row>
    <row r="20" spans="3:29"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31">
        <v>1696415</v>
      </c>
      <c r="Z20" s="131">
        <v>22190596</v>
      </c>
      <c r="AA20" s="131">
        <f>Table4[[#This Row],[E]]/Table4[[#This Row],[V]]</f>
        <v>13.080877025963575</v>
      </c>
      <c r="AB20" s="131">
        <v>35455</v>
      </c>
      <c r="AC20" s="131">
        <v>1</v>
      </c>
    </row>
    <row r="21" spans="3:29"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31">
        <v>4799646</v>
      </c>
      <c r="Z21" s="131">
        <v>63844012</v>
      </c>
      <c r="AA21" s="131">
        <f>Table4[[#This Row],[E]]/Table4[[#This Row],[V]]</f>
        <v>13.301816842325454</v>
      </c>
      <c r="AB21" s="131">
        <v>1076572</v>
      </c>
      <c r="AC21" s="131">
        <v>1</v>
      </c>
    </row>
    <row r="22" spans="3:29"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31">
        <v>18268991</v>
      </c>
      <c r="Z22" s="131">
        <v>253780418</v>
      </c>
      <c r="AA22" s="131">
        <f>Table4[[#This Row],[E]]/Table4[[#This Row],[V]]</f>
        <v>13.891320982094742</v>
      </c>
      <c r="AB22" s="131">
        <v>612308</v>
      </c>
      <c r="AC22" s="131">
        <v>1</v>
      </c>
    </row>
    <row r="23" spans="3:29"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31">
        <v>2981204</v>
      </c>
      <c r="Z23" s="131">
        <v>42832752</v>
      </c>
      <c r="AA23" s="131">
        <f>Table4[[#This Row],[E]]/Table4[[#This Row],[V]]</f>
        <v>14.367601814568879</v>
      </c>
      <c r="AB23" s="131">
        <v>385104</v>
      </c>
      <c r="AC23" s="131">
        <v>1</v>
      </c>
    </row>
    <row r="24" spans="3:29"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31">
        <v>2140198</v>
      </c>
      <c r="Z24" s="131">
        <v>34029892</v>
      </c>
      <c r="AA24" s="131">
        <f>Table4[[#This Row],[E]]/Table4[[#This Row],[V]]</f>
        <v>15.900347537938078</v>
      </c>
      <c r="AB24" s="131">
        <v>97848</v>
      </c>
      <c r="AC24" s="131">
        <v>1</v>
      </c>
    </row>
    <row r="25" spans="3:29"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31">
        <v>7825669</v>
      </c>
      <c r="Z25" s="131">
        <v>124492028</v>
      </c>
      <c r="AA25" s="131">
        <f>Table4[[#This Row],[E]]/Table4[[#This Row],[V]]</f>
        <v>15.90816427323977</v>
      </c>
      <c r="AB25" s="131">
        <v>204282</v>
      </c>
      <c r="AC25" s="131">
        <v>1</v>
      </c>
    </row>
    <row r="26" spans="3:29"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31">
        <v>2646291</v>
      </c>
      <c r="Z26" s="131">
        <v>42433496</v>
      </c>
      <c r="AA26" s="131">
        <f>Table4[[#This Row],[E]]/Table4[[#This Row],[V]]</f>
        <v>16.035083065316702</v>
      </c>
      <c r="AB26" s="131">
        <v>850681</v>
      </c>
      <c r="AC26" s="131">
        <v>1</v>
      </c>
    </row>
    <row r="27" spans="3:29"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31">
        <v>7891015</v>
      </c>
      <c r="Z27" s="131">
        <v>127830770</v>
      </c>
      <c r="AA27" s="131">
        <f>Table4[[#This Row],[E]]/Table4[[#This Row],[V]]</f>
        <v>16.199534533897097</v>
      </c>
      <c r="AB27" s="131">
        <v>3636005</v>
      </c>
      <c r="AC27" s="131">
        <v>1</v>
      </c>
    </row>
    <row r="28" spans="3:29"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31">
        <v>4033138</v>
      </c>
      <c r="Z28" s="131">
        <v>55866126</v>
      </c>
      <c r="AA28" s="131">
        <f>Table4[[#This Row],[E]]/Table4[[#This Row],[V]]</f>
        <v>13.851776457934244</v>
      </c>
      <c r="AB28" s="131">
        <v>2651</v>
      </c>
      <c r="AC28" s="131">
        <v>0</v>
      </c>
    </row>
    <row r="29" spans="3:29"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31">
        <v>2937612</v>
      </c>
      <c r="Z29" s="131">
        <v>41919708</v>
      </c>
      <c r="AA29" s="131">
        <f>Table4[[#This Row],[E]]/Table4[[#This Row],[V]]</f>
        <v>14.269994812112696</v>
      </c>
      <c r="AB29" s="131">
        <v>4356</v>
      </c>
      <c r="AC29" s="131">
        <v>0</v>
      </c>
    </row>
    <row r="30" spans="3:29"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row>
    <row r="31" spans="3:29"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row>
    <row r="32" spans="3:29"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row>
    <row r="33" spans="3:29"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row>
    <row r="34" spans="3:29"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row>
    <row r="35" spans="3:29"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row>
    <row r="36" spans="3:29"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row>
    <row r="37" spans="3:29"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row>
    <row r="38" spans="3:29"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row>
    <row r="39" spans="3:29"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row>
    <row r="40" spans="3:29"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row>
    <row r="41" spans="3:29"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row>
    <row r="42" spans="3:29"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row>
    <row r="43" spans="3:29"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row>
    <row r="44" spans="3:29"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row>
    <row r="45" spans="3:29"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row>
    <row r="46" spans="3:29"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row>
    <row r="47" spans="3:29"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row>
    <row r="48" spans="3:29"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row>
    <row r="49" spans="3:29"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row>
    <row r="50" spans="3:29"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row>
    <row r="51" spans="3:29"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row>
    <row r="52" spans="3:29"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29"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29"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29" x14ac:dyDescent="0.3">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29"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29"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29"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29"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29"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29"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29"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29"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29"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29"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29"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row>
    <row r="67" spans="3:29"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row>
    <row r="68" spans="3:29"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row>
    <row r="69" spans="3:29"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row>
    <row r="70" spans="3:29"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row>
    <row r="71" spans="3:29"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row>
    <row r="72" spans="3:29"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row>
    <row r="73" spans="3:29"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row>
    <row r="74" spans="3:29"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row>
    <row r="75" spans="3:29"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row>
    <row r="76" spans="3:29"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row>
    <row r="77" spans="3:29"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row>
    <row r="78" spans="3:29"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row>
    <row r="79" spans="3:29"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row>
    <row r="80" spans="3:29"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row>
    <row r="81" spans="3:29"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row>
    <row r="82" spans="3:29"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row>
    <row r="83" spans="3:29"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29"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29"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29"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29"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29"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29"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29"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29"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29"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29"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29"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29"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29"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SM-pingpong</vt:lpstr>
      <vt:lpstr>QC</vt:lpstr>
      <vt:lpstr>MC - para</vt:lpstr>
      <vt:lpstr>MC</vt:lpstr>
      <vt:lpstr>SM</vt:lpstr>
      <vt:lpstr>SM2</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2026-07-08T04:34:43Z</dcterms:modified>
</cp:coreProperties>
</file>