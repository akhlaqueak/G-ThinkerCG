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8EE1C0F0-704F-C743-B999-F35742064363}" xr6:coauthVersionLast="47" xr6:coauthVersionMax="47" xr10:uidLastSave="{00000000-0000-0000-0000-000000000000}"/>
  <bookViews>
    <workbookView xWindow="0" yWindow="760" windowWidth="30240" windowHeight="18880" xr2:uid="{93E1CCD5-64A0-5F4C-A5F1-EE4B217F183B}"/>
  </bookViews>
  <sheets>
    <sheet name="SM2" sheetId="32" r:id="rId1"/>
    <sheet name="MC" sheetId="28" r:id="rId2"/>
    <sheet name="MQC" sheetId="27" r:id="rId3"/>
    <sheet name="SM" sheetId="30" r:id="rId4"/>
    <sheet name="AIMD-ampere" sheetId="11" r:id="rId5"/>
    <sheet name="mce-gpu" sheetId="9" r:id="rId6"/>
    <sheet name="MC - para" sheetId="29" r:id="rId7"/>
    <sheet name="QC" sheetId="31" r:id="rId8"/>
    <sheet name="SM-datasets" sheetId="33" r:id="rId9"/>
    <sheet name="Sheet4" sheetId="4" r:id="rId10"/>
  </sheets>
  <externalReferences>
    <externalReference r:id="rId1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28" l="1"/>
  <c r="M7" i="28"/>
  <c r="M8" i="28"/>
  <c r="M9" i="28"/>
  <c r="M10" i="28"/>
  <c r="M11" i="28"/>
  <c r="M12" i="28"/>
  <c r="M13" i="28"/>
  <c r="M14" i="28"/>
  <c r="M15" i="28"/>
  <c r="M46" i="28"/>
  <c r="M53" i="28"/>
  <c r="M58" i="28"/>
  <c r="M19" i="28"/>
  <c r="M45" i="28"/>
  <c r="M38" i="28"/>
  <c r="M48" i="28"/>
  <c r="M40" i="28"/>
  <c r="M29" i="28"/>
  <c r="M22" i="28"/>
  <c r="M36" i="28"/>
  <c r="M23" i="28"/>
  <c r="M41" i="28"/>
  <c r="M44" i="28"/>
  <c r="M34" i="28"/>
  <c r="M35" i="28"/>
  <c r="M33" i="28"/>
  <c r="M26" i="28"/>
  <c r="M17" i="28"/>
  <c r="M31" i="28"/>
  <c r="M37" i="28"/>
  <c r="M18" i="28"/>
  <c r="M47" i="28"/>
  <c r="M28" i="28"/>
  <c r="M21" i="28"/>
  <c r="M39" i="28"/>
  <c r="M43" i="28"/>
  <c r="M27" i="28"/>
  <c r="M42" i="28"/>
  <c r="M30" i="28"/>
  <c r="M49" i="28"/>
  <c r="M51" i="28"/>
  <c r="M32" i="28"/>
  <c r="M16" i="28"/>
  <c r="M24" i="28"/>
  <c r="M50" i="28"/>
  <c r="M25" i="28"/>
  <c r="M20" i="28"/>
  <c r="M52" i="28"/>
  <c r="M54" i="28"/>
  <c r="M55" i="28"/>
  <c r="M56" i="28"/>
  <c r="M64" i="28"/>
  <c r="M57" i="28"/>
  <c r="M59" i="28"/>
  <c r="M60" i="28"/>
  <c r="M61" i="28"/>
  <c r="M62" i="28"/>
  <c r="M63" i="28"/>
  <c r="M65" i="28"/>
  <c r="W51" i="28"/>
  <c r="W53" i="28"/>
  <c r="W22" i="28"/>
  <c r="W45" i="28"/>
  <c r="W58" i="28"/>
  <c r="W16" i="28"/>
  <c r="W23" i="28"/>
  <c r="W38" i="28"/>
  <c r="W29" i="28"/>
  <c r="W40" i="28"/>
  <c r="W36" i="28"/>
  <c r="W18" i="28"/>
  <c r="W26" i="28"/>
  <c r="W17" i="28"/>
  <c r="W41" i="28"/>
  <c r="W20" i="28"/>
  <c r="W33" i="28"/>
  <c r="W21" i="28"/>
  <c r="W44" i="28"/>
  <c r="W48" i="28"/>
  <c r="W34" i="28"/>
  <c r="W24" i="28"/>
  <c r="W25" i="28"/>
  <c r="W31" i="28"/>
  <c r="W46" i="28"/>
  <c r="W27" i="28"/>
  <c r="W28" i="28"/>
  <c r="W35" i="28"/>
  <c r="W37" i="28"/>
  <c r="W30" i="28"/>
  <c r="W32" i="28"/>
  <c r="W39" i="28"/>
  <c r="W47" i="28"/>
  <c r="W42" i="28"/>
  <c r="W43" i="28"/>
  <c r="W49" i="28"/>
  <c r="W50" i="28"/>
  <c r="W19" i="28"/>
  <c r="N3" i="32"/>
  <c r="N4" i="32"/>
  <c r="N5" i="32"/>
  <c r="N6" i="32"/>
  <c r="N7" i="32"/>
  <c r="N8" i="32"/>
  <c r="N9" i="32"/>
  <c r="N10" i="32"/>
  <c r="N11" i="32"/>
  <c r="N12" i="32"/>
  <c r="N13" i="32"/>
  <c r="N14" i="32"/>
  <c r="N15" i="32"/>
  <c r="N16" i="32"/>
  <c r="N17" i="32"/>
  <c r="N18" i="32"/>
  <c r="N19" i="32"/>
  <c r="N20" i="32"/>
  <c r="N21" i="32"/>
  <c r="N22" i="32"/>
  <c r="N23" i="32"/>
  <c r="N24" i="32"/>
  <c r="N25" i="32"/>
  <c r="N26" i="32"/>
  <c r="N27" i="32"/>
  <c r="N28" i="32"/>
  <c r="N29" i="32"/>
  <c r="N30" i="32"/>
  <c r="N31" i="32"/>
  <c r="N32" i="32"/>
  <c r="N33" i="32"/>
  <c r="N34" i="32"/>
  <c r="N35" i="32"/>
  <c r="N36" i="32"/>
  <c r="N37" i="32"/>
  <c r="N38" i="32"/>
  <c r="N39" i="32"/>
  <c r="N40" i="32"/>
  <c r="N41" i="32"/>
  <c r="N42" i="32"/>
  <c r="N69" i="32"/>
  <c r="N80" i="32"/>
  <c r="N43" i="32"/>
  <c r="N48" i="32"/>
  <c r="N52" i="32"/>
  <c r="N53" i="32"/>
  <c r="N61" i="32"/>
  <c r="N59" i="32"/>
  <c r="N50" i="32"/>
  <c r="N68" i="32"/>
  <c r="N63" i="32"/>
  <c r="N70" i="32"/>
  <c r="N56" i="32"/>
  <c r="N64" i="32"/>
  <c r="N75" i="32"/>
  <c r="N44" i="32"/>
  <c r="N72" i="32"/>
  <c r="N62" i="32"/>
  <c r="N58" i="32"/>
  <c r="N74" i="32"/>
  <c r="N78" i="32"/>
  <c r="N57" i="32"/>
  <c r="N79" i="32"/>
  <c r="N54" i="32"/>
  <c r="N83" i="32"/>
  <c r="N82" i="32"/>
  <c r="N71" i="32"/>
  <c r="N73" i="32"/>
  <c r="N46" i="32"/>
  <c r="N77" i="32"/>
  <c r="N81" i="32"/>
  <c r="N67" i="32"/>
  <c r="N49" i="32"/>
  <c r="N66" i="32"/>
  <c r="N76" i="32"/>
  <c r="N47" i="32"/>
  <c r="N60" i="32"/>
  <c r="N65" i="32"/>
  <c r="N51" i="32"/>
  <c r="N55" i="32"/>
  <c r="N45" i="32"/>
  <c r="N84" i="32"/>
  <c r="N85" i="32"/>
  <c r="N86" i="32"/>
  <c r="N87" i="32"/>
  <c r="N88" i="32"/>
  <c r="N89" i="32"/>
  <c r="N90" i="32"/>
  <c r="N91" i="32"/>
  <c r="N92" i="32"/>
  <c r="N93" i="32"/>
  <c r="N94" i="32"/>
  <c r="N95" i="32"/>
  <c r="N96" i="32"/>
  <c r="N97" i="32"/>
  <c r="N98" i="32"/>
  <c r="N99" i="32"/>
  <c r="N100" i="32"/>
  <c r="N101" i="32"/>
  <c r="N102" i="32"/>
  <c r="N103" i="32"/>
  <c r="N104" i="32"/>
  <c r="N105" i="32"/>
  <c r="N106" i="32"/>
  <c r="N107" i="32"/>
  <c r="N108" i="32"/>
  <c r="N109" i="32"/>
  <c r="N110" i="32"/>
  <c r="N111" i="32"/>
  <c r="N112" i="32"/>
  <c r="N113" i="32"/>
  <c r="N114" i="32"/>
  <c r="N115" i="32"/>
  <c r="N116" i="32"/>
  <c r="N117" i="32"/>
  <c r="N118" i="32"/>
  <c r="N119" i="32"/>
  <c r="N120" i="32"/>
  <c r="N121" i="32"/>
  <c r="N122" i="32"/>
  <c r="N123" i="32"/>
  <c r="N124" i="32"/>
  <c r="N125" i="32"/>
  <c r="N126" i="32"/>
  <c r="N127" i="32"/>
  <c r="N128" i="32"/>
  <c r="N129" i="32"/>
  <c r="N130" i="32"/>
  <c r="N131" i="32"/>
  <c r="N132" i="32"/>
  <c r="N133" i="32"/>
  <c r="N134" i="32"/>
  <c r="N135" i="32"/>
  <c r="N136" i="32"/>
  <c r="N137" i="32"/>
  <c r="N138" i="32"/>
  <c r="N139" i="32"/>
  <c r="N140" i="32"/>
  <c r="N141" i="32"/>
  <c r="N142" i="32"/>
  <c r="N143" i="32"/>
  <c r="N144" i="32"/>
  <c r="N145" i="32"/>
  <c r="N146" i="32"/>
  <c r="Q6" i="28"/>
  <c r="Q7" i="28"/>
  <c r="Q8" i="28"/>
  <c r="Q9" i="28"/>
  <c r="Q10" i="28"/>
  <c r="Q11" i="28"/>
  <c r="Q12" i="28"/>
  <c r="Q13" i="28"/>
  <c r="Q14" i="28"/>
  <c r="Q15" i="28"/>
  <c r="Q19" i="28"/>
  <c r="Q53" i="28"/>
  <c r="Q22" i="28"/>
  <c r="Q45" i="28"/>
  <c r="Q58" i="28"/>
  <c r="Q16" i="28"/>
  <c r="Q23" i="28"/>
  <c r="Q38" i="28"/>
  <c r="Q29" i="28"/>
  <c r="Q40" i="28"/>
  <c r="Q36" i="28"/>
  <c r="Q18" i="28"/>
  <c r="Q26" i="28"/>
  <c r="Q17" i="28"/>
  <c r="Q41" i="28"/>
  <c r="Q20" i="28"/>
  <c r="Q33" i="28"/>
  <c r="Q21" i="28"/>
  <c r="Q44" i="28"/>
  <c r="Q48" i="28"/>
  <c r="Q34" i="28"/>
  <c r="Q24" i="28"/>
  <c r="Q25" i="28"/>
  <c r="Q31" i="28"/>
  <c r="Q46" i="28"/>
  <c r="Q27" i="28"/>
  <c r="Q28" i="28"/>
  <c r="Q35" i="28"/>
  <c r="Q37" i="28"/>
  <c r="Q30" i="28"/>
  <c r="Q32" i="28"/>
  <c r="Q39" i="28"/>
  <c r="Q47" i="28"/>
  <c r="Q42" i="28"/>
  <c r="Q43" i="28"/>
  <c r="Q49" i="28"/>
  <c r="Q50" i="28"/>
  <c r="Q51" i="28"/>
  <c r="Q52" i="28"/>
  <c r="Q54" i="28"/>
  <c r="Q55" i="28"/>
  <c r="Q56" i="28"/>
  <c r="Q64" i="28"/>
  <c r="Q57" i="28"/>
  <c r="Q59" i="28"/>
  <c r="Q60" i="28"/>
  <c r="Q61" i="28"/>
  <c r="Q62" i="28"/>
  <c r="Q63" i="28"/>
  <c r="Q65" i="28"/>
  <c r="R6" i="28"/>
  <c r="R7" i="28"/>
  <c r="R8" i="28"/>
  <c r="R9" i="28"/>
  <c r="R10" i="28"/>
  <c r="R11" i="28"/>
  <c r="R12" i="28"/>
  <c r="R13" i="28"/>
  <c r="R14" i="28"/>
  <c r="R15" i="28"/>
  <c r="R51" i="28"/>
  <c r="R56" i="28"/>
  <c r="R16" i="28"/>
  <c r="R60" i="28"/>
  <c r="R43" i="28"/>
  <c r="R19" i="28"/>
  <c r="R31" i="28"/>
  <c r="R30" i="28"/>
  <c r="R49" i="28"/>
  <c r="R55" i="28"/>
  <c r="R23" i="28"/>
  <c r="R32" i="28"/>
  <c r="R48" i="28"/>
  <c r="R50" i="28"/>
  <c r="R37" i="28"/>
  <c r="R54" i="28"/>
  <c r="R62" i="28"/>
  <c r="R33" i="28"/>
  <c r="R46" i="28"/>
  <c r="R59" i="28"/>
  <c r="R22" i="28"/>
  <c r="R17" i="28"/>
  <c r="R29" i="28"/>
  <c r="R53" i="28"/>
  <c r="R18" i="28"/>
  <c r="R28" i="28"/>
  <c r="R21" i="28"/>
  <c r="R58" i="28"/>
  <c r="R41" i="28"/>
  <c r="R39" i="28"/>
  <c r="R61" i="28"/>
  <c r="R25" i="28"/>
  <c r="R57" i="28"/>
  <c r="R42" i="28"/>
  <c r="R20" i="28"/>
  <c r="R26" i="28"/>
  <c r="R36" i="28"/>
  <c r="R40" i="28"/>
  <c r="R47" i="28"/>
  <c r="R38" i="28"/>
  <c r="R44" i="28"/>
  <c r="R52" i="28"/>
  <c r="R45" i="28"/>
  <c r="R24" i="28"/>
  <c r="R63" i="28"/>
  <c r="R64" i="28"/>
  <c r="R35" i="28"/>
  <c r="R34" i="28"/>
  <c r="R65" i="28"/>
  <c r="R27" i="28"/>
  <c r="O3" i="32"/>
  <c r="O4" i="32"/>
  <c r="O5" i="32"/>
  <c r="O6" i="32"/>
  <c r="O7" i="32"/>
  <c r="O8" i="32"/>
  <c r="O9" i="32"/>
  <c r="O10" i="32"/>
  <c r="O11" i="32"/>
  <c r="O12" i="32"/>
  <c r="O13" i="32"/>
  <c r="O14" i="32"/>
  <c r="O15" i="32"/>
  <c r="O16" i="32"/>
  <c r="O17" i="32"/>
  <c r="O18" i="32"/>
  <c r="O19" i="32"/>
  <c r="O20" i="32"/>
  <c r="O21" i="32"/>
  <c r="O22" i="32"/>
  <c r="O23" i="32"/>
  <c r="O24" i="32"/>
  <c r="O25" i="32"/>
  <c r="O26" i="32"/>
  <c r="O27" i="32"/>
  <c r="O28" i="32"/>
  <c r="O29" i="32"/>
  <c r="O30" i="32"/>
  <c r="O31" i="32"/>
  <c r="O32" i="32"/>
  <c r="O33" i="32"/>
  <c r="O34" i="32"/>
  <c r="O35" i="32"/>
  <c r="O36" i="32"/>
  <c r="O37" i="32"/>
  <c r="O38" i="32"/>
  <c r="O39" i="32"/>
  <c r="O40" i="32"/>
  <c r="O41" i="32"/>
  <c r="O42" i="32"/>
  <c r="O69" i="32"/>
  <c r="O80" i="32"/>
  <c r="O43" i="32"/>
  <c r="O48" i="32"/>
  <c r="O52" i="32"/>
  <c r="O47" i="32"/>
  <c r="O53" i="32"/>
  <c r="O61" i="32"/>
  <c r="O59" i="32"/>
  <c r="O50" i="32"/>
  <c r="O68" i="32"/>
  <c r="O63" i="32"/>
  <c r="O70" i="32"/>
  <c r="O56" i="32"/>
  <c r="O64" i="32"/>
  <c r="O75" i="32"/>
  <c r="O44" i="32"/>
  <c r="O72" i="32"/>
  <c r="O62" i="32"/>
  <c r="O58" i="32"/>
  <c r="O55" i="32"/>
  <c r="O74" i="32"/>
  <c r="O65" i="32"/>
  <c r="O78" i="32"/>
  <c r="O57" i="32"/>
  <c r="O79" i="32"/>
  <c r="O54" i="32"/>
  <c r="O83" i="32"/>
  <c r="O82" i="32"/>
  <c r="O71" i="32"/>
  <c r="O73" i="32"/>
  <c r="O46" i="32"/>
  <c r="O77" i="32"/>
  <c r="O45" i="32"/>
  <c r="O51" i="32"/>
  <c r="O81" i="32"/>
  <c r="O67" i="32"/>
  <c r="O49" i="32"/>
  <c r="O60" i="32"/>
  <c r="O66" i="32"/>
  <c r="O76" i="32"/>
  <c r="O84" i="32"/>
  <c r="O85" i="32"/>
  <c r="O86" i="32"/>
  <c r="O87" i="32"/>
  <c r="O88" i="32"/>
  <c r="O89" i="32"/>
  <c r="O90" i="32"/>
  <c r="O91" i="32"/>
  <c r="O92" i="32"/>
  <c r="O93" i="32"/>
  <c r="O94" i="32"/>
  <c r="O95" i="32"/>
  <c r="O96" i="32"/>
  <c r="O97" i="32"/>
  <c r="O98" i="32"/>
  <c r="O99" i="32"/>
  <c r="O100" i="32"/>
  <c r="O101" i="32"/>
  <c r="O102" i="32"/>
  <c r="O103" i="32"/>
  <c r="O104" i="32"/>
  <c r="O105" i="32"/>
  <c r="O106" i="32"/>
  <c r="O107" i="32"/>
  <c r="O108" i="32"/>
  <c r="O109" i="32"/>
  <c r="O110" i="32"/>
  <c r="O111" i="32"/>
  <c r="O112" i="32"/>
  <c r="O113" i="32"/>
  <c r="O114" i="32"/>
  <c r="O115" i="32"/>
  <c r="O116" i="32"/>
  <c r="O117" i="32"/>
  <c r="O118" i="32"/>
  <c r="O119" i="32"/>
  <c r="O120" i="32"/>
  <c r="O121" i="32"/>
  <c r="O122" i="32"/>
  <c r="O123" i="32"/>
  <c r="O124" i="32"/>
  <c r="O125" i="32"/>
  <c r="O126" i="32"/>
  <c r="O127" i="32"/>
  <c r="O128" i="32"/>
  <c r="O129" i="32"/>
  <c r="O130" i="32"/>
  <c r="O131" i="32"/>
  <c r="O132" i="32"/>
  <c r="O133" i="32"/>
  <c r="O134" i="32"/>
  <c r="O135" i="32"/>
  <c r="O136" i="32"/>
  <c r="O137" i="32"/>
  <c r="O138" i="32"/>
  <c r="O139" i="32"/>
  <c r="O140" i="32"/>
  <c r="O141" i="32"/>
  <c r="O142" i="32"/>
  <c r="O143" i="32"/>
  <c r="O144" i="32"/>
  <c r="O145" i="32"/>
  <c r="O146" i="32"/>
  <c r="J3" i="32"/>
  <c r="J4" i="32"/>
  <c r="J5" i="32"/>
  <c r="J6" i="32"/>
  <c r="J7" i="32"/>
  <c r="J8" i="32"/>
  <c r="J9" i="32"/>
  <c r="J10" i="32"/>
  <c r="J11" i="32"/>
  <c r="J12" i="32"/>
  <c r="J13" i="32"/>
  <c r="J14" i="32"/>
  <c r="J15" i="32"/>
  <c r="J16" i="32"/>
  <c r="J17" i="32"/>
  <c r="J18" i="32"/>
  <c r="J19" i="32"/>
  <c r="J20" i="32"/>
  <c r="J21" i="32"/>
  <c r="J22" i="32"/>
  <c r="J23" i="32"/>
  <c r="J24" i="32"/>
  <c r="J25" i="32"/>
  <c r="J26" i="32"/>
  <c r="J27" i="32"/>
  <c r="J28" i="32"/>
  <c r="J29" i="32"/>
  <c r="J30" i="32"/>
  <c r="J31" i="32"/>
  <c r="J32" i="32"/>
  <c r="J33" i="32"/>
  <c r="J34" i="32"/>
  <c r="J35" i="32"/>
  <c r="J36" i="32"/>
  <c r="J37" i="32"/>
  <c r="J38" i="32"/>
  <c r="J39" i="32"/>
  <c r="J40" i="32"/>
  <c r="J41" i="32"/>
  <c r="J42" i="32"/>
  <c r="J60" i="32"/>
  <c r="J50" i="32"/>
  <c r="J43" i="32"/>
  <c r="J63" i="32"/>
  <c r="J47" i="32"/>
  <c r="J56" i="32"/>
  <c r="J44" i="32"/>
  <c r="J58" i="32"/>
  <c r="J68" i="32"/>
  <c r="J64" i="32"/>
  <c r="J48" i="32"/>
  <c r="J55" i="32"/>
  <c r="J45" i="32"/>
  <c r="J57" i="32"/>
  <c r="J52" i="32"/>
  <c r="J59" i="32"/>
  <c r="J75" i="32"/>
  <c r="J72" i="32"/>
  <c r="J70" i="32"/>
  <c r="J81" i="32"/>
  <c r="J53" i="32"/>
  <c r="J51" i="32"/>
  <c r="J79" i="32"/>
  <c r="J69" i="32"/>
  <c r="J76" i="32"/>
  <c r="J61" i="32"/>
  <c r="J74" i="32"/>
  <c r="J65" i="32"/>
  <c r="J78" i="32"/>
  <c r="J80" i="32"/>
  <c r="J73" i="32"/>
  <c r="J67" i="32"/>
  <c r="J62" i="32"/>
  <c r="J77" i="32"/>
  <c r="J49" i="32"/>
  <c r="J82" i="32"/>
  <c r="J83" i="32"/>
  <c r="J71" i="32"/>
  <c r="J54" i="32"/>
  <c r="J46" i="32"/>
  <c r="J66" i="32"/>
  <c r="J84" i="32"/>
  <c r="J85" i="32"/>
  <c r="J86" i="32"/>
  <c r="J87" i="32"/>
  <c r="J88" i="32"/>
  <c r="J89" i="32"/>
  <c r="J90" i="32"/>
  <c r="J91" i="32"/>
  <c r="J92" i="32"/>
  <c r="J93" i="32"/>
  <c r="J94" i="32"/>
  <c r="J95" i="32"/>
  <c r="J96" i="32"/>
  <c r="J97" i="32"/>
  <c r="J98" i="32"/>
  <c r="J99" i="32"/>
  <c r="J100" i="32"/>
  <c r="J101" i="32"/>
  <c r="J102" i="32"/>
  <c r="J103" i="32"/>
  <c r="J104" i="32"/>
  <c r="J105" i="32"/>
  <c r="J106" i="32"/>
  <c r="J107" i="32"/>
  <c r="J108" i="32"/>
  <c r="J109" i="32"/>
  <c r="J110" i="32"/>
  <c r="J111" i="32"/>
  <c r="J112" i="32"/>
  <c r="J113" i="32"/>
  <c r="J114" i="32"/>
  <c r="J115" i="32"/>
  <c r="J116" i="32"/>
  <c r="J117" i="32"/>
  <c r="J118" i="32"/>
  <c r="J119" i="32"/>
  <c r="J120" i="32"/>
  <c r="J121" i="32"/>
  <c r="J122" i="32"/>
  <c r="J123" i="32"/>
  <c r="J124" i="32"/>
  <c r="J125" i="32"/>
  <c r="J126" i="32"/>
  <c r="J127" i="32"/>
  <c r="J128" i="32"/>
  <c r="J129" i="32"/>
  <c r="J130" i="32"/>
  <c r="J131" i="32"/>
  <c r="J132" i="32"/>
  <c r="J133" i="32"/>
  <c r="J134" i="32"/>
  <c r="J135" i="32"/>
  <c r="J136" i="32"/>
  <c r="J137" i="32"/>
  <c r="J138" i="32"/>
  <c r="J139" i="32"/>
  <c r="J140" i="32"/>
  <c r="J141" i="32"/>
  <c r="J142" i="32"/>
  <c r="J143" i="32"/>
  <c r="J144" i="32"/>
  <c r="J145" i="32"/>
  <c r="J146" i="32"/>
  <c r="D26" i="33"/>
  <c r="D17" i="33"/>
  <c r="D27" i="33"/>
  <c r="K5" i="32"/>
  <c r="K6" i="32"/>
  <c r="K8" i="32"/>
  <c r="K10" i="32"/>
  <c r="K12" i="32"/>
  <c r="K18" i="32"/>
  <c r="K20" i="32"/>
  <c r="K21" i="32"/>
  <c r="K25" i="32"/>
  <c r="K27" i="32"/>
  <c r="K32" i="32"/>
  <c r="K38" i="32"/>
  <c r="K43" i="32"/>
  <c r="K44" i="32"/>
  <c r="K45" i="32"/>
  <c r="K46" i="32"/>
  <c r="K47" i="32"/>
  <c r="K48" i="32"/>
  <c r="K49" i="32"/>
  <c r="K40" i="32"/>
  <c r="K51" i="32"/>
  <c r="K52" i="32"/>
  <c r="K53" i="32"/>
  <c r="K112" i="32"/>
  <c r="K13" i="32"/>
  <c r="K19" i="32"/>
  <c r="K22" i="32"/>
  <c r="K23" i="32"/>
  <c r="K29" i="32"/>
  <c r="K37" i="32"/>
  <c r="K42" i="32"/>
  <c r="K50" i="32"/>
  <c r="K54" i="32"/>
  <c r="K55" i="32"/>
  <c r="K56" i="32"/>
  <c r="K57" i="32"/>
  <c r="K58" i="32"/>
  <c r="K59" i="32"/>
  <c r="K60" i="32"/>
  <c r="K61" i="32"/>
  <c r="K122" i="32"/>
  <c r="K91" i="32"/>
  <c r="K98" i="32"/>
  <c r="K103" i="32"/>
  <c r="K107" i="32"/>
  <c r="K113" i="32"/>
  <c r="K118" i="32"/>
  <c r="K141" i="32"/>
  <c r="K24" i="32"/>
  <c r="K62" i="32"/>
  <c r="K63" i="32"/>
  <c r="K64" i="32"/>
  <c r="K84" i="32"/>
  <c r="K85" i="32"/>
  <c r="K88" i="32"/>
  <c r="K90" i="32"/>
  <c r="K92" i="32"/>
  <c r="K95" i="32"/>
  <c r="K99" i="32"/>
  <c r="K104" i="32"/>
  <c r="K108" i="32"/>
  <c r="K114" i="32"/>
  <c r="K119" i="32"/>
  <c r="K123" i="32"/>
  <c r="K127" i="32"/>
  <c r="K130" i="32"/>
  <c r="K131" i="32"/>
  <c r="K134" i="32"/>
  <c r="K137" i="32"/>
  <c r="K138" i="32"/>
  <c r="K142" i="32"/>
  <c r="K146" i="32"/>
  <c r="K4" i="32"/>
  <c r="K15" i="32"/>
  <c r="K26" i="32"/>
  <c r="K39" i="32"/>
  <c r="K41" i="32"/>
  <c r="K65" i="32"/>
  <c r="K66" i="32"/>
  <c r="K67" i="32"/>
  <c r="K68" i="32"/>
  <c r="K69" i="32"/>
  <c r="K86" i="32"/>
  <c r="K93" i="32"/>
  <c r="K96" i="32"/>
  <c r="K100" i="32"/>
  <c r="K105" i="32"/>
  <c r="K109" i="32"/>
  <c r="K115" i="32"/>
  <c r="K120" i="32"/>
  <c r="K124" i="32"/>
  <c r="K128" i="32"/>
  <c r="K132" i="32"/>
  <c r="K135" i="32"/>
  <c r="K139" i="32"/>
  <c r="K143" i="32"/>
  <c r="K14" i="32"/>
  <c r="K34" i="32"/>
  <c r="K70" i="32"/>
  <c r="K71" i="32"/>
  <c r="K72" i="32"/>
  <c r="K73" i="32"/>
  <c r="K74" i="32"/>
  <c r="K75" i="32"/>
  <c r="K77" i="32"/>
  <c r="K76" i="32"/>
  <c r="K89" i="32"/>
  <c r="K94" i="32"/>
  <c r="K97" i="32"/>
  <c r="K101" i="32"/>
  <c r="K106" i="32"/>
  <c r="K110" i="32"/>
  <c r="K116" i="32"/>
  <c r="K121" i="32"/>
  <c r="K125" i="32"/>
  <c r="K129" i="32"/>
  <c r="K133" i="32"/>
  <c r="K136" i="32"/>
  <c r="K140" i="32"/>
  <c r="K144" i="32"/>
  <c r="K3" i="32"/>
  <c r="K7" i="32"/>
  <c r="K9" i="32"/>
  <c r="K11" i="32"/>
  <c r="K16" i="32"/>
  <c r="K17" i="32"/>
  <c r="K28" i="32"/>
  <c r="K30" i="32"/>
  <c r="K31" i="32"/>
  <c r="K33" i="32"/>
  <c r="K35" i="32"/>
  <c r="K36" i="32"/>
  <c r="K78" i="32"/>
  <c r="K79" i="32"/>
  <c r="K80" i="32"/>
  <c r="K81" i="32"/>
  <c r="K82" i="32"/>
  <c r="K83" i="32"/>
  <c r="K87" i="32"/>
  <c r="K102" i="32"/>
  <c r="K111" i="32"/>
  <c r="K117" i="32"/>
  <c r="K126" i="32"/>
  <c r="K145" i="32"/>
  <c r="S20" i="28"/>
  <c r="T20" i="28" s="1"/>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F6" i="28"/>
  <c r="F7" i="28"/>
  <c r="F8" i="28"/>
  <c r="F9" i="28"/>
  <c r="F10" i="28"/>
  <c r="F11" i="28"/>
  <c r="F12" i="28"/>
  <c r="F13" i="28"/>
  <c r="F14" i="28"/>
  <c r="F15" i="28"/>
  <c r="F54" i="28"/>
  <c r="F56" i="28"/>
  <c r="F43" i="28"/>
  <c r="F45" i="28"/>
  <c r="F60" i="28"/>
  <c r="F51" i="28"/>
  <c r="F39" i="28"/>
  <c r="F37" i="28"/>
  <c r="F47" i="28"/>
  <c r="F55" i="28"/>
  <c r="F49" i="28"/>
  <c r="F59" i="28"/>
  <c r="F31" i="28"/>
  <c r="F57" i="28"/>
  <c r="F17" i="28"/>
  <c r="F23" i="28"/>
  <c r="F40" i="28"/>
  <c r="F62" i="28"/>
  <c r="F30" i="28"/>
  <c r="F44" i="28"/>
  <c r="F46" i="28"/>
  <c r="F41" i="28"/>
  <c r="F61" i="28"/>
  <c r="F48" i="28"/>
  <c r="F53" i="28"/>
  <c r="F33" i="28"/>
  <c r="F63" i="28"/>
  <c r="F64" i="28"/>
  <c r="F28" i="28"/>
  <c r="F35" i="28"/>
  <c r="F65" i="28"/>
  <c r="F32" i="28"/>
  <c r="F34" i="28"/>
  <c r="F24" i="28"/>
  <c r="F50" i="28"/>
  <c r="F36" i="28"/>
  <c r="F52" i="28"/>
  <c r="F26" i="28"/>
  <c r="F58" i="28"/>
  <c r="F42" i="28"/>
  <c r="F16" i="28"/>
  <c r="F21" i="28"/>
  <c r="F38" i="28"/>
  <c r="F25" i="28"/>
  <c r="F22" i="28"/>
  <c r="F27" i="28"/>
  <c r="F19" i="28"/>
  <c r="F20" i="28"/>
  <c r="F18" i="28"/>
  <c r="F29" i="28"/>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V6" i="28"/>
  <c r="V7" i="28"/>
  <c r="V8" i="28"/>
  <c r="V9" i="28"/>
  <c r="V10" i="28"/>
  <c r="V11" i="28"/>
  <c r="V12" i="28"/>
  <c r="V13" i="28"/>
  <c r="V14" i="28"/>
  <c r="V15" i="28"/>
  <c r="V20" i="28"/>
  <c r="V25" i="28"/>
  <c r="V50" i="28"/>
  <c r="V55" i="28"/>
  <c r="V62" i="28"/>
  <c r="V61" i="28"/>
  <c r="V24" i="28"/>
  <c r="V16" i="28"/>
  <c r="V59" i="28"/>
  <c r="V32" i="28"/>
  <c r="V63" i="28"/>
  <c r="V51" i="28"/>
  <c r="V60" i="28"/>
  <c r="V49" i="28"/>
  <c r="V30" i="28"/>
  <c r="V56" i="28"/>
  <c r="V54" i="28"/>
  <c r="V57" i="28"/>
  <c r="V42" i="28"/>
  <c r="V27" i="28"/>
  <c r="V43" i="28"/>
  <c r="V39" i="28"/>
  <c r="V52" i="28"/>
  <c r="V21" i="28"/>
  <c r="V28" i="28"/>
  <c r="V47" i="28"/>
  <c r="V18" i="28"/>
  <c r="V37" i="28"/>
  <c r="V64" i="28"/>
  <c r="V31" i="28"/>
  <c r="V17" i="28"/>
  <c r="V26" i="28"/>
  <c r="V33" i="28"/>
  <c r="V35" i="28"/>
  <c r="V34" i="28"/>
  <c r="V44" i="28"/>
  <c r="V41" i="28"/>
  <c r="V23" i="28"/>
  <c r="V36" i="28"/>
  <c r="V22" i="28"/>
  <c r="V29" i="28"/>
  <c r="V40" i="28"/>
  <c r="V48" i="28"/>
  <c r="V38" i="28"/>
  <c r="V45" i="28"/>
  <c r="V19" i="28"/>
  <c r="V58" i="28"/>
  <c r="V53" i="28"/>
  <c r="V65" i="28"/>
  <c r="V46" i="28"/>
  <c r="U6" i="28"/>
  <c r="U7" i="28"/>
  <c r="U8" i="28"/>
  <c r="U9" i="28"/>
  <c r="U10" i="28"/>
  <c r="U11" i="28"/>
  <c r="U12" i="28"/>
  <c r="U13" i="28"/>
  <c r="U14" i="28"/>
  <c r="U15" i="28"/>
  <c r="U65" i="28"/>
  <c r="U64" i="28"/>
  <c r="U63" i="28"/>
  <c r="U62" i="28"/>
  <c r="U61" i="28"/>
  <c r="U60" i="28"/>
  <c r="U59" i="28"/>
  <c r="U58" i="28"/>
  <c r="U57" i="28"/>
  <c r="U56" i="28"/>
  <c r="U55" i="28"/>
  <c r="U54" i="28"/>
  <c r="U53" i="28"/>
  <c r="U52" i="28"/>
  <c r="U51" i="28"/>
  <c r="U50" i="28"/>
  <c r="U49" i="28"/>
  <c r="U48" i="28"/>
  <c r="U47" i="28"/>
  <c r="U46" i="28"/>
  <c r="U45" i="28"/>
  <c r="U44" i="28"/>
  <c r="U43" i="28"/>
  <c r="U42" i="28"/>
  <c r="U41" i="28"/>
  <c r="U40" i="28"/>
  <c r="U39" i="28"/>
  <c r="U38" i="28"/>
  <c r="U37" i="28"/>
  <c r="U36" i="28"/>
  <c r="U35" i="28"/>
  <c r="U34" i="28"/>
  <c r="U33" i="28"/>
  <c r="U32" i="28"/>
  <c r="U31" i="28"/>
  <c r="U30" i="28"/>
  <c r="U29" i="28"/>
  <c r="U28" i="28"/>
  <c r="U27" i="28"/>
  <c r="U26" i="28"/>
  <c r="U25" i="28"/>
  <c r="U24" i="28"/>
  <c r="U23" i="28"/>
  <c r="U22" i="28"/>
  <c r="U21" i="28"/>
  <c r="U20" i="28"/>
  <c r="U19" i="28"/>
  <c r="U18" i="28"/>
  <c r="U17" i="28"/>
  <c r="U16" i="28"/>
  <c r="S6" i="28"/>
  <c r="T6" i="28" s="1"/>
  <c r="S7" i="28"/>
  <c r="T7" i="28" s="1"/>
  <c r="S8" i="28"/>
  <c r="T8" i="28" s="1"/>
  <c r="S9" i="28"/>
  <c r="T9" i="28" s="1"/>
  <c r="S10" i="28"/>
  <c r="T10" i="28" s="1"/>
  <c r="S11" i="28"/>
  <c r="T11" i="28" s="1"/>
  <c r="S12" i="28"/>
  <c r="T12" i="28" s="1"/>
  <c r="S13" i="28"/>
  <c r="T13" i="28" s="1"/>
  <c r="S14" i="28"/>
  <c r="T14" i="28" s="1"/>
  <c r="S15" i="28"/>
  <c r="T15" i="28" s="1"/>
  <c r="S35" i="28"/>
  <c r="T35" i="28" s="1"/>
  <c r="S52" i="28"/>
  <c r="T52" i="28" s="1"/>
  <c r="S64" i="28"/>
  <c r="T64" i="28" s="1"/>
  <c r="S45" i="28"/>
  <c r="T45" i="28" s="1"/>
  <c r="S63" i="28"/>
  <c r="T63" i="28" s="1"/>
  <c r="S59" i="28"/>
  <c r="T59" i="28" s="1"/>
  <c r="S27" i="28"/>
  <c r="T27" i="28" s="1"/>
  <c r="S24" i="28"/>
  <c r="T24" i="28" s="1"/>
  <c r="S42" i="28"/>
  <c r="T42" i="28" s="1"/>
  <c r="S61" i="28"/>
  <c r="T61" i="28" s="1"/>
  <c r="S47" i="28"/>
  <c r="T47" i="28" s="1"/>
  <c r="S25" i="28"/>
  <c r="T25" i="28" s="1"/>
  <c r="S50" i="28"/>
  <c r="T50" i="28" s="1"/>
  <c r="S62" i="28"/>
  <c r="T62" i="28" s="1"/>
  <c r="S34" i="28"/>
  <c r="T34" i="28" s="1"/>
  <c r="S44" i="28"/>
  <c r="T44" i="28" s="1"/>
  <c r="S54" i="28"/>
  <c r="T54" i="28" s="1"/>
  <c r="S46" i="28"/>
  <c r="T46" i="28" s="1"/>
  <c r="S65" i="28"/>
  <c r="T65" i="28" s="1"/>
  <c r="S57" i="28"/>
  <c r="T57" i="28" s="1"/>
  <c r="S48" i="28"/>
  <c r="T48" i="28" s="1"/>
  <c r="S53" i="28"/>
  <c r="T53" i="28" s="1"/>
  <c r="S36" i="28"/>
  <c r="T36" i="28" s="1"/>
  <c r="S43" i="28"/>
  <c r="T43" i="28" s="1"/>
  <c r="S39" i="28"/>
  <c r="T39" i="28" s="1"/>
  <c r="S17" i="28"/>
  <c r="T17" i="28" s="1"/>
  <c r="S38" i="28"/>
  <c r="T38" i="28" s="1"/>
  <c r="S40" i="28"/>
  <c r="T40" i="28" s="1"/>
  <c r="S37" i="28"/>
  <c r="T37" i="28" s="1"/>
  <c r="S23" i="28"/>
  <c r="T23" i="28" s="1"/>
  <c r="S41" i="28"/>
  <c r="T41" i="28" s="1"/>
  <c r="S56" i="28"/>
  <c r="T56" i="28" s="1"/>
  <c r="S33" i="28"/>
  <c r="T33" i="28" s="1"/>
  <c r="S16" i="28"/>
  <c r="T16" i="28" s="1"/>
  <c r="S58" i="28"/>
  <c r="T58" i="28" s="1"/>
  <c r="S19" i="28"/>
  <c r="T19" i="28" s="1"/>
  <c r="S51" i="28"/>
  <c r="T51" i="28" s="1"/>
  <c r="S31" i="28"/>
  <c r="T31" i="28" s="1"/>
  <c r="S55" i="28"/>
  <c r="T55" i="28" s="1"/>
  <c r="S30" i="28"/>
  <c r="T30" i="28" s="1"/>
  <c r="S29" i="28"/>
  <c r="T29" i="28" s="1"/>
  <c r="S22" i="28"/>
  <c r="T22" i="28" s="1"/>
  <c r="S49" i="28"/>
  <c r="T49" i="28" s="1"/>
  <c r="S26" i="28"/>
  <c r="T26" i="28" s="1"/>
  <c r="S28" i="28"/>
  <c r="T28" i="28" s="1"/>
  <c r="S32" i="28"/>
  <c r="T32" i="28" s="1"/>
  <c r="S21" i="28"/>
  <c r="T21" i="28" s="1"/>
  <c r="S18" i="28"/>
  <c r="T18" i="28" s="1"/>
  <c r="S60" i="28"/>
  <c r="T60"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R129" i="32"/>
  <c r="AR131" i="32"/>
  <c r="AR117" i="32"/>
  <c r="AO78" i="32"/>
  <c r="AR78" i="32"/>
  <c r="AO140" i="32"/>
  <c r="AR140" i="32"/>
  <c r="AO77" i="32"/>
  <c r="AR77" i="32"/>
  <c r="AO37" i="32"/>
  <c r="AR37" i="32"/>
  <c r="AR76" i="32"/>
  <c r="AO76" i="32"/>
  <c r="AR42" i="32"/>
  <c r="AO42" i="32"/>
  <c r="AR36" i="32"/>
  <c r="AO36" i="32"/>
  <c r="AR92" i="32"/>
  <c r="AO39" i="32"/>
  <c r="AR39" i="32"/>
  <c r="AR115" i="32"/>
  <c r="AO52" i="32"/>
  <c r="AR52" i="32"/>
  <c r="AO55" i="32"/>
  <c r="AR55" i="32"/>
  <c r="AO143" i="32"/>
  <c r="AR143" i="32"/>
  <c r="AR22" i="32"/>
  <c r="AO22" i="32"/>
  <c r="AR99" i="32"/>
  <c r="AR41" i="32"/>
  <c r="AO41" i="32"/>
  <c r="AR34" i="32"/>
  <c r="AO34" i="32"/>
  <c r="AR121" i="32"/>
  <c r="AR118" i="32"/>
  <c r="AR96" i="32"/>
  <c r="AR109" i="32"/>
  <c r="AR125" i="32"/>
  <c r="AO63" i="32"/>
  <c r="AR63" i="32"/>
  <c r="AO82" i="32"/>
  <c r="AR82" i="32"/>
  <c r="AR81" i="32"/>
  <c r="AO81" i="32"/>
  <c r="AR128" i="32"/>
  <c r="AR103" i="32"/>
  <c r="AR11" i="32"/>
  <c r="AO11" i="32"/>
  <c r="AO21" i="32"/>
  <c r="AR21" i="32"/>
  <c r="AO51" i="32"/>
  <c r="AR51" i="32"/>
  <c r="AR98" i="32"/>
  <c r="AR126" i="32"/>
  <c r="AR120" i="32"/>
  <c r="AR5" i="32"/>
  <c r="AO5" i="32"/>
  <c r="AO4" i="32"/>
  <c r="AR4" i="32"/>
  <c r="AO134" i="32"/>
  <c r="AR134" i="32"/>
  <c r="AO35" i="32"/>
  <c r="AR35" i="32"/>
  <c r="AR119" i="32"/>
  <c r="AR94" i="32"/>
  <c r="AR116" i="32"/>
  <c r="AO64" i="32"/>
  <c r="AR64" i="32"/>
  <c r="AR91" i="32"/>
  <c r="AO73" i="32"/>
  <c r="AR73" i="32"/>
  <c r="AO46" i="32"/>
  <c r="AR46" i="32"/>
  <c r="AR130" i="32"/>
  <c r="AR19" i="32"/>
  <c r="AO19" i="32"/>
  <c r="AO88" i="32"/>
  <c r="AR88" i="32"/>
  <c r="AR111" i="32"/>
  <c r="AO48" i="32"/>
  <c r="AR48" i="32"/>
  <c r="AR17" i="32"/>
  <c r="AO17" i="32"/>
  <c r="AR110" i="32"/>
  <c r="AR135" i="32"/>
  <c r="AO135" i="32"/>
  <c r="AO70" i="32"/>
  <c r="AR70" i="32"/>
  <c r="AR108" i="32"/>
  <c r="AR45" i="32"/>
  <c r="AO45" i="32"/>
  <c r="AR122" i="32"/>
  <c r="AR44" i="32"/>
  <c r="AO44" i="32"/>
  <c r="AR139" i="32"/>
  <c r="AO139" i="32"/>
  <c r="AR100" i="32"/>
  <c r="AR113" i="32"/>
  <c r="AO14" i="32"/>
  <c r="AR14" i="32"/>
  <c r="AR133" i="32"/>
  <c r="AO137" i="32"/>
  <c r="AR137" i="32"/>
  <c r="AR86" i="32"/>
  <c r="AO86" i="32"/>
  <c r="AO13" i="32"/>
  <c r="AR13" i="32"/>
  <c r="AO27" i="32"/>
  <c r="AR27" i="32"/>
  <c r="AR58" i="32"/>
  <c r="AO58" i="32"/>
  <c r="AR104" i="32"/>
  <c r="AO23" i="32"/>
  <c r="AR23" i="32"/>
  <c r="AO56" i="32"/>
  <c r="AR56" i="32"/>
  <c r="AR145" i="32"/>
  <c r="AO145" i="32"/>
  <c r="AO32" i="32"/>
  <c r="AR32" i="32"/>
  <c r="AR97" i="32"/>
  <c r="AO68" i="32"/>
  <c r="AR68" i="32"/>
  <c r="AO60" i="32"/>
  <c r="AR60" i="32"/>
  <c r="AR12" i="32"/>
  <c r="AO12" i="32"/>
  <c r="AR89" i="32"/>
  <c r="AO89" i="32"/>
  <c r="AR83" i="32"/>
  <c r="AO83" i="32"/>
  <c r="AO65" i="32"/>
  <c r="AR65" i="32"/>
  <c r="AR61" i="32"/>
  <c r="AO61" i="32"/>
  <c r="AO141" i="32"/>
  <c r="AR141" i="32"/>
  <c r="AO57" i="32"/>
  <c r="AR57" i="32"/>
  <c r="AR84" i="32"/>
  <c r="AO84" i="32"/>
  <c r="AO146" i="32"/>
  <c r="AR146" i="32"/>
  <c r="AO69" i="32"/>
  <c r="AR69" i="32"/>
  <c r="AR114" i="32"/>
  <c r="AR124" i="32"/>
  <c r="AR47" i="32"/>
  <c r="AO47" i="32"/>
  <c r="AR85" i="32"/>
  <c r="AO85" i="32"/>
  <c r="AR10" i="32"/>
  <c r="AO10" i="32"/>
  <c r="AR136" i="32"/>
  <c r="AO136" i="32"/>
  <c r="AO38" i="32"/>
  <c r="AR38" i="32"/>
  <c r="AR127" i="32"/>
  <c r="AR107" i="32"/>
  <c r="AR101" i="32"/>
  <c r="AR105" i="32"/>
  <c r="AR31" i="32"/>
  <c r="AO31" i="32"/>
  <c r="AO3" i="32"/>
  <c r="AR3" i="32"/>
  <c r="AO43" i="32"/>
  <c r="AR43" i="32"/>
  <c r="AR102" i="32"/>
  <c r="AR132" i="32"/>
  <c r="AO40" i="32"/>
  <c r="AR40" i="32"/>
  <c r="AR67" i="32"/>
  <c r="AO67" i="32"/>
  <c r="AR59" i="32"/>
  <c r="AO59" i="32"/>
  <c r="AO144" i="32"/>
  <c r="AR144" i="32"/>
  <c r="AO6" i="32"/>
  <c r="AR6" i="32"/>
  <c r="AR28" i="32"/>
  <c r="AO28" i="32"/>
  <c r="AO142" i="32"/>
  <c r="AR142" i="32"/>
  <c r="AR29" i="32"/>
  <c r="AO29" i="32"/>
  <c r="AR50" i="32"/>
  <c r="AO50" i="32"/>
  <c r="AO71" i="32"/>
  <c r="AR71" i="32"/>
  <c r="AO80" i="32"/>
  <c r="AR80" i="32"/>
  <c r="AO53" i="32"/>
  <c r="AR53" i="32"/>
  <c r="AO87" i="32"/>
  <c r="AR87" i="32"/>
  <c r="AR7" i="32"/>
  <c r="AO7" i="32"/>
  <c r="AO75" i="32"/>
  <c r="AR75" i="32"/>
  <c r="AR72" i="32"/>
  <c r="AO72" i="32"/>
  <c r="AR30" i="32"/>
  <c r="AO30" i="32"/>
  <c r="AO33" i="32"/>
  <c r="AR33" i="32"/>
  <c r="AR138" i="32"/>
  <c r="AO138" i="32"/>
  <c r="AR25" i="32"/>
  <c r="AO25" i="32"/>
  <c r="AR18" i="32"/>
  <c r="AO18" i="32"/>
  <c r="AR54" i="32"/>
  <c r="AO54" i="32"/>
  <c r="AR9" i="32"/>
  <c r="AO9" i="32"/>
  <c r="AR20" i="32"/>
  <c r="AO20" i="32"/>
  <c r="AR66" i="32"/>
  <c r="AO66" i="32"/>
  <c r="AR62" i="32"/>
  <c r="AO62" i="32"/>
  <c r="AR90" i="32"/>
  <c r="AO90" i="32"/>
  <c r="AR26" i="32"/>
  <c r="AO26" i="32"/>
  <c r="AR16" i="32"/>
  <c r="AO16" i="32"/>
  <c r="AR15" i="32"/>
  <c r="AO15" i="32"/>
  <c r="AR95" i="32"/>
  <c r="AR79" i="32"/>
  <c r="AO79" i="32"/>
  <c r="AO8" i="32"/>
  <c r="AR8" i="32"/>
  <c r="AR106" i="32"/>
  <c r="AO49" i="32"/>
  <c r="AR49" i="32"/>
  <c r="AR93" i="32"/>
  <c r="AR112" i="32"/>
  <c r="AR74" i="32"/>
  <c r="AO74" i="32"/>
  <c r="AO24" i="32"/>
  <c r="AR24" i="32"/>
  <c r="AR123" i="32"/>
</calcChain>
</file>

<file path=xl/sharedStrings.xml><?xml version="1.0" encoding="utf-8"?>
<sst xmlns="http://schemas.openxmlformats.org/spreadsheetml/2006/main" count="7315" uniqueCount="4039">
  <si>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</si>
  <si>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</si>
  <si>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</si>
  <si>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</si>
  <si>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</si>
  <si>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</si>
  <si>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</si>
  <si>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</si>
  <si>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</si>
  <si>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</si>
  <si>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</si>
  <si>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</si>
  <si>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</si>
  <si>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</si>
  <si>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</si>
  <si>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</si>
  <si>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</si>
  <si>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</si>
  <si>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</si>
  <si>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</si>
  <si>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</si>
  <si>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</si>
  <si>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</si>
  <si>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</si>
  <si>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</si>
  <si>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</si>
  <si>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</si>
  <si>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</si>
  <si>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</si>
  <si>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</si>
  <si>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</si>
  <si>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</si>
  <si>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</si>
  <si>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</si>
  <si>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</si>
  <si>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</si>
  <si>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</si>
  <si>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</si>
  <si>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</si>
  <si>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</si>
  <si>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</si>
  <si>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</si>
  <si>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</si>
  <si>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</si>
  <si>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</si>
  <si>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</si>
  <si>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</si>
  <si>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</si>
  <si>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</si>
  <si>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</si>
  <si>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</si>
  <si>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</si>
  <si>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</si>
  <si>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</si>
  <si>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</si>
  <si>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</si>
  <si>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</si>
  <si>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</si>
  <si>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</si>
  <si>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</si>
  <si>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</si>
  <si>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</si>
  <si>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</si>
  <si>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</si>
  <si>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</si>
  <si>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</si>
  <si>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</si>
  <si>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</si>
  <si>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</si>
  <si>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</si>
  <si>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</si>
  <si>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</si>
  <si>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</si>
  <si>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</si>
  <si>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</si>
  <si>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</si>
  <si>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</si>
  <si>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</si>
  <si>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</si>
  <si>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</si>
  <si>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</si>
  <si>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</si>
  <si>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</si>
  <si>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</si>
  <si>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</si>
  <si>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</si>
  <si>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</si>
  <si>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</si>
  <si>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</si>
  <si>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</si>
  <si>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</si>
  <si>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</si>
  <si>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</si>
  <si>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</si>
  <si>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</si>
  <si>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</si>
  <si>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</si>
  <si>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</si>
  <si>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</si>
  <si>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</si>
  <si>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</si>
  <si>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</si>
  <si>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</si>
  <si>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</si>
  <si>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</si>
  <si>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</si>
  <si>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</si>
  <si>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</si>
  <si>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</si>
  <si>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</si>
  <si>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</si>
  <si>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</si>
  <si>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</si>
  <si>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</si>
  <si>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</si>
  <si>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</si>
  <si>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</si>
  <si>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</si>
  <si>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</si>
  <si>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</si>
  <si>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</si>
  <si>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</si>
  <si>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</si>
  <si>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</si>
  <si>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</si>
  <si>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</si>
  <si>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</si>
  <si>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</si>
  <si>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</si>
  <si>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</si>
  <si>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</si>
  <si>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</si>
  <si>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</si>
  <si>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</si>
  <si>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</si>
  <si>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</si>
  <si>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</si>
  <si>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</si>
  <si>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</si>
  <si>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</si>
  <si>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</si>
  <si>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</si>
  <si>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</si>
  <si>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</si>
  <si>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</si>
  <si>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</si>
  <si>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</si>
  <si>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</si>
  <si>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</si>
  <si>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</si>
  <si>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</si>
  <si>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</si>
  <si>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</si>
  <si>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</si>
  <si>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</si>
  <si>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</si>
  <si>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</si>
  <si>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</si>
  <si>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</si>
  <si>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</si>
  <si>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</si>
  <si>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</si>
  <si>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</si>
  <si>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</si>
  <si>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</si>
  <si>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</si>
  <si>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</si>
  <si>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</si>
  <si>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</si>
  <si>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</si>
  <si>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</si>
  <si>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</si>
  <si>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</si>
  <si>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</si>
  <si>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</si>
  <si>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</si>
  <si>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</si>
  <si>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</si>
  <si>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</si>
  <si>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</si>
  <si>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</si>
  <si>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</si>
  <si>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</si>
  <si>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</si>
  <si>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</si>
  <si>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</si>
  <si>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</si>
  <si>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</si>
  <si>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</si>
  <si>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</si>
  <si>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</si>
  <si>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</si>
  <si>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</si>
  <si>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</si>
  <si>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</si>
  <si>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</si>
  <si>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</si>
  <si>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</si>
  <si>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</si>
  <si>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</si>
  <si>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</si>
  <si>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</si>
  <si>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</si>
  <si>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</si>
  <si>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</si>
  <si>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</si>
  <si>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</si>
  <si>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</si>
  <si>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</si>
  <si>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</si>
  <si>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</si>
  <si>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</si>
  <si>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</si>
  <si>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</si>
  <si>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</si>
  <si>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</si>
  <si>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</si>
  <si>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</si>
  <si>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</si>
  <si>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</si>
  <si>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</si>
  <si>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</si>
  <si>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</si>
  <si>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</si>
  <si>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</si>
  <si>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</si>
  <si>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</si>
  <si>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</si>
  <si>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</si>
  <si>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</si>
  <si>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</si>
  <si>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</si>
  <si>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</si>
  <si>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</si>
  <si>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</si>
  <si>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</si>
  <si>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</si>
  <si>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</si>
  <si>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</si>
  <si>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</si>
  <si>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</si>
  <si>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</si>
  <si>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</si>
  <si>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</si>
  <si>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</si>
  <si>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</si>
  <si>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</si>
  <si>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</si>
  <si>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</si>
  <si>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</si>
  <si>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</si>
  <si>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</si>
  <si>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</si>
  <si>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</si>
  <si>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</si>
  <si>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</si>
  <si>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</si>
  <si>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</si>
  <si>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</si>
  <si>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</si>
  <si>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</si>
  <si>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</si>
  <si>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</si>
  <si>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</si>
  <si>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</si>
  <si>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</si>
  <si>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</si>
  <si>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</si>
  <si>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</si>
  <si>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</si>
  <si>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</si>
  <si>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</si>
  <si>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</si>
  <si>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</si>
  <si>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</si>
  <si>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</si>
  <si>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</si>
  <si>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</si>
  <si>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</si>
  <si>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</si>
  <si>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</si>
  <si>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</si>
  <si>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</si>
  <si>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</si>
  <si>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</si>
  <si>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</si>
  <si>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</si>
  <si>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</si>
  <si>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</si>
  <si>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</si>
  <si>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</si>
  <si>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</si>
  <si>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</si>
  <si>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</si>
  <si>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</si>
  <si>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</si>
  <si>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</si>
  <si>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</si>
  <si>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</si>
  <si>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</si>
  <si>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</si>
  <si>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</si>
  <si>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</si>
  <si>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</si>
  <si>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</si>
  <si>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</si>
  <si>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</si>
  <si>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</si>
  <si>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</si>
  <si>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</si>
  <si>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</si>
  <si>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</si>
  <si>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</si>
  <si>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</si>
  <si>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</si>
  <si>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</si>
  <si>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</si>
  <si>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</si>
  <si>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</si>
  <si>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</si>
  <si>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</si>
  <si>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</si>
  <si>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</si>
  <si>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</si>
  <si>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</si>
  <si>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</si>
  <si>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</si>
  <si>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</si>
  <si>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</si>
  <si>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</si>
  <si>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</si>
  <si>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</si>
  <si>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</si>
  <si>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</si>
  <si>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</si>
  <si>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</si>
  <si>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</si>
  <si>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</si>
  <si>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</si>
  <si>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</si>
  <si>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</si>
  <si>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</si>
  <si>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</si>
  <si>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</si>
  <si>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</si>
  <si>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</si>
  <si>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</si>
  <si>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</si>
  <si>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</si>
  <si>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</si>
  <si>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</si>
  <si>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</si>
  <si>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</si>
  <si>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</si>
  <si>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</si>
  <si>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</si>
  <si>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</si>
  <si>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</si>
  <si>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</si>
  <si>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</si>
  <si>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</si>
  <si>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</si>
  <si>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</si>
  <si>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</si>
  <si>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</si>
  <si>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</si>
  <si>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</si>
  <si>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</si>
  <si>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</si>
  <si>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</si>
  <si>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</si>
  <si>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</si>
  <si>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</si>
  <si>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</si>
  <si>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</si>
  <si>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</si>
  <si>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</si>
  <si>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</si>
  <si>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</si>
  <si>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</si>
  <si>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</si>
  <si>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</si>
  <si>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</si>
  <si>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</si>
  <si>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</si>
  <si>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</si>
  <si>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</si>
  <si>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</si>
  <si>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</si>
  <si>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</si>
  <si>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</si>
  <si>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</si>
  <si>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</si>
  <si>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</si>
  <si>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</si>
  <si>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</si>
  <si>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</si>
  <si>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</si>
  <si>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</si>
  <si>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</si>
  <si>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</si>
  <si>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</si>
  <si>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</si>
  <si>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</si>
  <si>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</si>
  <si>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</si>
  <si>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</si>
  <si>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</si>
  <si>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</si>
  <si>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</si>
  <si>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</si>
  <si>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</si>
  <si>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</si>
  <si>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</si>
  <si>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</si>
  <si>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</si>
  <si>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</si>
  <si>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</si>
  <si>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</si>
  <si>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</si>
  <si>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</si>
  <si>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</si>
  <si>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</si>
  <si>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</si>
  <si>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</si>
  <si>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</si>
  <si>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</si>
  <si>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</si>
  <si>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</si>
  <si>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</si>
  <si>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</si>
  <si>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</si>
  <si>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</si>
  <si>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</si>
  <si>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</si>
  <si>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</si>
  <si>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</si>
  <si>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</si>
  <si>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</si>
  <si>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</si>
  <si>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</si>
  <si>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</si>
  <si>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</si>
  <si>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</si>
  <si>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</si>
  <si>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</si>
  <si>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</si>
  <si>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</si>
  <si>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</si>
  <si>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</si>
  <si>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</si>
  <si>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</si>
  <si>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</si>
  <si>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</si>
  <si>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</si>
  <si>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</si>
  <si>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</si>
  <si>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</si>
  <si>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</si>
  <si>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</si>
  <si>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</si>
  <si>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</si>
  <si>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</si>
  <si>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</si>
  <si>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</si>
  <si>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</si>
  <si>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</si>
  <si>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</si>
  <si>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</si>
  <si>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</si>
  <si>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</si>
  <si>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</si>
  <si>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</si>
  <si>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</si>
  <si>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</si>
  <si>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</si>
  <si>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</si>
  <si>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</si>
  <si>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</si>
  <si>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</si>
  <si>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</si>
  <si>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</si>
  <si>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</si>
  <si>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</si>
  <si>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</si>
  <si>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</si>
  <si>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</si>
  <si>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</si>
  <si>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</si>
  <si>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</si>
  <si>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</si>
  <si>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</si>
  <si>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</si>
  <si>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</si>
  <si>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</si>
  <si>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</si>
  <si>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</si>
  <si>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</si>
  <si>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</si>
  <si>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</si>
  <si>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</si>
  <si>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</si>
  <si>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</si>
  <si>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</si>
  <si>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</si>
  <si>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</si>
  <si>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</si>
  <si>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</si>
  <si>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</si>
  <si>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</si>
  <si>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</si>
  <si>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</si>
  <si>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</si>
  <si>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</si>
  <si>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</si>
  <si>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</si>
  <si>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</si>
  <si>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</si>
  <si>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</si>
  <si>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</si>
  <si>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</si>
  <si>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</si>
  <si>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</si>
  <si>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</si>
  <si>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</si>
  <si>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</si>
  <si>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</si>
  <si>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</si>
  <si>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</si>
  <si>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</si>
  <si>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</si>
  <si>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</si>
  <si>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</si>
  <si>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</si>
  <si>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</si>
  <si>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</si>
  <si>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</si>
  <si>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</si>
  <si>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</si>
  <si>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</si>
  <si>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</si>
  <si>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</si>
  <si>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</si>
  <si>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</si>
  <si>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</si>
  <si>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</si>
  <si>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</si>
  <si>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</si>
  <si>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</si>
  <si>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</si>
  <si>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</si>
  <si>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</si>
  <si>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</si>
  <si>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</si>
  <si>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</si>
  <si>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</si>
  <si>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</si>
  <si>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</si>
  <si>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</si>
  <si>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</si>
  <si>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</si>
  <si>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</si>
  <si>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</si>
  <si>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</si>
  <si>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</si>
  <si>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</si>
  <si>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</si>
  <si>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</si>
  <si>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</si>
  <si>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</si>
  <si>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</si>
  <si>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</si>
  <si>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</si>
  <si>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</si>
  <si>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</si>
  <si>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</si>
  <si>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</si>
  <si>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</si>
  <si>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</si>
  <si>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</si>
  <si>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</si>
  <si>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</si>
  <si>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</si>
  <si>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</si>
  <si>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</si>
  <si>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</si>
  <si>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</si>
  <si>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</si>
  <si>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</si>
  <si>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</si>
  <si>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</si>
  <si>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</si>
  <si>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</si>
  <si>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</si>
  <si>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</si>
  <si>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</si>
  <si>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</si>
  <si>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</si>
  <si>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</si>
  <si>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</si>
  <si>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</si>
  <si>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</si>
  <si>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</si>
  <si>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</si>
  <si>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</si>
  <si>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</si>
  <si>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</si>
  <si>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</si>
  <si>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</si>
  <si>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</si>
  <si>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</si>
  <si>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</si>
  <si>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</si>
  <si>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</si>
  <si>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</si>
  <si>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</si>
  <si>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</si>
  <si>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</si>
  <si>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</si>
  <si>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</si>
  <si>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</si>
  <si>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</si>
  <si>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</si>
  <si>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</si>
  <si>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</si>
  <si>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</si>
  <si>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</si>
  <si>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</si>
  <si>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</si>
  <si>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</si>
  <si>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</si>
  <si>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</si>
  <si>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</si>
  <si>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</si>
  <si>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</si>
  <si>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</si>
  <si>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</si>
  <si>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</si>
  <si>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</si>
  <si>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</si>
  <si>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</si>
  <si>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</si>
  <si>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</si>
  <si>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</si>
  <si>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</si>
  <si>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</si>
  <si>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</si>
  <si>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</si>
  <si>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</si>
  <si>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</si>
  <si>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</si>
  <si>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</si>
  <si>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</si>
  <si>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</si>
  <si>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</si>
  <si>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</si>
  <si>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</si>
  <si>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</si>
  <si>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</si>
  <si>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</si>
  <si>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</si>
  <si>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</si>
  <si>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</si>
  <si>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</si>
  <si>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</si>
  <si>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</si>
  <si>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</si>
  <si>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</si>
  <si>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</si>
  <si>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</si>
  <si>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</si>
  <si>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</si>
  <si>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</si>
  <si>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</si>
  <si>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</si>
  <si>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</si>
  <si>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</si>
  <si>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</si>
  <si>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</si>
  <si>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</si>
  <si>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</si>
  <si>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</si>
  <si>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</si>
  <si>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</si>
  <si>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</si>
  <si>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</si>
  <si>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</si>
  <si>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</si>
  <si>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</si>
  <si>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</si>
  <si>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</si>
  <si>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</si>
  <si>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</si>
  <si>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</si>
  <si>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</si>
  <si>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</si>
  <si>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</si>
  <si>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</si>
  <si>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</si>
  <si>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</si>
  <si>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</si>
  <si>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</si>
  <si>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</si>
  <si>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</si>
  <si>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</si>
  <si>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</si>
  <si>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</si>
  <si>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</si>
  <si>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</si>
  <si>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</si>
  <si>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</si>
  <si>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</si>
  <si>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</si>
  <si>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</si>
  <si>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</si>
  <si>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</si>
  <si>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</si>
  <si>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</si>
  <si>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</si>
  <si>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</si>
  <si>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</si>
  <si>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</si>
  <si>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</si>
  <si>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</si>
  <si>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</si>
  <si>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</si>
  <si>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</si>
  <si>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</si>
  <si>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</si>
  <si>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</si>
  <si>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</si>
  <si>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</si>
  <si>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</si>
  <si>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</si>
  <si>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</si>
  <si>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</si>
  <si>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</si>
  <si>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</si>
  <si>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</si>
  <si>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</si>
  <si>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</si>
  <si>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</si>
  <si>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</si>
  <si>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</si>
  <si>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</si>
  <si>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</si>
  <si>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</si>
  <si>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</si>
  <si>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</si>
  <si>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</si>
  <si>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</si>
  <si>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</si>
  <si>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</si>
  <si>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</si>
  <si>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</si>
  <si>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</si>
  <si>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</si>
  <si>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</si>
  <si>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</si>
  <si>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</si>
  <si>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</si>
  <si>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</si>
  <si>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</si>
  <si>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</si>
  <si>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</si>
  <si>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</si>
  <si>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</si>
  <si>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</si>
  <si>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</si>
  <si>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</si>
  <si>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</si>
  <si>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</si>
  <si>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</si>
  <si>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</si>
  <si>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</si>
  <si>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</si>
  <si>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</si>
  <si>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</si>
  <si>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</si>
  <si>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</si>
  <si>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</si>
  <si>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</si>
  <si>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</si>
  <si>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</si>
  <si>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</si>
  <si>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</si>
  <si>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</si>
  <si>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</si>
  <si>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</si>
  <si>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</si>
  <si>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</si>
  <si>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</si>
  <si>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</si>
  <si>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</si>
  <si>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</si>
  <si>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</si>
  <si>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</si>
  <si>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</si>
  <si>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</si>
  <si>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</si>
  <si>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</si>
  <si>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</si>
  <si>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</si>
  <si>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</si>
  <si>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</si>
  <si>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</si>
  <si>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</si>
  <si>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</si>
  <si>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</si>
  <si>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</si>
  <si>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</si>
  <si>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</si>
  <si>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</si>
  <si>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</si>
  <si>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</si>
  <si>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</si>
  <si>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</si>
  <si>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</si>
  <si>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</si>
  <si>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</si>
  <si>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</si>
  <si>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</si>
  <si>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</si>
  <si>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</si>
  <si>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</si>
  <si>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</si>
  <si>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</si>
  <si>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</si>
  <si>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</si>
  <si>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</si>
  <si>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</si>
  <si>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</si>
  <si>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</si>
  <si>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</si>
  <si>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</si>
  <si>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</si>
  <si>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</si>
  <si>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</si>
  <si>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</si>
  <si>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</si>
  <si>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</si>
  <si>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</si>
  <si>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</si>
  <si>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</si>
  <si>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</si>
  <si>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</si>
  <si>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</si>
  <si>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</si>
  <si>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</si>
  <si>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</si>
  <si>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</si>
  <si>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</si>
  <si>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</si>
  <si>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</si>
  <si>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</si>
  <si>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</si>
  <si>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</si>
  <si>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</si>
  <si>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</si>
  <si>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</si>
  <si>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</si>
  <si>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</si>
  <si>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</si>
  <si>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</si>
  <si>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</si>
  <si>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</si>
  <si>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</si>
  <si>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</si>
  <si>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</si>
  <si>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</si>
  <si>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</si>
  <si>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</si>
  <si>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</si>
  <si>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</si>
  <si>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</si>
  <si>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</si>
  <si>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</si>
  <si>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</si>
  <si>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</si>
  <si>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</si>
  <si>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</si>
  <si>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</si>
  <si>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</si>
  <si>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</si>
  <si>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</si>
  <si>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</si>
  <si>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</si>
  <si>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</si>
  <si>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</si>
  <si>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</si>
  <si>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</si>
  <si>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</si>
  <si>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</si>
  <si>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</si>
  <si>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</si>
  <si>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</si>
  <si>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</si>
  <si>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</si>
  <si>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</si>
  <si>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</si>
  <si>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</si>
  <si>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</si>
  <si>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</si>
  <si>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</si>
  <si>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</si>
  <si>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</si>
  <si>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</si>
  <si>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</si>
  <si>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</si>
  <si>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</si>
  <si>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</si>
  <si>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</si>
  <si>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</si>
  <si>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</si>
  <si>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</si>
  <si>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</si>
  <si>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</si>
  <si>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</si>
  <si>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</si>
  <si>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</si>
  <si>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</si>
  <si>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</si>
  <si>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</si>
  <si>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</si>
  <si>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</si>
  <si>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</si>
  <si>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</si>
  <si>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</si>
  <si>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</si>
  <si>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</si>
  <si>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</si>
  <si>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</si>
  <si>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</si>
  <si>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</si>
  <si>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</si>
  <si>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</si>
  <si>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</si>
  <si>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</si>
  <si>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</si>
  <si>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</si>
  <si>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</si>
  <si>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</si>
  <si>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</si>
  <si>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</si>
  <si>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</si>
  <si>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</si>
  <si>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</si>
  <si>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</si>
  <si>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</si>
  <si>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</si>
  <si>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</si>
  <si>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</si>
  <si>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</si>
  <si>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</si>
  <si>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</si>
  <si>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</si>
  <si>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</si>
  <si>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</si>
  <si>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</si>
  <si>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</si>
  <si>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</si>
  <si>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</si>
  <si>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</si>
  <si>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</si>
  <si>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</si>
  <si>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</si>
  <si>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</si>
  <si>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</si>
  <si>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</si>
  <si>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</si>
  <si>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</si>
  <si>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</si>
  <si>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</si>
  <si>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</si>
  <si>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</si>
  <si>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</si>
  <si>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</si>
  <si>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</si>
  <si>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</si>
  <si>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</si>
  <si>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</si>
  <si>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</si>
  <si>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</si>
  <si>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</si>
  <si>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</si>
  <si>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</si>
  <si>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</si>
  <si>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</si>
  <si>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</si>
  <si>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</si>
  <si>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</si>
  <si>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</si>
  <si>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</si>
  <si>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</si>
  <si>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</si>
  <si>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</si>
  <si>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</si>
  <si>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</si>
  <si>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</si>
  <si>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</si>
  <si>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</si>
  <si>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</si>
  <si>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</si>
  <si>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</si>
  <si>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</si>
  <si>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</si>
  <si>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</si>
  <si>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</si>
  <si>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</si>
  <si>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</si>
  <si>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</si>
  <si>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</si>
  <si>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</si>
  <si>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</si>
  <si>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</si>
  <si>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</si>
  <si>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</si>
  <si>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</si>
  <si>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</si>
  <si>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</si>
  <si>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</si>
  <si>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</si>
  <si>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</si>
  <si>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</si>
  <si>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</si>
  <si>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</si>
  <si>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</si>
  <si>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</si>
  <si>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</si>
  <si>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</si>
  <si>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</si>
  <si>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</si>
  <si>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</si>
  <si>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</si>
  <si>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</si>
  <si>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</si>
  <si>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</si>
  <si>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</si>
  <si>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</si>
  <si>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</si>
  <si>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</si>
  <si>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</si>
  <si>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</si>
  <si>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</si>
  <si>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</si>
  <si>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</si>
  <si>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</si>
  <si>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</si>
  <si>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</si>
  <si>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</si>
  <si>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</si>
  <si>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</si>
  <si>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</si>
  <si>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</si>
  <si>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</si>
  <si>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</si>
  <si>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</si>
  <si>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</si>
  <si>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</si>
  <si>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</si>
  <si>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</si>
  <si>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</si>
  <si>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</si>
  <si>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</si>
  <si>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</si>
  <si>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</si>
  <si>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</si>
  <si>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</si>
  <si>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</si>
  <si>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</si>
  <si>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</si>
  <si>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</si>
  <si>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</si>
  <si>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</si>
  <si>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</si>
  <si>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</si>
  <si>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</si>
  <si>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</si>
  <si>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</si>
  <si>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</si>
  <si>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</si>
  <si>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</si>
  <si>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</si>
  <si>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</si>
  <si>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</si>
  <si>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</si>
  <si>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</si>
  <si>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</si>
  <si>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</si>
  <si>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</si>
  <si>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</si>
  <si>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</si>
  <si>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</si>
  <si>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</si>
  <si>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</si>
  <si>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</si>
  <si>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</si>
  <si>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</si>
  <si>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</si>
  <si>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</si>
  <si>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</si>
  <si>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</si>
  <si>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</si>
  <si>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</si>
  <si>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</si>
  <si>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</si>
  <si>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</si>
  <si>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</si>
  <si>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</si>
  <si>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</si>
  <si>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</si>
  <si>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</si>
  <si>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</si>
  <si>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</si>
  <si>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</si>
  <si>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</si>
  <si>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</si>
  <si>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</si>
  <si>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</si>
  <si>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</si>
  <si>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</si>
  <si>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</si>
  <si>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</si>
  <si>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</si>
  <si>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</si>
  <si>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</si>
  <si>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</si>
  <si>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</si>
  <si>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</si>
  <si>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</si>
  <si>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</si>
  <si>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</si>
  <si>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</si>
  <si>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</si>
  <si>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</si>
  <si>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</si>
  <si>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</si>
  <si>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</si>
  <si>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</si>
  <si>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</si>
  <si>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</si>
  <si>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</si>
  <si>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</si>
  <si>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</si>
  <si>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</si>
  <si>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</si>
  <si>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</si>
  <si>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</si>
  <si>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</si>
  <si>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</si>
  <si>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</si>
  <si>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</si>
  <si>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</si>
  <si>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</si>
  <si>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</si>
  <si>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</si>
  <si>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</si>
  <si>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</si>
  <si>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</si>
  <si>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</si>
  <si>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</si>
  <si>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</si>
  <si>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</si>
  <si>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</si>
  <si>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</si>
  <si>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</si>
  <si>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</si>
  <si>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</si>
  <si>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</si>
  <si>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</si>
  <si>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</si>
  <si>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</si>
  <si>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</si>
  <si>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</si>
  <si>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</si>
  <si>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</si>
  <si>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</si>
  <si>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</si>
  <si>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</si>
  <si>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</si>
  <si>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</si>
  <si>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</si>
  <si>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</si>
  <si>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</si>
  <si>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</si>
  <si>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</si>
  <si>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</si>
  <si>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</si>
  <si>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</si>
  <si>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</si>
  <si>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</si>
  <si>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</si>
  <si>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</si>
  <si>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</si>
  <si>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</si>
  <si>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</si>
  <si>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</si>
  <si>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</si>
  <si>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</si>
  <si>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</si>
  <si>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</si>
  <si>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</si>
  <si>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</si>
  <si>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</si>
  <si>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</si>
  <si>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</si>
  <si>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</si>
  <si>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</si>
  <si>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</si>
  <si>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</si>
  <si>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</si>
  <si>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</si>
  <si>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</si>
  <si>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</si>
  <si>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</si>
  <si>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</si>
  <si>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</si>
  <si>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</si>
  <si>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</si>
  <si>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</si>
  <si>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</si>
  <si>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</si>
  <si>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</si>
  <si>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</si>
  <si>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</si>
  <si>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</si>
  <si>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</si>
  <si>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</si>
  <si>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</si>
  <si>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</si>
  <si>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</si>
  <si>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</si>
  <si>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</si>
  <si>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</si>
  <si>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</si>
  <si>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</si>
  <si>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</si>
  <si>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</si>
  <si>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</si>
  <si>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</si>
  <si>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</si>
  <si>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</si>
  <si>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</si>
  <si>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</si>
  <si>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</si>
  <si>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</si>
  <si>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</si>
  <si>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</si>
  <si>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</si>
  <si>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</si>
  <si>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</si>
  <si>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</si>
  <si>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</si>
  <si>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</si>
  <si>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</si>
  <si>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</si>
  <si>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</si>
  <si>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</si>
  <si>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</si>
  <si>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</si>
  <si>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</si>
  <si>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</si>
  <si>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</si>
  <si>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</si>
  <si>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</si>
  <si>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</si>
  <si>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</si>
  <si>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</si>
  <si>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</si>
  <si>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</si>
  <si>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</si>
  <si>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</si>
  <si>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</si>
  <si>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</si>
  <si>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</si>
  <si>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</si>
  <si>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</si>
  <si>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</si>
  <si>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</si>
  <si>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</si>
  <si>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</si>
  <si>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</si>
  <si>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</si>
  <si>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</si>
  <si>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</si>
  <si>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</si>
  <si>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</si>
  <si>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</si>
  <si>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</si>
  <si>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</si>
  <si>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</si>
  <si>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</si>
  <si>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</si>
  <si>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</si>
  <si>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</si>
  <si>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</si>
  <si>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</si>
  <si>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</si>
  <si>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</si>
  <si>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</si>
  <si>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</si>
  <si>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</si>
  <si>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</si>
  <si>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</si>
  <si>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</si>
  <si>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</si>
  <si>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</si>
  <si>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</si>
  <si>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</si>
  <si>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</si>
  <si>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</si>
  <si>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</si>
  <si>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</si>
  <si>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</si>
  <si>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</si>
  <si>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</si>
  <si>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</si>
  <si>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</si>
  <si>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</si>
  <si>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</si>
  <si>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</si>
  <si>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</si>
  <si>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</si>
  <si>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</si>
  <si>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</si>
  <si>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</si>
  <si>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</si>
  <si>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</si>
  <si>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</si>
  <si>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</si>
  <si>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</si>
  <si>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</si>
  <si>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</si>
  <si>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</si>
  <si>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</si>
  <si>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</si>
  <si>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</si>
  <si>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</si>
  <si>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</si>
  <si>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</si>
  <si>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</si>
  <si>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</si>
  <si>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</si>
  <si>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</si>
  <si>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</si>
  <si>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</si>
  <si>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</si>
  <si>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</si>
  <si>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</si>
  <si>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</si>
  <si>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</si>
  <si>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</si>
  <si>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</si>
  <si>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</si>
  <si>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</si>
  <si>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</si>
  <si>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</si>
  <si>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</si>
  <si>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</si>
  <si>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</si>
  <si>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</si>
  <si>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</si>
  <si>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</si>
  <si>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</si>
  <si>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</si>
  <si>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</si>
  <si>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</si>
  <si>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</si>
  <si>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</si>
  <si>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</si>
  <si>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</si>
  <si>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</si>
  <si>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</si>
  <si>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</si>
  <si>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</si>
  <si>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</si>
  <si>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</si>
  <si>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</si>
  <si>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</si>
  <si>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</si>
  <si>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</si>
  <si>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</si>
  <si>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</si>
  <si>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</si>
  <si>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</si>
  <si>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</si>
  <si>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</si>
  <si>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</si>
  <si>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</si>
  <si>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</si>
  <si>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</si>
  <si>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</si>
  <si>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</si>
  <si>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</si>
  <si>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</si>
  <si>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</si>
  <si>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</si>
  <si>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</si>
  <si>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</si>
  <si>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</si>
  <si>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</si>
  <si>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</si>
  <si>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</si>
  <si>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</si>
  <si>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</si>
  <si>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</si>
  <si>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</si>
  <si>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</si>
  <si>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</si>
  <si>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</si>
  <si>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</si>
  <si>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</si>
  <si>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</si>
  <si>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</si>
  <si>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</si>
  <si>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</si>
  <si>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</si>
  <si>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</si>
  <si>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</si>
  <si>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</si>
  <si>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</si>
  <si>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</si>
  <si>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</si>
  <si>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</si>
  <si>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</si>
  <si>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</si>
  <si>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</si>
  <si>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</si>
  <si>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</si>
  <si>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</si>
  <si>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</si>
  <si>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</si>
  <si>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</si>
  <si>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</si>
  <si>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</si>
  <si>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</si>
  <si>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</si>
  <si>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</si>
  <si>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</si>
  <si>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</si>
  <si>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</si>
  <si>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</si>
  <si>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</si>
  <si>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</si>
  <si>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</si>
  <si>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</si>
  <si>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</si>
  <si>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</si>
  <si>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</si>
  <si>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</si>
  <si>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</si>
  <si>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</si>
  <si>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</si>
  <si>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</si>
  <si>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</si>
  <si>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</si>
  <si>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</si>
  <si>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</si>
  <si>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</si>
  <si>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</si>
  <si>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</si>
  <si>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</si>
  <si>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</si>
  <si>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</si>
  <si>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</si>
  <si>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</si>
  <si>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</si>
  <si>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</si>
  <si>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</si>
  <si>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</si>
  <si>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</si>
  <si>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</si>
  <si>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</si>
  <si>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</si>
  <si>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</si>
  <si>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</si>
  <si>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</si>
  <si>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</si>
  <si>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</si>
  <si>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</si>
  <si>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</si>
  <si>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</si>
  <si>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</si>
  <si>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</si>
  <si>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</si>
  <si>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</si>
  <si>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</si>
  <si>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</si>
  <si>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</si>
  <si>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</si>
  <si>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</si>
  <si>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</si>
  <si>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</si>
  <si>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</si>
  <si>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</si>
  <si>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</si>
  <si>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</si>
  <si>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</si>
  <si>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</si>
  <si>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</si>
  <si>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</si>
  <si>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</si>
  <si>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</si>
  <si>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</si>
  <si>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</si>
  <si>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</si>
  <si>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</si>
  <si>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</si>
  <si>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</si>
  <si>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</si>
  <si>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</si>
  <si>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</si>
  <si>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</si>
  <si>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</si>
  <si>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</si>
  <si>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</si>
  <si>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</si>
  <si>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</si>
  <si>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</si>
  <si>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</si>
  <si>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</si>
  <si>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</si>
  <si>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</si>
  <si>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</si>
  <si>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</si>
  <si>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</si>
  <si>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</si>
  <si>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</si>
  <si>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</si>
  <si>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</si>
  <si>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</si>
  <si>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</si>
  <si>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</si>
  <si>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</si>
  <si>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</si>
  <si>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</si>
  <si>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</si>
  <si>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</si>
  <si>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</si>
  <si>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</si>
  <si>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</si>
  <si>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</si>
  <si>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</si>
  <si>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</si>
  <si>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</si>
  <si>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</si>
  <si>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</si>
  <si>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</si>
  <si>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</si>
  <si>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</si>
  <si>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</si>
  <si>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</si>
  <si>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</si>
  <si>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</si>
  <si>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</si>
  <si>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</si>
  <si>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</si>
  <si>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</si>
  <si>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</si>
  <si>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</si>
  <si>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</si>
  <si>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</si>
  <si>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</si>
  <si>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</si>
  <si>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</si>
  <si>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</si>
  <si>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</si>
  <si>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</si>
  <si>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</si>
  <si>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</si>
  <si>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</si>
  <si>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</si>
  <si>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</si>
  <si>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</si>
  <si>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</si>
  <si>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</si>
  <si>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</si>
  <si>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</si>
  <si>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</si>
  <si>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</si>
  <si>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</si>
  <si>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</si>
  <si>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</si>
  <si>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</si>
  <si>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</si>
  <si>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</si>
  <si>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</si>
  <si>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</si>
  <si>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</si>
  <si>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</si>
  <si>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</si>
  <si>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</si>
  <si>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</si>
  <si>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</si>
  <si>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</si>
  <si>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</si>
  <si>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</si>
  <si>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</si>
  <si>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</si>
  <si>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</si>
  <si>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</si>
  <si>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</si>
  <si>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</si>
  <si>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</si>
  <si>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</si>
  <si>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</si>
  <si>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</si>
  <si>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</si>
  <si>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</si>
  <si>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</si>
  <si>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</si>
  <si>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</si>
  <si>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</si>
  <si>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</si>
  <si>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</si>
  <si>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</si>
  <si>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</si>
  <si>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</si>
  <si>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</si>
  <si>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</si>
  <si>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</si>
  <si>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</si>
  <si>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</si>
  <si>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</si>
  <si>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</si>
  <si>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</si>
  <si>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</si>
  <si>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</si>
  <si>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</si>
  <si>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</si>
  <si>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</si>
  <si>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</si>
  <si>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</si>
  <si>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</si>
  <si>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</si>
  <si>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</si>
  <si>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</si>
  <si>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</si>
  <si>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</si>
  <si>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</si>
  <si>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</si>
  <si>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</si>
  <si>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</si>
  <si>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</si>
  <si>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</si>
  <si>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</si>
  <si>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</si>
  <si>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</si>
  <si>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</si>
  <si>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</si>
  <si>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</si>
  <si>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</si>
  <si>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</si>
  <si>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</si>
  <si>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</si>
  <si>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</si>
  <si>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</si>
  <si>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</si>
  <si>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</si>
  <si>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</si>
  <si>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</si>
  <si>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</si>
  <si>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</si>
  <si>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</si>
  <si>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</si>
  <si>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</si>
  <si>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</si>
  <si>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</si>
  <si>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</si>
  <si>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</si>
  <si>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</si>
  <si>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</si>
  <si>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</si>
  <si>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</si>
  <si>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</si>
  <si>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</si>
  <si>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</si>
  <si>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</si>
  <si>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</si>
  <si>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</si>
  <si>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</si>
  <si>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</si>
  <si>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</si>
  <si>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</si>
  <si>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</si>
  <si>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</si>
  <si>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</si>
  <si>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</si>
  <si>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</si>
  <si>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</si>
  <si>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</si>
  <si>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</si>
  <si>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</si>
  <si>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</si>
  <si>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</si>
  <si>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</si>
  <si>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</si>
  <si>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</si>
  <si>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</si>
  <si>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</si>
  <si>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</si>
  <si>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</si>
  <si>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</si>
  <si>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</si>
  <si>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</si>
  <si>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</si>
  <si>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</si>
  <si>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</si>
  <si>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</si>
  <si>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</si>
  <si>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</si>
  <si>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</si>
  <si>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</si>
  <si>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</si>
  <si>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</si>
  <si>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</si>
  <si>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</si>
  <si>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</si>
  <si>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</si>
  <si>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</si>
  <si>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</si>
  <si>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</si>
  <si>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</si>
  <si>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</si>
  <si>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</si>
  <si>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</si>
  <si>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</si>
  <si>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</si>
  <si>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</si>
  <si>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</si>
  <si>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</si>
  <si>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</si>
  <si>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</si>
  <si>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</si>
  <si>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</si>
  <si>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</si>
  <si>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</si>
  <si>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</si>
  <si>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</si>
  <si>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</si>
  <si>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</si>
  <si>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</si>
  <si>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</si>
  <si>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</si>
  <si>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</si>
  <si>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</si>
  <si>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</si>
  <si>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</si>
  <si>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</si>
  <si>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</si>
  <si>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</si>
  <si>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</si>
  <si>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</si>
  <si>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</si>
  <si>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</si>
  <si>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</si>
  <si>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</si>
  <si>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</si>
  <si>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</si>
  <si>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</si>
  <si>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</si>
  <si>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</si>
  <si>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</si>
  <si>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</si>
  <si>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</si>
  <si>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</si>
  <si>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</si>
  <si>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</si>
  <si>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</si>
  <si>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</si>
  <si>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</si>
  <si>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</si>
  <si>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</si>
  <si>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</si>
  <si>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</si>
  <si>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</si>
  <si>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</si>
  <si>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</si>
  <si>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</si>
  <si>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</si>
  <si>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</si>
  <si>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</si>
  <si>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</si>
  <si>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</si>
  <si>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</si>
  <si>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</si>
  <si>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</si>
  <si>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</si>
  <si>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</si>
  <si>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</si>
  <si>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</si>
  <si>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</si>
  <si>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</si>
  <si>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</si>
  <si>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</si>
  <si>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</si>
  <si>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</si>
  <si>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</si>
  <si>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</si>
  <si>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</si>
  <si>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</si>
  <si>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</si>
  <si>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</si>
  <si>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</si>
  <si>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</si>
  <si>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</si>
  <si>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</si>
  <si>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</si>
  <si>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</si>
  <si>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</si>
  <si>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</si>
  <si>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</si>
  <si>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</si>
  <si>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</si>
  <si>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</si>
  <si>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</si>
  <si>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</si>
  <si>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</si>
  <si>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</si>
  <si>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</si>
  <si>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</si>
  <si>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</si>
  <si>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</si>
  <si>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</si>
  <si>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</si>
  <si>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</si>
  <si>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</si>
  <si>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</si>
  <si>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</si>
  <si>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</si>
  <si>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</si>
  <si>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</si>
  <si>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</si>
  <si>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</si>
  <si>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</si>
  <si>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</si>
  <si>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</si>
  <si>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</si>
  <si>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</si>
  <si>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</si>
  <si>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</si>
  <si>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</si>
  <si>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</si>
  <si>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</si>
  <si>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</si>
  <si>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</si>
  <si>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</si>
  <si>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</si>
  <si>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</si>
  <si>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</si>
  <si>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</si>
  <si>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</si>
  <si>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</si>
  <si>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</si>
  <si>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</si>
  <si>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</si>
  <si>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</si>
  <si>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</si>
  <si>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</si>
  <si>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</si>
  <si>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</si>
  <si>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</si>
  <si>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</si>
  <si>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</si>
  <si>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</si>
  <si>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</si>
  <si>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</si>
  <si>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</si>
  <si>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</si>
  <si>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</si>
  <si>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</si>
  <si>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</si>
  <si>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</si>
  <si>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</si>
  <si>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</si>
  <si>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</si>
  <si>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</si>
  <si>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</si>
  <si>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</si>
  <si>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</si>
  <si>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</si>
  <si>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</si>
  <si>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</si>
  <si>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</si>
  <si>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</si>
  <si>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</si>
  <si>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</si>
  <si>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</si>
  <si>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</si>
  <si>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</si>
  <si>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</si>
  <si>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</si>
  <si>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</si>
  <si>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</si>
  <si>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</si>
  <si>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</si>
  <si>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</si>
  <si>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</si>
  <si>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</si>
  <si>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</si>
  <si>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</si>
  <si>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</si>
  <si>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</si>
  <si>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</si>
  <si>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</si>
  <si>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</si>
  <si>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</si>
  <si>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</si>
  <si>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</si>
  <si>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</si>
  <si>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</si>
  <si>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</si>
  <si>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</si>
  <si>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</si>
  <si>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</si>
  <si>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</si>
  <si>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</si>
  <si>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</si>
  <si>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</si>
  <si>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</si>
  <si>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</si>
  <si>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</si>
  <si>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</si>
  <si>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</si>
  <si>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</si>
  <si>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</si>
  <si>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</si>
  <si>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</si>
  <si>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</si>
  <si>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</si>
  <si>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</si>
  <si>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</si>
  <si>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</si>
  <si>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</si>
  <si>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</si>
  <si>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</si>
  <si>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</si>
  <si>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</si>
  <si>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</si>
  <si>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</si>
  <si>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</si>
  <si>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</si>
  <si>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</si>
  <si>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</si>
  <si>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</si>
  <si>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</si>
  <si>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</si>
  <si>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</si>
  <si>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</si>
  <si>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</si>
  <si>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</si>
  <si>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</si>
  <si>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</si>
  <si>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</si>
  <si>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</si>
  <si>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</si>
  <si>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</si>
  <si>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</si>
  <si>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</si>
  <si>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</si>
  <si>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</si>
  <si>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</si>
  <si>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</si>
  <si>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</si>
  <si>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</si>
  <si>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</si>
  <si>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</si>
  <si>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</si>
  <si>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</si>
  <si>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</si>
  <si>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</si>
  <si>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</si>
  <si>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</si>
  <si>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</si>
  <si>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</si>
  <si>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</si>
  <si>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</si>
  <si>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</si>
  <si>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</si>
  <si>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</si>
  <si>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</si>
  <si>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</si>
  <si>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</si>
  <si>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</si>
  <si>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</si>
  <si>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</si>
  <si>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</si>
  <si>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</si>
  <si>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</si>
  <si>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</si>
  <si>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</si>
  <si>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</si>
  <si>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</si>
  <si>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</si>
  <si>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</si>
  <si>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</si>
  <si>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</si>
  <si>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</si>
  <si>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</si>
  <si>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</si>
  <si>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</si>
  <si>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</si>
  <si>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</si>
  <si>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</si>
  <si>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</si>
  <si>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</si>
  <si>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</si>
  <si>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</si>
  <si>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</si>
  <si>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</si>
  <si>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</si>
  <si>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</si>
  <si>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</si>
  <si>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</si>
  <si>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</si>
  <si>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</si>
  <si>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</si>
  <si>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</si>
  <si>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</si>
  <si>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</si>
  <si>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</si>
  <si>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</si>
  <si>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</si>
  <si>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</si>
  <si>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</si>
  <si>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</si>
  <si>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</si>
  <si>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</si>
  <si>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</si>
  <si>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</si>
  <si>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</si>
  <si>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</si>
  <si>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</si>
  <si>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</si>
  <si>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</si>
  <si>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</si>
  <si>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</si>
  <si>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</si>
  <si>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</si>
  <si>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</si>
  <si>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</si>
  <si>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</si>
  <si>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</si>
  <si>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</si>
  <si>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</si>
  <si>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</si>
  <si>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</si>
  <si>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</si>
  <si>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</si>
  <si>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</si>
  <si>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</si>
  <si>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</si>
  <si>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</si>
  <si>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</si>
  <si>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</si>
  <si>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</si>
  <si>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</si>
  <si>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</si>
  <si>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</si>
  <si>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</si>
  <si>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</si>
  <si>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</si>
  <si>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</si>
  <si>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</si>
  <si>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</si>
  <si>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</si>
  <si>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</si>
  <si>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</si>
  <si>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</si>
  <si>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</si>
  <si>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</si>
  <si>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</si>
  <si>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</si>
  <si>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</si>
  <si>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</si>
  <si>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</si>
  <si>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</si>
  <si>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</si>
  <si>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</si>
  <si>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</si>
  <si>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</si>
  <si>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</si>
  <si>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</si>
  <si>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</si>
  <si>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</si>
  <si>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</si>
  <si>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</si>
  <si>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</si>
  <si>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</si>
  <si>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</si>
  <si>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</si>
  <si>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</si>
  <si>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</si>
  <si>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</si>
  <si>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</si>
  <si>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</si>
  <si>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</si>
  <si>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</si>
  <si>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</si>
  <si>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</si>
  <si>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</si>
  <si>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</si>
  <si>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</si>
  <si>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</si>
  <si>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</si>
  <si>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</si>
  <si>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</si>
  <si>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</si>
  <si>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</si>
  <si>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</si>
  <si>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</si>
  <si>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</si>
  <si>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</si>
  <si>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</si>
  <si>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</si>
  <si>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</si>
  <si>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</si>
  <si>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</si>
  <si>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</si>
  <si>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</si>
  <si>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</si>
  <si>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</si>
  <si>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</si>
  <si>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</si>
  <si>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</si>
  <si>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</si>
  <si>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</si>
  <si>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</si>
  <si>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</si>
  <si>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</si>
  <si>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</si>
  <si>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</si>
  <si>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</si>
  <si>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</si>
  <si>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</si>
  <si>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</si>
  <si>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</si>
  <si>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</si>
  <si>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</si>
  <si>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</si>
  <si>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</si>
  <si>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</si>
  <si>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</si>
  <si>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</si>
  <si>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</si>
  <si>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</si>
  <si>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</si>
  <si>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</si>
  <si>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</si>
  <si>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</si>
  <si>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</si>
  <si>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</si>
  <si>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</si>
  <si>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</si>
  <si>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</si>
  <si>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</si>
  <si>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</si>
  <si>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</si>
  <si>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</si>
  <si>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</si>
  <si>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</si>
  <si>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</si>
  <si>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</si>
  <si>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</si>
  <si>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</si>
  <si>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</si>
  <si>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</si>
  <si>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</si>
  <si>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</si>
  <si>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</si>
  <si>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</si>
  <si>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</si>
  <si>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</si>
  <si>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</si>
  <si>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</si>
  <si>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</si>
  <si>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</si>
  <si>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</si>
  <si>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</si>
  <si>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</si>
  <si>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</si>
  <si>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</si>
  <si>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</si>
  <si>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</si>
  <si>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</si>
  <si>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</si>
  <si>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</si>
  <si>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</si>
  <si>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</si>
  <si>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</si>
  <si>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</si>
  <si>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</si>
  <si>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</si>
  <si>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</si>
  <si>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</si>
  <si>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</si>
  <si>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</si>
  <si>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</si>
  <si>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</si>
  <si>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</si>
  <si>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</si>
  <si>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</si>
  <si>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</si>
  <si>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</si>
  <si>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</si>
  <si>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</si>
  <si>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</si>
  <si>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</si>
  <si>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</si>
  <si>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</si>
  <si>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</si>
  <si>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</si>
  <si>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</si>
  <si>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</si>
  <si>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</si>
  <si>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</si>
  <si>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</si>
  <si>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</si>
  <si>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</si>
  <si>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</si>
  <si>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</si>
  <si>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</si>
  <si>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</si>
  <si>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</si>
  <si>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</si>
  <si>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</si>
  <si>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</si>
  <si>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</si>
  <si>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</si>
  <si>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</si>
  <si>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</si>
  <si>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</si>
  <si>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</si>
  <si>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</si>
  <si>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</si>
  <si>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</si>
  <si>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</si>
  <si>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</si>
  <si>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</si>
  <si>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</si>
  <si>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</si>
  <si>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</si>
  <si>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</si>
  <si>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</si>
  <si>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</si>
  <si>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</si>
  <si>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</si>
  <si>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</si>
  <si>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</si>
  <si>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</si>
  <si>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</si>
  <si>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</si>
  <si>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</si>
  <si>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</si>
  <si>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</si>
  <si>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</si>
  <si>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</si>
  <si>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</si>
  <si>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</si>
  <si>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</si>
  <si>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</si>
  <si>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</si>
  <si>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</si>
  <si>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</si>
  <si>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</si>
  <si>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</si>
  <si>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</si>
  <si>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</si>
  <si>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</si>
  <si>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</si>
  <si>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</si>
  <si>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</si>
  <si>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</si>
  <si>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</si>
  <si>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</si>
  <si>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</si>
  <si>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</si>
  <si>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</si>
  <si>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</si>
  <si>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</si>
  <si>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</si>
  <si>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</si>
  <si>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</si>
  <si>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</si>
  <si>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</si>
  <si>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</si>
  <si>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</si>
  <si>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</si>
  <si>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</si>
  <si>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</si>
  <si>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</si>
  <si>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</si>
  <si>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</si>
  <si>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</si>
  <si>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</si>
  <si>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</si>
  <si>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</si>
  <si>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</si>
  <si>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</si>
  <si>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</si>
  <si>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</si>
  <si>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</si>
  <si>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</si>
  <si>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</si>
  <si>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</si>
  <si>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</si>
  <si>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</si>
  <si>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</si>
  <si>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</si>
  <si>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</si>
  <si>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</si>
  <si>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</si>
  <si>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</si>
  <si>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</si>
  <si>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</si>
  <si>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</si>
  <si>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</si>
  <si>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</si>
  <si>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</si>
  <si>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</si>
  <si>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</si>
  <si>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</si>
  <si>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</si>
  <si>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</si>
  <si>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</si>
  <si>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</si>
  <si>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</si>
  <si>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</si>
  <si>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</si>
  <si>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</si>
  <si>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</si>
  <si>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</si>
  <si>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</si>
  <si>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</si>
  <si>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</si>
  <si>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</si>
  <si>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</si>
  <si>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</si>
  <si>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</si>
  <si>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</si>
  <si>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</si>
  <si>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</si>
  <si>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</si>
  <si>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</si>
  <si>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</si>
  <si>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</si>
  <si>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</si>
  <si>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</si>
  <si>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</si>
  <si>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</si>
  <si>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</si>
  <si>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</si>
  <si>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</si>
  <si>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</si>
  <si>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</si>
  <si>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</si>
  <si>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</si>
  <si>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</si>
  <si>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</si>
  <si>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</si>
  <si>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</si>
  <si>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</si>
  <si>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</si>
  <si>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</si>
  <si>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</si>
  <si>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</si>
  <si>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</si>
  <si>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</si>
  <si>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</si>
  <si>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</si>
  <si>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</si>
  <si>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</si>
  <si>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</si>
  <si>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</si>
  <si>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</si>
  <si>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</si>
  <si>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</si>
  <si>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</si>
  <si>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</si>
  <si>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</si>
  <si>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</si>
  <si>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</si>
  <si>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</si>
  <si>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</si>
  <si>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</si>
  <si>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</si>
  <si>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</si>
  <si>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</si>
  <si>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</si>
  <si>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</si>
  <si>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</si>
  <si>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</si>
  <si>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</si>
  <si>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</si>
  <si>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</si>
  <si>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</si>
  <si>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</si>
  <si>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</si>
  <si>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</si>
  <si>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</si>
  <si>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</si>
  <si>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</si>
  <si>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</si>
  <si>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</si>
  <si>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</si>
  <si>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</si>
  <si>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</si>
  <si>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</si>
  <si>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</si>
  <si>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</si>
  <si>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</si>
  <si>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</si>
  <si>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</si>
  <si>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</si>
  <si>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</si>
  <si>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</si>
  <si>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</si>
  <si>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</si>
  <si>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</si>
  <si>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</si>
  <si>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</si>
  <si>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</si>
  <si>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</si>
  <si>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</si>
  <si>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</si>
  <si>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</si>
  <si>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</si>
  <si>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</si>
  <si>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</si>
  <si>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</si>
  <si>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</si>
  <si>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</si>
  <si>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</si>
  <si>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</si>
  <si>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</si>
  <si>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</si>
  <si>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</si>
  <si>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</si>
  <si>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</si>
  <si>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</si>
  <si>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</si>
  <si>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</si>
  <si>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</si>
  <si>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</si>
  <si>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</si>
  <si>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</si>
  <si>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</si>
  <si>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</si>
  <si>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</si>
  <si>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</si>
  <si>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</si>
  <si>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</si>
  <si>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</si>
  <si>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</si>
  <si>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</si>
  <si>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</si>
  <si>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</si>
  <si>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</si>
  <si>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</si>
  <si>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</si>
  <si>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</si>
  <si>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</si>
  <si>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</si>
  <si>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</si>
  <si>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</si>
  <si>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</si>
  <si>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</si>
  <si>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</si>
  <si>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</si>
  <si>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</si>
  <si>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</si>
  <si>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</si>
  <si>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</si>
  <si>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</si>
  <si>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</si>
  <si>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</si>
  <si>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</si>
  <si>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</si>
  <si>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</si>
  <si>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</si>
  <si>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</si>
  <si>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</si>
  <si>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</si>
  <si>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</si>
  <si>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</si>
  <si>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</si>
  <si>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</si>
  <si>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</si>
  <si>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</si>
  <si>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</si>
  <si>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</si>
  <si>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</si>
  <si>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</si>
  <si>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</si>
  <si>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</si>
  <si>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</si>
  <si>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</si>
  <si>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</si>
  <si>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</si>
  <si>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</si>
  <si>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</si>
  <si>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</si>
  <si>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</si>
  <si>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</si>
  <si>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</si>
  <si>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</si>
  <si>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</si>
  <si>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</si>
  <si>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</si>
  <si>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</si>
  <si>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</si>
  <si>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</si>
  <si>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</si>
  <si>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</si>
  <si>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</si>
  <si>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</si>
  <si>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</si>
  <si>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</si>
  <si>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</si>
  <si>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</si>
  <si>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</si>
  <si>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</si>
  <si>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</si>
  <si>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</si>
  <si>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</si>
  <si>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</si>
  <si>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</si>
  <si>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</si>
  <si>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</si>
  <si>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</si>
  <si>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</si>
  <si>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</si>
  <si>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</si>
  <si>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</si>
  <si>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</si>
  <si>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</si>
  <si>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</si>
  <si>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</si>
  <si>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</si>
  <si>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</si>
  <si>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</si>
  <si>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</si>
  <si>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</si>
  <si>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</si>
  <si>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</si>
  <si>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</si>
  <si>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</si>
  <si>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</si>
  <si>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</si>
  <si>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</si>
  <si>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</si>
  <si>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</si>
  <si>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</si>
  <si>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</si>
  <si>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</si>
  <si>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</si>
  <si>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</si>
  <si>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</si>
  <si>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</si>
  <si>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</si>
  <si>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</si>
  <si>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</si>
  <si>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</si>
  <si>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</si>
  <si>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</si>
  <si>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</si>
  <si>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</si>
  <si>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</si>
  <si>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</si>
  <si>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</si>
  <si>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</si>
  <si>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</si>
  <si>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</si>
  <si>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</si>
  <si>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</si>
  <si>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</si>
  <si>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</si>
  <si>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</si>
  <si>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</si>
  <si>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</si>
  <si>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</si>
  <si>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</si>
  <si>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</si>
  <si>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</si>
  <si>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</si>
  <si>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</si>
  <si>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</si>
  <si>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</si>
  <si>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</si>
  <si>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</si>
  <si>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</si>
  <si>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</si>
  <si>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</si>
  <si>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</si>
  <si>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</si>
  <si>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</si>
  <si>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</si>
  <si>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</si>
  <si>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</si>
  <si>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</si>
  <si>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</si>
  <si>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</si>
  <si>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</si>
  <si>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</si>
  <si>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</si>
  <si>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</si>
  <si>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</si>
  <si>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</si>
  <si>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</si>
  <si>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</si>
  <si>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</si>
  <si>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</si>
  <si>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</si>
  <si>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</si>
  <si>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</si>
  <si>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</si>
  <si>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</si>
  <si>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</si>
  <si>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</si>
  <si>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</si>
  <si>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</si>
  <si>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</si>
  <si>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</si>
  <si>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</si>
  <si>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</si>
  <si>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</si>
  <si>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</si>
  <si>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</si>
  <si>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</si>
  <si>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</si>
  <si>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</si>
  <si>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</si>
  <si>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</si>
  <si>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</si>
  <si>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</si>
  <si>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</si>
  <si>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</si>
  <si>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</si>
  <si>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</si>
  <si>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</si>
  <si>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</si>
  <si>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</si>
  <si>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</si>
  <si>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</si>
  <si>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</si>
  <si>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</si>
  <si>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</si>
  <si>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</si>
  <si>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</si>
  <si>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</si>
  <si>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</si>
  <si>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</si>
  <si>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</si>
  <si>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</si>
  <si>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</si>
  <si>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</si>
  <si>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</si>
  <si>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</si>
  <si>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</si>
  <si>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</si>
  <si>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</si>
  <si>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</si>
  <si>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</si>
  <si>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</si>
  <si>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</si>
  <si>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</si>
  <si>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</si>
  <si>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</si>
  <si>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</si>
  <si>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</si>
  <si>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</si>
  <si>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</si>
  <si>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</si>
  <si>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</si>
  <si>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</si>
  <si>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</si>
  <si>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</si>
  <si>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</si>
  <si>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</si>
  <si>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</si>
  <si>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</si>
  <si>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</si>
  <si>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</si>
  <si>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</si>
  <si>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</si>
  <si>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</si>
  <si>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</si>
  <si>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</si>
  <si>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</si>
  <si>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</si>
  <si>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</si>
  <si>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</si>
  <si>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</si>
  <si>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</si>
  <si>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</si>
  <si>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</si>
  <si>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</si>
  <si>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</si>
  <si>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</si>
  <si>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</si>
  <si>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</si>
  <si>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</si>
  <si>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</si>
  <si>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</si>
  <si>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</si>
  <si>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</si>
  <si>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</si>
  <si>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</si>
  <si>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</si>
  <si>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</si>
  <si>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</si>
  <si>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</si>
  <si>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</si>
  <si>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</si>
  <si>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</si>
  <si>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</si>
  <si>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</si>
  <si>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</si>
  <si>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</si>
  <si>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</si>
  <si>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</si>
  <si>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</si>
  <si>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</si>
  <si>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</si>
  <si>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</si>
  <si>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</si>
  <si>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</si>
  <si>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</si>
  <si>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</si>
  <si>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</si>
  <si>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</si>
  <si>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</si>
  <si>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</si>
  <si>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</si>
  <si>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</si>
  <si>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</si>
  <si>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</si>
  <si>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</si>
  <si>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</si>
  <si>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</si>
  <si>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</si>
  <si>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</si>
  <si>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</si>
  <si>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</si>
  <si>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</si>
  <si>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</si>
  <si>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</si>
  <si>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</si>
  <si>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</si>
  <si>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</si>
  <si>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</si>
  <si>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</si>
  <si>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</si>
  <si>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</si>
  <si>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</si>
  <si>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</si>
  <si>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</si>
  <si>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</si>
  <si>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</si>
  <si>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</si>
  <si>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</si>
  <si>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</si>
  <si>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</si>
  <si>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</si>
  <si>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</si>
  <si>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</si>
  <si>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</si>
  <si>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</si>
  <si>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</si>
  <si>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</si>
  <si>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</si>
  <si>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</si>
  <si>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</si>
  <si>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</si>
  <si>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</si>
  <si>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</si>
  <si>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</si>
  <si>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</si>
  <si>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</si>
  <si>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</si>
  <si>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</si>
  <si>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</si>
  <si>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</si>
  <si>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</si>
  <si>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</si>
  <si>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</si>
  <si>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</si>
  <si>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</si>
  <si>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</si>
  <si>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</si>
  <si>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</si>
  <si>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</si>
  <si>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</si>
  <si>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</si>
  <si>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</si>
  <si>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</si>
  <si>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</si>
  <si>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</si>
  <si>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</si>
  <si>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</si>
  <si>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</si>
  <si>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</si>
  <si>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</si>
  <si>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</si>
  <si>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</si>
  <si>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</si>
  <si>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</si>
  <si>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</si>
  <si>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</si>
  <si>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</si>
  <si>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</si>
  <si>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</si>
  <si>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</si>
  <si>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</si>
  <si>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</si>
  <si>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</si>
  <si>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</si>
  <si>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</si>
  <si>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</si>
  <si>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</si>
  <si>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</si>
  <si>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</si>
  <si>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</si>
  <si>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</si>
  <si>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</si>
  <si>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</si>
  <si>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</si>
  <si>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</si>
  <si>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</si>
  <si>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</si>
  <si>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</si>
  <si>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</si>
  <si>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</si>
  <si>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</si>
  <si>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</si>
  <si>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</si>
  <si>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</si>
  <si>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</si>
  <si>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</si>
  <si>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</si>
  <si>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</si>
  <si>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</si>
  <si>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</si>
  <si>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</si>
  <si>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</si>
  <si>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</si>
  <si>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</si>
  <si>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</si>
  <si>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</si>
  <si>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</si>
  <si>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</si>
  <si>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</si>
  <si>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</si>
  <si>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</si>
  <si>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</si>
  <si>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</si>
  <si>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</si>
  <si>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</si>
  <si>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</si>
  <si>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</si>
  <si>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</si>
  <si>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</si>
  <si>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</si>
  <si>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</si>
  <si>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</si>
  <si>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</si>
  <si>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</si>
  <si>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</si>
  <si>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</si>
  <si>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</si>
  <si>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</si>
  <si>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</si>
  <si>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</si>
  <si>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</si>
  <si>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</si>
  <si>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</si>
  <si>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</si>
  <si>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</si>
  <si>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</si>
  <si>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</si>
  <si>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</si>
  <si>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</si>
  <si>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</si>
  <si>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</si>
  <si>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</si>
  <si>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</si>
  <si>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</si>
  <si>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</si>
  <si>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</si>
  <si>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</si>
  <si>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</si>
  <si>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</si>
  <si>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</si>
  <si>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</si>
  <si>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</si>
  <si>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</si>
  <si>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</si>
  <si>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</si>
  <si>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</si>
  <si>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</si>
  <si>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</si>
  <si>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</si>
  <si>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</si>
  <si>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</si>
  <si>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</si>
  <si>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</si>
  <si>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</si>
  <si>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</si>
  <si>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</si>
  <si>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</si>
  <si>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</si>
  <si>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</si>
  <si>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</si>
  <si>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</si>
  <si>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</si>
  <si>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</si>
  <si>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</si>
  <si>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</si>
  <si>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</si>
  <si>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</si>
  <si>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</si>
  <si>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</si>
  <si>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</si>
  <si>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</si>
  <si>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</si>
  <si>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</si>
  <si>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</si>
  <si>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</si>
  <si>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</si>
  <si>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</si>
  <si>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</si>
  <si>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</si>
  <si>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</si>
  <si>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</si>
  <si>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</si>
  <si>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</si>
  <si>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</si>
  <si>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</si>
  <si>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</si>
  <si>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</si>
  <si>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</si>
  <si>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</si>
  <si>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</si>
  <si>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</si>
  <si>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</si>
  <si>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</si>
  <si>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</si>
  <si>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</si>
  <si>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</si>
  <si>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</si>
  <si>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</si>
  <si>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</si>
  <si>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</si>
  <si>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</si>
  <si>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</si>
  <si>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</si>
  <si>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</si>
  <si>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</si>
  <si>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</si>
  <si>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</si>
  <si>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</si>
  <si>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</si>
  <si>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</si>
  <si>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</si>
  <si>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</si>
  <si>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</si>
  <si>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</si>
  <si>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</si>
  <si>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</si>
  <si>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</si>
  <si>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</si>
  <si>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</si>
  <si>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</si>
  <si>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</si>
  <si>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</si>
  <si>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</si>
  <si>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</si>
  <si>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</si>
  <si>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</si>
  <si>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</si>
  <si>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</si>
  <si>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</si>
  <si>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</si>
  <si>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</si>
  <si>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</si>
  <si>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</si>
  <si>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</si>
  <si>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</si>
  <si>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</si>
  <si>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</si>
  <si>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</si>
  <si>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</si>
  <si>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</si>
  <si>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</si>
  <si>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</si>
  <si>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</si>
  <si>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</si>
  <si>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</si>
  <si>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</si>
  <si>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</si>
  <si>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</si>
  <si>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</si>
  <si>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</si>
  <si>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</si>
  <si>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</si>
  <si>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</si>
  <si>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</si>
  <si>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</si>
  <si>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</si>
  <si>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</si>
  <si>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</si>
  <si>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</si>
  <si>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</si>
  <si>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</si>
  <si>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</si>
  <si>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</si>
  <si>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</si>
  <si>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</si>
  <si>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</si>
  <si>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</si>
  <si>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</si>
  <si>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</si>
  <si>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</si>
  <si>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</si>
  <si>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</si>
  <si>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</si>
  <si>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</si>
  <si>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</si>
  <si>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</si>
  <si>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</si>
  <si>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</si>
  <si>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</si>
  <si>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</si>
  <si>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</si>
  <si>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</si>
  <si>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</si>
  <si>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</si>
  <si>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</si>
  <si>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</si>
  <si>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</si>
  <si>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</si>
  <si>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</si>
  <si>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</si>
  <si>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</si>
  <si>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</si>
  <si>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</si>
  <si>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</si>
  <si>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</si>
  <si>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</si>
  <si>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</si>
  <si>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</si>
  <si>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</si>
  <si>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</si>
  <si>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</si>
  <si>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</si>
  <si>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</si>
  <si>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</si>
  <si>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</si>
  <si>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</si>
  <si>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</si>
  <si>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</si>
  <si>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</si>
  <si>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</si>
  <si>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</si>
  <si>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</si>
  <si>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</si>
  <si>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</si>
  <si>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</si>
  <si>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</si>
  <si>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</si>
  <si>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</si>
  <si>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</si>
  <si>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</si>
  <si>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</si>
  <si>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</si>
  <si>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</si>
  <si>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</si>
  <si>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</si>
  <si>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</si>
  <si>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</si>
  <si>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</si>
  <si>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</si>
  <si>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</si>
  <si>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</si>
  <si>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</si>
  <si>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</si>
  <si>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</si>
  <si>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</si>
  <si>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</si>
  <si>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</si>
  <si>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</si>
  <si>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</si>
  <si>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</si>
  <si>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</si>
  <si>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</si>
  <si>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</si>
  <si>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</si>
  <si>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</si>
  <si>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</si>
  <si>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</si>
  <si>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</si>
  <si>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</si>
  <si>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</si>
  <si>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</si>
  <si>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</si>
  <si>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</si>
  <si>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</si>
  <si>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</si>
  <si>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</si>
  <si>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</si>
  <si>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</si>
  <si>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</si>
  <si>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</si>
  <si>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</si>
  <si>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</si>
  <si>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</si>
  <si>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</si>
  <si>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</si>
  <si>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</si>
  <si>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</si>
  <si>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</si>
  <si>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</si>
  <si>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</si>
  <si>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</si>
  <si>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</si>
  <si>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</si>
  <si>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</si>
  <si>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</si>
  <si>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</si>
  <si>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</si>
  <si>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</si>
  <si>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</si>
  <si>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</si>
  <si>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</si>
  <si>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</si>
  <si>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</si>
  <si>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</si>
  <si>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</si>
  <si>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</si>
  <si>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</si>
  <si>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</si>
  <si>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</si>
  <si>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</si>
  <si>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</si>
  <si>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</si>
  <si>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</si>
  <si>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</si>
  <si>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</si>
  <si>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</si>
  <si>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</si>
  <si>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</si>
  <si>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</si>
  <si>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</si>
  <si>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</si>
  <si>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</si>
  <si>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</si>
  <si>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</si>
  <si>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</si>
  <si>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</si>
  <si>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</si>
  <si>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</si>
  <si>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</si>
  <si>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</si>
  <si>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</si>
  <si>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</si>
  <si>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</si>
  <si>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</si>
  <si>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</si>
  <si>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</si>
  <si>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</si>
  <si>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</si>
  <si>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</si>
  <si>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</si>
  <si>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</si>
  <si>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</si>
  <si>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</si>
  <si>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</si>
  <si>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</si>
  <si>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</si>
  <si>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</si>
  <si>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</si>
  <si>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</si>
  <si>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</si>
  <si>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</si>
  <si>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</si>
  <si>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</si>
  <si>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</si>
  <si>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</si>
  <si>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</si>
  <si>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</si>
  <si>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</si>
  <si>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</si>
  <si>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</si>
  <si>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</si>
  <si>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</si>
  <si>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</si>
  <si>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</si>
  <si>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</si>
  <si>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</si>
  <si>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</si>
  <si>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</si>
  <si>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</si>
  <si>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</si>
  <si>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</si>
  <si>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</si>
  <si>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</si>
  <si>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</si>
  <si>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</si>
  <si>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</si>
  <si>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</si>
  <si>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</si>
  <si>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</si>
  <si>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</si>
  <si>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</si>
  <si>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</si>
  <si>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</si>
  <si>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</si>
  <si>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</si>
  <si>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</si>
  <si>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</si>
  <si>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</si>
  <si>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</si>
  <si>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</si>
  <si>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</si>
  <si>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</si>
  <si>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</si>
  <si>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</si>
  <si>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</si>
  <si>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</si>
  <si>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</si>
  <si>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</si>
  <si>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</si>
  <si>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</si>
  <si>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</si>
  <si>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</si>
  <si>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</si>
  <si>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</si>
  <si>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</si>
  <si>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</si>
  <si>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</si>
  <si>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</si>
  <si>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</si>
  <si>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</si>
  <si>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</si>
  <si>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</si>
  <si>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</si>
  <si>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</si>
  <si>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</si>
  <si>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</si>
  <si>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</si>
  <si>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</si>
  <si>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</si>
  <si>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</si>
  <si>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</si>
  <si>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</si>
  <si>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</si>
  <si>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</si>
  <si>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</si>
  <si>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</si>
  <si>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</si>
  <si>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</si>
  <si>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</si>
  <si>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</si>
  <si>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</si>
  <si>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</si>
  <si>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</si>
  <si>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</si>
  <si>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</si>
  <si>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</si>
  <si>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</si>
  <si>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</si>
  <si>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</si>
  <si>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</si>
  <si>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</si>
  <si>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</si>
  <si>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</si>
  <si>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</si>
  <si>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</si>
  <si>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</si>
  <si>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</si>
  <si>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</si>
  <si>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</si>
  <si>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</si>
  <si>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</si>
  <si>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</si>
  <si>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</si>
  <si>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</si>
  <si>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</si>
  <si>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</si>
  <si>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</si>
  <si>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</si>
  <si>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</si>
  <si>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</si>
  <si>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</si>
  <si>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</si>
  <si>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</si>
  <si>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</si>
  <si>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</si>
  <si>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</si>
  <si>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</si>
  <si>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</si>
  <si>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</si>
  <si>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</si>
  <si>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</si>
  <si>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</si>
  <si>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</si>
  <si>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</si>
  <si>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</si>
  <si>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</si>
  <si>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</si>
  <si>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</si>
  <si>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</si>
  <si>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</si>
  <si>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</si>
  <si>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</si>
  <si>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</si>
  <si>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</si>
  <si>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</si>
  <si>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</si>
  <si>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</si>
  <si>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</si>
  <si>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</si>
  <si>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</si>
  <si>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</si>
  <si>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</si>
  <si>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</si>
  <si>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</si>
  <si>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</si>
  <si>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</si>
  <si>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</si>
  <si>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</si>
  <si>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</si>
  <si>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</si>
  <si>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</si>
  <si>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</si>
  <si>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</si>
  <si>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</si>
  <si>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</si>
  <si>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</si>
  <si>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</si>
  <si>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</si>
  <si>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</si>
  <si>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</si>
  <si>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</si>
  <si>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</si>
  <si>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</si>
  <si>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</si>
  <si>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</si>
  <si>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</si>
  <si>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</si>
  <si>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</si>
  <si>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</si>
  <si>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</si>
  <si>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</si>
  <si>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</si>
  <si>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</si>
  <si>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</si>
  <si>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</si>
  <si>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</si>
  <si>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</si>
  <si>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</si>
  <si>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</si>
  <si>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</si>
  <si>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</si>
  <si>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</si>
  <si>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</si>
  <si>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</si>
  <si>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</si>
  <si>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</si>
  <si>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</si>
  <si>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</si>
  <si>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</si>
  <si>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</si>
  <si>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</si>
  <si>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</si>
  <si>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</si>
  <si>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</si>
  <si>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</si>
  <si>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</si>
  <si>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</si>
  <si>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</si>
  <si>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</si>
  <si>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</si>
  <si>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</si>
  <si>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</si>
  <si>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</si>
  <si>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</si>
  <si>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</si>
  <si>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</si>
  <si>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</si>
  <si>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</si>
  <si>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</si>
  <si>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</si>
  <si>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</si>
  <si>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</si>
  <si>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</si>
  <si>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</si>
  <si>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</si>
  <si>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</si>
  <si>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</si>
  <si>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</si>
  <si>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</si>
  <si>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</si>
  <si>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</si>
  <si>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</si>
  <si>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</si>
  <si>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</si>
  <si>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</si>
  <si>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</si>
  <si>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</si>
  <si>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</si>
  <si>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</si>
  <si>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</si>
  <si>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</si>
  <si>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</si>
  <si>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</si>
  <si>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</si>
  <si>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</si>
  <si>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</si>
  <si>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</si>
  <si>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</si>
  <si>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</si>
  <si>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</si>
  <si>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</si>
  <si>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</si>
  <si>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</si>
  <si>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</si>
  <si>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</si>
  <si>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</si>
  <si>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</si>
  <si>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</si>
  <si>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</si>
  <si>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</si>
  <si>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</si>
  <si>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</si>
  <si>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</si>
  <si>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</si>
  <si>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</si>
  <si>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</si>
  <si>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</si>
  <si>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</si>
  <si>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</si>
  <si>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</si>
  <si>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</si>
  <si>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</si>
  <si>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</si>
  <si>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</si>
  <si>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</si>
  <si>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</si>
  <si>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</si>
  <si>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</si>
  <si>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</si>
  <si>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</si>
  <si>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</si>
  <si>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</si>
  <si>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</si>
  <si>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</si>
  <si>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</si>
  <si>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</si>
  <si>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</si>
  <si>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</si>
  <si>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</si>
  <si>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</si>
  <si>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</si>
  <si>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</si>
  <si>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</si>
  <si>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</si>
  <si>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</si>
  <si>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</si>
  <si>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</si>
  <si>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</si>
  <si>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</si>
  <si>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</si>
  <si>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</si>
  <si>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</si>
  <si>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</si>
  <si>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</si>
  <si>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</si>
  <si>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</si>
  <si>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</si>
  <si>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</si>
  <si>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</si>
  <si>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</si>
  <si>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</si>
  <si>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</si>
  <si>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</si>
  <si>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</si>
  <si>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</si>
  <si>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</si>
  <si>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</si>
  <si>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</si>
  <si>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</si>
  <si>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</si>
  <si>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</si>
  <si>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</si>
  <si>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</si>
  <si>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</si>
  <si>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</si>
  <si>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</si>
  <si>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</si>
  <si>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</si>
  <si>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</si>
  <si>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</si>
  <si>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</si>
  <si>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</si>
  <si>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</si>
  <si>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</si>
  <si>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</si>
  <si>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</si>
  <si>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</si>
  <si>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</si>
  <si>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</si>
  <si>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</si>
  <si>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</si>
  <si>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</si>
  <si>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</si>
  <si>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</si>
  <si>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</si>
  <si>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</si>
  <si>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</si>
  <si>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</si>
  <si>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</si>
  <si>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</si>
  <si>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</si>
  <si>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</si>
  <si>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</si>
  <si>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</si>
  <si>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</si>
  <si>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</si>
  <si>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</si>
  <si>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</si>
  <si>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</si>
  <si>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</si>
  <si>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</si>
  <si>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</si>
  <si>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</si>
  <si>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</si>
  <si>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</si>
  <si>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</si>
  <si>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</si>
  <si>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</si>
  <si>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</si>
  <si>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</si>
  <si>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</si>
  <si>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</si>
  <si>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</si>
  <si>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</si>
  <si>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</si>
  <si>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</si>
  <si>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</si>
  <si>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</si>
  <si>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</si>
  <si>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</si>
  <si>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</si>
  <si>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</si>
  <si>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</si>
  <si>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</si>
  <si>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</si>
  <si>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</si>
  <si>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</si>
  <si>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</si>
  <si>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</si>
  <si>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</si>
  <si>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</si>
  <si>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</si>
  <si>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</si>
  <si>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</si>
  <si>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</si>
  <si>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</si>
  <si>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</si>
  <si>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</si>
  <si>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</si>
  <si>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</si>
  <si>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</si>
  <si>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</si>
  <si>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</si>
  <si>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</si>
  <si>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</si>
  <si>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</si>
  <si>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</si>
  <si>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</si>
  <si>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</si>
  <si>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</si>
  <si>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</si>
  <si>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</si>
  <si>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</si>
  <si>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</si>
  <si>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</si>
  <si>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</si>
  <si>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</si>
  <si>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</si>
  <si>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</si>
  <si>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</si>
  <si>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</si>
  <si>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</si>
  <si>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</si>
  <si>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</si>
  <si>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</si>
  <si>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</si>
  <si>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</si>
  <si>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</si>
  <si>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</si>
  <si>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</si>
  <si>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</si>
  <si>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</si>
  <si>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</si>
  <si>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</si>
  <si>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</si>
  <si>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</si>
  <si>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</si>
  <si>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</si>
  <si>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</si>
  <si>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</si>
  <si>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</si>
  <si>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</si>
  <si>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</si>
  <si>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</si>
  <si>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</si>
  <si>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</si>
  <si>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</si>
  <si>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</si>
  <si>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</si>
  <si>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</si>
  <si>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</si>
  <si>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</si>
  <si>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</si>
  <si>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</si>
  <si>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</si>
  <si>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</si>
  <si>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</si>
  <si>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</si>
  <si>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</si>
  <si>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</si>
  <si>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</si>
  <si>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</si>
  <si>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</si>
  <si>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</si>
  <si>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</si>
  <si>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</si>
  <si>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</si>
  <si>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</si>
  <si>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</si>
  <si>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</si>
  <si>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</si>
  <si>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</si>
  <si>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</si>
  <si>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</si>
  <si>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</si>
  <si>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</si>
  <si>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</si>
  <si>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</si>
  <si>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</si>
  <si>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</si>
  <si>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</si>
  <si>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</si>
  <si>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</si>
  <si>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</si>
  <si>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</si>
  <si>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</si>
  <si>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</si>
  <si>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</si>
  <si>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</si>
  <si>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</si>
  <si>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</si>
  <si>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</si>
  <si>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</si>
  <si>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</si>
  <si>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</si>
  <si>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</si>
  <si>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</si>
  <si>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</si>
  <si>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</si>
  <si>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</si>
  <si>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</si>
  <si>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</si>
  <si>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</si>
  <si>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</si>
  <si>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</si>
  <si>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</si>
  <si>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</si>
  <si>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</si>
  <si>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</si>
  <si>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</si>
  <si>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</si>
  <si>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</si>
  <si>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</si>
  <si>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</si>
  <si>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</si>
  <si>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</si>
  <si>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</si>
  <si>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</si>
  <si>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</si>
  <si>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</si>
  <si>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</si>
  <si>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</si>
  <si>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</si>
  <si>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</si>
  <si>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</si>
  <si>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</si>
  <si>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</si>
  <si>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</si>
  <si>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</si>
  <si>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</si>
  <si>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</si>
  <si>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</si>
  <si>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</si>
  <si>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</si>
  <si>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</si>
  <si>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</si>
  <si>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</si>
  <si>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</si>
  <si>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</si>
  <si>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</si>
  <si>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</si>
  <si>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</si>
  <si>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</si>
  <si>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</si>
  <si>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</si>
  <si>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</si>
  <si>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</si>
  <si>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</si>
  <si>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</si>
  <si>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</si>
  <si>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</si>
  <si>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</si>
  <si>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</si>
  <si>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</si>
  <si>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</si>
  <si>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</si>
  <si>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</si>
  <si>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</si>
  <si>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</si>
  <si>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</si>
  <si>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</si>
  <si>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</si>
  <si>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</si>
  <si>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</si>
  <si>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</si>
  <si>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</si>
  <si>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</si>
  <si>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</si>
  <si>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</si>
  <si>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</si>
  <si>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</si>
  <si>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</si>
  <si>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</si>
  <si>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</si>
  <si>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</si>
  <si>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</si>
  <si>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</si>
  <si>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</si>
  <si>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</si>
  <si>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</si>
  <si>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</si>
  <si>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</si>
  <si>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</si>
  <si>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</si>
  <si>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</si>
  <si>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</si>
  <si>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</si>
  <si>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</si>
  <si>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</si>
  <si>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</si>
  <si>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</si>
  <si>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</si>
  <si>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</si>
  <si>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</si>
  <si>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</si>
  <si>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</si>
  <si>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</si>
  <si>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</si>
  <si>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</si>
  <si>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</si>
  <si>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</si>
  <si>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</si>
  <si>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</si>
  <si>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</si>
  <si>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</si>
  <si>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</si>
  <si>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</si>
  <si>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</si>
  <si>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</si>
  <si>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</si>
  <si>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</si>
  <si>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</si>
  <si>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</si>
  <si>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</si>
  <si>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</si>
  <si>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</si>
  <si>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</si>
  <si>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</si>
  <si>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</si>
  <si>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</si>
  <si>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</si>
  <si>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</si>
  <si>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</si>
  <si>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</si>
  <si>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</si>
  <si>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</si>
  <si>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</si>
  <si>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</si>
  <si>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</si>
  <si>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</si>
  <si>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</si>
  <si>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</si>
  <si>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</si>
  <si>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</si>
  <si>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</si>
  <si>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</si>
  <si>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</si>
  <si>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</si>
  <si>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</si>
  <si>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</si>
  <si>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</si>
  <si>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</si>
  <si>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</si>
  <si>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</si>
  <si>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</si>
  <si>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</si>
  <si>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</si>
  <si>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</si>
  <si>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</si>
  <si>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</si>
  <si>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</si>
  <si>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</si>
  <si>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</si>
  <si>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</si>
  <si>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</si>
  <si>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</si>
  <si>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</si>
  <si>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</si>
  <si>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</si>
  <si>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</si>
  <si>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</si>
  <si>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</si>
  <si>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</si>
  <si>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</si>
  <si>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</si>
  <si>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</si>
  <si>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</si>
  <si>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</si>
  <si>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</si>
  <si>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</si>
  <si>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</si>
  <si>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</si>
  <si>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</si>
  <si>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</si>
  <si>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</si>
  <si>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</si>
  <si>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</si>
  <si>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</si>
  <si>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</si>
  <si>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</si>
  <si>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</si>
  <si>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</si>
  <si>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</si>
  <si>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</si>
  <si>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</si>
  <si>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</si>
  <si>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</si>
  <si>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</si>
  <si>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</si>
  <si>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</si>
  <si>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</si>
  <si>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</si>
  <si>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</si>
  <si>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</si>
  <si>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</si>
  <si>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</si>
  <si>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</si>
  <si>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</si>
  <si>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</si>
  <si>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</si>
  <si>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</si>
  <si>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</si>
  <si>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</si>
  <si>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</si>
  <si>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</si>
  <si>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</si>
  <si>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</si>
  <si>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</si>
  <si>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</si>
  <si>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</si>
  <si>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</si>
  <si>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</si>
  <si>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</si>
  <si>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</si>
  <si>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</si>
  <si>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</si>
  <si>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</si>
  <si>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</si>
  <si>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</si>
  <si>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</si>
  <si>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</si>
  <si>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</si>
  <si>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</si>
  <si>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</si>
  <si>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</si>
  <si>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</si>
  <si>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</si>
  <si>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</si>
  <si>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</si>
  <si>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</si>
  <si>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</si>
  <si>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</si>
  <si>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</si>
  <si>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</si>
  <si>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</si>
  <si>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</si>
  <si>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</si>
  <si>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</si>
  <si>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</si>
  <si>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</si>
  <si>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</si>
  <si>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</si>
  <si>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</si>
  <si>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</si>
  <si>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</si>
  <si>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</si>
  <si>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</si>
  <si>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</si>
  <si>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</si>
  <si>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</si>
  <si>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</si>
  <si>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</si>
  <si>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</si>
  <si>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</si>
  <si>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</si>
  <si>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</si>
  <si>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</si>
  <si>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</si>
  <si>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</si>
  <si>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</si>
  <si>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</si>
  <si>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</si>
  <si>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</si>
  <si>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</si>
  <si>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</si>
  <si>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</si>
  <si>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</si>
  <si>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</si>
  <si>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</si>
  <si>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</si>
  <si>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</si>
  <si>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</si>
  <si>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</si>
  <si>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</si>
  <si>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</si>
  <si>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</si>
  <si>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</si>
  <si>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</si>
  <si>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</si>
  <si>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</si>
  <si>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</si>
  <si>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</si>
  <si>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</si>
  <si>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</si>
  <si>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</si>
  <si>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</si>
  <si>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</si>
  <si>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</si>
  <si>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</si>
  <si>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</si>
  <si>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</si>
  <si>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</si>
  <si>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</si>
  <si>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</si>
  <si>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</si>
  <si>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</si>
  <si>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</si>
  <si>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</si>
  <si>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</si>
  <si>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</si>
  <si>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</si>
  <si>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</si>
  <si>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</si>
  <si>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</si>
  <si>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gpu-layered</t>
  </si>
  <si>
    <t>https://networkrepository.com/fb-pages-artist.php</t>
  </si>
  <si>
    <t>FB-Pages</t>
  </si>
  <si>
    <t>Top Level Tasks</t>
  </si>
  <si>
    <t>Parallel</t>
  </si>
  <si>
    <t>Serial</t>
  </si>
  <si>
    <t>min_size</t>
  </si>
  <si>
    <t>gamma</t>
  </si>
  <si>
    <t>Flixter</t>
  </si>
  <si>
    <t>top level tasks</t>
  </si>
  <si>
    <t>Time</t>
  </si>
  <si>
    <t>fastqc final output</t>
  </si>
  <si>
    <t>X</t>
  </si>
  <si>
    <t>g2-aimd</t>
  </si>
  <si>
    <t>hybrid_to_min_ratio</t>
  </si>
  <si>
    <t>min</t>
  </si>
  <si>
    <t>P2L_ratio</t>
  </si>
  <si>
    <t>L2P_ratio</t>
  </si>
  <si>
    <t>X: &gt;=10m</t>
  </si>
  <si>
    <t>GPU_H_ratio</t>
  </si>
  <si>
    <t>CPU_H_ratio</t>
  </si>
  <si>
    <t>add experiments with 1 task to CPU</t>
  </si>
  <si>
    <t>select more a</t>
  </si>
  <si>
    <t>Memory overflow</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</si>
  <si>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</si>
  <si>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</si>
  <si>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</si>
  <si>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</si>
  <si>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</si>
  <si>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</si>
  <si>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</si>
  <si>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</si>
  <si>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</si>
  <si>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</si>
  <si>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</si>
  <si>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</si>
  <si>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cpuchunk=200, tau=1000, gpuchunk=100000</t>
  </si>
  <si>
    <t>CPU Only (30m X)</t>
  </si>
  <si>
    <t>gpu-hybrid-copy</t>
  </si>
  <si>
    <t>gpu-hybrid-drop</t>
  </si>
  <si>
    <t>x</t>
  </si>
  <si>
    <t>CPU Only (X &gt; 30m)</t>
  </si>
  <si>
    <t>Parameters:</t>
  </si>
  <si>
    <t>CPU -&gt;GPU steal</t>
  </si>
  <si>
    <t>10 million tasks</t>
  </si>
  <si>
    <t>tau</t>
  </si>
  <si>
    <t>100 ms</t>
  </si>
  <si>
    <t>100,000 vertices</t>
  </si>
  <si>
    <t xml:space="preserve">gpuchunk </t>
  </si>
  <si>
    <t>10 vertices</t>
  </si>
  <si>
    <t>ratio_min(drop, copy)2L</t>
  </si>
  <si>
    <t>ratio_G2L</t>
  </si>
  <si>
    <t>ratio_L2CG</t>
  </si>
  <si>
    <t>ratio_G2C</t>
  </si>
  <si>
    <t>ratio_min(layered, drop)2C</t>
  </si>
  <si>
    <t>why the outlier is so slow on hybrid?</t>
  </si>
  <si>
    <t>gpu-hybrid-drop (gpuchunk 100k)2</t>
  </si>
  <si>
    <t>gpu-hybrid-drop (gpuchunk 1M)</t>
  </si>
  <si>
    <t>eta values</t>
  </si>
  <si>
    <t>invalid because of large tasks</t>
  </si>
  <si>
    <t>why GPU only is slower than CPU only version in last two rows</t>
  </si>
  <si>
    <t>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</si>
</sst>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00"/>
    <numFmt numFmtId="167" formatCode="#,##0.0"/>
  </numFmts>
  <fonts count="59"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4"/>
      <color theme="0" tint="-0.249977111117893"/>
      <name val="Aptos Narrow"/>
      <family val="2"/>
      <scheme val="minor"/>
    </font>
    <font>
      <sz val="17"/>
      <color theme="1"/>
      <name val="Monaco"/>
      <family val="2"/>
    </font>
    <font>
      <sz val="17"/>
      <color theme="1" tint="0.499984740745262"/>
      <name val="Monaco"/>
      <family val="2"/>
    </font>
    <font>
      <sz val="20"/>
      <name val="Aptos Narrow"/>
      <family val="2"/>
      <scheme val="minor"/>
    </font>
    <font>
      <sz val="20"/>
      <name val="Monaco"/>
      <family val="2"/>
    </font>
    <font>
      <b/>
      <sz val="22"/>
      <color theme="1"/>
      <name val="Aptos Narrow"/>
      <scheme val="minor"/>
    </font>
    <font>
      <sz val="16"/>
      <color rgb="FFC00000"/>
      <name val="Monaco"/>
      <family val="2"/>
    </font>
    <font>
      <sz val="12"/>
      <color rgb="FFC00000"/>
      <name val="Aptos Narrow"/>
      <family val="2"/>
      <scheme val="minor"/>
    </font>
    <font>
      <b/>
      <sz val="16"/>
      <color theme="1"/>
      <name val="Monaco"/>
      <family val="2"/>
    </font>
    <font>
      <sz val="17"/>
      <color theme="0" tint="-0.34998626667073579"/>
      <name val="Monaco"/>
      <family val="2"/>
    </font>
  </fonts>
  <fills count="13">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4" tint="0.79998168889431442"/>
        <bgColor indexed="64"/>
      </patternFill>
    </fill>
  </fills>
  <borders count="13">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85">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164" fontId="35" fillId="0" borderId="0" xfId="0" applyNumberFormat="1" applyFont="1"/>
    <xf numFmtId="0" fontId="36" fillId="0" borderId="0" xfId="0" applyFont="1"/>
    <xf numFmtId="164" fontId="36" fillId="0" borderId="0" xfId="0" applyNumberFormat="1" applyFont="1"/>
    <xf numFmtId="164" fontId="37" fillId="0" borderId="0" xfId="0" applyNumberFormat="1" applyFont="1"/>
    <xf numFmtId="164" fontId="28"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166" fontId="43" fillId="8" borderId="0" xfId="0" applyNumberFormat="1" applyFont="1" applyFill="1" applyAlignment="1">
      <alignment horizontal="center"/>
    </xf>
    <xf numFmtId="2" fontId="32" fillId="0" borderId="0" xfId="0" applyNumberFormat="1" applyFont="1"/>
    <xf numFmtId="0" fontId="42" fillId="7" borderId="1" xfId="0" applyFont="1" applyFill="1" applyBorder="1"/>
    <xf numFmtId="0" fontId="42" fillId="7" borderId="0" xfId="0" applyFont="1" applyFill="1"/>
    <xf numFmtId="0" fontId="42" fillId="7" borderId="8"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xf numFmtId="3" fontId="44" fillId="0" borderId="0" xfId="0" applyNumberFormat="1" applyFont="1"/>
    <xf numFmtId="0" fontId="27" fillId="10" borderId="0" xfId="0" applyFont="1" applyFill="1"/>
    <xf numFmtId="0" fontId="0" fillId="10" borderId="0" xfId="0" applyFill="1"/>
    <xf numFmtId="164" fontId="0" fillId="10" borderId="0" xfId="0" applyNumberFormat="1" applyFill="1"/>
    <xf numFmtId="0" fontId="27" fillId="11" borderId="0" xfId="0" applyFont="1" applyFill="1"/>
    <xf numFmtId="0" fontId="0" fillId="11" borderId="0" xfId="0" applyFill="1"/>
    <xf numFmtId="164" fontId="0" fillId="11"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11" borderId="0" xfId="0" applyNumberFormat="1" applyFont="1" applyFill="1"/>
    <xf numFmtId="164" fontId="48" fillId="10" borderId="0" xfId="0" applyNumberFormat="1" applyFont="1" applyFill="1"/>
    <xf numFmtId="0" fontId="18" fillId="0" borderId="12" xfId="0" applyFont="1" applyBorder="1"/>
    <xf numFmtId="167" fontId="27" fillId="0" borderId="0" xfId="0" applyNumberFormat="1" applyFont="1"/>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33" fillId="0" borderId="0" xfId="0" applyFont="1" applyAlignment="1">
      <alignment horizontal="center"/>
    </xf>
    <xf numFmtId="0" fontId="32" fillId="0" borderId="0" xfId="0" applyFont="1" applyAlignment="1">
      <alignment horizontal="center"/>
    </xf>
    <xf numFmtId="0" fontId="18" fillId="0" borderId="9" xfId="0" applyFont="1" applyBorder="1"/>
    <xf numFmtId="0" fontId="18" fillId="0" borderId="10" xfId="0" applyFont="1" applyBorder="1"/>
    <xf numFmtId="0" fontId="18" fillId="0" borderId="10" xfId="0" applyFont="1" applyBorder="1" applyAlignment="1">
      <alignment vertical="center"/>
    </xf>
    <xf numFmtId="0" fontId="18" fillId="0" borderId="11" xfId="0" applyFont="1" applyBorder="1"/>
    <xf numFmtId="0" fontId="45" fillId="0" borderId="0" xfId="0" applyFont="1" applyBorder="1"/>
    <xf numFmtId="0" fontId="50" fillId="0" borderId="0" xfId="0" applyFont="1"/>
    <xf numFmtId="164" fontId="50" fillId="0" borderId="0" xfId="0" applyNumberFormat="1" applyFont="1"/>
    <xf numFmtId="4" fontId="19" fillId="0" borderId="0" xfId="0" applyNumberFormat="1" applyFont="1"/>
    <xf numFmtId="0" fontId="38" fillId="0" borderId="0" xfId="0" applyFont="1" applyFill="1"/>
    <xf numFmtId="0" fontId="36" fillId="0" borderId="0" xfId="0" applyFont="1" applyFill="1"/>
    <xf numFmtId="164" fontId="38" fillId="0" borderId="0" xfId="0" applyNumberFormat="1" applyFont="1" applyFill="1"/>
    <xf numFmtId="0" fontId="36" fillId="0" borderId="1" xfId="0" applyFont="1" applyBorder="1"/>
    <xf numFmtId="3" fontId="49" fillId="0" borderId="1" xfId="0" applyNumberFormat="1" applyFont="1" applyBorder="1"/>
    <xf numFmtId="3" fontId="15" fillId="0" borderId="1" xfId="0" applyNumberFormat="1" applyFont="1" applyBorder="1"/>
    <xf numFmtId="0" fontId="15" fillId="0" borderId="1" xfId="0" applyFont="1" applyBorder="1"/>
    <xf numFmtId="0" fontId="42" fillId="7" borderId="0" xfId="0" applyFont="1" applyFill="1" applyBorder="1"/>
    <xf numFmtId="0" fontId="0" fillId="0" borderId="0" xfId="0" applyFill="1"/>
    <xf numFmtId="0" fontId="4" fillId="0" borderId="0" xfId="0" applyFont="1" applyFill="1"/>
    <xf numFmtId="167" fontId="27" fillId="0" borderId="0" xfId="0" applyNumberFormat="1" applyFont="1" applyFill="1"/>
    <xf numFmtId="166" fontId="51" fillId="0" borderId="0" xfId="0" applyNumberFormat="1" applyFont="1" applyFill="1"/>
    <xf numFmtId="164" fontId="51" fillId="0" borderId="0" xfId="0" applyNumberFormat="1" applyFont="1" applyFill="1"/>
    <xf numFmtId="2" fontId="47" fillId="3" borderId="0" xfId="0" applyNumberFormat="1" applyFont="1" applyFill="1"/>
    <xf numFmtId="2" fontId="51" fillId="3" borderId="0" xfId="0" applyNumberFormat="1" applyFont="1" applyFill="1"/>
    <xf numFmtId="0" fontId="32" fillId="0" borderId="0" xfId="0" applyFont="1"/>
    <xf numFmtId="0" fontId="52" fillId="0" borderId="0" xfId="0" applyFont="1"/>
    <xf numFmtId="0" fontId="53" fillId="0" borderId="0" xfId="0" applyFont="1"/>
    <xf numFmtId="164" fontId="22" fillId="3" borderId="0" xfId="0" applyNumberFormat="1" applyFont="1" applyFill="1"/>
    <xf numFmtId="164" fontId="43" fillId="3" borderId="0" xfId="0" applyNumberFormat="1" applyFont="1" applyFill="1" applyAlignment="1">
      <alignment horizontal="center"/>
    </xf>
    <xf numFmtId="166" fontId="38" fillId="0" borderId="0" xfId="0" applyNumberFormat="1" applyFont="1" applyFill="1"/>
    <xf numFmtId="165" fontId="18" fillId="0" borderId="0" xfId="1" applyNumberFormat="1" applyFont="1" applyFill="1" applyBorder="1"/>
    <xf numFmtId="0" fontId="54" fillId="0" borderId="0" xfId="0" applyFont="1"/>
    <xf numFmtId="164" fontId="27" fillId="0" borderId="0" xfId="0" applyNumberFormat="1" applyFont="1" applyFill="1"/>
    <xf numFmtId="164" fontId="27" fillId="2" borderId="0" xfId="0" applyNumberFormat="1" applyFont="1" applyFill="1"/>
    <xf numFmtId="164" fontId="55" fillId="0" borderId="0" xfId="0" applyNumberFormat="1" applyFont="1"/>
    <xf numFmtId="0" fontId="56" fillId="0" borderId="0" xfId="0" applyFont="1"/>
    <xf numFmtId="164" fontId="22" fillId="12" borderId="0" xfId="0" applyNumberFormat="1" applyFont="1" applyFill="1" applyAlignment="1">
      <alignment horizontal="center"/>
    </xf>
    <xf numFmtId="2" fontId="27" fillId="12" borderId="0" xfId="0" applyNumberFormat="1" applyFont="1" applyFill="1"/>
    <xf numFmtId="164" fontId="27" fillId="12" borderId="0" xfId="0" applyNumberFormat="1" applyFont="1" applyFill="1"/>
    <xf numFmtId="0" fontId="38" fillId="0" borderId="1" xfId="0" applyFont="1" applyBorder="1"/>
    <xf numFmtId="1" fontId="35" fillId="0" borderId="0" xfId="0" applyNumberFormat="1" applyFont="1"/>
    <xf numFmtId="1" fontId="57" fillId="0" borderId="0" xfId="0" applyNumberFormat="1" applyFont="1"/>
    <xf numFmtId="164" fontId="6" fillId="0" borderId="0" xfId="0" applyNumberFormat="1" applyFont="1" applyFill="1"/>
    <xf numFmtId="164" fontId="25" fillId="0" borderId="0" xfId="0" applyNumberFormat="1" applyFont="1" applyFill="1"/>
    <xf numFmtId="164" fontId="25" fillId="2" borderId="0" xfId="0" applyNumberFormat="1" applyFont="1" applyFill="1"/>
    <xf numFmtId="164" fontId="6" fillId="2" borderId="0" xfId="0" applyNumberFormat="1" applyFont="1" applyFill="1"/>
    <xf numFmtId="166" fontId="58" fillId="0" borderId="0" xfId="0" applyNumberFormat="1" applyFont="1"/>
  </cellXfs>
  <cellStyles count="2">
    <cellStyle name="Comma" xfId="1" builtinId="3"/>
    <cellStyle name="Normal" xfId="0" builtinId="0"/>
  </cellStyles>
  <dxfs count="140">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8"/>
        <color theme="1"/>
        <name val="Monaco"/>
        <family val="2"/>
        <scheme val="none"/>
      </font>
      <numFmt numFmtId="166" formatCode="0.000"/>
      <fill>
        <patternFill patternType="none">
          <fgColor indexed="64"/>
          <bgColor indexed="65"/>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strike val="0"/>
        <outline val="0"/>
        <shadow val="0"/>
        <u val="none"/>
        <vertAlign val="baseline"/>
        <sz val="18"/>
        <name val="Monaco"/>
        <family val="2"/>
        <scheme val="none"/>
      </font>
      <numFmt numFmtId="0" formatCode="General"/>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7"/>
        <color theme="1" tint="0.499984740745262"/>
        <name val="Monaco"/>
        <family val="2"/>
        <scheme val="none"/>
      </font>
      <numFmt numFmtId="164" formatCode="0.0"/>
      <fill>
        <patternFill patternType="none">
          <fgColor indexed="64"/>
          <bgColor indexed="65"/>
        </patternFill>
      </fill>
    </dxf>
    <dxf>
      <font>
        <strike val="0"/>
        <outline val="0"/>
        <shadow val="0"/>
        <u val="none"/>
        <vertAlign val="baseline"/>
        <sz val="17"/>
        <color theme="1"/>
        <name val="Monaco"/>
        <family val="2"/>
        <scheme val="none"/>
      </font>
      <numFmt numFmtId="164" formatCode="0.0"/>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b val="0"/>
        <i val="0"/>
        <strike val="0"/>
        <condense val="0"/>
        <extend val="0"/>
        <outline val="0"/>
        <shadow val="0"/>
        <u val="none"/>
        <vertAlign val="baseline"/>
        <sz val="14"/>
        <color theme="0" tint="-0.249977111117893"/>
        <name val="Aptos Narrow"/>
        <family val="2"/>
        <scheme val="minor"/>
      </font>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numFmt numFmtId="3" formatCode="#,##0"/>
      <border diagonalUp="0" diagonalDown="0">
        <left/>
        <right/>
        <top style="thin">
          <color theme="4"/>
        </top>
        <bottom/>
        <vertical/>
        <horizontal/>
      </border>
    </dxf>
    <dxf>
      <border outline="0">
        <left style="thin">
          <color theme="4"/>
        </left>
        <top style="thin">
          <color theme="4"/>
        </top>
      </border>
    </dxf>
    <dxf>
      <font>
        <strike val="0"/>
        <outline val="0"/>
        <shadow val="0"/>
        <u val="none"/>
        <vertAlign val="baseline"/>
        <sz val="18"/>
        <name val="Monaco"/>
        <family val="2"/>
        <scheme val="none"/>
      </font>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7"/>
        <color auto="1"/>
        <name val="Monaco"/>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K2:AU218" totalsRowShown="0">
  <autoFilter ref="AK2:AU218" xr:uid="{F593F397-1FE6-BC4C-A81D-C0A20A850E1F}"/>
  <sortState xmlns:xlrd2="http://schemas.microsoft.com/office/spreadsheetml/2017/richdata2" ref="AK91:AS133">
    <sortCondition ref="AO2:AO218"/>
  </sortState>
  <tableColumns count="11">
    <tableColumn id="6" xr3:uid="{5DB0FBB3-0BB3-024E-AB88-924AC4951DC2}" name="selected"/>
    <tableColumn id="1" xr3:uid="{8468715E-A000-8A47-8E4B-9D2CACED6CEA}" name="dataset" dataDxfId="139"/>
    <tableColumn id="2" xr3:uid="{1803BC41-BEC8-E544-92BD-C663EA966AB2}" name="query"/>
    <tableColumn id="10" xr3:uid="{217652BF-A5E4-D54B-AB8E-21AEB3DED3A0}" name="g2aimd"/>
    <tableColumn id="3" xr3:uid="{4CBACDEA-BF51-954F-8944-FC4AE07D8CE8}" name="GPU" dataDxfId="138"/>
    <tableColumn id="5" xr3:uid="{6C5CEFD7-4CFC-F246-A6B3-B98EF3B01C6D}" name="cpuchunk=1" dataDxfId="137">
      <calculatedColumnFormula>Table7[[#This Row],[GPU]]/Table7[[#This Row],[expand mode]]</calculatedColumnFormula>
    </tableColumn>
    <tableColumn id="7" xr3:uid="{736FF2C4-3CF5-B442-B148-E21BB5DC8B13}" name="cpuchunk=10"/>
    <tableColumn id="8" xr3:uid="{ACA1C7AA-D09E-5841-B44B-0C7F61620892}" name="cpuchunk=100"/>
    <tableColumn id="9" xr3:uid="{CFB7F44E-198D-F74D-89F7-2CFB77FD3B4D}" name="GPU_chunk10_ratio" dataDxfId="136">
      <calculatedColumnFormula>Table7[[#This Row],[GPU]]/Table7[[#This Row],[cpuchunk=100]]</calculatedColumnFormula>
    </tableColumn>
    <tableColumn id="4" xr3:uid="{191AE9E6-20B3-0846-A2BC-4F940320D63B}" name="expand mode" dataDxfId="27"/>
    <tableColumn id="11" xr3:uid="{46591BF7-69A0-8B4F-8A46-B687B6F03373}" name="CPU Only (30m X)"/>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O146" totalsRowShown="0" dataDxfId="22">
  <autoFilter ref="B2:O146" xr:uid="{775A73A0-4C5B-1643-B670-C6D2F38A31E6}">
    <filterColumn colId="4">
      <customFilters>
        <customFilter operator="greaterThan" val="10"/>
      </customFilters>
    </filterColumn>
  </autoFilter>
  <sortState xmlns:xlrd2="http://schemas.microsoft.com/office/spreadsheetml/2017/richdata2" ref="B43:O83">
    <sortCondition ref="F2:F146"/>
  </sortState>
  <tableColumns count="14">
    <tableColumn id="6" xr3:uid="{035602A2-C078-8B48-907C-31F22E05D12D}" name="selected" dataDxfId="26"/>
    <tableColumn id="1" xr3:uid="{D424175F-3477-4B41-B05D-FC01FF18A9A1}" name="dataset" dataDxfId="25"/>
    <tableColumn id="2" xr3:uid="{C5A1CFE8-8313-124B-B259-B171F20526E8}" name="query" dataDxfId="24"/>
    <tableColumn id="10" xr3:uid="{A004886C-70F9-CF4E-BE5B-3AFFCAD459F9}" name="G2AIMD (pingpong)" dataDxfId="23"/>
    <tableColumn id="3" xr3:uid="{DCCAC3F0-FAED-084E-BE08-E1FE91F55051}" name="gpu-layered" dataDxfId="13"/>
    <tableColumn id="17" xr3:uid="{F94BC6BD-3BF2-6147-B367-E4E4C24D22C6}" name="Column2" dataDxfId="0"/>
    <tableColumn id="4" xr3:uid="{24CB808E-E125-D047-8878-9CE3C6E5C44A}" name="gpu-hybrid-drop" dataDxfId="12"/>
    <tableColumn id="5" xr3:uid="{CDCB45D3-67D8-7D4A-8490-CD3EDE2AC56B}" name="gpu-hybrid-copy" dataDxfId="10"/>
    <tableColumn id="14" xr3:uid="{5945F932-2B06-A745-8121-B1B714148D80}" name="ratio_G2L" dataDxfId="7">
      <calculatedColumnFormula>Table711[[#This Row],[G2AIMD (pingpong)]]/Table711[[#This Row],[gpu-layered]]</calculatedColumnFormula>
    </tableColumn>
    <tableColumn id="12" xr3:uid="{CF28FF88-4A6E-2F4E-BE88-E9E17BAD82ED}" name="ratio_min(drop, copy)2L" dataDxfId="8">
      <calculatedColumnFormula>MIN(Table711[[#This Row],[gpu-hybrid-drop]:[gpu-hybrid-copy]])/Table711[[#This Row],[gpu-layered]]</calculatedColumnFormula>
    </tableColumn>
    <tableColumn id="11" xr3:uid="{6A36B7AE-76AE-4D49-BF74-711E150755B6}" name="CPU Only (X &gt; 30m)" dataDxfId="9"/>
    <tableColumn id="7" xr3:uid="{92121CCF-D064-0749-82B0-474024F905C9}" name="CPU+GPU" dataDxfId="11"/>
    <tableColumn id="16" xr3:uid="{AE560744-0FD7-6947-A320-D0C0B4AE6E69}" name="Column1" dataDxfId="3">
      <calculatedColumnFormula>Table711[[#This Row],[CPU Only (X &gt; 30m)]]/Table711[[#This Row],[gpu-layered]]</calculatedColumnFormula>
    </tableColumn>
    <tableColumn id="15" xr3:uid="{544C33AC-C081-7346-A98E-F9836779AB4F}" name="ratio_L2CG" dataDxfId="6">
      <calculatedColumnFormula>Table711[[#This Row],[gpu-layered]]/Table711[[#This Row],[CPU+GPU]]</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W65" totalsRowShown="0" headerRowDxfId="106" dataDxfId="105">
  <autoFilter ref="C5:W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W65">
    <sortCondition descending="1" ref="M5:M65"/>
  </sortState>
  <tableColumns count="21">
    <tableColumn id="1" xr3:uid="{DCD9EDEC-8AF2-E44B-9035-1BD484B62FE1}" name="dataset" dataDxfId="104"/>
    <tableColumn id="2" xr3:uid="{571D0713-F0AE-744B-82A9-0647E85B70E4}" name="V" dataDxfId="103"/>
    <tableColumn id="3" xr3:uid="{ABD0A75D-6045-B043-A337-828FF3957B09}" name="E" dataDxfId="102"/>
    <tableColumn id="16" xr3:uid="{DB68AF15-4883-A048-BD25-976C5665D354}" name="avg_degree" dataDxfId="101">
      <calculatedColumnFormula>Table2123242526[[#This Row],[E]]/Table2123242526[[#This Row],[V]]</calculatedColumnFormula>
    </tableColumn>
    <tableColumn id="4" xr3:uid="{EDC46D59-3A43-FB4C-A363-665D3D09EB05}" name="d_max" dataDxfId="100"/>
    <tableColumn id="5" xr3:uid="{551C0AA0-56D8-3A41-B323-883BB3F745E7}" name="#MC" dataDxfId="99"/>
    <tableColumn id="13" xr3:uid="{17828130-93AE-BE4F-B56D-398C6624F065}" name="G2AIMD (pingpong)" dataDxfId="98"/>
    <tableColumn id="11" xr3:uid="{C7BED3EB-3028-664A-84CC-DEF09092CD49}" name="gpu-layered" dataDxfId="97"/>
    <tableColumn id="19" xr3:uid="{8CC5E279-42F6-0C43-A0B6-56B8DF7232A8}" name="gpu-hybrid-drop (gpuchunk 1M)" dataDxfId="2"/>
    <tableColumn id="7" xr3:uid="{58648F8D-A95F-DF4D-B296-4FEA4170FC52}" name="gpu-hybrid-drop (gpuchunk 100k)2" dataDxfId="96"/>
    <tableColumn id="20" xr3:uid="{C9E831CD-7595-D346-B2C1-BFAB27ED9C05}" name="ratio" dataDxfId="1">
      <calculatedColumnFormula>MIN(Table2123242526[[#This Row],[G2AIMD (pingpong)]:[gpu-layered]])/Table2123242526[[#This Row],[gpu-hybrid-copy]]</calculatedColumnFormula>
    </tableColumn>
    <tableColumn id="12" xr3:uid="{1DC67553-F60B-924D-B26A-702DAE3E2FF5}" name="gpu-hybrid-copy" dataDxfId="95"/>
    <tableColumn id="22" xr3:uid="{27638D44-5B8B-8F45-8E46-FBF02105E8B2}" name="CPU Only" dataDxfId="94"/>
    <tableColumn id="6" xr3:uid="{0EF7B805-A81A-8940-BA19-BE4CF8ED9743}" name="CPU+GPU" dataDxfId="93"/>
    <tableColumn id="18" xr3:uid="{5F152D57-9049-4C4D-820F-CF7ED3FC1AB9}" name="ratio_G2C" dataDxfId="4">
      <calculatedColumnFormula>Table2123242526[[#This Row],[G2AIMD (pingpong)]]/Table2123242526[[#This Row],[gpu-hybrid-copy]]</calculatedColumnFormula>
    </tableColumn>
    <tableColumn id="17" xr3:uid="{A982461B-5C18-B24B-81EC-EA70D205666C}" name="ratio_min(layered, drop)2C" dataDxfId="5">
      <calculatedColumnFormula>MIN(Table2123242526[[#This Row],[gpu-layered]:[gpu-hybrid-drop (gpuchunk 100k)2]])/Table2123242526[[#This Row],[gpu-hybrid-copy]]</calculatedColumnFormula>
    </tableColumn>
    <tableColumn id="8" xr3:uid="{D21CD819-32CC-D84C-A64E-F3C22D69ECB4}" name="min" dataDxfId="92">
      <calculatedColumnFormula>MIN(Table2123242526[[#This Row],[G2AIMD (pingpong)]], Table2123242526[[#This Row],[gpu-layered]])</calculatedColumnFormula>
    </tableColumn>
    <tableColumn id="10" xr3:uid="{7C22635A-6F19-0A4E-969C-BB2F24A517F2}" name="hybrid_to_min_ratio" dataDxfId="91">
      <calculatedColumnFormula>Table2123242526[[#This Row],[gpu-hybrid-copy]]/Table2123242526[[#This Row],[min]]</calculatedColumnFormula>
    </tableColumn>
    <tableColumn id="14" xr3:uid="{95929B9E-5DA5-0E43-9465-9B1D5425C82D}" name="P2L_ratio" dataDxfId="90">
      <calculatedColumnFormula>Table2123242526[[#This Row],[G2AIMD (pingpong)]]/Table2123242526[[#This Row],[gpu-layered]]</calculatedColumnFormula>
    </tableColumn>
    <tableColumn id="15" xr3:uid="{17D0CDA3-5847-894F-A062-711FB2BC3839}" name="L2P_ratio" dataDxfId="89">
      <calculatedColumnFormula>Table2123242526[[#This Row],[gpu-layered]]/Table2123242526[[#This Row],[G2AIMD (pingpong)]]</calculatedColumnFormula>
    </tableColumn>
    <tableColumn id="9" xr3:uid="{46255FCB-1EC0-D248-B678-F09A3FC1F276}" name="Column3" dataDxfId="88"/>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87" dataDxfId="86">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85"/>
    <tableColumn id="2" xr3:uid="{2D6E112E-7CED-794B-A963-88CDDD134190}" name="Query" dataDxfId="84"/>
    <tableColumn id="3" xr3:uid="{7CC32F26-E406-8C4C-AB92-6D186B86B7F6}" name="g2-aimd" dataDxfId="83"/>
    <tableColumn id="4" xr3:uid="{9CD7BFC7-E69D-2C40-8B35-76176ABBF416}" name="GPU Only" dataDxfId="82"/>
    <tableColumn id="5" xr3:uid="{D4F9648C-69C9-7243-AB3C-AD5466BF1E73}" name="CPU Only" dataDxfId="81"/>
    <tableColumn id="6" xr3:uid="{D31C1305-B659-8F44-9ACD-255D60A3463F}" name="CPU+GPU" dataDxfId="80"/>
    <tableColumn id="7" xr3:uid="{366D41A4-3291-0845-BB8A-CEFD6C1F999D}" name="GPU_H_ratio" dataDxfId="79">
      <calculatedColumnFormula>Table2[[#This Row],[CPU+GPU]]/Table2[[#This Row],[GPU Only]]</calculatedColumnFormula>
    </tableColumn>
    <tableColumn id="8" xr3:uid="{064F1274-B98C-2F4F-BC52-B5DFBEBD8C3D}" name="CPU_H_ratio" dataDxfId="78">
      <calculatedColumnFormula>Table2[[#This Row],[CPU Only]]/Table2[[#This Row],[CPU+GPU]]</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77" dataDxfId="76">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75"/>
    <tableColumn id="2" xr3:uid="{99F57411-E357-6146-AD2F-944EA3B99F22}" name="V" dataDxfId="74"/>
    <tableColumn id="3" xr3:uid="{5DA3F50F-6683-4740-8275-FC8B2AEBA335}" name="E" dataDxfId="73"/>
    <tableColumn id="4" xr3:uid="{927D83F2-F8F5-B542-B08E-3F1134B07F82}" name="d_max" dataDxfId="72"/>
    <tableColumn id="5" xr3:uid="{8E95BA4C-9028-0E4D-9185-262920783C20}" name="Column3" dataDxfId="71"/>
    <tableColumn id="13" xr3:uid="{318AFBDF-EF22-1E4A-85CD-495CB3CF3C71}" name="AIMD" dataDxfId="70"/>
    <tableColumn id="8" xr3:uid="{5C230B4E-7E1D-A645-B48D-91815A51AEE6}" name="Column4" dataDxfId="69"/>
    <tableColumn id="18" xr3:uid="{9C400945-3C78-F840-9780-8447CB0FA306}" name="Ours-One-warp" dataDxfId="68"/>
    <tableColumn id="21" xr3:uid="{D30286C1-C814-674F-AAC3-2D0BB6091E4C}" name="Ours" dataDxfId="67"/>
    <tableColumn id="9" xr3:uid="{165FB5C8-A66B-6B4F-855C-F795F8373EC6}" name="Column5" dataDxfId="66"/>
    <tableColumn id="10" xr3:uid="{BDEF5DE0-0613-924A-A15D-0D8027906427}" name="Imp. One Warp" dataDxfId="65">
      <calculatedColumnFormula>IFERROR(Table21232425[[#This Row],[AIMD]]/Table21232425[[#This Row],[Ours-One-warp]], "NONE")</calculatedColumnFormula>
    </tableColumn>
    <tableColumn id="11" xr3:uid="{F9DF35F2-8695-BF48-8954-6D40FC01ED76}" name="Impr. Ours" dataDxfId="64">
      <calculatedColumnFormula>IFERROR(Table21232425[[#This Row],[AIMD]]/Table21232425[[#This Row],[Ours]], "NONE")</calculatedColumnFormula>
    </tableColumn>
    <tableColumn id="12" xr3:uid="{757CB4BA-7334-0E43-BB3B-4096363E8DCD}" name="Column54" dataDxfId="63"/>
    <tableColumn id="22" xr3:uid="{BDD89152-D598-A741-AB88-00948177B5F5}" name="Column14" dataDxfId="62"/>
    <tableColumn id="6" xr3:uid="{552442CE-C2A8-A144-A063-3B1AE4C1A620}" name="P100" dataDxfId="61"/>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60" dataDxfId="59">
  <autoFilter ref="C5:N68" xr:uid="{C2D1855A-F6DE-F647-932C-7E457E008762}"/>
  <sortState xmlns:xlrd2="http://schemas.microsoft.com/office/spreadsheetml/2017/richdata2" ref="C6:N68">
    <sortCondition ref="E5:E68"/>
  </sortState>
  <tableColumns count="12">
    <tableColumn id="7" xr3:uid="{BF239966-238E-AA44-B939-6E5FDC5F71B0}" name="Column2" dataDxfId="58"/>
    <tableColumn id="1" xr3:uid="{07A3267A-F3CC-4549-8CF2-689C95F4D970}" name="Column1" dataDxfId="57"/>
    <tableColumn id="2" xr3:uid="{5888CD12-EF96-DC47-B986-D3BEE536C817}" name="V" dataDxfId="56"/>
    <tableColumn id="3" xr3:uid="{E88B6B80-2EC0-B643-8B7D-095946923F1D}" name="E" dataDxfId="55"/>
    <tableColumn id="4" xr3:uid="{87770781-C48A-7241-901E-9BB9E192477A}" name="d_max" dataDxfId="54"/>
    <tableColumn id="5" xr3:uid="{0F006EB6-C45E-2342-94F3-1EEE253AEDDF}" name="Column3" dataDxfId="53"/>
    <tableColumn id="6" xr3:uid="{45ACA3DD-1024-154B-99F8-E8731884AA56}" name="degen" dataDxfId="52"/>
    <tableColumn id="9" xr3:uid="{C8F5D7A0-26AC-5B4B-A5BF-ECBA904E8B5F}" name="L1+IP" dataDxfId="51"/>
    <tableColumn id="10" xr3:uid="{148621AF-82D1-754C-8A17-F205D10E7546}" name="L1+IPX" dataDxfId="50"/>
    <tableColumn id="11" xr3:uid="{CF2EDA69-7981-DA4B-BC59-275E2B7DD8FF}" name="L2+IP" dataDxfId="49"/>
    <tableColumn id="12" xr3:uid="{A44BD5E2-6546-F946-9DAB-F0E75D944E17}" name="L2+IPX" dataDxfId="48"/>
    <tableColumn id="13" xr3:uid="{41C9E2A0-948C-0449-9519-4FD1DD7303F3}" name="Column6" dataDxfId="47"/>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120" dataDxfId="119">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descending="1" ref="H5:H65"/>
  </sortState>
  <tableColumns count="12">
    <tableColumn id="1" xr3:uid="{45FBE749-E1E4-164F-A352-F1B4961F1774}" name="dataset" dataDxfId="118"/>
    <tableColumn id="2" xr3:uid="{02357CAC-0BD3-9E4B-A9E0-917B12066564}" name="V" dataDxfId="117"/>
    <tableColumn id="3" xr3:uid="{5219B515-C0A3-4547-ACA9-47BBABAF72D3}" name="E" dataDxfId="116"/>
    <tableColumn id="4" xr3:uid="{2AE1DABE-8B06-1046-BCBE-1F40336F2F8D}" name="d_max" dataDxfId="115"/>
    <tableColumn id="5" xr3:uid="{C86C8D6B-3195-3F4F-96F4-F708FE6B00BC}" name="#MC" dataDxfId="114"/>
    <tableColumn id="13" xr3:uid="{509970CF-BF55-9444-B9C2-72DD611171C6}" name="G2AIMD" dataDxfId="113"/>
    <tableColumn id="8" xr3:uid="{C77600D2-A754-234A-9C56-EA9994B7275F}" name="CPU Only" dataDxfId="112"/>
    <tableColumn id="11" xr3:uid="{AC9D9F95-859B-354D-B20B-C85B8310D54A}" name="No pingpong" dataDxfId="111"/>
    <tableColumn id="6" xr3:uid="{00BE533A-C453-454B-956C-207F1D177DD9}" name="Column1" dataDxfId="110"/>
    <tableColumn id="7" xr3:uid="{DD735CFC-5929-E243-AB53-B4DFD67E3788}" name="CPU+GPU" dataDxfId="109"/>
    <tableColumn id="9" xr3:uid="{CD0D6AF1-B07D-174C-8489-ADE055FDC18D}" name="Column3" dataDxfId="108"/>
    <tableColumn id="10" xr3:uid="{83EA63C7-27BC-B04E-BFA6-C8ED05A7434C}" name="Column5" dataDxfId="107"/>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35" dataDxfId="134">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33"/>
    <tableColumn id="2" xr3:uid="{4CA00932-10CB-7242-9605-49C2DA3903A7}" name="V" dataDxfId="132"/>
    <tableColumn id="3" xr3:uid="{21570761-C185-8A43-A5B5-40064CE0EB46}" name="E" dataDxfId="131"/>
    <tableColumn id="4" xr3:uid="{DE0EE7AB-FF9F-9444-A3CE-ED0CE1C6F973}" name="d_max" dataDxfId="130"/>
    <tableColumn id="5" xr3:uid="{E5AC7CCD-B087-B94F-B6E3-D6BB8C84612A}" name="#MC" dataDxfId="129"/>
    <tableColumn id="13" xr3:uid="{D63975A4-7A47-B14E-B1F3-45D05D7759C5}" name="k" dataDxfId="128"/>
    <tableColumn id="8" xr3:uid="{A05DC304-EB27-FB42-A647-BE3A4AC04A40}" name="g" dataDxfId="127"/>
    <tableColumn id="11" xr3:uid="{B6F311BE-FEB9-1E41-80C7-77BC3AE1CC38}" name="Column4" dataDxfId="126"/>
    <tableColumn id="12" xr3:uid="{5F3B423D-E39D-A54A-8E40-5B0FF4A51DB7}" name="Column5" dataDxfId="125"/>
    <tableColumn id="22" xr3:uid="{B28C92C6-3B5F-3D4F-AE63-FA7C5A773801}" name="Column6" dataDxfId="124"/>
    <tableColumn id="6" xr3:uid="{0808855D-658E-A045-8C1C-56022CE500C1}" name="Column7" dataDxfId="123"/>
    <tableColumn id="7" xr3:uid="{23D665A5-EE7E-5B4E-9964-48FA5C9F438F}" name="Column8" dataDxfId="122"/>
    <tableColumn id="9" xr3:uid="{1B24FDF3-D187-D64C-A634-DA395DE6E3A6}" name="Column3" dataDxfId="121"/>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CEF186-5E4D-F74F-8481-B0DCDC51754D}" name="Table11" displayName="Table11" ref="A4:E27" totalsRowShown="0" headerRowDxfId="14" dataDxfId="15" tableBorderDxfId="21">
  <autoFilter ref="A4:E27" xr:uid="{E4CEF186-5E4D-F74F-8481-B0DCDC51754D}"/>
  <sortState xmlns:xlrd2="http://schemas.microsoft.com/office/spreadsheetml/2017/richdata2" ref="A5:E30">
    <sortCondition ref="A4:A30"/>
  </sortState>
  <tableColumns count="5">
    <tableColumn id="1" xr3:uid="{0DF62002-2402-DC45-B774-8359050BA5AB}" name="dataset" dataDxfId="20"/>
    <tableColumn id="2" xr3:uid="{E6188E17-A10C-4545-B48B-A53661D320DB}" name="V" dataDxfId="19"/>
    <tableColumn id="3" xr3:uid="{EE354D71-5480-4C47-A193-930664907DD0}" name="E" dataDxfId="18"/>
    <tableColumn id="4" xr3:uid="{FBBA7B48-2044-F64D-B80B-230FDC7E1AB3}" name="avg_degree" dataDxfId="17"/>
    <tableColumn id="5" xr3:uid="{E7CAFF0E-6D25-364B-81E9-70125D1ED7FE}" name="d_max" dataDxfId="16"/>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46" dataDxfId="45">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44"/>
    <tableColumn id="2" xr3:uid="{B6BA1FB8-7E1D-C042-AA80-EB33EEF07489}" name="Column2" dataDxfId="43"/>
    <tableColumn id="3" xr3:uid="{3D672021-12CF-7E44-B929-F19CA72D60EC}" name="Column3" dataDxfId="42"/>
    <tableColumn id="4" xr3:uid="{E67ACF71-76CE-354C-BC0B-A74B8388BAB6}" name="Column4" dataDxfId="41"/>
    <tableColumn id="5" xr3:uid="{7230C838-1B3B-0B48-95A0-052BC39D44C0}" name="Column5" dataDxfId="40"/>
    <tableColumn id="6" xr3:uid="{AE57CC59-63EA-7B49-A644-2CB81B9D0778}" name="Avg" dataDxfId="39">
      <calculatedColumnFormula>G2/F2</calculatedColumnFormula>
    </tableColumn>
    <tableColumn id="7" xr3:uid="{6EEE6663-215D-4A4B-BD28-E520BA613AB9}" name="DS" dataDxfId="38"/>
    <tableColumn id="8" xr3:uid="{B4275871-ABC6-FF4E-BBC0-2DFB27420938}" name="Column6" dataDxfId="37">
      <calculatedColumnFormula>"http://konect.cc/files/download.tsv."&amp;I2&amp;".tar.bz2"</calculatedColumnFormula>
    </tableColumn>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36" dataDxfId="35" tableBorderDxfId="34">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33"/>
    <tableColumn id="2" xr3:uid="{6CAE8E08-8011-8645-8C1D-572AD42A255C}" name="V" dataDxfId="32"/>
    <tableColumn id="3" xr3:uid="{061E8B13-2CA6-A441-9C80-F42E2F090D03}" name="E" dataDxfId="31"/>
    <tableColumn id="4" xr3:uid="{20CDF773-C4D3-974A-9358-6905826D00BD}" name="avg_degree" dataDxfId="30">
      <calculatedColumnFormula>Table4[[#This Row],[E]]/Table4[[#This Row],[V]]</calculatedColumnFormula>
    </tableColumn>
    <tableColumn id="5" xr3:uid="{941262D5-9BF7-A44F-9261-04A432C92C2E}" name="d_max" dataDxfId="29"/>
    <tableColumn id="6" xr3:uid="{E90FCA38-7D9E-0248-B762-0A09964B4AB4}" name="selected" dataDxfId="28"/>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T218"/>
  <sheetViews>
    <sheetView tabSelected="1" zoomScale="87" workbookViewId="0">
      <selection activeCell="G48" sqref="G48"/>
    </sheetView>
  </sheetViews>
  <sheetFormatPr baseColWidth="10" defaultRowHeight="16" x14ac:dyDescent="0.2"/>
  <cols>
    <col min="3" max="3" width="51.1640625" bestFit="1" customWidth="1"/>
    <col min="4" max="10" width="26.6640625" customWidth="1"/>
    <col min="11" max="11" width="30.83203125" style="155" bestFit="1" customWidth="1"/>
    <col min="12" max="12" width="26.6640625" customWidth="1"/>
    <col min="13" max="13" width="18" customWidth="1"/>
    <col min="14" max="14" width="15.1640625" bestFit="1" customWidth="1"/>
    <col min="15" max="15" width="26.6640625" customWidth="1"/>
    <col min="16" max="17" width="22.83203125" customWidth="1"/>
    <col min="20" max="20" width="23.1640625" bestFit="1" customWidth="1"/>
    <col min="41" max="41" width="32.33203125" customWidth="1"/>
    <col min="44" max="44" width="14.5" customWidth="1"/>
    <col min="45" max="45" width="19.6640625" bestFit="1" customWidth="1"/>
    <col min="46" max="48" width="22.83203125" customWidth="1"/>
    <col min="49" max="49" width="28.5" bestFit="1" customWidth="1"/>
    <col min="50" max="50" width="22.83203125" customWidth="1"/>
    <col min="52" max="52" width="23.1640625" bestFit="1" customWidth="1"/>
  </cols>
  <sheetData>
    <row r="1" spans="2:46" ht="33" thickBot="1" x14ac:dyDescent="0.45">
      <c r="M1" s="122"/>
      <c r="N1" s="143"/>
      <c r="AO1" s="122"/>
      <c r="AP1" s="122" t="s">
        <v>3935</v>
      </c>
      <c r="AQ1" s="122"/>
      <c r="AR1" s="123"/>
      <c r="AS1" s="124"/>
    </row>
    <row r="2" spans="2:46" ht="29" x14ac:dyDescent="0.35">
      <c r="B2" t="s">
        <v>4005</v>
      </c>
      <c r="C2" s="99" t="s">
        <v>25</v>
      </c>
      <c r="D2" s="99" t="s">
        <v>4006</v>
      </c>
      <c r="E2" s="13" t="s">
        <v>3976</v>
      </c>
      <c r="F2" s="13" t="s">
        <v>3977</v>
      </c>
      <c r="G2" s="13" t="s">
        <v>20</v>
      </c>
      <c r="H2" s="13" t="s">
        <v>4016</v>
      </c>
      <c r="I2" s="13" t="s">
        <v>4015</v>
      </c>
      <c r="J2" s="13" t="s">
        <v>4028</v>
      </c>
      <c r="K2" s="156" t="s">
        <v>4027</v>
      </c>
      <c r="L2" s="80" t="s">
        <v>4018</v>
      </c>
      <c r="M2" s="99" t="s">
        <v>3935</v>
      </c>
      <c r="N2" s="99" t="s">
        <v>19</v>
      </c>
      <c r="O2" t="s">
        <v>4029</v>
      </c>
      <c r="P2" t="s">
        <v>4019</v>
      </c>
      <c r="AJ2" t="s">
        <v>4005</v>
      </c>
      <c r="AK2" s="99" t="s">
        <v>25</v>
      </c>
      <c r="AL2" s="99" t="s">
        <v>4006</v>
      </c>
      <c r="AM2" t="s">
        <v>3959</v>
      </c>
      <c r="AN2" s="127" t="s">
        <v>4007</v>
      </c>
      <c r="AO2" s="99" t="s">
        <v>4008</v>
      </c>
      <c r="AP2" s="99" t="s">
        <v>4009</v>
      </c>
      <c r="AQ2" s="99" t="s">
        <v>4010</v>
      </c>
      <c r="AR2" s="99" t="s">
        <v>4011</v>
      </c>
      <c r="AS2" s="99" t="s">
        <v>4012</v>
      </c>
      <c r="AT2" s="80" t="s">
        <v>4014</v>
      </c>
    </row>
    <row r="3" spans="2:46" ht="26" hidden="1" x14ac:dyDescent="0.35">
      <c r="B3" s="147"/>
      <c r="C3" s="148" t="s">
        <v>1408</v>
      </c>
      <c r="D3" s="147">
        <v>9</v>
      </c>
      <c r="E3" s="149">
        <v>0.29519200000000001</v>
      </c>
      <c r="F3" s="149">
        <v>0.117589</v>
      </c>
      <c r="G3" s="149"/>
      <c r="H3" s="149">
        <v>0.92580499999999999</v>
      </c>
      <c r="I3" s="149">
        <v>0.88711899999999999</v>
      </c>
      <c r="J3" s="149">
        <f>Table711[[#This Row],[G2AIMD (pingpong)]]/Table711[[#This Row],[gpu-layered]]</f>
        <v>2.5103708680233696</v>
      </c>
      <c r="K3" s="159">
        <f>MIN(Table711[[#This Row],[gpu-hybrid-drop]:[gpu-hybrid-copy]])/Table711[[#This Row],[gpu-layered]]</f>
        <v>7.5442345797651145</v>
      </c>
      <c r="L3" s="145">
        <v>0.135495</v>
      </c>
      <c r="M3" s="149">
        <v>0.80822000000000005</v>
      </c>
      <c r="N3" s="149">
        <f>Table711[[#This Row],[CPU Only (X &gt; 30m)]]/Table711[[#This Row],[gpu-layered]]</f>
        <v>1.1522761482791759</v>
      </c>
      <c r="O3" s="147">
        <f>Table711[[#This Row],[gpu-layered]]/Table711[[#This Row],[CPU+GPU]]</f>
        <v>0.14549132661898986</v>
      </c>
      <c r="AK3" s="77" t="s">
        <v>1408</v>
      </c>
      <c r="AL3">
        <v>9</v>
      </c>
      <c r="AN3" s="2">
        <v>0.117589</v>
      </c>
      <c r="AO3" s="105">
        <f ca="1">Table7[[#This Row],[GPU]]/Table7[[#This Row],[expand mode]]</f>
        <v>2.184897526895706</v>
      </c>
      <c r="AR3" s="105" t="e">
        <f ca="1">Table7[[#This Row],[GPU]]/Table7[[#This Row],[cpuchunk=100]]</f>
        <v>#DIV/0!</v>
      </c>
      <c r="AS3" s="2">
        <v>5.3818999999999999E-2</v>
      </c>
    </row>
    <row r="4" spans="2:46" ht="26" hidden="1" x14ac:dyDescent="0.35">
      <c r="B4" s="147"/>
      <c r="C4" s="148" t="s">
        <v>1408</v>
      </c>
      <c r="D4" s="147">
        <v>7</v>
      </c>
      <c r="E4" s="149">
        <v>0.47237400000000002</v>
      </c>
      <c r="F4" s="149">
        <v>0.25453300000000001</v>
      </c>
      <c r="G4" s="149"/>
      <c r="H4" s="149">
        <v>1.192909</v>
      </c>
      <c r="I4" s="149">
        <v>1.179624</v>
      </c>
      <c r="J4" s="149">
        <f>Table711[[#This Row],[G2AIMD (pingpong)]]/Table711[[#This Row],[gpu-layered]]</f>
        <v>1.8558458038839758</v>
      </c>
      <c r="K4" s="159">
        <f>MIN(Table711[[#This Row],[gpu-hybrid-drop]:[gpu-hybrid-copy]])/Table711[[#This Row],[gpu-layered]]</f>
        <v>4.6344639005551338</v>
      </c>
      <c r="L4" s="145">
        <v>95.055833000000007</v>
      </c>
      <c r="M4" s="149">
        <v>3.66</v>
      </c>
      <c r="N4" s="149">
        <f>Table711[[#This Row],[CPU Only (X &gt; 30m)]]/Table711[[#This Row],[gpu-layered]]</f>
        <v>373.45190211092472</v>
      </c>
      <c r="O4" s="147">
        <f>Table711[[#This Row],[gpu-layered]]/Table711[[#This Row],[CPU+GPU]]</f>
        <v>6.9544535519125678E-2</v>
      </c>
      <c r="AK4" s="77" t="s">
        <v>1346</v>
      </c>
      <c r="AL4">
        <v>24</v>
      </c>
      <c r="AN4" s="2">
        <v>0.170796</v>
      </c>
      <c r="AO4" s="105">
        <f ca="1">Table7[[#This Row],[GPU]]/Table7[[#This Row],[expand mode]]</f>
        <v>0.50613570562837273</v>
      </c>
      <c r="AR4" s="105" t="e">
        <f ca="1">Table7[[#This Row],[GPU]]/Table7[[#This Row],[cpuchunk=100]]</f>
        <v>#DIV/0!</v>
      </c>
      <c r="AS4" s="2">
        <v>0.337451</v>
      </c>
    </row>
    <row r="5" spans="2:46" ht="26" hidden="1" x14ac:dyDescent="0.35">
      <c r="B5" s="147"/>
      <c r="C5" s="148" t="s">
        <v>3919</v>
      </c>
      <c r="D5" s="147">
        <v>2</v>
      </c>
      <c r="E5" s="149">
        <v>2.1774770000000001</v>
      </c>
      <c r="F5" s="149">
        <v>0.35126800000000002</v>
      </c>
      <c r="G5" s="149"/>
      <c r="H5" s="149">
        <v>0.24104999999999999</v>
      </c>
      <c r="I5" s="149">
        <v>0.26249400000000001</v>
      </c>
      <c r="J5" s="149">
        <f>Table711[[#This Row],[G2AIMD (pingpong)]]/Table711[[#This Row],[gpu-layered]]</f>
        <v>6.1989051094890506</v>
      </c>
      <c r="K5" s="159">
        <f>MIN(Table711[[#This Row],[gpu-hybrid-drop]:[gpu-hybrid-copy]])/Table711[[#This Row],[gpu-layered]]</f>
        <v>0.68622817905416933</v>
      </c>
      <c r="L5" s="145">
        <v>5.7128509999999997</v>
      </c>
      <c r="M5" s="149">
        <v>1.1177680000000001</v>
      </c>
      <c r="N5" s="149">
        <f>Table711[[#This Row],[CPU Only (X &gt; 30m)]]/Table711[[#This Row],[gpu-layered]]</f>
        <v>16.26351105139096</v>
      </c>
      <c r="O5" s="147">
        <f>Table711[[#This Row],[gpu-layered]]/Table711[[#This Row],[CPU+GPU]]</f>
        <v>0.31425841498414697</v>
      </c>
      <c r="R5" t="s">
        <v>4001</v>
      </c>
      <c r="AK5" s="77" t="s">
        <v>1371</v>
      </c>
      <c r="AL5">
        <v>24</v>
      </c>
      <c r="AN5" s="2">
        <v>0.18123400000000001</v>
      </c>
      <c r="AO5" s="105">
        <f ca="1">Table7[[#This Row],[GPU]]/Table7[[#This Row],[expand mode]]</f>
        <v>0.82478064586594835</v>
      </c>
      <c r="AR5" s="105" t="e">
        <f ca="1">Table7[[#This Row],[GPU]]/Table7[[#This Row],[cpuchunk=100]]</f>
        <v>#DIV/0!</v>
      </c>
      <c r="AS5" s="2">
        <v>0.21973599999999999</v>
      </c>
    </row>
    <row r="6" spans="2:46" ht="26" hidden="1" x14ac:dyDescent="0.35">
      <c r="B6" s="147"/>
      <c r="C6" s="148" t="s">
        <v>1371</v>
      </c>
      <c r="D6" s="147">
        <v>2</v>
      </c>
      <c r="E6" s="149">
        <v>2.2413180000000001</v>
      </c>
      <c r="F6" s="149">
        <v>0.39108199999999999</v>
      </c>
      <c r="G6" s="149"/>
      <c r="H6" s="149">
        <v>0.35917199999999999</v>
      </c>
      <c r="I6" s="149">
        <v>0.35967500000000002</v>
      </c>
      <c r="J6" s="149">
        <f>Table711[[#This Row],[G2AIMD (pingpong)]]/Table711[[#This Row],[gpu-layered]]</f>
        <v>5.7310691875361179</v>
      </c>
      <c r="K6" s="159">
        <f>MIN(Table711[[#This Row],[gpu-hybrid-drop]:[gpu-hybrid-copy]])/Table711[[#This Row],[gpu-layered]]</f>
        <v>0.91840585861788582</v>
      </c>
      <c r="L6" s="145">
        <v>18.897711999999999</v>
      </c>
      <c r="M6" s="149">
        <v>3.5</v>
      </c>
      <c r="N6" s="149">
        <f>Table711[[#This Row],[CPU Only (X &gt; 30m)]]/Table711[[#This Row],[gpu-layered]]</f>
        <v>48.321610301675861</v>
      </c>
      <c r="O6" s="147">
        <f>Table711[[#This Row],[gpu-layered]]/Table711[[#This Row],[CPU+GPU]]</f>
        <v>0.11173771428571429</v>
      </c>
      <c r="R6" t="s">
        <v>4002</v>
      </c>
      <c r="AK6" s="77" t="s">
        <v>1408</v>
      </c>
      <c r="AL6">
        <v>7</v>
      </c>
      <c r="AN6" s="2">
        <v>0.25453300000000001</v>
      </c>
      <c r="AO6" s="105">
        <f ca="1">Table7[[#This Row],[GPU]]/Table7[[#This Row],[expand mode]]</f>
        <v>0.24474326923076922</v>
      </c>
      <c r="AR6" s="105" t="e">
        <f ca="1">Table7[[#This Row],[GPU]]/Table7[[#This Row],[cpuchunk=100]]</f>
        <v>#DIV/0!</v>
      </c>
      <c r="AS6" s="2">
        <v>1.04</v>
      </c>
    </row>
    <row r="7" spans="2:46" ht="26" hidden="1" x14ac:dyDescent="0.35">
      <c r="B7" s="147"/>
      <c r="C7" s="148" t="s">
        <v>1391</v>
      </c>
      <c r="D7" s="147">
        <v>9</v>
      </c>
      <c r="E7" s="149">
        <v>0.66364400000000001</v>
      </c>
      <c r="F7" s="149">
        <v>0.40964400000000001</v>
      </c>
      <c r="G7" s="149"/>
      <c r="H7" s="149">
        <v>1.749892</v>
      </c>
      <c r="I7" s="149">
        <v>1.7647679999999999</v>
      </c>
      <c r="J7" s="149">
        <f>Table711[[#This Row],[G2AIMD (pingpong)]]/Table711[[#This Row],[gpu-layered]]</f>
        <v>1.6200505805040475</v>
      </c>
      <c r="K7" s="159">
        <f>MIN(Table711[[#This Row],[gpu-hybrid-drop]:[gpu-hybrid-copy]])/Table711[[#This Row],[gpu-layered]]</f>
        <v>4.2717383874779076</v>
      </c>
      <c r="L7" s="145">
        <v>15.837813000000001</v>
      </c>
      <c r="M7" s="149">
        <v>1.7730490000000001</v>
      </c>
      <c r="N7" s="149">
        <f>Table711[[#This Row],[CPU Only (X &gt; 30m)]]/Table711[[#This Row],[gpu-layered]]</f>
        <v>38.662382458915545</v>
      </c>
      <c r="O7" s="147">
        <f>Table711[[#This Row],[gpu-layered]]/Table711[[#This Row],[CPU+GPU]]</f>
        <v>0.23103930009830523</v>
      </c>
      <c r="AK7" s="77" t="s">
        <v>3919</v>
      </c>
      <c r="AL7">
        <v>24</v>
      </c>
      <c r="AN7" s="2">
        <v>0.27111200000000002</v>
      </c>
      <c r="AO7" s="105">
        <f ca="1">Table7[[#This Row],[GPU]]/Table7[[#This Row],[expand mode]]</f>
        <v>1.0106277095813405</v>
      </c>
      <c r="AR7" s="105" t="e">
        <f ca="1">Table7[[#This Row],[GPU]]/Table7[[#This Row],[cpuchunk=100]]</f>
        <v>#DIV/0!</v>
      </c>
      <c r="AS7" s="2">
        <v>0.26826100000000003</v>
      </c>
    </row>
    <row r="8" spans="2:46" ht="26" hidden="1" x14ac:dyDescent="0.35">
      <c r="B8" s="147"/>
      <c r="C8" s="148" t="s">
        <v>3912</v>
      </c>
      <c r="D8" s="147">
        <v>2</v>
      </c>
      <c r="E8" s="149">
        <v>0.51276999999999995</v>
      </c>
      <c r="F8" s="149">
        <v>0.57725099999999996</v>
      </c>
      <c r="G8" s="149"/>
      <c r="H8" s="149">
        <v>0.68838699999999997</v>
      </c>
      <c r="I8" s="149">
        <v>0.68419399999999997</v>
      </c>
      <c r="J8" s="149">
        <f>Table711[[#This Row],[G2AIMD (pingpong)]]/Table711[[#This Row],[gpu-layered]]</f>
        <v>0.88829642564499667</v>
      </c>
      <c r="K8" s="159">
        <f>MIN(Table711[[#This Row],[gpu-hybrid-drop]:[gpu-hybrid-copy]])/Table711[[#This Row],[gpu-layered]]</f>
        <v>1.1852625634256155</v>
      </c>
      <c r="L8" s="145">
        <v>9.4467379999999999</v>
      </c>
      <c r="M8" s="149">
        <v>2.1800000000000002</v>
      </c>
      <c r="N8" s="149">
        <f>Table711[[#This Row],[CPU Only (X &gt; 30m)]]/Table711[[#This Row],[gpu-layered]]</f>
        <v>16.365043975670897</v>
      </c>
      <c r="O8" s="147">
        <f>Table711[[#This Row],[gpu-layered]]/Table711[[#This Row],[CPU+GPU]]</f>
        <v>0.26479403669724766</v>
      </c>
      <c r="R8" t="s">
        <v>4003</v>
      </c>
      <c r="AK8" s="77" t="s">
        <v>1425</v>
      </c>
      <c r="AL8">
        <v>24</v>
      </c>
      <c r="AN8" s="2">
        <v>0.27822200000000002</v>
      </c>
      <c r="AO8" s="105">
        <f ca="1">Table7[[#This Row],[GPU]]/Table7[[#This Row],[expand mode]]</f>
        <v>0.6852302925667505</v>
      </c>
      <c r="AR8" s="105" t="e">
        <f ca="1">Table7[[#This Row],[GPU]]/Table7[[#This Row],[cpuchunk=100]]</f>
        <v>#DIV/0!</v>
      </c>
      <c r="AS8" s="2">
        <v>0.40602700000000003</v>
      </c>
    </row>
    <row r="9" spans="2:46" ht="26" hidden="1" x14ac:dyDescent="0.35">
      <c r="B9" s="147"/>
      <c r="C9" s="148" t="s">
        <v>1371</v>
      </c>
      <c r="D9" s="147">
        <v>9</v>
      </c>
      <c r="E9" s="149">
        <v>2.5862780000000001</v>
      </c>
      <c r="F9" s="149">
        <v>0.67302200000000001</v>
      </c>
      <c r="G9" s="149"/>
      <c r="H9" s="149">
        <v>0.51905400000000002</v>
      </c>
      <c r="I9" s="149">
        <v>0.51527199999999995</v>
      </c>
      <c r="J9" s="149">
        <f>Table711[[#This Row],[G2AIMD (pingpong)]]/Table711[[#This Row],[gpu-layered]]</f>
        <v>3.842783742581966</v>
      </c>
      <c r="K9" s="159">
        <f>MIN(Table711[[#This Row],[gpu-hybrid-drop]:[gpu-hybrid-copy]])/Table711[[#This Row],[gpu-layered]]</f>
        <v>0.7656094451592963</v>
      </c>
      <c r="L9" s="145">
        <v>22.9221</v>
      </c>
      <c r="M9" s="149">
        <v>4.04</v>
      </c>
      <c r="N9" s="149">
        <f>Table711[[#This Row],[CPU Only (X &gt; 30m)]]/Table711[[#This Row],[gpu-layered]]</f>
        <v>34.05847059977237</v>
      </c>
      <c r="O9" s="147">
        <f>Table711[[#This Row],[gpu-layered]]/Table711[[#This Row],[CPU+GPU]]</f>
        <v>0.16658960396039604</v>
      </c>
      <c r="AK9" s="77" t="s">
        <v>1371</v>
      </c>
      <c r="AL9">
        <v>25</v>
      </c>
      <c r="AN9" s="2">
        <v>0.29469600000000001</v>
      </c>
      <c r="AO9" s="105">
        <f ca="1">Table7[[#This Row],[GPU]]/Table7[[#This Row],[expand mode]]</f>
        <v>0.68562973165386287</v>
      </c>
      <c r="AR9" s="105" t="e">
        <f ca="1">Table7[[#This Row],[GPU]]/Table7[[#This Row],[cpuchunk=100]]</f>
        <v>#DIV/0!</v>
      </c>
      <c r="AS9" s="2">
        <v>0.42981799999999998</v>
      </c>
    </row>
    <row r="10" spans="2:46" ht="26" hidden="1" x14ac:dyDescent="0.35">
      <c r="B10" s="147"/>
      <c r="C10" s="148" t="s">
        <v>1346</v>
      </c>
      <c r="D10" s="147">
        <v>2</v>
      </c>
      <c r="E10" s="149">
        <v>2.4068320000000001</v>
      </c>
      <c r="F10" s="149">
        <v>0.71216500000000005</v>
      </c>
      <c r="G10" s="149"/>
      <c r="H10" s="149">
        <v>0.750668</v>
      </c>
      <c r="I10" s="149">
        <v>0.87592300000000001</v>
      </c>
      <c r="J10" s="149">
        <f>Table711[[#This Row],[G2AIMD (pingpong)]]/Table711[[#This Row],[gpu-layered]]</f>
        <v>3.3795988289230725</v>
      </c>
      <c r="K10" s="159">
        <f>MIN(Table711[[#This Row],[gpu-hybrid-drop]:[gpu-hybrid-copy]])/Table711[[#This Row],[gpu-layered]]</f>
        <v>1.0540647181481819</v>
      </c>
      <c r="L10" s="145">
        <v>22.320332000000001</v>
      </c>
      <c r="M10" s="149">
        <v>4.82</v>
      </c>
      <c r="N10" s="149">
        <f>Table711[[#This Row],[CPU Only (X &gt; 30m)]]/Table711[[#This Row],[gpu-layered]]</f>
        <v>31.341517766247989</v>
      </c>
      <c r="O10" s="147">
        <f>Table711[[#This Row],[gpu-layered]]/Table711[[#This Row],[CPU+GPU]]</f>
        <v>0.14775207468879667</v>
      </c>
      <c r="AK10" s="77" t="s">
        <v>1437</v>
      </c>
      <c r="AL10">
        <v>24</v>
      </c>
      <c r="AN10" s="2">
        <v>0.29792999999999997</v>
      </c>
      <c r="AO10" s="105">
        <f ca="1">Table7[[#This Row],[GPU]]/Table7[[#This Row],[expand mode]]</f>
        <v>0.71661198610696852</v>
      </c>
      <c r="AR10" s="105" t="e">
        <f ca="1">Table7[[#This Row],[GPU]]/Table7[[#This Row],[cpuchunk=100]]</f>
        <v>#DIV/0!</v>
      </c>
      <c r="AS10" s="2">
        <v>0.41574800000000001</v>
      </c>
    </row>
    <row r="11" spans="2:46" ht="26" hidden="1" x14ac:dyDescent="0.35">
      <c r="B11" s="147"/>
      <c r="C11" s="148" t="s">
        <v>3919</v>
      </c>
      <c r="D11" s="147">
        <v>9</v>
      </c>
      <c r="E11" s="149">
        <v>2.8009819999999999</v>
      </c>
      <c r="F11" s="149">
        <v>0.948967</v>
      </c>
      <c r="G11" s="149"/>
      <c r="H11" s="149">
        <v>0.70466700000000004</v>
      </c>
      <c r="I11" s="149">
        <v>0.70522399999999996</v>
      </c>
      <c r="J11" s="149">
        <f>Table711[[#This Row],[G2AIMD (pingpong)]]/Table711[[#This Row],[gpu-layered]]</f>
        <v>2.9516115945022321</v>
      </c>
      <c r="K11" s="159">
        <f>MIN(Table711[[#This Row],[gpu-hybrid-drop]:[gpu-hybrid-copy]])/Table711[[#This Row],[gpu-layered]]</f>
        <v>0.74256217550241477</v>
      </c>
      <c r="L11" s="145">
        <v>18.058859000000002</v>
      </c>
      <c r="M11" s="149">
        <v>2.3128129999999998</v>
      </c>
      <c r="N11" s="149">
        <f>Table711[[#This Row],[CPU Only (X &gt; 30m)]]/Table711[[#This Row],[gpu-layered]]</f>
        <v>19.030017903678424</v>
      </c>
      <c r="O11" s="147">
        <f>Table711[[#This Row],[gpu-layered]]/Table711[[#This Row],[CPU+GPU]]</f>
        <v>0.41030857228837786</v>
      </c>
      <c r="AK11" s="77" t="s">
        <v>1411</v>
      </c>
      <c r="AL11">
        <v>25</v>
      </c>
      <c r="AN11" s="2">
        <v>0.30438700000000002</v>
      </c>
      <c r="AO11" s="105">
        <f ca="1">Table7[[#This Row],[GPU]]/Table7[[#This Row],[expand mode]]</f>
        <v>0.91364157546869651</v>
      </c>
      <c r="AQ11" s="120"/>
      <c r="AR11" s="105" t="e">
        <f ca="1">Table7[[#This Row],[GPU]]/Table7[[#This Row],[cpuchunk=100]]</f>
        <v>#DIV/0!</v>
      </c>
      <c r="AS11" s="2">
        <v>0.33315800000000001</v>
      </c>
    </row>
    <row r="12" spans="2:46" ht="26" hidden="1" x14ac:dyDescent="0.35">
      <c r="B12" s="147"/>
      <c r="C12" s="148" t="s">
        <v>1408</v>
      </c>
      <c r="D12" s="147">
        <v>2</v>
      </c>
      <c r="E12" s="149">
        <v>0.29532700000000001</v>
      </c>
      <c r="F12" s="149">
        <v>1.103539</v>
      </c>
      <c r="G12" s="149"/>
      <c r="H12" s="149">
        <v>1.153518</v>
      </c>
      <c r="I12" s="149">
        <v>0.89108399999999999</v>
      </c>
      <c r="J12" s="149">
        <f>Table711[[#This Row],[G2AIMD (pingpong)]]/Table711[[#This Row],[gpu-layered]]</f>
        <v>0.26761809052511965</v>
      </c>
      <c r="K12" s="159">
        <f>MIN(Table711[[#This Row],[gpu-hybrid-drop]:[gpu-hybrid-copy]])/Table711[[#This Row],[gpu-layered]]</f>
        <v>0.80747848512830078</v>
      </c>
      <c r="L12" s="145">
        <v>8.3141999999999994E-2</v>
      </c>
      <c r="M12" s="149">
        <v>1.030009</v>
      </c>
      <c r="N12" s="149">
        <f>Table711[[#This Row],[CPU Only (X &gt; 30m)]]/Table711[[#This Row],[gpu-layered]]</f>
        <v>7.534124303717403E-2</v>
      </c>
      <c r="O12" s="147">
        <f>Table711[[#This Row],[gpu-layered]]/Table711[[#This Row],[CPU+GPU]]</f>
        <v>1.0713877257383189</v>
      </c>
      <c r="AK12" s="77" t="s">
        <v>3919</v>
      </c>
      <c r="AL12">
        <v>2</v>
      </c>
      <c r="AN12" s="2">
        <v>0.35126800000000002</v>
      </c>
      <c r="AO12" s="105">
        <f ca="1">Table7[[#This Row],[GPU]]/Table7[[#This Row],[expand mode]]</f>
        <v>0.9148295053532689</v>
      </c>
      <c r="AR12" s="105" t="e">
        <f ca="1">Table7[[#This Row],[GPU]]/Table7[[#This Row],[cpuchunk=100]]</f>
        <v>#DIV/0!</v>
      </c>
      <c r="AS12" s="2">
        <v>0.38397100000000001</v>
      </c>
    </row>
    <row r="13" spans="2:46" ht="26" hidden="1" x14ac:dyDescent="0.35">
      <c r="B13" s="147"/>
      <c r="C13" s="148" t="s">
        <v>1408</v>
      </c>
      <c r="D13" s="147">
        <v>5</v>
      </c>
      <c r="E13" s="149">
        <v>2.1705930000000002</v>
      </c>
      <c r="F13" s="149">
        <v>1.2022219999999999</v>
      </c>
      <c r="G13" s="149"/>
      <c r="H13" s="149">
        <v>0.412574</v>
      </c>
      <c r="I13" s="149">
        <v>1.159494</v>
      </c>
      <c r="J13" s="149">
        <f>Table711[[#This Row],[G2AIMD (pingpong)]]/Table711[[#This Row],[gpu-layered]]</f>
        <v>1.8054843448215059</v>
      </c>
      <c r="K13" s="159">
        <f>MIN(Table711[[#This Row],[gpu-hybrid-drop]:[gpu-hybrid-copy]])/Table711[[#This Row],[gpu-layered]]</f>
        <v>0.34317621870170406</v>
      </c>
      <c r="L13" s="145">
        <v>5.5105000000000001E-2</v>
      </c>
      <c r="M13" s="149">
        <v>0.80837800000000004</v>
      </c>
      <c r="N13" s="149">
        <f>Table711[[#This Row],[CPU Only (X &gt; 30m)]]/Table711[[#This Row],[gpu-layered]]</f>
        <v>4.5835960413301374E-2</v>
      </c>
      <c r="O13" s="147">
        <f>Table711[[#This Row],[gpu-layered]]/Table711[[#This Row],[CPU+GPU]]</f>
        <v>1.4872027690016303</v>
      </c>
      <c r="AK13" s="77" t="s">
        <v>1371</v>
      </c>
      <c r="AL13">
        <v>2</v>
      </c>
      <c r="AN13" s="2">
        <v>0.39108199999999999</v>
      </c>
      <c r="AO13" s="105">
        <f ca="1">Table7[[#This Row],[GPU]]/Table7[[#This Row],[expand mode]]</f>
        <v>0.49504050632911389</v>
      </c>
      <c r="AR13" s="105" t="e">
        <f ca="1">Table7[[#This Row],[GPU]]/Table7[[#This Row],[cpuchunk=100]]</f>
        <v>#DIV/0!</v>
      </c>
      <c r="AS13" s="2">
        <v>0.79</v>
      </c>
    </row>
    <row r="14" spans="2:46" ht="26" hidden="1" x14ac:dyDescent="0.35">
      <c r="B14" s="147"/>
      <c r="C14" s="148" t="s">
        <v>1408</v>
      </c>
      <c r="D14" s="147">
        <v>8</v>
      </c>
      <c r="E14" s="149">
        <v>0.46597300000000003</v>
      </c>
      <c r="F14" s="149">
        <v>1.359286</v>
      </c>
      <c r="G14" s="149"/>
      <c r="H14" s="149">
        <v>0.98909499999999995</v>
      </c>
      <c r="I14" s="149">
        <v>0.94250100000000003</v>
      </c>
      <c r="J14" s="149">
        <f>Table711[[#This Row],[G2AIMD (pingpong)]]/Table711[[#This Row],[gpu-layered]]</f>
        <v>0.34280717965167007</v>
      </c>
      <c r="K14" s="159">
        <f>MIN(Table711[[#This Row],[gpu-hybrid-drop]:[gpu-hybrid-copy]])/Table711[[#This Row],[gpu-layered]]</f>
        <v>0.69337946539580342</v>
      </c>
      <c r="L14" s="145">
        <v>142.51957999999999</v>
      </c>
      <c r="M14" s="149">
        <v>3.41</v>
      </c>
      <c r="N14" s="149">
        <f>Table711[[#This Row],[CPU Only (X &gt; 30m)]]/Table711[[#This Row],[gpu-layered]]</f>
        <v>104.84885447212727</v>
      </c>
      <c r="O14" s="147">
        <f>Table711[[#This Row],[gpu-layered]]/Table711[[#This Row],[CPU+GPU]]</f>
        <v>0.39861759530791785</v>
      </c>
      <c r="AK14" s="77" t="s">
        <v>1433</v>
      </c>
      <c r="AL14">
        <v>24</v>
      </c>
      <c r="AN14" s="2">
        <v>0.39257300000000001</v>
      </c>
      <c r="AO14" s="105">
        <f ca="1">Table7[[#This Row],[GPU]]/Table7[[#This Row],[expand mode]]</f>
        <v>0.8352617021276596</v>
      </c>
      <c r="AR14" s="105" t="e">
        <f ca="1">Table7[[#This Row],[GPU]]/Table7[[#This Row],[cpuchunk=100]]</f>
        <v>#DIV/0!</v>
      </c>
      <c r="AS14" s="2">
        <v>0.47</v>
      </c>
    </row>
    <row r="15" spans="2:46" ht="26" hidden="1" x14ac:dyDescent="0.35">
      <c r="B15" s="147"/>
      <c r="C15" s="148" t="s">
        <v>1431</v>
      </c>
      <c r="D15" s="147">
        <v>7</v>
      </c>
      <c r="E15" s="149">
        <v>1.663343</v>
      </c>
      <c r="F15" s="149">
        <v>1.4923439999999999</v>
      </c>
      <c r="G15" s="149"/>
      <c r="H15" s="149">
        <v>2.3418510000000001</v>
      </c>
      <c r="I15" s="149">
        <v>2.4612229999999999</v>
      </c>
      <c r="J15" s="149">
        <f>Table711[[#This Row],[G2AIMD (pingpong)]]/Table711[[#This Row],[gpu-layered]]</f>
        <v>1.1145841709418205</v>
      </c>
      <c r="K15" s="159">
        <f>MIN(Table711[[#This Row],[gpu-hybrid-drop]:[gpu-hybrid-copy]])/Table711[[#This Row],[gpu-layered]]</f>
        <v>1.5692434184075523</v>
      </c>
      <c r="L15" s="145">
        <v>40.757514</v>
      </c>
      <c r="M15" s="149">
        <v>3.64</v>
      </c>
      <c r="N15" s="149">
        <f>Table711[[#This Row],[CPU Only (X &gt; 30m)]]/Table711[[#This Row],[gpu-layered]]</f>
        <v>27.311071710007884</v>
      </c>
      <c r="O15" s="147">
        <f>Table711[[#This Row],[gpu-layered]]/Table711[[#This Row],[CPU+GPU]]</f>
        <v>0.40998461538461534</v>
      </c>
      <c r="P15" t="s">
        <v>4020</v>
      </c>
      <c r="Q15" t="s">
        <v>4021</v>
      </c>
      <c r="AK15" s="77" t="s">
        <v>1411</v>
      </c>
      <c r="AL15">
        <v>24</v>
      </c>
      <c r="AN15" s="2">
        <v>0.40340599999999999</v>
      </c>
      <c r="AO15" s="105">
        <f ca="1">Table7[[#This Row],[GPU]]/Table7[[#This Row],[expand mode]]</f>
        <v>0.53038352969327884</v>
      </c>
      <c r="AR15" s="105" t="e">
        <f ca="1">Table7[[#This Row],[GPU]]/Table7[[#This Row],[cpuchunk=100]]</f>
        <v>#DIV/0!</v>
      </c>
      <c r="AS15" s="2">
        <v>0.76059299999999996</v>
      </c>
    </row>
    <row r="16" spans="2:46" ht="26" hidden="1" x14ac:dyDescent="0.35">
      <c r="B16" s="147"/>
      <c r="C16" s="148" t="s">
        <v>1431</v>
      </c>
      <c r="D16" s="147">
        <v>9</v>
      </c>
      <c r="E16" s="149">
        <v>0.31252000000000002</v>
      </c>
      <c r="F16" s="149">
        <v>1.5036099999999999</v>
      </c>
      <c r="G16" s="149"/>
      <c r="H16" s="149">
        <v>1.167411</v>
      </c>
      <c r="I16" s="149">
        <v>1.138563</v>
      </c>
      <c r="J16" s="149">
        <f>Table711[[#This Row],[G2AIMD (pingpong)]]/Table711[[#This Row],[gpu-layered]]</f>
        <v>0.20784644954476231</v>
      </c>
      <c r="K16" s="159">
        <f>MIN(Table711[[#This Row],[gpu-hybrid-drop]:[gpu-hybrid-copy]])/Table711[[#This Row],[gpu-layered]]</f>
        <v>0.75721962476972093</v>
      </c>
      <c r="L16" s="145">
        <v>0.237675</v>
      </c>
      <c r="M16" s="149">
        <v>1.26372</v>
      </c>
      <c r="N16" s="149">
        <f>Table711[[#This Row],[CPU Only (X &gt; 30m)]]/Table711[[#This Row],[gpu-layered]]</f>
        <v>0.15806957921269479</v>
      </c>
      <c r="O16" s="147">
        <f>Table711[[#This Row],[gpu-layered]]/Table711[[#This Row],[CPU+GPU]]</f>
        <v>1.1898284430095274</v>
      </c>
      <c r="P16" t="s">
        <v>4022</v>
      </c>
      <c r="Q16" t="s">
        <v>4023</v>
      </c>
      <c r="AK16" s="77" t="s">
        <v>1391</v>
      </c>
      <c r="AL16">
        <v>9</v>
      </c>
      <c r="AN16" s="2">
        <v>0.40964400000000001</v>
      </c>
      <c r="AO16" s="105">
        <f ca="1">Table7[[#This Row],[GPU]]/Table7[[#This Row],[expand mode]]</f>
        <v>0.91892522421071998</v>
      </c>
      <c r="AR16" s="105" t="e">
        <f ca="1">Table7[[#This Row],[GPU]]/Table7[[#This Row],[cpuchunk=100]]</f>
        <v>#DIV/0!</v>
      </c>
      <c r="AS16" s="2">
        <v>0.44578600000000002</v>
      </c>
    </row>
    <row r="17" spans="2:45" ht="26" hidden="1" x14ac:dyDescent="0.35">
      <c r="B17" s="147"/>
      <c r="C17" s="148" t="s">
        <v>1346</v>
      </c>
      <c r="D17" s="147">
        <v>9</v>
      </c>
      <c r="E17" s="149">
        <v>3.3691879999999998</v>
      </c>
      <c r="F17" s="149">
        <v>1.544257</v>
      </c>
      <c r="G17" s="149"/>
      <c r="H17" s="149">
        <v>1.3400110000000001</v>
      </c>
      <c r="I17" s="149">
        <v>1.3374809999999999</v>
      </c>
      <c r="J17" s="149">
        <f>Table711[[#This Row],[G2AIMD (pingpong)]]/Table711[[#This Row],[gpu-layered]]</f>
        <v>2.1817534257575</v>
      </c>
      <c r="K17" s="159">
        <f>MIN(Table711[[#This Row],[gpu-hybrid-drop]:[gpu-hybrid-copy]])/Table711[[#This Row],[gpu-layered]]</f>
        <v>0.86610000796499542</v>
      </c>
      <c r="L17" s="145">
        <v>131.51616200000001</v>
      </c>
      <c r="M17" s="149">
        <v>6.17</v>
      </c>
      <c r="N17" s="149">
        <f>Table711[[#This Row],[CPU Only (X &gt; 30m)]]/Table711[[#This Row],[gpu-layered]]</f>
        <v>85.164685670843653</v>
      </c>
      <c r="O17" s="147">
        <f>Table711[[#This Row],[gpu-layered]]/Table711[[#This Row],[CPU+GPU]]</f>
        <v>0.25028476499189628</v>
      </c>
      <c r="P17" t="s">
        <v>3938</v>
      </c>
      <c r="Q17" t="s">
        <v>4024</v>
      </c>
      <c r="AK17" s="77" t="s">
        <v>1436</v>
      </c>
      <c r="AL17">
        <v>24</v>
      </c>
      <c r="AN17" s="2">
        <v>0.44019900000000001</v>
      </c>
      <c r="AO17" s="105">
        <f ca="1">Table7[[#This Row],[GPU]]/Table7[[#This Row],[expand mode]]</f>
        <v>0.71605948414970599</v>
      </c>
      <c r="AR17" s="105" t="e">
        <f ca="1">Table7[[#This Row],[GPU]]/Table7[[#This Row],[cpuchunk=100]]</f>
        <v>#DIV/0!</v>
      </c>
      <c r="AS17" s="2">
        <v>0.61475199999999997</v>
      </c>
    </row>
    <row r="18" spans="2:45" ht="26" hidden="1" x14ac:dyDescent="0.35">
      <c r="B18" s="147"/>
      <c r="C18" s="148" t="s">
        <v>1391</v>
      </c>
      <c r="D18" s="147">
        <v>2</v>
      </c>
      <c r="E18" s="149">
        <v>0.94670100000000001</v>
      </c>
      <c r="F18" s="149">
        <v>1.8836040000000001</v>
      </c>
      <c r="G18" s="149"/>
      <c r="H18" s="149">
        <v>1.789595</v>
      </c>
      <c r="I18" s="149">
        <v>1.5855140000000001</v>
      </c>
      <c r="J18" s="149">
        <f>Table711[[#This Row],[G2AIMD (pingpong)]]/Table711[[#This Row],[gpu-layered]]</f>
        <v>0.50260086514999969</v>
      </c>
      <c r="K18" s="159">
        <f>MIN(Table711[[#This Row],[gpu-hybrid-drop]:[gpu-hybrid-copy]])/Table711[[#This Row],[gpu-layered]]</f>
        <v>0.84174486781722702</v>
      </c>
      <c r="L18" s="145">
        <v>22.697265999999999</v>
      </c>
      <c r="M18" s="149">
        <v>2.72</v>
      </c>
      <c r="N18" s="149">
        <f>Table711[[#This Row],[CPU Only (X &gt; 30m)]]/Table711[[#This Row],[gpu-layered]]</f>
        <v>12.049913888481868</v>
      </c>
      <c r="O18" s="147">
        <f>Table711[[#This Row],[gpu-layered]]/Table711[[#This Row],[CPU+GPU]]</f>
        <v>0.6925014705882353</v>
      </c>
      <c r="P18" t="s">
        <v>4025</v>
      </c>
      <c r="Q18" t="s">
        <v>4026</v>
      </c>
      <c r="AK18" s="77" t="s">
        <v>1448</v>
      </c>
      <c r="AL18">
        <v>24</v>
      </c>
      <c r="AN18" s="2">
        <v>0.44334899999999999</v>
      </c>
      <c r="AO18" s="105">
        <f ca="1">Table7[[#This Row],[GPU]]/Table7[[#This Row],[expand mode]]</f>
        <v>0.76439482758620692</v>
      </c>
      <c r="AR18" s="105" t="e">
        <f ca="1">Table7[[#This Row],[GPU]]/Table7[[#This Row],[cpuchunk=100]]</f>
        <v>#DIV/0!</v>
      </c>
      <c r="AS18" s="2">
        <v>0.57999999999999996</v>
      </c>
    </row>
    <row r="19" spans="2:45" ht="26" hidden="1" x14ac:dyDescent="0.35">
      <c r="B19" s="147"/>
      <c r="C19" s="148" t="s">
        <v>3919</v>
      </c>
      <c r="D19" s="147">
        <v>5</v>
      </c>
      <c r="E19" s="149">
        <v>3.7282199999999999</v>
      </c>
      <c r="F19" s="149">
        <v>2.0098569999999998</v>
      </c>
      <c r="G19" s="149"/>
      <c r="H19" s="149">
        <v>1.560603</v>
      </c>
      <c r="I19" s="149">
        <v>1.551825</v>
      </c>
      <c r="J19" s="149">
        <f>Table711[[#This Row],[G2AIMD (pingpong)]]/Table711[[#This Row],[gpu-layered]]</f>
        <v>1.8549677912408695</v>
      </c>
      <c r="K19" s="159">
        <f>MIN(Table711[[#This Row],[gpu-hybrid-drop]:[gpu-hybrid-copy]])/Table711[[#This Row],[gpu-layered]]</f>
        <v>0.77210716981357386</v>
      </c>
      <c r="L19" s="145">
        <v>34.506560999999998</v>
      </c>
      <c r="M19" s="149">
        <v>3.6021369999999999</v>
      </c>
      <c r="N19" s="149">
        <f>Table711[[#This Row],[CPU Only (X &gt; 30m)]]/Table711[[#This Row],[gpu-layered]]</f>
        <v>17.168664735849369</v>
      </c>
      <c r="O19" s="147">
        <f>Table711[[#This Row],[gpu-layered]]/Table711[[#This Row],[CPU+GPU]]</f>
        <v>0.55796239843181972</v>
      </c>
      <c r="AK19" s="77" t="s">
        <v>1346</v>
      </c>
      <c r="AL19">
        <v>25</v>
      </c>
      <c r="AN19" s="2">
        <v>0.482099</v>
      </c>
      <c r="AO19" s="105">
        <f ca="1">Table7[[#This Row],[GPU]]/Table7[[#This Row],[expand mode]]</f>
        <v>0.8171169491525424</v>
      </c>
      <c r="AR19" s="105" t="e">
        <f ca="1">Table7[[#This Row],[GPU]]/Table7[[#This Row],[cpuchunk=100]]</f>
        <v>#DIV/0!</v>
      </c>
      <c r="AS19" s="2">
        <v>0.59</v>
      </c>
    </row>
    <row r="20" spans="2:45" ht="26" hidden="1" x14ac:dyDescent="0.35">
      <c r="B20" s="147"/>
      <c r="C20" s="148" t="s">
        <v>1431</v>
      </c>
      <c r="D20" s="147">
        <v>2</v>
      </c>
      <c r="E20" s="149">
        <v>0.83933199999999997</v>
      </c>
      <c r="F20" s="149">
        <v>2.023552</v>
      </c>
      <c r="G20" s="149"/>
      <c r="H20" s="149">
        <v>2.197578</v>
      </c>
      <c r="I20" s="149">
        <v>2.1786789999999998</v>
      </c>
      <c r="J20" s="149">
        <f>Table711[[#This Row],[G2AIMD (pingpong)]]/Table711[[#This Row],[gpu-layered]]</f>
        <v>0.41478153267126316</v>
      </c>
      <c r="K20" s="159">
        <f>MIN(Table711[[#This Row],[gpu-hybrid-drop]:[gpu-hybrid-copy]])/Table711[[#This Row],[gpu-layered]]</f>
        <v>1.0766607430893793</v>
      </c>
      <c r="L20" s="145">
        <v>13.386818999999999</v>
      </c>
      <c r="M20" s="149">
        <v>3.27</v>
      </c>
      <c r="N20" s="149">
        <f>Table711[[#This Row],[CPU Only (X &gt; 30m)]]/Table711[[#This Row],[gpu-layered]]</f>
        <v>6.6155053094756147</v>
      </c>
      <c r="O20" s="147">
        <f>Table711[[#This Row],[gpu-layered]]/Table711[[#This Row],[CPU+GPU]]</f>
        <v>0.61882324159021407</v>
      </c>
      <c r="AK20" s="77" t="s">
        <v>1409</v>
      </c>
      <c r="AL20">
        <v>25</v>
      </c>
      <c r="AN20" s="2">
        <v>0.486155</v>
      </c>
      <c r="AO20" s="105">
        <f ca="1">Table7[[#This Row],[GPU]]/Table7[[#This Row],[expand mode]]</f>
        <v>0.88196983028400899</v>
      </c>
      <c r="AR20" s="105" t="e">
        <f ca="1">Table7[[#This Row],[GPU]]/Table7[[#This Row],[cpuchunk=100]]</f>
        <v>#DIV/0!</v>
      </c>
      <c r="AS20" s="2">
        <v>0.55121500000000001</v>
      </c>
    </row>
    <row r="21" spans="2:45" ht="26" hidden="1" x14ac:dyDescent="0.35">
      <c r="B21" s="147"/>
      <c r="C21" s="148" t="s">
        <v>1434</v>
      </c>
      <c r="D21" s="147">
        <v>2</v>
      </c>
      <c r="E21" s="149">
        <v>3.206035</v>
      </c>
      <c r="F21" s="149">
        <v>2.2730779999999999</v>
      </c>
      <c r="G21" s="149"/>
      <c r="H21" s="149">
        <v>1.8176049999999999</v>
      </c>
      <c r="I21" s="149">
        <v>1.8188139999999999</v>
      </c>
      <c r="J21" s="149">
        <f>Table711[[#This Row],[G2AIMD (pingpong)]]/Table711[[#This Row],[gpu-layered]]</f>
        <v>1.4104377412477707</v>
      </c>
      <c r="K21" s="159">
        <f>MIN(Table711[[#This Row],[gpu-hybrid-drop]:[gpu-hybrid-copy]])/Table711[[#This Row],[gpu-layered]]</f>
        <v>0.79962280220916304</v>
      </c>
      <c r="L21" s="145">
        <v>74.721911000000006</v>
      </c>
      <c r="M21" s="149">
        <v>6.18</v>
      </c>
      <c r="N21" s="149">
        <f>Table711[[#This Row],[CPU Only (X &gt; 30m)]]/Table711[[#This Row],[gpu-layered]]</f>
        <v>32.872567945314685</v>
      </c>
      <c r="O21" s="147">
        <f>Table711[[#This Row],[gpu-layered]]/Table711[[#This Row],[CPU+GPU]]</f>
        <v>0.36781197411003236</v>
      </c>
      <c r="AK21" s="77" t="s">
        <v>3912</v>
      </c>
      <c r="AL21">
        <v>24</v>
      </c>
      <c r="AN21" s="2">
        <v>0.52312099999999995</v>
      </c>
      <c r="AO21" s="105">
        <f ca="1">Table7[[#This Row],[GPU]]/Table7[[#This Row],[expand mode]]</f>
        <v>0.69920819287801295</v>
      </c>
      <c r="AR21" s="105" t="e">
        <f ca="1">Table7[[#This Row],[GPU]]/Table7[[#This Row],[cpuchunk=100]]</f>
        <v>#DIV/0!</v>
      </c>
      <c r="AS21" s="2">
        <v>0.74816199999999999</v>
      </c>
    </row>
    <row r="22" spans="2:45" ht="26" hidden="1" x14ac:dyDescent="0.35">
      <c r="B22" s="147"/>
      <c r="C22" s="148" t="s">
        <v>1431</v>
      </c>
      <c r="D22" s="147">
        <v>5</v>
      </c>
      <c r="E22" s="149">
        <v>3.1444489999999998</v>
      </c>
      <c r="F22" s="149">
        <v>2.4282240000000002</v>
      </c>
      <c r="G22" s="149"/>
      <c r="H22" s="149">
        <v>2.2299329999999999</v>
      </c>
      <c r="I22" s="149">
        <v>2.4531010000000002</v>
      </c>
      <c r="J22" s="149">
        <f>Table711[[#This Row],[G2AIMD (pingpong)]]/Table711[[#This Row],[gpu-layered]]</f>
        <v>1.2949583728684009</v>
      </c>
      <c r="K22" s="159">
        <f>MIN(Table711[[#This Row],[gpu-hybrid-drop]:[gpu-hybrid-copy]])/Table711[[#This Row],[gpu-layered]]</f>
        <v>0.91833908239108075</v>
      </c>
      <c r="L22" s="145">
        <v>5.5830380000000002</v>
      </c>
      <c r="M22" s="149">
        <v>2.52</v>
      </c>
      <c r="N22" s="149">
        <f>Table711[[#This Row],[CPU Only (X &gt; 30m)]]/Table711[[#This Row],[gpu-layered]]</f>
        <v>2.2992269246988744</v>
      </c>
      <c r="O22" s="147">
        <f>Table711[[#This Row],[gpu-layered]]/Table711[[#This Row],[CPU+GPU]]</f>
        <v>0.96358095238095243</v>
      </c>
      <c r="AK22" s="77" t="s">
        <v>1409</v>
      </c>
      <c r="AL22">
        <v>24</v>
      </c>
      <c r="AN22" s="2">
        <v>0.54158700000000004</v>
      </c>
      <c r="AO22" s="105">
        <f ca="1">Table7[[#This Row],[GPU]]/Table7[[#This Row],[expand mode]]</f>
        <v>1.1408772916574506</v>
      </c>
      <c r="AR22" s="105" t="e">
        <f ca="1">Table7[[#This Row],[GPU]]/Table7[[#This Row],[cpuchunk=100]]</f>
        <v>#DIV/0!</v>
      </c>
      <c r="AS22" s="2">
        <v>0.47471099999999999</v>
      </c>
    </row>
    <row r="23" spans="2:45" ht="26" hidden="1" x14ac:dyDescent="0.35">
      <c r="B23" s="147"/>
      <c r="C23" s="148" t="s">
        <v>1371</v>
      </c>
      <c r="D23" s="147">
        <v>5</v>
      </c>
      <c r="E23" s="149">
        <v>4.8828569999999996</v>
      </c>
      <c r="F23" s="149">
        <v>2.8553199999999999</v>
      </c>
      <c r="G23" s="149"/>
      <c r="H23" s="149">
        <v>2.6802700000000002</v>
      </c>
      <c r="I23" s="149">
        <v>2.6740370000000002</v>
      </c>
      <c r="J23" s="149">
        <f>Table711[[#This Row],[G2AIMD (pingpong)]]/Table711[[#This Row],[gpu-layered]]</f>
        <v>1.7100909880503761</v>
      </c>
      <c r="K23" s="159">
        <f>MIN(Table711[[#This Row],[gpu-hybrid-drop]:[gpu-hybrid-copy]])/Table711[[#This Row],[gpu-layered]]</f>
        <v>0.93651044366305713</v>
      </c>
      <c r="L23" s="145">
        <v>117.90758099999999</v>
      </c>
      <c r="M23" s="149">
        <v>6.88</v>
      </c>
      <c r="N23" s="149">
        <f>Table711[[#This Row],[CPU Only (X &gt; 30m)]]/Table711[[#This Row],[gpu-layered]]</f>
        <v>41.293998921311797</v>
      </c>
      <c r="O23" s="147">
        <f>Table711[[#This Row],[gpu-layered]]/Table711[[#This Row],[CPU+GPU]]</f>
        <v>0.41501744186046508</v>
      </c>
      <c r="AK23" s="77" t="s">
        <v>1423</v>
      </c>
      <c r="AL23">
        <v>24</v>
      </c>
      <c r="AN23" s="2">
        <v>0.54716100000000001</v>
      </c>
      <c r="AO23" s="105">
        <f ca="1">Table7[[#This Row],[GPU]]/Table7[[#This Row],[expand mode]]</f>
        <v>0.83784185220347296</v>
      </c>
      <c r="AR23" s="105" t="e">
        <f ca="1">Table7[[#This Row],[GPU]]/Table7[[#This Row],[cpuchunk=100]]</f>
        <v>#DIV/0!</v>
      </c>
      <c r="AS23" s="2">
        <v>0.65305999999999997</v>
      </c>
    </row>
    <row r="24" spans="2:45" ht="26" hidden="1" x14ac:dyDescent="0.35">
      <c r="B24" s="147"/>
      <c r="C24" s="148" t="s">
        <v>1408</v>
      </c>
      <c r="D24" s="147">
        <v>6</v>
      </c>
      <c r="E24" s="149">
        <v>0.96152199999999999</v>
      </c>
      <c r="F24" s="149">
        <v>3.2149070000000002</v>
      </c>
      <c r="G24" s="149"/>
      <c r="H24" s="149">
        <v>2.8118479999999999</v>
      </c>
      <c r="I24" s="149">
        <v>2.8805540000000001</v>
      </c>
      <c r="J24" s="149">
        <f>Table711[[#This Row],[G2AIMD (pingpong)]]/Table711[[#This Row],[gpu-layered]]</f>
        <v>0.2990823684790882</v>
      </c>
      <c r="K24" s="159">
        <f>MIN(Table711[[#This Row],[gpu-hybrid-drop]:[gpu-hybrid-copy]])/Table711[[#This Row],[gpu-layered]]</f>
        <v>0.87462809966198085</v>
      </c>
      <c r="L24" s="145">
        <v>1.002783</v>
      </c>
      <c r="M24" s="149">
        <v>2.463384</v>
      </c>
      <c r="N24" s="149">
        <f>Table711[[#This Row],[CPU Only (X &gt; 30m)]]/Table711[[#This Row],[gpu-layered]]</f>
        <v>0.31191664331192159</v>
      </c>
      <c r="O24" s="147">
        <f>Table711[[#This Row],[gpu-layered]]/Table711[[#This Row],[CPU+GPU]]</f>
        <v>1.3050774869041937</v>
      </c>
      <c r="AK24" s="77" t="s">
        <v>3912</v>
      </c>
      <c r="AL24">
        <v>2</v>
      </c>
      <c r="AN24" s="2">
        <v>0.57725099999999996</v>
      </c>
      <c r="AO24" s="105">
        <f ca="1">Table7[[#This Row],[GPU]]/Table7[[#This Row],[expand mode]]</f>
        <v>0.67841726026849869</v>
      </c>
      <c r="AR24" s="105" t="e">
        <f ca="1">Table7[[#This Row],[GPU]]/Table7[[#This Row],[cpuchunk=100]]</f>
        <v>#DIV/0!</v>
      </c>
      <c r="AS24" s="2">
        <v>0.85087900000000005</v>
      </c>
    </row>
    <row r="25" spans="2:45" ht="26" hidden="1" x14ac:dyDescent="0.35">
      <c r="B25" s="147"/>
      <c r="C25" s="148" t="s">
        <v>1</v>
      </c>
      <c r="D25" s="147">
        <v>2</v>
      </c>
      <c r="E25" s="149">
        <v>5.6472629999999997</v>
      </c>
      <c r="F25" s="149">
        <v>3.6229019999999998</v>
      </c>
      <c r="G25" s="149"/>
      <c r="H25" s="149">
        <v>4.6011389999999999</v>
      </c>
      <c r="I25" s="149">
        <v>4.5954129999999997</v>
      </c>
      <c r="J25" s="149">
        <f>Table711[[#This Row],[G2AIMD (pingpong)]]/Table711[[#This Row],[gpu-layered]]</f>
        <v>1.5587678054774874</v>
      </c>
      <c r="K25" s="159">
        <f>MIN(Table711[[#This Row],[gpu-hybrid-drop]:[gpu-hybrid-copy]])/Table711[[#This Row],[gpu-layered]]</f>
        <v>1.2684342551910044</v>
      </c>
      <c r="L25" s="145">
        <v>290.598725</v>
      </c>
      <c r="M25" s="149">
        <v>9.5</v>
      </c>
      <c r="N25" s="149">
        <f>Table711[[#This Row],[CPU Only (X &gt; 30m)]]/Table711[[#This Row],[gpu-layered]]</f>
        <v>80.211588665660841</v>
      </c>
      <c r="O25" s="147">
        <f>Table711[[#This Row],[gpu-layered]]/Table711[[#This Row],[CPU+GPU]]</f>
        <v>0.38135810526315789</v>
      </c>
      <c r="AK25" s="77" t="s">
        <v>1425</v>
      </c>
      <c r="AL25">
        <v>25</v>
      </c>
      <c r="AN25" s="2">
        <v>0.60898099999999999</v>
      </c>
      <c r="AO25" s="105">
        <f ca="1">Table7[[#This Row],[GPU]]/Table7[[#This Row],[expand mode]]</f>
        <v>0.87517892147000154</v>
      </c>
      <c r="AR25" s="105" t="e">
        <f ca="1">Table7[[#This Row],[GPU]]/Table7[[#This Row],[cpuchunk=100]]</f>
        <v>#DIV/0!</v>
      </c>
      <c r="AS25" s="2">
        <v>0.69583600000000001</v>
      </c>
    </row>
    <row r="26" spans="2:45" ht="26" hidden="1" x14ac:dyDescent="0.35">
      <c r="B26" s="147"/>
      <c r="C26" s="148" t="s">
        <v>3919</v>
      </c>
      <c r="D26" s="147">
        <v>7</v>
      </c>
      <c r="E26" s="149">
        <v>3.8864519999999998</v>
      </c>
      <c r="F26" s="149">
        <v>3.7306889999999999</v>
      </c>
      <c r="G26" s="149"/>
      <c r="H26" s="149">
        <v>3.0292059999999998</v>
      </c>
      <c r="I26" s="149">
        <v>3.0154839999999998</v>
      </c>
      <c r="J26" s="149">
        <f>Table711[[#This Row],[G2AIMD (pingpong)]]/Table711[[#This Row],[gpu-layered]]</f>
        <v>1.0417518050955199</v>
      </c>
      <c r="K26" s="159">
        <f>MIN(Table711[[#This Row],[gpu-hybrid-drop]:[gpu-hybrid-copy]])/Table711[[#This Row],[gpu-layered]]</f>
        <v>0.80829144428817301</v>
      </c>
      <c r="L26" s="145">
        <v>259.05960099999999</v>
      </c>
      <c r="M26" s="149">
        <v>6.75</v>
      </c>
      <c r="N26" s="149">
        <f>Table711[[#This Row],[CPU Only (X &gt; 30m)]]/Table711[[#This Row],[gpu-layered]]</f>
        <v>69.440149259292312</v>
      </c>
      <c r="O26" s="147">
        <f>Table711[[#This Row],[gpu-layered]]/Table711[[#This Row],[CPU+GPU]]</f>
        <v>0.55269466666666667</v>
      </c>
      <c r="AK26" s="77" t="s">
        <v>3919</v>
      </c>
      <c r="AL26">
        <v>25</v>
      </c>
      <c r="AN26" s="2">
        <v>0.61563900000000005</v>
      </c>
      <c r="AO26" s="105">
        <f ca="1">Table7[[#This Row],[GPU]]/Table7[[#This Row],[expand mode]]</f>
        <v>0.95961187748421806</v>
      </c>
      <c r="AR26" s="105" t="e">
        <f ca="1">Table7[[#This Row],[GPU]]/Table7[[#This Row],[cpuchunk=100]]</f>
        <v>#DIV/0!</v>
      </c>
      <c r="AS26" s="2">
        <v>0.64154999999999995</v>
      </c>
    </row>
    <row r="27" spans="2:45" ht="26" hidden="1" x14ac:dyDescent="0.35">
      <c r="B27" s="147"/>
      <c r="C27" s="148" t="s">
        <v>1425</v>
      </c>
      <c r="D27" s="147">
        <v>2</v>
      </c>
      <c r="E27" s="149">
        <v>5.0243349999999998</v>
      </c>
      <c r="F27" s="149">
        <v>4.2398239999999996</v>
      </c>
      <c r="G27" s="149"/>
      <c r="H27" s="149">
        <v>4.7574449999999997</v>
      </c>
      <c r="I27" s="149">
        <v>4.7216040000000001</v>
      </c>
      <c r="J27" s="149">
        <f>Table711[[#This Row],[G2AIMD (pingpong)]]/Table711[[#This Row],[gpu-layered]]</f>
        <v>1.1850338598960712</v>
      </c>
      <c r="K27" s="159">
        <f>MIN(Table711[[#This Row],[gpu-hybrid-drop]:[gpu-hybrid-copy]])/Table711[[#This Row],[gpu-layered]]</f>
        <v>1.1136320752936917</v>
      </c>
      <c r="L27" s="145">
        <v>433.325399</v>
      </c>
      <c r="M27" s="149">
        <v>8.23</v>
      </c>
      <c r="N27" s="149">
        <f>Table711[[#This Row],[CPU Only (X &gt; 30m)]]/Table711[[#This Row],[gpu-layered]]</f>
        <v>102.20362897139128</v>
      </c>
      <c r="O27" s="147">
        <f>Table711[[#This Row],[gpu-layered]]/Table711[[#This Row],[CPU+GPU]]</f>
        <v>0.51516695018226</v>
      </c>
      <c r="AK27" s="77" t="s">
        <v>1437</v>
      </c>
      <c r="AL27">
        <v>25</v>
      </c>
      <c r="AN27" s="2">
        <v>0.62617800000000001</v>
      </c>
      <c r="AO27" s="105">
        <f ca="1">Table7[[#This Row],[GPU]]/Table7[[#This Row],[expand mode]]</f>
        <v>0.82391842105263158</v>
      </c>
      <c r="AR27" s="105" t="e">
        <f ca="1">Table7[[#This Row],[GPU]]/Table7[[#This Row],[cpuchunk=100]]</f>
        <v>#DIV/0!</v>
      </c>
      <c r="AS27" s="2">
        <v>0.76</v>
      </c>
    </row>
    <row r="28" spans="2:45" ht="26" hidden="1" x14ac:dyDescent="0.35">
      <c r="B28" s="147"/>
      <c r="C28" s="148" t="s">
        <v>1411</v>
      </c>
      <c r="D28" s="147">
        <v>9</v>
      </c>
      <c r="E28" s="149">
        <v>5.2258110000000002</v>
      </c>
      <c r="F28" s="149">
        <v>4.4936379999999998</v>
      </c>
      <c r="G28" s="149"/>
      <c r="H28" s="149">
        <v>5.0863240000000003</v>
      </c>
      <c r="I28" s="149">
        <v>5.0982810000000001</v>
      </c>
      <c r="J28" s="149">
        <f>Table711[[#This Row],[G2AIMD (pingpong)]]/Table711[[#This Row],[gpu-layered]]</f>
        <v>1.1629354656516615</v>
      </c>
      <c r="K28" s="159">
        <f>MIN(Table711[[#This Row],[gpu-hybrid-drop]:[gpu-hybrid-copy]])/Table711[[#This Row],[gpu-layered]]</f>
        <v>1.1318944694699484</v>
      </c>
      <c r="L28" s="145">
        <v>523.451097</v>
      </c>
      <c r="M28" s="149">
        <v>23.13</v>
      </c>
      <c r="N28" s="149">
        <f>Table711[[#This Row],[CPU Only (X &gt; 30m)]]/Table711[[#This Row],[gpu-layered]]</f>
        <v>116.48715294823482</v>
      </c>
      <c r="O28" s="147">
        <f>Table711[[#This Row],[gpu-layered]]/Table711[[#This Row],[CPU+GPU]]</f>
        <v>0.19427747514051016</v>
      </c>
      <c r="AK28" s="77" t="s">
        <v>1371</v>
      </c>
      <c r="AL28">
        <v>9</v>
      </c>
      <c r="AN28" s="2">
        <v>0.67302200000000001</v>
      </c>
      <c r="AO28" s="105">
        <f ca="1">Table7[[#This Row],[GPU]]/Table7[[#This Row],[expand mode]]</f>
        <v>0.7395846153846154</v>
      </c>
      <c r="AR28" s="105" t="e">
        <f ca="1">Table7[[#This Row],[GPU]]/Table7[[#This Row],[cpuchunk=100]]</f>
        <v>#DIV/0!</v>
      </c>
      <c r="AS28" s="2">
        <v>0.91</v>
      </c>
    </row>
    <row r="29" spans="2:45" ht="26" hidden="1" x14ac:dyDescent="0.35">
      <c r="B29" s="147"/>
      <c r="C29" s="148" t="s">
        <v>1391</v>
      </c>
      <c r="D29" s="147">
        <v>5</v>
      </c>
      <c r="E29" s="149">
        <v>4.0416489999999996</v>
      </c>
      <c r="F29" s="149">
        <v>4.8162799999999999</v>
      </c>
      <c r="G29" s="149"/>
      <c r="H29" s="149">
        <v>4.7594849999999997</v>
      </c>
      <c r="I29" s="149">
        <v>4.927346</v>
      </c>
      <c r="J29" s="149">
        <f>Table711[[#This Row],[G2AIMD (pingpong)]]/Table711[[#This Row],[gpu-layered]]</f>
        <v>0.83916404361872643</v>
      </c>
      <c r="K29" s="159">
        <f>MIN(Table711[[#This Row],[gpu-hybrid-drop]:[gpu-hybrid-copy]])/Table711[[#This Row],[gpu-layered]]</f>
        <v>0.9882077038710374</v>
      </c>
      <c r="L29" s="145">
        <v>75.350153000000006</v>
      </c>
      <c r="M29" s="149">
        <v>4.6795150000000003</v>
      </c>
      <c r="N29" s="149">
        <f>Table711[[#This Row],[CPU Only (X &gt; 30m)]]/Table711[[#This Row],[gpu-layered]]</f>
        <v>15.644886302291397</v>
      </c>
      <c r="O29" s="147">
        <f>Table711[[#This Row],[gpu-layered]]/Table711[[#This Row],[CPU+GPU]]</f>
        <v>1.0292263193942106</v>
      </c>
      <c r="AK29" s="77" t="s">
        <v>1346</v>
      </c>
      <c r="AL29">
        <v>2</v>
      </c>
      <c r="AN29" s="2">
        <v>0.71216500000000005</v>
      </c>
      <c r="AO29" s="105">
        <f ca="1">Table7[[#This Row],[GPU]]/Table7[[#This Row],[expand mode]]</f>
        <v>0.51606159420289865</v>
      </c>
      <c r="AR29" s="105" t="e">
        <f ca="1">Table7[[#This Row],[GPU]]/Table7[[#This Row],[cpuchunk=100]]</f>
        <v>#DIV/0!</v>
      </c>
      <c r="AS29" s="2">
        <v>1.38</v>
      </c>
    </row>
    <row r="30" spans="2:45" ht="26" hidden="1" x14ac:dyDescent="0.35">
      <c r="B30" s="147"/>
      <c r="C30" s="148" t="s">
        <v>1425</v>
      </c>
      <c r="D30" s="147">
        <v>9</v>
      </c>
      <c r="E30" s="149">
        <v>5.8781990000000004</v>
      </c>
      <c r="F30" s="149">
        <v>5.2190339999999997</v>
      </c>
      <c r="G30" s="149"/>
      <c r="H30" s="149">
        <v>5.4319179999999996</v>
      </c>
      <c r="I30" s="149">
        <v>5.4314640000000001</v>
      </c>
      <c r="J30" s="149">
        <f>Table711[[#This Row],[G2AIMD (pingpong)]]/Table711[[#This Row],[gpu-layered]]</f>
        <v>1.1263001927176564</v>
      </c>
      <c r="K30" s="159">
        <f>MIN(Table711[[#This Row],[gpu-hybrid-drop]:[gpu-hybrid-copy]])/Table711[[#This Row],[gpu-layered]]</f>
        <v>1.0407029346810157</v>
      </c>
      <c r="L30" s="145" t="s">
        <v>3989</v>
      </c>
      <c r="M30" s="149">
        <v>10.4</v>
      </c>
      <c r="N30" s="149" t="e">
        <f>Table711[[#This Row],[CPU Only (X &gt; 30m)]]/Table711[[#This Row],[gpu-layered]]</f>
        <v>#VALUE!</v>
      </c>
      <c r="O30" s="147">
        <f>Table711[[#This Row],[gpu-layered]]/Table711[[#This Row],[CPU+GPU]]</f>
        <v>0.50183019230769221</v>
      </c>
      <c r="AK30" s="77" t="s">
        <v>1450</v>
      </c>
      <c r="AL30">
        <v>24</v>
      </c>
      <c r="AN30" s="2">
        <v>0.75700999999999996</v>
      </c>
      <c r="AO30" s="105">
        <f ca="1">Table7[[#This Row],[GPU]]/Table7[[#This Row],[expand mode]]</f>
        <v>0.94794510255703879</v>
      </c>
      <c r="AR30" s="105" t="e">
        <f ca="1">Table7[[#This Row],[GPU]]/Table7[[#This Row],[cpuchunk=100]]</f>
        <v>#DIV/0!</v>
      </c>
      <c r="AS30" s="2">
        <v>0.79857999999999996</v>
      </c>
    </row>
    <row r="31" spans="2:45" ht="26" hidden="1" x14ac:dyDescent="0.35">
      <c r="B31" s="147"/>
      <c r="C31" s="148" t="s">
        <v>3912</v>
      </c>
      <c r="D31" s="147">
        <v>9</v>
      </c>
      <c r="E31" s="149">
        <v>7.2557400000000003</v>
      </c>
      <c r="F31" s="149">
        <v>5.362946</v>
      </c>
      <c r="G31" s="149"/>
      <c r="H31" s="149">
        <v>5.46</v>
      </c>
      <c r="I31" s="149">
        <v>10.85</v>
      </c>
      <c r="J31" s="149">
        <f>Table711[[#This Row],[G2AIMD (pingpong)]]/Table711[[#This Row],[gpu-layered]]</f>
        <v>1.3529392240757225</v>
      </c>
      <c r="K31" s="159">
        <f>MIN(Table711[[#This Row],[gpu-hybrid-drop]:[gpu-hybrid-copy]])/Table711[[#This Row],[gpu-layered]]</f>
        <v>1.0180971428763221</v>
      </c>
      <c r="L31" s="145">
        <v>267.42445199999997</v>
      </c>
      <c r="M31" s="149">
        <v>9</v>
      </c>
      <c r="N31" s="149">
        <f>Table711[[#This Row],[CPU Only (X &gt; 30m)]]/Table711[[#This Row],[gpu-layered]]</f>
        <v>49.865214380305147</v>
      </c>
      <c r="O31" s="147">
        <f>Table711[[#This Row],[gpu-layered]]/Table711[[#This Row],[CPU+GPU]]</f>
        <v>0.59588288888888885</v>
      </c>
      <c r="AK31" s="77" t="s">
        <v>1449</v>
      </c>
      <c r="AL31">
        <v>24</v>
      </c>
      <c r="AN31" s="2">
        <v>0.76452299999999995</v>
      </c>
      <c r="AO31" s="105">
        <f ca="1">Table7[[#This Row],[GPU]]/Table7[[#This Row],[expand mode]]</f>
        <v>1.109622144750172</v>
      </c>
      <c r="AR31" s="105" t="e">
        <f ca="1">Table7[[#This Row],[GPU]]/Table7[[#This Row],[cpuchunk=100]]</f>
        <v>#DIV/0!</v>
      </c>
      <c r="AS31" s="2">
        <v>0.688994</v>
      </c>
    </row>
    <row r="32" spans="2:45" ht="26" hidden="1" x14ac:dyDescent="0.35">
      <c r="B32" s="147"/>
      <c r="C32" s="148" t="s">
        <v>1461</v>
      </c>
      <c r="D32" s="147">
        <v>2</v>
      </c>
      <c r="E32" s="149">
        <v>7.7065450000000002</v>
      </c>
      <c r="F32" s="149">
        <v>5.4978040000000004</v>
      </c>
      <c r="G32" s="149"/>
      <c r="H32" s="149">
        <v>8.2905189999999997</v>
      </c>
      <c r="I32" s="149">
        <v>7.9631809999999996</v>
      </c>
      <c r="J32" s="149">
        <f>Table711[[#This Row],[G2AIMD (pingpong)]]/Table711[[#This Row],[gpu-layered]]</f>
        <v>1.401749680417854</v>
      </c>
      <c r="K32" s="159">
        <f>MIN(Table711[[#This Row],[gpu-hybrid-drop]:[gpu-hybrid-copy]])/Table711[[#This Row],[gpu-layered]]</f>
        <v>1.4484294092695917</v>
      </c>
      <c r="L32" s="145" t="s">
        <v>3989</v>
      </c>
      <c r="M32" s="149">
        <v>18.579999999999998</v>
      </c>
      <c r="N32" s="149" t="e">
        <f>Table711[[#This Row],[CPU Only (X &gt; 30m)]]/Table711[[#This Row],[gpu-layered]]</f>
        <v>#VALUE!</v>
      </c>
      <c r="O32" s="147">
        <f>Table711[[#This Row],[gpu-layered]]/Table711[[#This Row],[CPU+GPU]]</f>
        <v>0.29589903121636174</v>
      </c>
      <c r="AK32" s="77" t="s">
        <v>1423</v>
      </c>
      <c r="AL32">
        <v>25</v>
      </c>
      <c r="AN32" s="2">
        <v>0.79256700000000002</v>
      </c>
      <c r="AO32" s="105">
        <f ca="1">Table7[[#This Row],[GPU]]/Table7[[#This Row],[expand mode]]</f>
        <v>0.90100881720332315</v>
      </c>
      <c r="AR32" s="105" t="e">
        <f ca="1">Table7[[#This Row],[GPU]]/Table7[[#This Row],[cpuchunk=100]]</f>
        <v>#DIV/0!</v>
      </c>
      <c r="AS32" s="2">
        <v>0.87964399999999998</v>
      </c>
    </row>
    <row r="33" spans="2:45" ht="26" hidden="1" x14ac:dyDescent="0.35">
      <c r="B33" s="147"/>
      <c r="C33" s="148" t="s">
        <v>18</v>
      </c>
      <c r="D33" s="147">
        <v>9</v>
      </c>
      <c r="E33" s="149">
        <v>5.0656379999999999</v>
      </c>
      <c r="F33" s="149">
        <v>5.5034890000000001</v>
      </c>
      <c r="G33" s="149"/>
      <c r="H33" s="149">
        <v>5.2939119999999997</v>
      </c>
      <c r="I33" s="149">
        <v>5.13049</v>
      </c>
      <c r="J33" s="149">
        <f>Table711[[#This Row],[G2AIMD (pingpong)]]/Table711[[#This Row],[gpu-layered]]</f>
        <v>0.92044119648462996</v>
      </c>
      <c r="K33" s="159">
        <f>MIN(Table711[[#This Row],[gpu-hybrid-drop]:[gpu-hybrid-copy]])/Table711[[#This Row],[gpu-layered]]</f>
        <v>0.93222499399926118</v>
      </c>
      <c r="L33" s="145">
        <v>441.29256199999998</v>
      </c>
      <c r="M33" s="149">
        <v>8.2100000000000009</v>
      </c>
      <c r="N33" s="149">
        <f>Table711[[#This Row],[CPU Only (X &gt; 30m)]]/Table711[[#This Row],[gpu-layered]]</f>
        <v>80.184145366693741</v>
      </c>
      <c r="O33" s="147">
        <f>Table711[[#This Row],[gpu-layered]]/Table711[[#This Row],[CPU+GPU]]</f>
        <v>0.67033970767356876</v>
      </c>
      <c r="AK33" s="77" t="s">
        <v>1408</v>
      </c>
      <c r="AL33">
        <v>24</v>
      </c>
      <c r="AN33" s="2">
        <v>0.94571400000000005</v>
      </c>
      <c r="AO33" s="105">
        <f ca="1">Table7[[#This Row],[GPU]]/Table7[[#This Row],[expand mode]]</f>
        <v>0.74213343922003772</v>
      </c>
      <c r="AR33" s="105" t="e">
        <f ca="1">Table7[[#This Row],[GPU]]/Table7[[#This Row],[cpuchunk=100]]</f>
        <v>#DIV/0!</v>
      </c>
      <c r="AS33" s="2">
        <v>1.2743180000000001</v>
      </c>
    </row>
    <row r="34" spans="2:45" ht="26" hidden="1" x14ac:dyDescent="0.35">
      <c r="B34" s="147"/>
      <c r="C34" s="148" t="s">
        <v>3919</v>
      </c>
      <c r="D34" s="147">
        <v>8</v>
      </c>
      <c r="E34" s="149">
        <v>7.8519019999999999</v>
      </c>
      <c r="F34" s="149">
        <v>6.0313509999999999</v>
      </c>
      <c r="G34" s="149"/>
      <c r="H34" s="149">
        <v>5.93</v>
      </c>
      <c r="I34" s="149">
        <v>12.61</v>
      </c>
      <c r="J34" s="149">
        <f>Table711[[#This Row],[G2AIMD (pingpong)]]/Table711[[#This Row],[gpu-layered]]</f>
        <v>1.301847960763683</v>
      </c>
      <c r="K34" s="159">
        <f>MIN(Table711[[#This Row],[gpu-hybrid-drop]:[gpu-hybrid-copy]])/Table711[[#This Row],[gpu-layered]]</f>
        <v>0.98319597052136409</v>
      </c>
      <c r="L34" s="145">
        <v>126.505053</v>
      </c>
      <c r="M34" s="149">
        <v>8.73</v>
      </c>
      <c r="N34" s="149">
        <f>Table711[[#This Row],[CPU Only (X &gt; 30m)]]/Table711[[#This Row],[gpu-layered]]</f>
        <v>20.974579824652885</v>
      </c>
      <c r="O34" s="147">
        <f>Table711[[#This Row],[gpu-layered]]/Table711[[#This Row],[CPU+GPU]]</f>
        <v>0.69087640320733101</v>
      </c>
      <c r="AK34" s="77" t="s">
        <v>3919</v>
      </c>
      <c r="AL34">
        <v>9</v>
      </c>
      <c r="AN34" s="2">
        <v>0.948967</v>
      </c>
      <c r="AO34" s="105">
        <f ca="1">Table7[[#This Row],[GPU]]/Table7[[#This Row],[expand mode]]</f>
        <v>0.97904219725755492</v>
      </c>
      <c r="AR34" s="105" t="e">
        <f ca="1">Table7[[#This Row],[GPU]]/Table7[[#This Row],[cpuchunk=100]]</f>
        <v>#DIV/0!</v>
      </c>
      <c r="AS34" s="2">
        <v>0.96928099999999995</v>
      </c>
    </row>
    <row r="35" spans="2:45" ht="26" hidden="1" x14ac:dyDescent="0.35">
      <c r="B35" s="147"/>
      <c r="C35" s="148" t="s">
        <v>1461</v>
      </c>
      <c r="D35" s="147">
        <v>9</v>
      </c>
      <c r="E35" s="149">
        <v>6.390218</v>
      </c>
      <c r="F35" s="149">
        <v>6.5457919999999996</v>
      </c>
      <c r="G35" s="149"/>
      <c r="H35" s="149">
        <v>6.2323680000000001</v>
      </c>
      <c r="I35" s="149">
        <v>6.3412800000000002</v>
      </c>
      <c r="J35" s="149">
        <f>Table711[[#This Row],[G2AIMD (pingpong)]]/Table711[[#This Row],[gpu-layered]]</f>
        <v>0.97623297532216124</v>
      </c>
      <c r="K35" s="159">
        <f>MIN(Table711[[#This Row],[gpu-hybrid-drop]:[gpu-hybrid-copy]])/Table711[[#This Row],[gpu-layered]]</f>
        <v>0.95211824634818831</v>
      </c>
      <c r="L35" s="145" t="s">
        <v>3989</v>
      </c>
      <c r="M35" s="149">
        <v>10.54</v>
      </c>
      <c r="N35" s="149" t="e">
        <f>Table711[[#This Row],[CPU Only (X &gt; 30m)]]/Table711[[#This Row],[gpu-layered]]</f>
        <v>#VALUE!</v>
      </c>
      <c r="O35" s="147">
        <f>Table711[[#This Row],[gpu-layered]]/Table711[[#This Row],[CPU+GPU]]</f>
        <v>0.62104288425047438</v>
      </c>
      <c r="AK35" s="77" t="s">
        <v>1440</v>
      </c>
      <c r="AL35">
        <v>24</v>
      </c>
      <c r="AN35" s="2">
        <v>1.0290090000000001</v>
      </c>
      <c r="AO35" s="105">
        <f ca="1">Table7[[#This Row],[GPU]]/Table7[[#This Row],[expand mode]]</f>
        <v>1.2042319782233697</v>
      </c>
      <c r="AR35" s="105" t="e">
        <f ca="1">Table7[[#This Row],[GPU]]/Table7[[#This Row],[cpuchunk=100]]</f>
        <v>#DIV/0!</v>
      </c>
      <c r="AS35" s="2">
        <v>0.85449399999999998</v>
      </c>
    </row>
    <row r="36" spans="2:45" ht="26" hidden="1" x14ac:dyDescent="0.35">
      <c r="B36" s="147"/>
      <c r="C36" s="148" t="s">
        <v>1423</v>
      </c>
      <c r="D36" s="147">
        <v>9</v>
      </c>
      <c r="E36" s="149">
        <v>9.3385649999999991</v>
      </c>
      <c r="F36" s="149">
        <v>8.3094400000000004</v>
      </c>
      <c r="G36" s="149"/>
      <c r="H36" s="149">
        <v>8.8329799999999992</v>
      </c>
      <c r="I36" s="149">
        <v>8.7997490000000003</v>
      </c>
      <c r="J36" s="149">
        <f>Table711[[#This Row],[G2AIMD (pingpong)]]/Table711[[#This Row],[gpu-layered]]</f>
        <v>1.1238501030153656</v>
      </c>
      <c r="K36" s="159">
        <f>MIN(Table711[[#This Row],[gpu-hybrid-drop]:[gpu-hybrid-copy]])/Table711[[#This Row],[gpu-layered]]</f>
        <v>1.0590062627565757</v>
      </c>
      <c r="L36" s="145" t="s">
        <v>3989</v>
      </c>
      <c r="M36" s="149">
        <v>16.059999999999999</v>
      </c>
      <c r="N36" s="149" t="e">
        <f>Table711[[#This Row],[CPU Only (X &gt; 30m)]]/Table711[[#This Row],[gpu-layered]]</f>
        <v>#VALUE!</v>
      </c>
      <c r="O36" s="147">
        <f>Table711[[#This Row],[gpu-layered]]/Table711[[#This Row],[CPU+GPU]]</f>
        <v>0.51739975093399759</v>
      </c>
      <c r="AK36" s="77" t="s">
        <v>1434</v>
      </c>
      <c r="AL36">
        <v>24</v>
      </c>
      <c r="AN36" s="2">
        <v>1.0415239999999999</v>
      </c>
      <c r="AO36" s="105">
        <f ca="1">Table7[[#This Row],[GPU]]/Table7[[#This Row],[expand mode]]</f>
        <v>0.93231537403201203</v>
      </c>
      <c r="AR36" s="105" t="e">
        <f ca="1">Table7[[#This Row],[GPU]]/Table7[[#This Row],[cpuchunk=100]]</f>
        <v>#DIV/0!</v>
      </c>
      <c r="AS36" s="2">
        <v>1.117137</v>
      </c>
    </row>
    <row r="37" spans="2:45" ht="26" hidden="1" x14ac:dyDescent="0.35">
      <c r="B37" s="147"/>
      <c r="C37" s="148" t="s">
        <v>1346</v>
      </c>
      <c r="D37" s="147">
        <v>5</v>
      </c>
      <c r="E37" s="149">
        <v>10.325545</v>
      </c>
      <c r="F37" s="149">
        <v>8.3391870000000008</v>
      </c>
      <c r="G37" s="149"/>
      <c r="H37" s="149">
        <v>8.0564450000000001</v>
      </c>
      <c r="I37" s="149">
        <v>8.0574849999999998</v>
      </c>
      <c r="J37" s="149">
        <f>Table711[[#This Row],[G2AIMD (pingpong)]]/Table711[[#This Row],[gpu-layered]]</f>
        <v>1.2381956418533364</v>
      </c>
      <c r="K37" s="159">
        <f>MIN(Table711[[#This Row],[gpu-hybrid-drop]:[gpu-hybrid-copy]])/Table711[[#This Row],[gpu-layered]]</f>
        <v>0.96609477638527586</v>
      </c>
      <c r="L37" s="145">
        <v>411.32039900000001</v>
      </c>
      <c r="M37" s="149">
        <v>15.2</v>
      </c>
      <c r="N37" s="149">
        <f>Table711[[#This Row],[CPU Only (X &gt; 30m)]]/Table711[[#This Row],[gpu-layered]]</f>
        <v>49.323800869317353</v>
      </c>
      <c r="O37" s="147">
        <f>Table711[[#This Row],[gpu-layered]]/Table711[[#This Row],[CPU+GPU]]</f>
        <v>0.54863072368421062</v>
      </c>
      <c r="AK37" s="77" t="s">
        <v>1408</v>
      </c>
      <c r="AL37">
        <v>2</v>
      </c>
      <c r="AN37" s="2">
        <v>1.103539</v>
      </c>
      <c r="AO37" s="105">
        <f ca="1">Table7[[#This Row],[GPU]]/Table7[[#This Row],[expand mode]]</f>
        <v>14.821954790270372</v>
      </c>
      <c r="AR37" s="105" t="e">
        <f ca="1">Table7[[#This Row],[GPU]]/Table7[[#This Row],[cpuchunk=100]]</f>
        <v>#DIV/0!</v>
      </c>
      <c r="AS37" s="2">
        <v>7.4453000000000005E-2</v>
      </c>
    </row>
    <row r="38" spans="2:45" ht="26" hidden="1" x14ac:dyDescent="0.35">
      <c r="B38" s="147"/>
      <c r="C38" s="148" t="s">
        <v>1423</v>
      </c>
      <c r="D38" s="147">
        <v>2</v>
      </c>
      <c r="E38" s="149">
        <v>12.437353</v>
      </c>
      <c r="F38" s="149">
        <v>8.7754530000000006</v>
      </c>
      <c r="G38" s="149"/>
      <c r="H38" s="149">
        <v>10.327923</v>
      </c>
      <c r="I38" s="149">
        <v>10.31409</v>
      </c>
      <c r="J38" s="149">
        <f>Table711[[#This Row],[G2AIMD (pingpong)]]/Table711[[#This Row],[gpu-layered]]</f>
        <v>1.4172889992117785</v>
      </c>
      <c r="K38" s="159">
        <f>MIN(Table711[[#This Row],[gpu-hybrid-drop]:[gpu-hybrid-copy]])/Table711[[#This Row],[gpu-layered]]</f>
        <v>1.1753341964226804</v>
      </c>
      <c r="L38" s="145" t="s">
        <v>3989</v>
      </c>
      <c r="M38" s="149">
        <v>15.42</v>
      </c>
      <c r="N38" s="149" t="e">
        <f>Table711[[#This Row],[CPU Only (X &gt; 30m)]]/Table711[[#This Row],[gpu-layered]]</f>
        <v>#VALUE!</v>
      </c>
      <c r="O38" s="147">
        <f>Table711[[#This Row],[gpu-layered]]/Table711[[#This Row],[CPU+GPU]]</f>
        <v>0.56909552529182883</v>
      </c>
      <c r="AK38" s="77" t="s">
        <v>1408</v>
      </c>
      <c r="AL38">
        <v>5</v>
      </c>
      <c r="AN38" s="2">
        <v>1.2022219999999999</v>
      </c>
      <c r="AO38" s="105">
        <f ca="1">Table7[[#This Row],[GPU]]/Table7[[#This Row],[expand mode]]</f>
        <v>7.4959440838492855</v>
      </c>
      <c r="AR38" s="105" t="e">
        <f ca="1">Table7[[#This Row],[GPU]]/Table7[[#This Row],[cpuchunk=100]]</f>
        <v>#DIV/0!</v>
      </c>
      <c r="AS38" s="2">
        <v>0.160383</v>
      </c>
    </row>
    <row r="39" spans="2:45" ht="26" hidden="1" x14ac:dyDescent="0.35">
      <c r="B39" s="147"/>
      <c r="C39" s="148" t="s">
        <v>1371</v>
      </c>
      <c r="D39" s="147">
        <v>7</v>
      </c>
      <c r="E39" s="149">
        <v>8.8645990000000001</v>
      </c>
      <c r="F39" s="149">
        <v>8.8003280000000004</v>
      </c>
      <c r="G39" s="149"/>
      <c r="H39" s="149">
        <v>8.2859479999999994</v>
      </c>
      <c r="I39" s="149">
        <v>8.2539730000000002</v>
      </c>
      <c r="J39" s="149">
        <f>Table711[[#This Row],[G2AIMD (pingpong)]]/Table711[[#This Row],[gpu-layered]]</f>
        <v>1.007303250515208</v>
      </c>
      <c r="K39" s="159">
        <f>MIN(Table711[[#This Row],[gpu-hybrid-drop]:[gpu-hybrid-copy]])/Table711[[#This Row],[gpu-layered]]</f>
        <v>0.93791651856612612</v>
      </c>
      <c r="L39" s="145" t="s">
        <v>3989</v>
      </c>
      <c r="M39" s="149">
        <v>12.62</v>
      </c>
      <c r="N39" s="149" t="e">
        <f>Table711[[#This Row],[CPU Only (X &gt; 30m)]]/Table711[[#This Row],[gpu-layered]]</f>
        <v>#VALUE!</v>
      </c>
      <c r="O39" s="147">
        <f>Table711[[#This Row],[gpu-layered]]/Table711[[#This Row],[CPU+GPU]]</f>
        <v>0.69733185419968313</v>
      </c>
      <c r="AK39" s="77" t="s">
        <v>1438</v>
      </c>
      <c r="AL39">
        <v>24</v>
      </c>
      <c r="AN39" s="2">
        <v>1.2497990000000001</v>
      </c>
      <c r="AO39" s="105">
        <f ca="1">Table7[[#This Row],[GPU]]/Table7[[#This Row],[expand mode]]</f>
        <v>1.0711843633356048</v>
      </c>
      <c r="AR39" s="105" t="e">
        <f ca="1">Table7[[#This Row],[GPU]]/Table7[[#This Row],[cpuchunk=100]]</f>
        <v>#DIV/0!</v>
      </c>
      <c r="AS39" s="2">
        <v>1.1667449999999999</v>
      </c>
    </row>
    <row r="40" spans="2:45" ht="26" hidden="1" x14ac:dyDescent="0.35">
      <c r="B40" s="147">
        <v>1</v>
      </c>
      <c r="C40" s="148" t="s">
        <v>1431</v>
      </c>
      <c r="D40" s="147">
        <v>8</v>
      </c>
      <c r="E40" s="149" t="s">
        <v>3904</v>
      </c>
      <c r="F40" s="149">
        <v>8.9290000000000003</v>
      </c>
      <c r="G40" s="149"/>
      <c r="H40" s="149">
        <v>12.24</v>
      </c>
      <c r="I40" s="149">
        <v>16.3</v>
      </c>
      <c r="J40" s="149" t="e">
        <f>Table711[[#This Row],[G2AIMD (pingpong)]]/Table711[[#This Row],[gpu-layered]]</f>
        <v>#VALUE!</v>
      </c>
      <c r="K40" s="158">
        <f>MIN(Table711[[#This Row],[gpu-hybrid-drop]:[gpu-hybrid-copy]])/Table711[[#This Row],[gpu-layered]]</f>
        <v>1.3708142009183559</v>
      </c>
      <c r="L40" s="145" t="s">
        <v>3989</v>
      </c>
      <c r="M40" s="149">
        <v>9.31</v>
      </c>
      <c r="N40" s="149" t="e">
        <f>Table711[[#This Row],[CPU Only (X &gt; 30m)]]/Table711[[#This Row],[gpu-layered]]</f>
        <v>#VALUE!</v>
      </c>
      <c r="O40" s="147">
        <f>Table711[[#This Row],[gpu-layered]]/Table711[[#This Row],[CPU+GPU]]</f>
        <v>0.95907626208378083</v>
      </c>
      <c r="AK40" s="77" t="s">
        <v>1433</v>
      </c>
      <c r="AL40">
        <v>25</v>
      </c>
      <c r="AN40" s="2">
        <v>1.3173029999999999</v>
      </c>
      <c r="AO40" s="105">
        <f ca="1">Table7[[#This Row],[GPU]]/Table7[[#This Row],[expand mode]]</f>
        <v>0.95527831219320458</v>
      </c>
      <c r="AR40" s="105" t="e">
        <f ca="1">Table7[[#This Row],[GPU]]/Table7[[#This Row],[cpuchunk=100]]</f>
        <v>#DIV/0!</v>
      </c>
      <c r="AS40" s="2">
        <v>1.378973</v>
      </c>
    </row>
    <row r="41" spans="2:45" ht="26" hidden="1" x14ac:dyDescent="0.35">
      <c r="B41" s="147"/>
      <c r="C41" s="148" t="s">
        <v>1391</v>
      </c>
      <c r="D41" s="147">
        <v>7</v>
      </c>
      <c r="E41" s="149">
        <v>10.388268999999999</v>
      </c>
      <c r="F41" s="149">
        <v>9.1454550000000001</v>
      </c>
      <c r="G41" s="149"/>
      <c r="H41" s="149">
        <v>10.726867</v>
      </c>
      <c r="I41" s="149">
        <v>10.842553000000001</v>
      </c>
      <c r="J41" s="149">
        <f>Table711[[#This Row],[G2AIMD (pingpong)]]/Table711[[#This Row],[gpu-layered]]</f>
        <v>1.1358941681961148</v>
      </c>
      <c r="K41" s="159">
        <f>MIN(Table711[[#This Row],[gpu-hybrid-drop]:[gpu-hybrid-copy]])/Table711[[#This Row],[gpu-layered]]</f>
        <v>1.1729178045269482</v>
      </c>
      <c r="L41" s="145">
        <v>508.62465400000002</v>
      </c>
      <c r="M41" s="149">
        <v>10.950684000000001</v>
      </c>
      <c r="N41" s="149">
        <f>Table711[[#This Row],[CPU Only (X &gt; 30m)]]/Table711[[#This Row],[gpu-layered]]</f>
        <v>55.615019044979171</v>
      </c>
      <c r="O41" s="147">
        <f>Table711[[#This Row],[gpu-layered]]/Table711[[#This Row],[CPU+GPU]]</f>
        <v>0.83514920163891126</v>
      </c>
      <c r="AK41" s="77" t="s">
        <v>1455</v>
      </c>
      <c r="AL41">
        <v>24</v>
      </c>
      <c r="AN41" s="2">
        <v>1.3242640000000001</v>
      </c>
      <c r="AO41" s="105">
        <f ca="1">Table7[[#This Row],[GPU]]/Table7[[#This Row],[expand mode]]</f>
        <v>0.86553202614379088</v>
      </c>
      <c r="AR41" s="105" t="e">
        <f ca="1">Table7[[#This Row],[GPU]]/Table7[[#This Row],[cpuchunk=100]]</f>
        <v>#DIV/0!</v>
      </c>
      <c r="AS41" s="2">
        <v>1.53</v>
      </c>
    </row>
    <row r="42" spans="2:45" ht="26" hidden="1" x14ac:dyDescent="0.35">
      <c r="B42" s="147"/>
      <c r="C42" s="148" t="s">
        <v>3912</v>
      </c>
      <c r="D42" s="147">
        <v>5</v>
      </c>
      <c r="E42" s="149">
        <v>12.009475999999999</v>
      </c>
      <c r="F42" s="149">
        <v>9.7607599999999994</v>
      </c>
      <c r="G42" s="149"/>
      <c r="H42" s="149">
        <v>9.68</v>
      </c>
      <c r="I42" s="149">
        <v>18.600000000000001</v>
      </c>
      <c r="J42" s="149">
        <f>Table711[[#This Row],[G2AIMD (pingpong)]]/Table711[[#This Row],[gpu-layered]]</f>
        <v>1.2303832898257923</v>
      </c>
      <c r="K42" s="159">
        <f>MIN(Table711[[#This Row],[gpu-hybrid-drop]:[gpu-hybrid-copy]])/Table711[[#This Row],[gpu-layered]]</f>
        <v>0.99172605411873671</v>
      </c>
      <c r="L42" s="145">
        <v>516.02195900000004</v>
      </c>
      <c r="M42" s="149">
        <v>14.38</v>
      </c>
      <c r="N42" s="149">
        <f>Table711[[#This Row],[CPU Only (X &gt; 30m)]]/Table711[[#This Row],[gpu-layered]]</f>
        <v>52.866985665050677</v>
      </c>
      <c r="O42" s="147">
        <f>Table711[[#This Row],[gpu-layered]]/Table711[[#This Row],[CPU+GPU]]</f>
        <v>0.67877329624478433</v>
      </c>
      <c r="AK42" s="77" t="s">
        <v>1408</v>
      </c>
      <c r="AL42">
        <v>8</v>
      </c>
      <c r="AN42" s="2">
        <v>1.359286</v>
      </c>
      <c r="AO42" s="105">
        <f ca="1">Table7[[#This Row],[GPU]]/Table7[[#This Row],[expand mode]]</f>
        <v>5.23718815619642</v>
      </c>
      <c r="AR42" s="105" t="e">
        <f ca="1">Table7[[#This Row],[GPU]]/Table7[[#This Row],[cpuchunk=100]]</f>
        <v>#DIV/0!</v>
      </c>
      <c r="AS42" s="2">
        <v>0.25954500000000003</v>
      </c>
    </row>
    <row r="43" spans="2:45" ht="26" x14ac:dyDescent="0.35">
      <c r="B43" s="147">
        <v>1</v>
      </c>
      <c r="C43" s="148" t="s">
        <v>1371</v>
      </c>
      <c r="D43" s="147">
        <v>8</v>
      </c>
      <c r="E43" s="149">
        <v>15.318994999999999</v>
      </c>
      <c r="F43" s="149">
        <v>10.159229</v>
      </c>
      <c r="G43" s="78">
        <v>8.91</v>
      </c>
      <c r="H43" s="149">
        <v>10.78</v>
      </c>
      <c r="I43" s="149">
        <v>15.92</v>
      </c>
      <c r="J43" s="160">
        <f>Table711[[#This Row],[G2AIMD (pingpong)]]/Table711[[#This Row],[gpu-layered]]</f>
        <v>1.5078895258685476</v>
      </c>
      <c r="K43" s="161">
        <f>MIN(Table711[[#This Row],[gpu-hybrid-drop]:[gpu-hybrid-copy]])/Table711[[#This Row],[gpu-layered]]</f>
        <v>1.061104144812564</v>
      </c>
      <c r="L43" s="145" t="s">
        <v>3989</v>
      </c>
      <c r="M43" s="149">
        <v>10.49</v>
      </c>
      <c r="N43" s="149" t="e">
        <f>Table711[[#This Row],[CPU Only (X &gt; 30m)]]/Table711[[#This Row],[gpu-layered]]</f>
        <v>#VALUE!</v>
      </c>
      <c r="O43" s="160">
        <f>Table711[[#This Row],[gpu-layered]]/Table711[[#This Row],[CPU+GPU]]</f>
        <v>0.96846796949475689</v>
      </c>
      <c r="AK43" s="77" t="s">
        <v>1408</v>
      </c>
      <c r="AL43">
        <v>25</v>
      </c>
      <c r="AN43" s="2">
        <v>1.3638410000000001</v>
      </c>
      <c r="AO43" s="105">
        <f ca="1">Table7[[#This Row],[GPU]]/Table7[[#This Row],[expand mode]]</f>
        <v>1.0701005415465541</v>
      </c>
      <c r="AR43" s="105" t="e">
        <f ca="1">Table7[[#This Row],[GPU]]/Table7[[#This Row],[cpuchunk=100]]</f>
        <v>#DIV/0!</v>
      </c>
      <c r="AS43" s="2">
        <v>1.2744979999999999</v>
      </c>
    </row>
    <row r="44" spans="2:45" ht="26" x14ac:dyDescent="0.35">
      <c r="B44" s="147">
        <v>1</v>
      </c>
      <c r="C44" s="148" t="s">
        <v>1448</v>
      </c>
      <c r="D44" s="147">
        <v>2</v>
      </c>
      <c r="E44" s="149">
        <v>12.071039000000001</v>
      </c>
      <c r="F44" s="149">
        <v>10.268869</v>
      </c>
      <c r="G44" s="78">
        <v>11.904071999999999</v>
      </c>
      <c r="H44" s="149">
        <v>10.466866</v>
      </c>
      <c r="I44" s="149">
        <v>10.483615</v>
      </c>
      <c r="J44" s="160">
        <f>Table711[[#This Row],[G2AIMD (pingpong)]]/Table711[[#This Row],[gpu-layered]]</f>
        <v>1.1754983922766957</v>
      </c>
      <c r="K44" s="161">
        <f>MIN(Table711[[#This Row],[gpu-hybrid-drop]:[gpu-hybrid-copy]])/Table711[[#This Row],[gpu-layered]]</f>
        <v>1.0192812859916704</v>
      </c>
      <c r="L44" s="145" t="s">
        <v>3989</v>
      </c>
      <c r="M44" s="149">
        <v>13.1</v>
      </c>
      <c r="N44" s="149" t="e">
        <f>Table711[[#This Row],[CPU Only (X &gt; 30m)]]/Table711[[#This Row],[gpu-layered]]</f>
        <v>#VALUE!</v>
      </c>
      <c r="O44" s="160">
        <f>Table711[[#This Row],[gpu-layered]]/Table711[[#This Row],[CPU+GPU]]</f>
        <v>0.78388312977099239</v>
      </c>
      <c r="AK44" s="77" t="s">
        <v>1448</v>
      </c>
      <c r="AL44">
        <v>25</v>
      </c>
      <c r="AN44" s="2">
        <v>1.3693169999999999</v>
      </c>
      <c r="AO44" s="105">
        <f ca="1">Table7[[#This Row],[GPU]]/Table7[[#This Row],[expand mode]]</f>
        <v>0.92803025938845507</v>
      </c>
      <c r="AR44" s="105" t="e">
        <f ca="1">Table7[[#This Row],[GPU]]/Table7[[#This Row],[cpuchunk=100]]</f>
        <v>#DIV/0!</v>
      </c>
      <c r="AS44" s="2">
        <v>1.475509</v>
      </c>
    </row>
    <row r="45" spans="2:45" ht="26" x14ac:dyDescent="0.35">
      <c r="B45" s="147">
        <v>1</v>
      </c>
      <c r="C45" s="148" t="s">
        <v>1434</v>
      </c>
      <c r="D45" s="147">
        <v>9</v>
      </c>
      <c r="E45" s="149">
        <v>11.925243999999999</v>
      </c>
      <c r="F45" s="149">
        <v>11.339861000000001</v>
      </c>
      <c r="G45" s="78">
        <v>10.130000000000001</v>
      </c>
      <c r="H45" s="149">
        <v>11.41</v>
      </c>
      <c r="I45" s="149">
        <v>16.850000000000001</v>
      </c>
      <c r="J45" s="160">
        <f>Table711[[#This Row],[G2AIMD (pingpong)]]/Table711[[#This Row],[gpu-layered]]</f>
        <v>1.0516217085906079</v>
      </c>
      <c r="K45" s="161">
        <f>MIN(Table711[[#This Row],[gpu-hybrid-drop]:[gpu-hybrid-copy]])/Table711[[#This Row],[gpu-layered]]</f>
        <v>1.0061851728164921</v>
      </c>
      <c r="L45" s="145">
        <v>784.80277100000001</v>
      </c>
      <c r="M45" s="149">
        <v>11.13</v>
      </c>
      <c r="N45" s="167">
        <f>Table711[[#This Row],[CPU Only (X &gt; 30m)]]/Table711[[#This Row],[gpu-layered]]</f>
        <v>69.20744187252383</v>
      </c>
      <c r="O45" s="160">
        <f>Table711[[#This Row],[gpu-layered]]/Table711[[#This Row],[CPU+GPU]]</f>
        <v>1.0188554357592094</v>
      </c>
      <c r="AK45" s="77" t="s">
        <v>1391</v>
      </c>
      <c r="AL45">
        <v>24</v>
      </c>
      <c r="AN45" s="2">
        <v>1.4042870000000001</v>
      </c>
      <c r="AO45" s="105">
        <f ca="1">Table7[[#This Row],[GPU]]/Table7[[#This Row],[expand mode]]</f>
        <v>0.82820890425703209</v>
      </c>
      <c r="AR45" s="105" t="e">
        <f ca="1">Table7[[#This Row],[GPU]]/Table7[[#This Row],[cpuchunk=100]]</f>
        <v>#DIV/0!</v>
      </c>
      <c r="AS45" s="2">
        <v>1.6955709999999999</v>
      </c>
    </row>
    <row r="46" spans="2:45" ht="26" x14ac:dyDescent="0.35">
      <c r="B46" s="147">
        <v>1</v>
      </c>
      <c r="C46" s="148" t="s">
        <v>1448</v>
      </c>
      <c r="D46" s="147">
        <v>9</v>
      </c>
      <c r="E46" s="149">
        <v>14.808792</v>
      </c>
      <c r="F46" s="149">
        <v>14.022862</v>
      </c>
      <c r="G46" s="78">
        <v>13.923613</v>
      </c>
      <c r="H46" s="149">
        <v>13.161039000000001</v>
      </c>
      <c r="I46" s="149">
        <v>13.15311</v>
      </c>
      <c r="J46" s="160">
        <f>Table711[[#This Row],[G2AIMD (pingpong)]]/Table711[[#This Row],[gpu-layered]]</f>
        <v>1.0560463334802839</v>
      </c>
      <c r="K46" s="161">
        <f>MIN(Table711[[#This Row],[gpu-hybrid-drop]:[gpu-hybrid-copy]])/Table711[[#This Row],[gpu-layered]]</f>
        <v>0.93797614210280322</v>
      </c>
      <c r="L46" s="145" t="s">
        <v>3989</v>
      </c>
      <c r="M46" s="149">
        <v>26.07</v>
      </c>
      <c r="N46" s="149" t="e">
        <f>Table711[[#This Row],[CPU Only (X &gt; 30m)]]/Table711[[#This Row],[gpu-layered]]</f>
        <v>#VALUE!</v>
      </c>
      <c r="O46" s="160">
        <f>Table711[[#This Row],[gpu-layered]]/Table711[[#This Row],[CPU+GPU]]</f>
        <v>0.53789267357115456</v>
      </c>
      <c r="AK46" s="77" t="s">
        <v>1431</v>
      </c>
      <c r="AL46">
        <v>24</v>
      </c>
      <c r="AN46" s="2">
        <v>1.43831</v>
      </c>
      <c r="AO46" s="105">
        <f ca="1">Table7[[#This Row],[GPU]]/Table7[[#This Row],[expand mode]]</f>
        <v>0.91949151187953282</v>
      </c>
      <c r="AR46" s="105" t="e">
        <f ca="1">Table7[[#This Row],[GPU]]/Table7[[#This Row],[cpuchunk=100]]</f>
        <v>#DIV/0!</v>
      </c>
      <c r="AS46" s="2">
        <v>1.5642450000000001</v>
      </c>
    </row>
    <row r="47" spans="2:45" ht="26" x14ac:dyDescent="0.35">
      <c r="B47" s="147">
        <v>1</v>
      </c>
      <c r="C47" s="148" t="s">
        <v>3919</v>
      </c>
      <c r="D47" s="147">
        <v>6</v>
      </c>
      <c r="E47" s="149">
        <v>18.152170999999999</v>
      </c>
      <c r="F47" s="149">
        <v>14.641228999999999</v>
      </c>
      <c r="G47" s="78">
        <v>14.59</v>
      </c>
      <c r="H47" s="149">
        <v>15.22</v>
      </c>
      <c r="I47" s="149">
        <v>74.239999999999995</v>
      </c>
      <c r="J47" s="160">
        <f>Table711[[#This Row],[G2AIMD (pingpong)]]/Table711[[#This Row],[gpu-layered]]</f>
        <v>1.2397983120132881</v>
      </c>
      <c r="K47" s="161">
        <f>MIN(Table711[[#This Row],[gpu-hybrid-drop]:[gpu-hybrid-copy]])/Table711[[#This Row],[gpu-layered]]</f>
        <v>1.0395302197650211</v>
      </c>
      <c r="L47" s="145">
        <v>122.148618</v>
      </c>
      <c r="M47" s="149">
        <v>14.290449000000001</v>
      </c>
      <c r="N47" s="167">
        <f>Table711[[#This Row],[CPU Only (X &gt; 30m)]]/Table711[[#This Row],[gpu-layered]]</f>
        <v>8.3427844752650202</v>
      </c>
      <c r="O47" s="160">
        <f>Table711[[#This Row],[gpu-layered]]/Table711[[#This Row],[CPU+GPU]]</f>
        <v>1.0245464645652491</v>
      </c>
      <c r="AK47" s="77" t="s">
        <v>1440</v>
      </c>
      <c r="AL47">
        <v>25</v>
      </c>
      <c r="AN47" s="2">
        <v>1.476593</v>
      </c>
      <c r="AO47" s="105">
        <f ca="1">Table7[[#This Row],[GPU]]/Table7[[#This Row],[expand mode]]</f>
        <v>1.1271702290076335</v>
      </c>
      <c r="AR47" s="105" t="e">
        <f ca="1">Table7[[#This Row],[GPU]]/Table7[[#This Row],[cpuchunk=100]]</f>
        <v>#DIV/0!</v>
      </c>
      <c r="AS47" s="2">
        <v>1.31</v>
      </c>
    </row>
    <row r="48" spans="2:45" ht="26" x14ac:dyDescent="0.35">
      <c r="B48" s="147">
        <v>1</v>
      </c>
      <c r="C48" s="148" t="s">
        <v>1450</v>
      </c>
      <c r="D48" s="147">
        <v>2</v>
      </c>
      <c r="E48" s="149">
        <v>21.122053000000001</v>
      </c>
      <c r="F48" s="149">
        <v>16.624081</v>
      </c>
      <c r="G48" s="78">
        <v>19.009142000000001</v>
      </c>
      <c r="H48" s="149">
        <v>16.819852000000001</v>
      </c>
      <c r="I48" s="149">
        <v>16.774049999999999</v>
      </c>
      <c r="J48" s="160">
        <f>Table711[[#This Row],[G2AIMD (pingpong)]]/Table711[[#This Row],[gpu-layered]]</f>
        <v>1.2705696633696624</v>
      </c>
      <c r="K48" s="161">
        <f>MIN(Table711[[#This Row],[gpu-hybrid-drop]:[gpu-hybrid-copy]])/Table711[[#This Row],[gpu-layered]]</f>
        <v>1.0090211904044499</v>
      </c>
      <c r="L48" s="145" t="s">
        <v>3989</v>
      </c>
      <c r="M48" s="149">
        <v>20.420000000000002</v>
      </c>
      <c r="N48" s="149" t="e">
        <f>Table711[[#This Row],[CPU Only (X &gt; 30m)]]/Table711[[#This Row],[gpu-layered]]</f>
        <v>#VALUE!</v>
      </c>
      <c r="O48" s="160">
        <f>Table711[[#This Row],[gpu-layered]]/Table711[[#This Row],[CPU+GPU]]</f>
        <v>0.8141077864838393</v>
      </c>
      <c r="AK48" s="77" t="s">
        <v>1431</v>
      </c>
      <c r="AL48">
        <v>7</v>
      </c>
      <c r="AN48" s="2">
        <v>1.4923439999999999</v>
      </c>
      <c r="AO48" s="105">
        <f ca="1">Table7[[#This Row],[GPU]]/Table7[[#This Row],[expand mode]]</f>
        <v>0.95053757961783425</v>
      </c>
      <c r="AR48" s="105" t="e">
        <f ca="1">Table7[[#This Row],[GPU]]/Table7[[#This Row],[cpuchunk=100]]</f>
        <v>#DIV/0!</v>
      </c>
      <c r="AS48" s="2">
        <v>1.57</v>
      </c>
    </row>
    <row r="49" spans="2:45" ht="26" x14ac:dyDescent="0.35">
      <c r="B49" s="147">
        <v>1</v>
      </c>
      <c r="C49" s="148" t="s">
        <v>3912</v>
      </c>
      <c r="D49" s="147">
        <v>7</v>
      </c>
      <c r="E49" s="149">
        <v>19.990193000000001</v>
      </c>
      <c r="F49" s="149">
        <v>19.956325</v>
      </c>
      <c r="G49" s="78">
        <v>18.760000000000002</v>
      </c>
      <c r="H49" s="149">
        <v>19.63</v>
      </c>
      <c r="I49" s="149">
        <v>27.38</v>
      </c>
      <c r="J49" s="160">
        <f>Table711[[#This Row],[G2AIMD (pingpong)]]/Table711[[#This Row],[gpu-layered]]</f>
        <v>1.0016971060553486</v>
      </c>
      <c r="K49" s="161">
        <f>MIN(Table711[[#This Row],[gpu-hybrid-drop]:[gpu-hybrid-copy]])/Table711[[#This Row],[gpu-layered]]</f>
        <v>0.98364804141042994</v>
      </c>
      <c r="L49" s="145" t="s">
        <v>3989</v>
      </c>
      <c r="M49" s="149">
        <v>19.64</v>
      </c>
      <c r="N49" s="149" t="e">
        <f>Table711[[#This Row],[CPU Only (X &gt; 30m)]]/Table711[[#This Row],[gpu-layered]]</f>
        <v>#VALUE!</v>
      </c>
      <c r="O49" s="160">
        <f>Table711[[#This Row],[gpu-layered]]/Table711[[#This Row],[CPU+GPU]]</f>
        <v>1.0161061608961304</v>
      </c>
      <c r="AK49" s="77" t="s">
        <v>1431</v>
      </c>
      <c r="AL49">
        <v>25</v>
      </c>
      <c r="AN49" s="2">
        <v>1.4968319999999999</v>
      </c>
      <c r="AO49" s="105">
        <f ca="1">Table7[[#This Row],[GPU]]/Table7[[#This Row],[expand mode]]</f>
        <v>1.0890549696165397</v>
      </c>
      <c r="AR49" s="105" t="e">
        <f ca="1">Table7[[#This Row],[GPU]]/Table7[[#This Row],[cpuchunk=100]]</f>
        <v>#DIV/0!</v>
      </c>
      <c r="AS49" s="2">
        <v>1.3744320000000001</v>
      </c>
    </row>
    <row r="50" spans="2:45" ht="26" x14ac:dyDescent="0.35">
      <c r="B50" s="147">
        <v>1</v>
      </c>
      <c r="C50" s="148" t="s">
        <v>1391</v>
      </c>
      <c r="D50" s="147">
        <v>8</v>
      </c>
      <c r="E50" s="149">
        <v>25.276336000000001</v>
      </c>
      <c r="F50" s="145">
        <v>20.838047</v>
      </c>
      <c r="G50" s="78">
        <v>19.75</v>
      </c>
      <c r="H50" s="149">
        <v>22.4</v>
      </c>
      <c r="I50" s="149">
        <v>26.7</v>
      </c>
      <c r="J50" s="160">
        <f>Table711[[#This Row],[G2AIMD (pingpong)]]/Table711[[#This Row],[gpu-layered]]</f>
        <v>1.2129896818065533</v>
      </c>
      <c r="K50" s="161">
        <f>MIN(Table711[[#This Row],[gpu-hybrid-drop]:[gpu-hybrid-copy]])/Table711[[#This Row],[gpu-layered]]</f>
        <v>1.0749567845777486</v>
      </c>
      <c r="L50" s="145" t="s">
        <v>3989</v>
      </c>
      <c r="M50" s="149">
        <v>21.015433000000002</v>
      </c>
      <c r="N50" s="149" t="e">
        <f>Table711[[#This Row],[CPU Only (X &gt; 30m)]]/Table711[[#This Row],[gpu-layered]]</f>
        <v>#VALUE!</v>
      </c>
      <c r="O50" s="160">
        <f>Table711[[#This Row],[gpu-layered]]/Table711[[#This Row],[CPU+GPU]]</f>
        <v>0.99155925076585372</v>
      </c>
      <c r="AK50" s="77" t="s">
        <v>1431</v>
      </c>
      <c r="AL50">
        <v>9</v>
      </c>
      <c r="AN50" s="2">
        <v>1.5036099999999999</v>
      </c>
      <c r="AO50" s="105">
        <f ca="1">Table7[[#This Row],[GPU]]/Table7[[#This Row],[expand mode]]</f>
        <v>7.1284448468930588</v>
      </c>
      <c r="AR50" s="105" t="e">
        <f ca="1">Table7[[#This Row],[GPU]]/Table7[[#This Row],[cpuchunk=100]]</f>
        <v>#DIV/0!</v>
      </c>
      <c r="AS50" s="2">
        <v>0.21093100000000001</v>
      </c>
    </row>
    <row r="51" spans="2:45" ht="26" x14ac:dyDescent="0.35">
      <c r="B51" s="147">
        <v>1</v>
      </c>
      <c r="C51" s="148" t="s">
        <v>3912</v>
      </c>
      <c r="D51" s="147">
        <v>8</v>
      </c>
      <c r="E51" s="149">
        <v>23.409692</v>
      </c>
      <c r="F51" s="149">
        <v>22.264191</v>
      </c>
      <c r="G51" s="78">
        <v>20.399999999999999</v>
      </c>
      <c r="H51" s="149">
        <v>22.28</v>
      </c>
      <c r="I51" s="149">
        <v>31.8</v>
      </c>
      <c r="J51" s="160">
        <f>Table711[[#This Row],[G2AIMD (pingpong)]]/Table711[[#This Row],[gpu-layered]]</f>
        <v>1.0514503760769929</v>
      </c>
      <c r="K51" s="161">
        <f>MIN(Table711[[#This Row],[gpu-hybrid-drop]:[gpu-hybrid-copy]])/Table711[[#This Row],[gpu-layered]]</f>
        <v>1.0007100639767239</v>
      </c>
      <c r="L51" s="145">
        <v>579.55940199999998</v>
      </c>
      <c r="M51" s="149">
        <v>22.3</v>
      </c>
      <c r="N51" s="167">
        <f>Table711[[#This Row],[CPU Only (X &gt; 30m)]]/Table711[[#This Row],[gpu-layered]]</f>
        <v>26.031011052680959</v>
      </c>
      <c r="O51" s="160">
        <f>Table711[[#This Row],[gpu-layered]]/Table711[[#This Row],[CPU+GPU]]</f>
        <v>0.99839421524663674</v>
      </c>
      <c r="AK51" s="77" t="s">
        <v>1346</v>
      </c>
      <c r="AL51">
        <v>9</v>
      </c>
      <c r="AN51" s="2">
        <v>1.544257</v>
      </c>
      <c r="AO51" s="105">
        <f ca="1">Table7[[#This Row],[GPU]]/Table7[[#This Row],[expand mode]]</f>
        <v>0.70193499999999998</v>
      </c>
      <c r="AR51" s="105" t="e">
        <f ca="1">Table7[[#This Row],[GPU]]/Table7[[#This Row],[cpuchunk=100]]</f>
        <v>#DIV/0!</v>
      </c>
      <c r="AS51" s="2">
        <v>2.2000000000000002</v>
      </c>
    </row>
    <row r="52" spans="2:45" ht="26" x14ac:dyDescent="0.35">
      <c r="B52" s="147">
        <v>1</v>
      </c>
      <c r="C52" s="148" t="s">
        <v>1433</v>
      </c>
      <c r="D52" s="147">
        <v>2</v>
      </c>
      <c r="E52" s="149">
        <v>28.529733</v>
      </c>
      <c r="F52" s="149">
        <v>22.509125000000001</v>
      </c>
      <c r="G52" s="78">
        <v>26.240309</v>
      </c>
      <c r="H52" s="149">
        <v>22.606604000000001</v>
      </c>
      <c r="I52" s="149">
        <v>22.617318000000001</v>
      </c>
      <c r="J52" s="160">
        <f>Table711[[#This Row],[G2AIMD (pingpong)]]/Table711[[#This Row],[gpu-layered]]</f>
        <v>1.2674741021696756</v>
      </c>
      <c r="K52" s="161">
        <f>MIN(Table711[[#This Row],[gpu-hybrid-drop]:[gpu-hybrid-copy]])/Table711[[#This Row],[gpu-layered]]</f>
        <v>1.004330643683395</v>
      </c>
      <c r="L52" s="145" t="s">
        <v>3989</v>
      </c>
      <c r="M52" s="149">
        <v>27.35</v>
      </c>
      <c r="N52" s="149" t="e">
        <f>Table711[[#This Row],[CPU Only (X &gt; 30m)]]/Table711[[#This Row],[gpu-layered]]</f>
        <v>#VALUE!</v>
      </c>
      <c r="O52" s="160">
        <f>Table711[[#This Row],[gpu-layered]]/Table711[[#This Row],[CPU+GPU]]</f>
        <v>0.82300274223034731</v>
      </c>
      <c r="AK52" s="77" t="s">
        <v>1391</v>
      </c>
      <c r="AL52">
        <v>25</v>
      </c>
      <c r="AN52" s="2">
        <v>1.5655140000000001</v>
      </c>
      <c r="AO52" s="105">
        <f ca="1">Table7[[#This Row],[GPU]]/Table7[[#This Row],[expand mode]]</f>
        <v>1.0204432288607836</v>
      </c>
      <c r="AR52" s="105" t="e">
        <f ca="1">Table7[[#This Row],[GPU]]/Table7[[#This Row],[cpuchunk=100]]</f>
        <v>#DIV/0!</v>
      </c>
      <c r="AS52" s="2">
        <v>1.534151</v>
      </c>
    </row>
    <row r="53" spans="2:45" ht="26" x14ac:dyDescent="0.35">
      <c r="B53" s="147">
        <v>1</v>
      </c>
      <c r="C53" s="148" t="s">
        <v>1436</v>
      </c>
      <c r="D53" s="147">
        <v>2</v>
      </c>
      <c r="E53" s="149">
        <v>29.259466</v>
      </c>
      <c r="F53" s="149">
        <v>23.602007</v>
      </c>
      <c r="G53" s="78">
        <v>27.286231000000001</v>
      </c>
      <c r="H53" s="149">
        <v>23.619126999999999</v>
      </c>
      <c r="I53" s="149">
        <v>23.739864000000001</v>
      </c>
      <c r="J53" s="160">
        <f>Table711[[#This Row],[G2AIMD (pingpong)]]/Table711[[#This Row],[gpu-layered]]</f>
        <v>1.2397024541175672</v>
      </c>
      <c r="K53" s="161">
        <f>MIN(Table711[[#This Row],[gpu-hybrid-drop]:[gpu-hybrid-copy]])/Table711[[#This Row],[gpu-layered]]</f>
        <v>1.0007253620423042</v>
      </c>
      <c r="L53" s="145" t="s">
        <v>3989</v>
      </c>
      <c r="M53" s="149">
        <v>28.91</v>
      </c>
      <c r="N53" s="149" t="e">
        <f>Table711[[#This Row],[CPU Only (X &gt; 30m)]]/Table711[[#This Row],[gpu-layered]]</f>
        <v>#VALUE!</v>
      </c>
      <c r="O53" s="160">
        <f>Table711[[#This Row],[gpu-layered]]/Table711[[#This Row],[CPU+GPU]]</f>
        <v>0.81639595295745415</v>
      </c>
      <c r="AK53" s="77" t="s">
        <v>1438</v>
      </c>
      <c r="AL53">
        <v>25</v>
      </c>
      <c r="AN53" s="2">
        <v>1.742991</v>
      </c>
      <c r="AO53" s="105">
        <f ca="1">Table7[[#This Row],[GPU]]/Table7[[#This Row],[expand mode]]</f>
        <v>0.99529985347374572</v>
      </c>
      <c r="AR53" s="105" t="e">
        <f ca="1">Table7[[#This Row],[GPU]]/Table7[[#This Row],[cpuchunk=100]]</f>
        <v>#DIV/0!</v>
      </c>
      <c r="AS53" s="2">
        <v>1.7512220000000001</v>
      </c>
    </row>
    <row r="54" spans="2:45" ht="26" x14ac:dyDescent="0.35">
      <c r="B54" s="147">
        <v>1</v>
      </c>
      <c r="C54" s="148" t="s">
        <v>1346</v>
      </c>
      <c r="D54" s="147">
        <v>7</v>
      </c>
      <c r="E54" s="149">
        <v>28.379384999999999</v>
      </c>
      <c r="F54" s="149">
        <v>26.479275000000001</v>
      </c>
      <c r="G54" s="78">
        <v>27.15</v>
      </c>
      <c r="H54" s="149">
        <v>25.224063999999998</v>
      </c>
      <c r="I54" s="149">
        <v>25.21546</v>
      </c>
      <c r="J54" s="160">
        <f>Table711[[#This Row],[G2AIMD (pingpong)]]/Table711[[#This Row],[gpu-layered]]</f>
        <v>1.071758384623446</v>
      </c>
      <c r="K54" s="161">
        <f>MIN(Table711[[#This Row],[gpu-hybrid-drop]:[gpu-hybrid-copy]])/Table711[[#This Row],[gpu-layered]]</f>
        <v>0.95227154066718211</v>
      </c>
      <c r="L54" s="145" t="s">
        <v>3989</v>
      </c>
      <c r="M54" s="149">
        <v>30.8</v>
      </c>
      <c r="N54" s="149" t="e">
        <f>Table711[[#This Row],[CPU Only (X &gt; 30m)]]/Table711[[#This Row],[gpu-layered]]</f>
        <v>#VALUE!</v>
      </c>
      <c r="O54" s="160">
        <f>Table711[[#This Row],[gpu-layered]]/Table711[[#This Row],[CPU+GPU]]</f>
        <v>0.85971672077922079</v>
      </c>
      <c r="AK54" s="77" t="s">
        <v>1391</v>
      </c>
      <c r="AL54">
        <v>2</v>
      </c>
      <c r="AN54" s="2">
        <v>1.8836040000000001</v>
      </c>
      <c r="AO54" s="105">
        <f ca="1">Table7[[#This Row],[GPU]]/Table7[[#This Row],[expand mode]]</f>
        <v>2.7452101751532481</v>
      </c>
      <c r="AR54" s="105" t="e">
        <f ca="1">Table7[[#This Row],[GPU]]/Table7[[#This Row],[cpuchunk=100]]</f>
        <v>#DIV/0!</v>
      </c>
      <c r="AS54" s="2">
        <v>0.68614200000000003</v>
      </c>
    </row>
    <row r="55" spans="2:45" ht="26" x14ac:dyDescent="0.35">
      <c r="B55" s="147">
        <v>1</v>
      </c>
      <c r="C55" s="148" t="s">
        <v>1434</v>
      </c>
      <c r="D55" s="147">
        <v>5</v>
      </c>
      <c r="E55" s="149">
        <v>30.819552000000002</v>
      </c>
      <c r="F55" s="149">
        <v>27.584989</v>
      </c>
      <c r="G55" s="78">
        <v>26.35</v>
      </c>
      <c r="H55" s="149">
        <v>27.77</v>
      </c>
      <c r="I55" s="149">
        <v>35.96</v>
      </c>
      <c r="J55" s="160">
        <f>Table711[[#This Row],[G2AIMD (pingpong)]]/Table711[[#This Row],[gpu-layered]]</f>
        <v>1.1172580855479044</v>
      </c>
      <c r="K55" s="161">
        <f>MIN(Table711[[#This Row],[gpu-hybrid-drop]:[gpu-hybrid-copy]])/Table711[[#This Row],[gpu-layered]]</f>
        <v>1.0067069448532315</v>
      </c>
      <c r="L55" s="145">
        <v>1506.4237009999999</v>
      </c>
      <c r="M55" s="149">
        <v>28.29</v>
      </c>
      <c r="N55" s="167">
        <f>Table711[[#This Row],[CPU Only (X &gt; 30m)]]/Table711[[#This Row],[gpu-layered]]</f>
        <v>54.610270136413682</v>
      </c>
      <c r="O55" s="160">
        <f>Table711[[#This Row],[gpu-layered]]/Table711[[#This Row],[CPU+GPU]]</f>
        <v>0.97507914457405442</v>
      </c>
      <c r="AK55" s="77" t="s">
        <v>3919</v>
      </c>
      <c r="AL55">
        <v>5</v>
      </c>
      <c r="AN55" s="2">
        <v>2.0098569999999998</v>
      </c>
      <c r="AO55" s="105">
        <f ca="1">Table7[[#This Row],[GPU]]/Table7[[#This Row],[expand mode]]</f>
        <v>1.0267573615056091</v>
      </c>
      <c r="AR55" s="105" t="e">
        <f ca="1">Table7[[#This Row],[GPU]]/Table7[[#This Row],[cpuchunk=100]]</f>
        <v>#DIV/0!</v>
      </c>
      <c r="AS55" s="2">
        <v>1.9574800000000001</v>
      </c>
    </row>
    <row r="56" spans="2:45" ht="26" x14ac:dyDescent="0.35">
      <c r="B56" s="147">
        <v>1</v>
      </c>
      <c r="C56" s="148" t="s">
        <v>1450</v>
      </c>
      <c r="D56" s="147">
        <v>9</v>
      </c>
      <c r="E56" s="149">
        <v>33.843966000000002</v>
      </c>
      <c r="F56" s="149">
        <v>28.268073000000001</v>
      </c>
      <c r="G56" s="78">
        <v>29.47</v>
      </c>
      <c r="H56" s="149">
        <v>29.35</v>
      </c>
      <c r="I56" s="149">
        <v>35.840000000000003</v>
      </c>
      <c r="J56" s="160">
        <f>Table711[[#This Row],[G2AIMD (pingpong)]]/Table711[[#This Row],[gpu-layered]]</f>
        <v>1.1972505518858678</v>
      </c>
      <c r="K56" s="161">
        <f>MIN(Table711[[#This Row],[gpu-hybrid-drop]:[gpu-hybrid-copy]])/Table711[[#This Row],[gpu-layered]]</f>
        <v>1.0382738151270516</v>
      </c>
      <c r="L56" s="145" t="s">
        <v>3989</v>
      </c>
      <c r="M56" s="149">
        <v>53.31</v>
      </c>
      <c r="N56" s="149" t="e">
        <f>Table711[[#This Row],[CPU Only (X &gt; 30m)]]/Table711[[#This Row],[gpu-layered]]</f>
        <v>#VALUE!</v>
      </c>
      <c r="O56" s="160">
        <f>Table711[[#This Row],[gpu-layered]]/Table711[[#This Row],[CPU+GPU]]</f>
        <v>0.53025835678109168</v>
      </c>
      <c r="AK56" s="77" t="s">
        <v>1431</v>
      </c>
      <c r="AL56">
        <v>2</v>
      </c>
      <c r="AN56" s="2">
        <v>2.023552</v>
      </c>
      <c r="AO56" s="105">
        <f ca="1">Table7[[#This Row],[GPU]]/Table7[[#This Row],[expand mode]]</f>
        <v>3.3839341257684104</v>
      </c>
      <c r="AR56" s="105" t="e">
        <f ca="1">Table7[[#This Row],[GPU]]/Table7[[#This Row],[cpuchunk=100]]</f>
        <v>#DIV/0!</v>
      </c>
      <c r="AS56" s="2">
        <v>0.59798799999999996</v>
      </c>
    </row>
    <row r="57" spans="2:45" ht="26" x14ac:dyDescent="0.35">
      <c r="B57" s="147">
        <v>1</v>
      </c>
      <c r="C57" s="148" t="s">
        <v>1346</v>
      </c>
      <c r="D57" s="147">
        <v>8</v>
      </c>
      <c r="E57" s="149">
        <v>37.425060000000002</v>
      </c>
      <c r="F57" s="149">
        <v>34.536710999999997</v>
      </c>
      <c r="G57" s="78">
        <v>30.71</v>
      </c>
      <c r="H57" s="149">
        <v>34.729999999999997</v>
      </c>
      <c r="I57" s="149">
        <v>40.68</v>
      </c>
      <c r="J57" s="160">
        <f>Table711[[#This Row],[G2AIMD (pingpong)]]/Table711[[#This Row],[gpu-layered]]</f>
        <v>1.0836312699260797</v>
      </c>
      <c r="K57" s="161">
        <f>MIN(Table711[[#This Row],[gpu-hybrid-drop]:[gpu-hybrid-copy]])/Table711[[#This Row],[gpu-layered]]</f>
        <v>1.0055966244151042</v>
      </c>
      <c r="L57" s="145" t="s">
        <v>3989</v>
      </c>
      <c r="M57" s="149">
        <v>34.200000000000003</v>
      </c>
      <c r="N57" s="149" t="e">
        <f>Table711[[#This Row],[CPU Only (X &gt; 30m)]]/Table711[[#This Row],[gpu-layered]]</f>
        <v>#VALUE!</v>
      </c>
      <c r="O57" s="160">
        <f>Table711[[#This Row],[gpu-layered]]/Table711[[#This Row],[CPU+GPU]]</f>
        <v>1.0098453508771927</v>
      </c>
      <c r="AK57" s="77" t="s">
        <v>1</v>
      </c>
      <c r="AL57">
        <v>24</v>
      </c>
      <c r="AN57" s="2">
        <v>2.031037</v>
      </c>
      <c r="AO57" s="105">
        <f ca="1">Table7[[#This Row],[GPU]]/Table7[[#This Row],[expand mode]]</f>
        <v>0.84627458464133365</v>
      </c>
      <c r="AR57" s="105" t="e">
        <f ca="1">Table7[[#This Row],[GPU]]/Table7[[#This Row],[cpuchunk=100]]</f>
        <v>#DIV/0!</v>
      </c>
      <c r="AS57" s="2">
        <v>2.3999739999999998</v>
      </c>
    </row>
    <row r="58" spans="2:45" ht="26" x14ac:dyDescent="0.35">
      <c r="B58" s="147">
        <v>1</v>
      </c>
      <c r="C58" s="148" t="s">
        <v>1411</v>
      </c>
      <c r="D58" s="147">
        <v>2</v>
      </c>
      <c r="E58" s="149">
        <v>42.610433999999998</v>
      </c>
      <c r="F58" s="149">
        <v>36.894198000000003</v>
      </c>
      <c r="G58" s="78">
        <v>43.719253999999999</v>
      </c>
      <c r="H58" s="149">
        <v>37.475924999999997</v>
      </c>
      <c r="I58" s="149">
        <v>37.437714999999997</v>
      </c>
      <c r="J58" s="160">
        <f>Table711[[#This Row],[G2AIMD (pingpong)]]/Table711[[#This Row],[gpu-layered]]</f>
        <v>1.1549359061823214</v>
      </c>
      <c r="K58" s="161">
        <f>MIN(Table711[[#This Row],[gpu-hybrid-drop]:[gpu-hybrid-copy]])/Table711[[#This Row],[gpu-layered]]</f>
        <v>1.014731774356499</v>
      </c>
      <c r="L58" s="145" t="s">
        <v>3989</v>
      </c>
      <c r="M58" s="149">
        <v>44.47</v>
      </c>
      <c r="N58" s="149" t="e">
        <f>Table711[[#This Row],[CPU Only (X &gt; 30m)]]/Table711[[#This Row],[gpu-layered]]</f>
        <v>#VALUE!</v>
      </c>
      <c r="O58" s="160">
        <f>Table711[[#This Row],[gpu-layered]]/Table711[[#This Row],[CPU+GPU]]</f>
        <v>0.8296424106138971</v>
      </c>
      <c r="AK58" s="77" t="s">
        <v>1436</v>
      </c>
      <c r="AL58">
        <v>25</v>
      </c>
      <c r="AN58" s="2">
        <v>2.174401</v>
      </c>
      <c r="AO58" s="105">
        <f ca="1">Table7[[#This Row],[GPU]]/Table7[[#This Row],[expand mode]]</f>
        <v>0.87325341365461839</v>
      </c>
      <c r="AR58" s="105" t="e">
        <f ca="1">Table7[[#This Row],[GPU]]/Table7[[#This Row],[cpuchunk=100]]</f>
        <v>#DIV/0!</v>
      </c>
      <c r="AS58" s="2">
        <v>2.4900000000000002</v>
      </c>
    </row>
    <row r="59" spans="2:45" ht="26" x14ac:dyDescent="0.35">
      <c r="B59" s="147">
        <v>1</v>
      </c>
      <c r="C59" s="148" t="s">
        <v>1449</v>
      </c>
      <c r="D59" s="147">
        <v>2</v>
      </c>
      <c r="E59" s="149">
        <v>46.799216999999999</v>
      </c>
      <c r="F59" s="149">
        <v>38.434747000000002</v>
      </c>
      <c r="G59" s="78">
        <v>44.380322999999997</v>
      </c>
      <c r="H59" s="149">
        <v>38.592883</v>
      </c>
      <c r="I59" s="149">
        <v>38.600234</v>
      </c>
      <c r="J59" s="160">
        <f>Table711[[#This Row],[G2AIMD (pingpong)]]/Table711[[#This Row],[gpu-layered]]</f>
        <v>1.2176278147479414</v>
      </c>
      <c r="K59" s="161">
        <f>MIN(Table711[[#This Row],[gpu-hybrid-drop]:[gpu-hybrid-copy]])/Table711[[#This Row],[gpu-layered]]</f>
        <v>1.0041144020019177</v>
      </c>
      <c r="L59" s="145" t="s">
        <v>3989</v>
      </c>
      <c r="M59" s="149">
        <v>45.97</v>
      </c>
      <c r="N59" s="149" t="e">
        <f>Table711[[#This Row],[CPU Only (X &gt; 30m)]]/Table711[[#This Row],[gpu-layered]]</f>
        <v>#VALUE!</v>
      </c>
      <c r="O59" s="160">
        <f>Table711[[#This Row],[gpu-layered]]/Table711[[#This Row],[CPU+GPU]]</f>
        <v>0.83608324994561678</v>
      </c>
      <c r="AK59" s="77" t="s">
        <v>1449</v>
      </c>
      <c r="AL59">
        <v>25</v>
      </c>
      <c r="AN59" s="2">
        <v>2.2564649999999999</v>
      </c>
      <c r="AO59" s="105">
        <f ca="1">Table7[[#This Row],[GPU]]/Table7[[#This Row],[expand mode]]</f>
        <v>0.97049377889430377</v>
      </c>
      <c r="AR59" s="105" t="e">
        <f ca="1">Table7[[#This Row],[GPU]]/Table7[[#This Row],[cpuchunk=100]]</f>
        <v>#DIV/0!</v>
      </c>
      <c r="AS59" s="2">
        <v>2.3250690000000001</v>
      </c>
    </row>
    <row r="60" spans="2:45" ht="26" x14ac:dyDescent="0.35">
      <c r="B60" s="147">
        <v>1</v>
      </c>
      <c r="C60" s="148" t="s">
        <v>1371</v>
      </c>
      <c r="D60" s="147">
        <v>6</v>
      </c>
      <c r="E60" s="149">
        <v>42.350599000000003</v>
      </c>
      <c r="F60" s="149">
        <v>42.45</v>
      </c>
      <c r="G60" s="78">
        <v>122.9</v>
      </c>
      <c r="H60" s="149">
        <v>558.65</v>
      </c>
      <c r="I60" s="149">
        <v>507.61</v>
      </c>
      <c r="J60" s="160">
        <f>Table711[[#This Row],[G2AIMD (pingpong)]]/Table711[[#This Row],[gpu-layered]]</f>
        <v>0.99765839811542989</v>
      </c>
      <c r="K60" s="161">
        <f>MIN(Table711[[#This Row],[gpu-hybrid-drop]:[gpu-hybrid-copy]])/Table711[[#This Row],[gpu-layered]]</f>
        <v>11.957832744405183</v>
      </c>
      <c r="L60" s="145">
        <v>398.639387</v>
      </c>
      <c r="M60" s="149">
        <v>37</v>
      </c>
      <c r="N60" s="167">
        <f>Table711[[#This Row],[CPU Only (X &gt; 30m)]]/Table711[[#This Row],[gpu-layered]]</f>
        <v>9.3907982803297987</v>
      </c>
      <c r="O60" s="160">
        <f>Table711[[#This Row],[gpu-layered]]/Table711[[#This Row],[CPU+GPU]]</f>
        <v>1.1472972972972975</v>
      </c>
      <c r="AK60" s="77" t="s">
        <v>1434</v>
      </c>
      <c r="AL60">
        <v>2</v>
      </c>
      <c r="AN60" s="2">
        <v>2.2730779999999999</v>
      </c>
      <c r="AO60" s="105">
        <f ca="1">Table7[[#This Row],[GPU]]/Table7[[#This Row],[expand mode]]</f>
        <v>0.98241354257922886</v>
      </c>
      <c r="AR60" s="105" t="e">
        <f ca="1">Table7[[#This Row],[GPU]]/Table7[[#This Row],[cpuchunk=100]]</f>
        <v>#DIV/0!</v>
      </c>
      <c r="AS60" s="2">
        <v>2.3137690000000002</v>
      </c>
    </row>
    <row r="61" spans="2:45" ht="26" x14ac:dyDescent="0.35">
      <c r="B61" s="147">
        <v>1</v>
      </c>
      <c r="C61" s="148" t="s">
        <v>1409</v>
      </c>
      <c r="D61" s="147">
        <v>9</v>
      </c>
      <c r="E61" s="149">
        <v>55.395792</v>
      </c>
      <c r="F61" s="149">
        <v>45.427039000000001</v>
      </c>
      <c r="G61" s="78">
        <v>52.609563999999999</v>
      </c>
      <c r="H61" s="149">
        <v>45.305000999999997</v>
      </c>
      <c r="I61" s="149">
        <v>45.363224000000002</v>
      </c>
      <c r="J61" s="160">
        <f>Table711[[#This Row],[G2AIMD (pingpong)]]/Table711[[#This Row],[gpu-layered]]</f>
        <v>1.2194453616050123</v>
      </c>
      <c r="K61" s="161">
        <f>MIN(Table711[[#This Row],[gpu-hybrid-drop]:[gpu-hybrid-copy]])/Table711[[#This Row],[gpu-layered]]</f>
        <v>0.99731353830919944</v>
      </c>
      <c r="L61" s="145" t="s">
        <v>3989</v>
      </c>
      <c r="M61" s="149">
        <v>93.31</v>
      </c>
      <c r="N61" s="149" t="e">
        <f>Table711[[#This Row],[CPU Only (X &gt; 30m)]]/Table711[[#This Row],[gpu-layered]]</f>
        <v>#VALUE!</v>
      </c>
      <c r="O61" s="160">
        <f>Table711[[#This Row],[gpu-layered]]/Table711[[#This Row],[CPU+GPU]]</f>
        <v>0.48683998499624903</v>
      </c>
      <c r="AK61" s="77" t="s">
        <v>3912</v>
      </c>
      <c r="AL61">
        <v>25</v>
      </c>
      <c r="AN61" s="2">
        <v>2.3830969999999998</v>
      </c>
      <c r="AO61" s="105">
        <f ca="1">Table7[[#This Row],[GPU]]/Table7[[#This Row],[expand mode]]</f>
        <v>0.94894387999912377</v>
      </c>
      <c r="AR61" s="105" t="e">
        <f ca="1">Table7[[#This Row],[GPU]]/Table7[[#This Row],[cpuchunk=100]]</f>
        <v>#DIV/0!</v>
      </c>
      <c r="AS61" s="2">
        <v>2.5113150000000002</v>
      </c>
    </row>
    <row r="62" spans="2:45" ht="26" x14ac:dyDescent="0.35">
      <c r="B62" s="147">
        <v>1</v>
      </c>
      <c r="C62" s="148" t="s">
        <v>1436</v>
      </c>
      <c r="D62" s="147">
        <v>9</v>
      </c>
      <c r="E62" s="149">
        <v>52.928930999999999</v>
      </c>
      <c r="F62" s="149">
        <v>45.434877</v>
      </c>
      <c r="G62" s="78">
        <v>48.416003000000003</v>
      </c>
      <c r="H62" s="149">
        <v>44.800919999999998</v>
      </c>
      <c r="I62" s="149">
        <v>44.803967999999998</v>
      </c>
      <c r="J62" s="160">
        <f>Table711[[#This Row],[G2AIMD (pingpong)]]/Table711[[#This Row],[gpu-layered]]</f>
        <v>1.1649405587694228</v>
      </c>
      <c r="K62" s="161">
        <f>MIN(Table711[[#This Row],[gpu-hybrid-drop]:[gpu-hybrid-copy]])/Table711[[#This Row],[gpu-layered]]</f>
        <v>0.98604690841355191</v>
      </c>
      <c r="L62" s="145" t="s">
        <v>3989</v>
      </c>
      <c r="M62" s="149">
        <v>57.73</v>
      </c>
      <c r="N62" s="149" t="e">
        <f>Table711[[#This Row],[CPU Only (X &gt; 30m)]]/Table711[[#This Row],[gpu-layered]]</f>
        <v>#VALUE!</v>
      </c>
      <c r="O62" s="160">
        <f>Table711[[#This Row],[gpu-layered]]/Table711[[#This Row],[CPU+GPU]]</f>
        <v>0.78702367919625849</v>
      </c>
      <c r="AK62" s="77" t="s">
        <v>1431</v>
      </c>
      <c r="AL62">
        <v>5</v>
      </c>
      <c r="AN62" s="2">
        <v>2.4282240000000002</v>
      </c>
      <c r="AO62" s="105">
        <f ca="1">Table7[[#This Row],[GPU]]/Table7[[#This Row],[expand mode]]</f>
        <v>2.3716367472115332</v>
      </c>
      <c r="AR62" s="105" t="e">
        <f ca="1">Table7[[#This Row],[GPU]]/Table7[[#This Row],[cpuchunk=100]]</f>
        <v>#DIV/0!</v>
      </c>
      <c r="AS62" s="2">
        <v>1.02386</v>
      </c>
    </row>
    <row r="63" spans="2:45" ht="26" x14ac:dyDescent="0.35">
      <c r="B63" s="147">
        <v>1</v>
      </c>
      <c r="C63" s="148" t="s">
        <v>18</v>
      </c>
      <c r="D63" s="147">
        <v>2</v>
      </c>
      <c r="E63" s="149">
        <v>65.804128000000006</v>
      </c>
      <c r="F63" s="149">
        <v>54.708874999999999</v>
      </c>
      <c r="G63" s="78">
        <v>65.272642000000005</v>
      </c>
      <c r="H63" s="149">
        <v>57.492663</v>
      </c>
      <c r="I63" s="149">
        <v>58.218114999999997</v>
      </c>
      <c r="J63" s="160">
        <f>Table711[[#This Row],[G2AIMD (pingpong)]]/Table711[[#This Row],[gpu-layered]]</f>
        <v>1.2028053583627887</v>
      </c>
      <c r="K63" s="161">
        <f>MIN(Table711[[#This Row],[gpu-hybrid-drop]:[gpu-hybrid-copy]])/Table711[[#This Row],[gpu-layered]]</f>
        <v>1.0508836637565659</v>
      </c>
      <c r="L63" s="145" t="s">
        <v>3989</v>
      </c>
      <c r="M63" s="149">
        <v>72.959999999999994</v>
      </c>
      <c r="N63" s="149" t="e">
        <f>Table711[[#This Row],[CPU Only (X &gt; 30m)]]/Table711[[#This Row],[gpu-layered]]</f>
        <v>#VALUE!</v>
      </c>
      <c r="O63" s="160">
        <f>Table711[[#This Row],[gpu-layered]]/Table711[[#This Row],[CPU+GPU]]</f>
        <v>0.74984751918859649</v>
      </c>
      <c r="AK63" s="77" t="s">
        <v>1450</v>
      </c>
      <c r="AL63">
        <v>25</v>
      </c>
      <c r="AN63" s="2">
        <v>2.7511410000000001</v>
      </c>
      <c r="AO63" s="105">
        <f ca="1">Table7[[#This Row],[GPU]]/Table7[[#This Row],[expand mode]]</f>
        <v>0.97401175268521034</v>
      </c>
      <c r="AR63" s="105" t="e">
        <f ca="1">Table7[[#This Row],[GPU]]/Table7[[#This Row],[cpuchunk=100]]</f>
        <v>#DIV/0!</v>
      </c>
      <c r="AS63" s="2">
        <v>2.8245459999999998</v>
      </c>
    </row>
    <row r="64" spans="2:45" ht="26" x14ac:dyDescent="0.35">
      <c r="B64" s="147">
        <v>1</v>
      </c>
      <c r="C64" s="148" t="s">
        <v>1455</v>
      </c>
      <c r="D64" s="147">
        <v>2</v>
      </c>
      <c r="E64" s="149">
        <v>66.658944000000005</v>
      </c>
      <c r="F64" s="149">
        <v>56.069319</v>
      </c>
      <c r="G64" s="78">
        <v>64.485517999999999</v>
      </c>
      <c r="H64" s="149">
        <v>56.623154</v>
      </c>
      <c r="I64" s="149">
        <v>56.611761999999999</v>
      </c>
      <c r="J64" s="160">
        <f>Table711[[#This Row],[G2AIMD (pingpong)]]/Table711[[#This Row],[gpu-layered]]</f>
        <v>1.1888666598572386</v>
      </c>
      <c r="K64" s="161">
        <f>MIN(Table711[[#This Row],[gpu-hybrid-drop]:[gpu-hybrid-copy]])/Table711[[#This Row],[gpu-layered]]</f>
        <v>1.0096745066584454</v>
      </c>
      <c r="L64" s="145" t="s">
        <v>3989</v>
      </c>
      <c r="M64" s="149">
        <v>67.69</v>
      </c>
      <c r="N64" s="149" t="e">
        <f>Table711[[#This Row],[CPU Only (X &gt; 30m)]]/Table711[[#This Row],[gpu-layered]]</f>
        <v>#VALUE!</v>
      </c>
      <c r="O64" s="160">
        <f>Table711[[#This Row],[gpu-layered]]/Table711[[#This Row],[CPU+GPU]]</f>
        <v>0.82832499630669232</v>
      </c>
      <c r="AK64" s="77" t="s">
        <v>1461</v>
      </c>
      <c r="AL64">
        <v>24</v>
      </c>
      <c r="AN64" s="2">
        <v>2.8523550000000002</v>
      </c>
      <c r="AO64" s="105">
        <f ca="1">Table7[[#This Row],[GPU]]/Table7[[#This Row],[expand mode]]</f>
        <v>0.82453757784362858</v>
      </c>
      <c r="AR64" s="105" t="e">
        <f ca="1">Table7[[#This Row],[GPU]]/Table7[[#This Row],[cpuchunk=100]]</f>
        <v>#DIV/0!</v>
      </c>
      <c r="AS64" s="2">
        <v>3.4593389999999999</v>
      </c>
    </row>
    <row r="65" spans="2:45" ht="26" x14ac:dyDescent="0.35">
      <c r="B65" s="147">
        <v>1</v>
      </c>
      <c r="C65" s="148" t="s">
        <v>3912</v>
      </c>
      <c r="D65" s="147">
        <v>6</v>
      </c>
      <c r="E65" s="149">
        <v>62.898426000000001</v>
      </c>
      <c r="F65" s="149">
        <v>57.623711</v>
      </c>
      <c r="G65" s="78">
        <v>56.47</v>
      </c>
      <c r="H65" s="149">
        <v>57.31</v>
      </c>
      <c r="I65" s="149">
        <v>113.22</v>
      </c>
      <c r="J65" s="160">
        <f>Table711[[#This Row],[G2AIMD (pingpong)]]/Table711[[#This Row],[gpu-layered]]</f>
        <v>1.0915372319564771</v>
      </c>
      <c r="K65" s="161">
        <f>MIN(Table711[[#This Row],[gpu-hybrid-drop]:[gpu-hybrid-copy]])/Table711[[#This Row],[gpu-layered]]</f>
        <v>0.99455586954474351</v>
      </c>
      <c r="L65" s="145">
        <v>681.58641899999998</v>
      </c>
      <c r="M65" s="149">
        <v>55.23</v>
      </c>
      <c r="N65" s="167">
        <f>Table711[[#This Row],[CPU Only (X &gt; 30m)]]/Table711[[#This Row],[gpu-layered]]</f>
        <v>11.828228470047685</v>
      </c>
      <c r="O65" s="160">
        <f>Table711[[#This Row],[gpu-layered]]/Table711[[#This Row],[CPU+GPU]]</f>
        <v>1.0433407749411552</v>
      </c>
      <c r="AK65" s="77" t="s">
        <v>1371</v>
      </c>
      <c r="AL65">
        <v>5</v>
      </c>
      <c r="AN65" s="2">
        <v>2.8553199999999999</v>
      </c>
      <c r="AO65" s="105">
        <f ca="1">Table7[[#This Row],[GPU]]/Table7[[#This Row],[expand mode]]</f>
        <v>0.88400000000000001</v>
      </c>
      <c r="AR65" s="105" t="e">
        <f ca="1">Table7[[#This Row],[GPU]]/Table7[[#This Row],[cpuchunk=100]]</f>
        <v>#DIV/0!</v>
      </c>
      <c r="AS65" s="2">
        <v>3.23</v>
      </c>
    </row>
    <row r="66" spans="2:45" ht="26" x14ac:dyDescent="0.35">
      <c r="B66" s="147">
        <v>1</v>
      </c>
      <c r="C66" s="148" t="s">
        <v>1</v>
      </c>
      <c r="D66" s="147">
        <v>5</v>
      </c>
      <c r="E66" s="149">
        <v>57.615180000000002</v>
      </c>
      <c r="F66" s="149">
        <v>58.23</v>
      </c>
      <c r="G66" s="78">
        <v>50.697586999999999</v>
      </c>
      <c r="H66" s="149">
        <v>50.301586</v>
      </c>
      <c r="I66" s="149">
        <v>50.304794000000001</v>
      </c>
      <c r="J66" s="160">
        <f>Table711[[#This Row],[G2AIMD (pingpong)]]/Table711[[#This Row],[gpu-layered]]</f>
        <v>0.98944152498712012</v>
      </c>
      <c r="K66" s="161">
        <f>MIN(Table711[[#This Row],[gpu-hybrid-drop]:[gpu-hybrid-copy]])/Table711[[#This Row],[gpu-layered]]</f>
        <v>0.86384313927528766</v>
      </c>
      <c r="L66" s="145" t="s">
        <v>3989</v>
      </c>
      <c r="M66" s="149">
        <v>60.35</v>
      </c>
      <c r="N66" s="149" t="e">
        <f>Table711[[#This Row],[CPU Only (X &gt; 30m)]]/Table711[[#This Row],[gpu-layered]]</f>
        <v>#VALUE!</v>
      </c>
      <c r="O66" s="160">
        <f>Table711[[#This Row],[gpu-layered]]/Table711[[#This Row],[CPU+GPU]]</f>
        <v>0.96487158243579119</v>
      </c>
      <c r="AK66" s="77" t="s">
        <v>1461</v>
      </c>
      <c r="AL66">
        <v>25</v>
      </c>
      <c r="AN66" s="2">
        <v>2.9992399999999999</v>
      </c>
      <c r="AO66" s="105">
        <f ca="1">Table7[[#This Row],[GPU]]/Table7[[#This Row],[expand mode]]</f>
        <v>0.90769463104817782</v>
      </c>
      <c r="AR66" s="105" t="e">
        <f ca="1">Table7[[#This Row],[GPU]]/Table7[[#This Row],[cpuchunk=100]]</f>
        <v>#DIV/0!</v>
      </c>
      <c r="AS66" s="2">
        <v>3.3042389999999999</v>
      </c>
    </row>
    <row r="67" spans="2:45" ht="26" x14ac:dyDescent="0.35">
      <c r="B67" s="147">
        <v>1</v>
      </c>
      <c r="C67" s="148" t="s">
        <v>1434</v>
      </c>
      <c r="D67" s="147">
        <v>7</v>
      </c>
      <c r="E67" s="149">
        <v>76.175668000000002</v>
      </c>
      <c r="F67" s="149">
        <v>74.836130999999995</v>
      </c>
      <c r="G67" s="78">
        <v>72.11</v>
      </c>
      <c r="H67" s="149">
        <v>73.959999999999994</v>
      </c>
      <c r="I67" s="149">
        <v>82.75</v>
      </c>
      <c r="J67" s="160">
        <f>Table711[[#This Row],[G2AIMD (pingpong)]]/Table711[[#This Row],[gpu-layered]]</f>
        <v>1.0178996025328997</v>
      </c>
      <c r="K67" s="161">
        <f>MIN(Table711[[#This Row],[gpu-hybrid-drop]:[gpu-hybrid-copy]])/Table711[[#This Row],[gpu-layered]]</f>
        <v>0.98829267376208962</v>
      </c>
      <c r="L67" s="145" t="s">
        <v>3989</v>
      </c>
      <c r="M67" s="149">
        <v>75.81</v>
      </c>
      <c r="N67" s="149" t="e">
        <f>Table711[[#This Row],[CPU Only (X &gt; 30m)]]/Table711[[#This Row],[gpu-layered]]</f>
        <v>#VALUE!</v>
      </c>
      <c r="O67" s="160">
        <f>Table711[[#This Row],[gpu-layered]]/Table711[[#This Row],[CPU+GPU]]</f>
        <v>0.98715381875741981</v>
      </c>
      <c r="AK67" s="77" t="s">
        <v>1408</v>
      </c>
      <c r="AL67">
        <v>18</v>
      </c>
      <c r="AN67" s="2">
        <v>3.0108380000000001</v>
      </c>
      <c r="AO67" s="105">
        <f ca="1">Table7[[#This Row],[GPU]]/Table7[[#This Row],[expand mode]]</f>
        <v>0.99060014318577838</v>
      </c>
      <c r="AR67" s="105" t="e">
        <f ca="1">Table7[[#This Row],[GPU]]/Table7[[#This Row],[cpuchunk=100]]</f>
        <v>#DIV/0!</v>
      </c>
      <c r="AS67" s="2">
        <v>3.0394079999999999</v>
      </c>
    </row>
    <row r="68" spans="2:45" ht="26" x14ac:dyDescent="0.35">
      <c r="B68" s="147">
        <v>1</v>
      </c>
      <c r="C68" s="148" t="s">
        <v>1438</v>
      </c>
      <c r="D68" s="147">
        <v>2</v>
      </c>
      <c r="E68" s="149">
        <v>103.344572</v>
      </c>
      <c r="F68" s="149">
        <v>85.561336999999995</v>
      </c>
      <c r="G68" s="78">
        <v>101.208506</v>
      </c>
      <c r="H68" s="149">
        <v>86.766284999999996</v>
      </c>
      <c r="I68" s="149">
        <v>86.745261999999997</v>
      </c>
      <c r="J68" s="160">
        <f>Table711[[#This Row],[G2AIMD (pingpong)]]/Table711[[#This Row],[gpu-layered]]</f>
        <v>1.2078419485193412</v>
      </c>
      <c r="K68" s="161">
        <f>MIN(Table711[[#This Row],[gpu-hybrid-drop]:[gpu-hybrid-copy]])/Table711[[#This Row],[gpu-layered]]</f>
        <v>1.0138371493657234</v>
      </c>
      <c r="L68" s="145" t="s">
        <v>3989</v>
      </c>
      <c r="M68" s="149">
        <v>103.33</v>
      </c>
      <c r="N68" s="149" t="e">
        <f>Table711[[#This Row],[CPU Only (X &gt; 30m)]]/Table711[[#This Row],[gpu-layered]]</f>
        <v>#VALUE!</v>
      </c>
      <c r="O68" s="160">
        <f>Table711[[#This Row],[gpu-layered]]/Table711[[#This Row],[CPU+GPU]]</f>
        <v>0.8280396496661182</v>
      </c>
      <c r="AK68" s="77" t="s">
        <v>1408</v>
      </c>
      <c r="AL68">
        <v>6</v>
      </c>
      <c r="AN68" s="2">
        <v>3.2149070000000002</v>
      </c>
      <c r="AO68" s="105">
        <f ca="1">Table7[[#This Row],[GPU]]/Table7[[#This Row],[expand mode]]</f>
        <v>2.1620465455347571</v>
      </c>
      <c r="AR68" s="105" t="e">
        <f ca="1">Table7[[#This Row],[GPU]]/Table7[[#This Row],[cpuchunk=100]]</f>
        <v>#DIV/0!</v>
      </c>
      <c r="AS68" s="2">
        <v>1.486974</v>
      </c>
    </row>
    <row r="69" spans="2:45" ht="26" x14ac:dyDescent="0.35">
      <c r="B69" s="147">
        <v>1</v>
      </c>
      <c r="C69" s="148" t="s">
        <v>1434</v>
      </c>
      <c r="D69" s="147">
        <v>8</v>
      </c>
      <c r="E69" s="149" t="s">
        <v>3904</v>
      </c>
      <c r="F69" s="149">
        <v>91.497511000000003</v>
      </c>
      <c r="G69" s="78">
        <v>79.67</v>
      </c>
      <c r="H69" s="149">
        <v>91.44</v>
      </c>
      <c r="I69" s="149">
        <v>104.66</v>
      </c>
      <c r="J69" s="160" t="e">
        <f>Table711[[#This Row],[G2AIMD (pingpong)]]/Table711[[#This Row],[gpu-layered]]</f>
        <v>#VALUE!</v>
      </c>
      <c r="K69" s="161">
        <f>MIN(Table711[[#This Row],[gpu-hybrid-drop]:[gpu-hybrid-copy]])/Table711[[#This Row],[gpu-layered]]</f>
        <v>0.9993714473828692</v>
      </c>
      <c r="L69" s="145" t="s">
        <v>3989</v>
      </c>
      <c r="M69" s="149">
        <v>87.05</v>
      </c>
      <c r="N69" s="149" t="e">
        <f>Table711[[#This Row],[CPU Only (X &gt; 30m)]]/Table711[[#This Row],[gpu-layered]]</f>
        <v>#VALUE!</v>
      </c>
      <c r="O69" s="160">
        <f>Table711[[#This Row],[gpu-layered]]/Table711[[#This Row],[CPU+GPU]]</f>
        <v>1.0510914531878233</v>
      </c>
      <c r="AK69" s="77" t="s">
        <v>18</v>
      </c>
      <c r="AL69">
        <v>25</v>
      </c>
      <c r="AN69" s="2">
        <v>3.3076409999999998</v>
      </c>
      <c r="AO69" s="105">
        <f ca="1">Table7[[#This Row],[GPU]]/Table7[[#This Row],[expand mode]]</f>
        <v>0.93837913440165455</v>
      </c>
      <c r="AR69" s="105" t="e">
        <f ca="1">Table7[[#This Row],[GPU]]/Table7[[#This Row],[cpuchunk=100]]</f>
        <v>#DIV/0!</v>
      </c>
      <c r="AS69" s="2">
        <v>3.524845</v>
      </c>
    </row>
    <row r="70" spans="2:45" ht="26" x14ac:dyDescent="0.35">
      <c r="B70" s="147">
        <v>1</v>
      </c>
      <c r="C70" s="148" t="s">
        <v>1409</v>
      </c>
      <c r="D70" s="147">
        <v>2</v>
      </c>
      <c r="E70" s="149">
        <v>113.499054</v>
      </c>
      <c r="F70" s="149">
        <v>94.717786000000004</v>
      </c>
      <c r="G70" s="78">
        <v>111.11881700000001</v>
      </c>
      <c r="H70" s="149">
        <v>94.959768999999994</v>
      </c>
      <c r="I70" s="149">
        <v>95.084721999999999</v>
      </c>
      <c r="J70" s="160">
        <f>Table711[[#This Row],[G2AIMD (pingpong)]]/Table711[[#This Row],[gpu-layered]]</f>
        <v>1.1982866026872714</v>
      </c>
      <c r="K70" s="161">
        <f>MIN(Table711[[#This Row],[gpu-hybrid-drop]:[gpu-hybrid-copy]])/Table711[[#This Row],[gpu-layered]]</f>
        <v>1.002554778888096</v>
      </c>
      <c r="L70" s="145" t="s">
        <v>3989</v>
      </c>
      <c r="M70" s="149">
        <v>114.11</v>
      </c>
      <c r="N70" s="149" t="e">
        <f>Table711[[#This Row],[CPU Only (X &gt; 30m)]]/Table711[[#This Row],[gpu-layered]]</f>
        <v>#VALUE!</v>
      </c>
      <c r="O70" s="160">
        <f>Table711[[#This Row],[gpu-layered]]/Table711[[#This Row],[CPU+GPU]]</f>
        <v>0.83005683989133294</v>
      </c>
      <c r="AK70" s="77" t="s">
        <v>1</v>
      </c>
      <c r="AL70">
        <v>2</v>
      </c>
      <c r="AN70" s="2">
        <v>3.6229019999999998</v>
      </c>
      <c r="AO70" s="105">
        <f ca="1">Table7[[#This Row],[GPU]]/Table7[[#This Row],[expand mode]]</f>
        <v>0.387812115308449</v>
      </c>
      <c r="AR70" s="105" t="e">
        <f ca="1">Table7[[#This Row],[GPU]]/Table7[[#This Row],[cpuchunk=100]]</f>
        <v>#DIV/0!</v>
      </c>
      <c r="AS70" s="2">
        <v>9.3419000000000008</v>
      </c>
    </row>
    <row r="71" spans="2:45" ht="26" x14ac:dyDescent="0.35">
      <c r="B71" s="147">
        <v>1</v>
      </c>
      <c r="C71" s="148" t="s">
        <v>1425</v>
      </c>
      <c r="D71" s="147">
        <v>5</v>
      </c>
      <c r="E71" s="149">
        <v>107.200653</v>
      </c>
      <c r="F71" s="149">
        <v>100.607213</v>
      </c>
      <c r="G71" s="78">
        <v>102.179209</v>
      </c>
      <c r="H71" s="149">
        <v>98.147536000000002</v>
      </c>
      <c r="I71" s="149">
        <v>98.163443000000001</v>
      </c>
      <c r="J71" s="160">
        <f>Table711[[#This Row],[G2AIMD (pingpong)]]/Table711[[#This Row],[gpu-layered]]</f>
        <v>1.0655364541307788</v>
      </c>
      <c r="K71" s="161">
        <f>MIN(Table711[[#This Row],[gpu-hybrid-drop]:[gpu-hybrid-copy]])/Table711[[#This Row],[gpu-layered]]</f>
        <v>0.97555168335693787</v>
      </c>
      <c r="L71" s="145" t="s">
        <v>3989</v>
      </c>
      <c r="M71" s="149">
        <v>107.55</v>
      </c>
      <c r="N71" s="149" t="e">
        <f>Table711[[#This Row],[CPU Only (X &gt; 30m)]]/Table711[[#This Row],[gpu-layered]]</f>
        <v>#VALUE!</v>
      </c>
      <c r="O71" s="160">
        <f>Table711[[#This Row],[gpu-layered]]/Table711[[#This Row],[CPU+GPU]]</f>
        <v>0.93544596001859603</v>
      </c>
      <c r="AK71" s="77" t="s">
        <v>3919</v>
      </c>
      <c r="AL71">
        <v>7</v>
      </c>
      <c r="AN71" s="2">
        <v>3.7306889999999999</v>
      </c>
      <c r="AO71" s="105">
        <f ca="1">Table7[[#This Row],[GPU]]/Table7[[#This Row],[expand mode]]</f>
        <v>0.98206651284676938</v>
      </c>
      <c r="AR71" s="105" t="e">
        <f ca="1">Table7[[#This Row],[GPU]]/Table7[[#This Row],[cpuchunk=100]]</f>
        <v>#DIV/0!</v>
      </c>
      <c r="AS71" s="2">
        <v>3.7988149999999998</v>
      </c>
    </row>
    <row r="72" spans="2:45" ht="26" x14ac:dyDescent="0.35">
      <c r="B72" s="147">
        <v>1</v>
      </c>
      <c r="C72" s="148" t="s">
        <v>1440</v>
      </c>
      <c r="D72" s="147">
        <v>9</v>
      </c>
      <c r="E72" s="149">
        <v>143.057703</v>
      </c>
      <c r="F72" s="149">
        <v>121.78675800000001</v>
      </c>
      <c r="G72" s="78">
        <v>138.30026100000001</v>
      </c>
      <c r="H72" s="149">
        <v>122.12101</v>
      </c>
      <c r="I72" s="149">
        <v>122.385575</v>
      </c>
      <c r="J72" s="160">
        <f>Table711[[#This Row],[G2AIMD (pingpong)]]/Table711[[#This Row],[gpu-layered]]</f>
        <v>1.1746572890954203</v>
      </c>
      <c r="K72" s="161">
        <f>MIN(Table711[[#This Row],[gpu-hybrid-drop]:[gpu-hybrid-copy]])/Table711[[#This Row],[gpu-layered]]</f>
        <v>1.0027445676811595</v>
      </c>
      <c r="L72" s="145" t="s">
        <v>3989</v>
      </c>
      <c r="M72" s="149">
        <v>147.19999999999999</v>
      </c>
      <c r="N72" s="149" t="e">
        <f>Table711[[#This Row],[CPU Only (X &gt; 30m)]]/Table711[[#This Row],[gpu-layered]]</f>
        <v>#VALUE!</v>
      </c>
      <c r="O72" s="160">
        <f>Table711[[#This Row],[gpu-layered]]/Table711[[#This Row],[CPU+GPU]]</f>
        <v>0.82735569293478273</v>
      </c>
      <c r="AK72" s="77" t="s">
        <v>18</v>
      </c>
      <c r="AL72">
        <v>24</v>
      </c>
      <c r="AN72" s="2">
        <v>3.8970630000000002</v>
      </c>
      <c r="AO72" s="105">
        <f ca="1">Table7[[#This Row],[GPU]]/Table7[[#This Row],[expand mode]]</f>
        <v>1.0386528807292894</v>
      </c>
      <c r="AR72" s="105" t="e">
        <f ca="1">Table7[[#This Row],[GPU]]/Table7[[#This Row],[cpuchunk=100]]</f>
        <v>#DIV/0!</v>
      </c>
      <c r="AS72" s="2">
        <v>3.7520359999999999</v>
      </c>
    </row>
    <row r="73" spans="2:45" ht="26" x14ac:dyDescent="0.35">
      <c r="B73" s="147">
        <v>1</v>
      </c>
      <c r="C73" s="148" t="s">
        <v>1461</v>
      </c>
      <c r="D73" s="147">
        <v>5</v>
      </c>
      <c r="E73" s="149">
        <v>140.261855</v>
      </c>
      <c r="F73" s="149">
        <v>132.62251599999999</v>
      </c>
      <c r="G73" s="78">
        <v>131.03888000000001</v>
      </c>
      <c r="H73" s="149">
        <v>131.089179</v>
      </c>
      <c r="I73" s="149">
        <v>131.575536</v>
      </c>
      <c r="J73" s="160">
        <f>Table711[[#This Row],[G2AIMD (pingpong)]]/Table711[[#This Row],[gpu-layered]]</f>
        <v>1.057602126926924</v>
      </c>
      <c r="K73" s="161">
        <f>MIN(Table711[[#This Row],[gpu-hybrid-drop]:[gpu-hybrid-copy]])/Table711[[#This Row],[gpu-layered]]</f>
        <v>0.98843833576494666</v>
      </c>
      <c r="L73" s="145" t="s">
        <v>3989</v>
      </c>
      <c r="M73" s="149">
        <v>135.83000000000001</v>
      </c>
      <c r="N73" s="149" t="e">
        <f>Table711[[#This Row],[CPU Only (X &gt; 30m)]]/Table711[[#This Row],[gpu-layered]]</f>
        <v>#VALUE!</v>
      </c>
      <c r="O73" s="160">
        <f>Table711[[#This Row],[gpu-layered]]/Table711[[#This Row],[CPU+GPU]]</f>
        <v>0.97638604137524831</v>
      </c>
      <c r="AK73" s="77" t="s">
        <v>1434</v>
      </c>
      <c r="AL73">
        <v>25</v>
      </c>
      <c r="AN73" s="2">
        <v>3.970812</v>
      </c>
      <c r="AO73" s="105">
        <f ca="1">Table7[[#This Row],[GPU]]/Table7[[#This Row],[expand mode]]</f>
        <v>0.96852994535876324</v>
      </c>
      <c r="AR73" s="105" t="e">
        <f ca="1">Table7[[#This Row],[GPU]]/Table7[[#This Row],[cpuchunk=100]]</f>
        <v>#DIV/0!</v>
      </c>
      <c r="AS73" s="2">
        <v>4.0998340000000004</v>
      </c>
    </row>
    <row r="74" spans="2:45" ht="26" x14ac:dyDescent="0.35">
      <c r="B74" s="147">
        <v>1</v>
      </c>
      <c r="C74" s="148" t="s">
        <v>1423</v>
      </c>
      <c r="D74" s="147">
        <v>5</v>
      </c>
      <c r="E74" s="149">
        <v>170.47756100000001</v>
      </c>
      <c r="F74" s="149">
        <v>154.899764</v>
      </c>
      <c r="G74" s="78">
        <v>160.60965400000001</v>
      </c>
      <c r="H74" s="149">
        <v>154.10722899999999</v>
      </c>
      <c r="I74" s="149">
        <v>154.13155399999999</v>
      </c>
      <c r="J74" s="160">
        <f>Table711[[#This Row],[G2AIMD (pingpong)]]/Table711[[#This Row],[gpu-layered]]</f>
        <v>1.1005669511542961</v>
      </c>
      <c r="K74" s="161">
        <f>MIN(Table711[[#This Row],[gpu-hybrid-drop]:[gpu-hybrid-copy]])/Table711[[#This Row],[gpu-layered]]</f>
        <v>0.9948835622499721</v>
      </c>
      <c r="L74" s="145" t="s">
        <v>3989</v>
      </c>
      <c r="M74" s="149">
        <v>172.19</v>
      </c>
      <c r="N74" s="149" t="e">
        <f>Table711[[#This Row],[CPU Only (X &gt; 30m)]]/Table711[[#This Row],[gpu-layered]]</f>
        <v>#VALUE!</v>
      </c>
      <c r="O74" s="160">
        <f>Table711[[#This Row],[gpu-layered]]/Table711[[#This Row],[CPU+GPU]]</f>
        <v>0.89958629420988445</v>
      </c>
      <c r="AK74" s="77" t="s">
        <v>1425</v>
      </c>
      <c r="AL74">
        <v>2</v>
      </c>
      <c r="AN74" s="2">
        <v>4.2398239999999996</v>
      </c>
      <c r="AO74" s="105">
        <f ca="1">Table7[[#This Row],[GPU]]/Table7[[#This Row],[expand mode]]</f>
        <v>0.22140073107049607</v>
      </c>
      <c r="AR74" s="105" t="e">
        <f ca="1">Table7[[#This Row],[GPU]]/Table7[[#This Row],[cpuchunk=100]]</f>
        <v>#DIV/0!</v>
      </c>
      <c r="AS74" s="2">
        <v>19.149999999999999</v>
      </c>
    </row>
    <row r="75" spans="2:45" ht="26" x14ac:dyDescent="0.35">
      <c r="B75" s="147">
        <v>1</v>
      </c>
      <c r="C75" s="148" t="s">
        <v>1440</v>
      </c>
      <c r="D75" s="147">
        <v>2</v>
      </c>
      <c r="E75" s="149">
        <v>257.65440699999999</v>
      </c>
      <c r="F75" s="149">
        <v>216.72742199999999</v>
      </c>
      <c r="G75" s="78">
        <v>254.583181</v>
      </c>
      <c r="H75" s="149">
        <v>217.51979399999999</v>
      </c>
      <c r="I75" s="149">
        <v>217.60641000000001</v>
      </c>
      <c r="J75" s="160">
        <f>Table711[[#This Row],[G2AIMD (pingpong)]]/Table711[[#This Row],[gpu-layered]]</f>
        <v>1.1888408242128217</v>
      </c>
      <c r="K75" s="161">
        <f>MIN(Table711[[#This Row],[gpu-hybrid-drop]:[gpu-hybrid-copy]])/Table711[[#This Row],[gpu-layered]]</f>
        <v>1.0036560763409073</v>
      </c>
      <c r="L75" s="145" t="s">
        <v>3989</v>
      </c>
      <c r="M75" s="149">
        <v>257.16000000000003</v>
      </c>
      <c r="N75" s="149" t="e">
        <f>Table711[[#This Row],[CPU Only (X &gt; 30m)]]/Table711[[#This Row],[gpu-layered]]</f>
        <v>#VALUE!</v>
      </c>
      <c r="O75" s="160">
        <f>Table711[[#This Row],[gpu-layered]]/Table711[[#This Row],[CPU+GPU]]</f>
        <v>0.84277267848810067</v>
      </c>
      <c r="AK75" s="77" t="s">
        <v>1411</v>
      </c>
      <c r="AL75">
        <v>9</v>
      </c>
      <c r="AN75" s="2">
        <v>4.4936379999999998</v>
      </c>
      <c r="AO75" s="105">
        <f ca="1">Table7[[#This Row],[GPU]]/Table7[[#This Row],[expand mode]]</f>
        <v>0.12063457718120804</v>
      </c>
      <c r="AR75" s="105" t="e">
        <f ca="1">Table7[[#This Row],[GPU]]/Table7[[#This Row],[cpuchunk=100]]</f>
        <v>#DIV/0!</v>
      </c>
      <c r="AS75" s="2">
        <v>37.25</v>
      </c>
    </row>
    <row r="76" spans="2:45" ht="26" x14ac:dyDescent="0.35">
      <c r="B76" s="147">
        <v>1</v>
      </c>
      <c r="C76" s="148" t="s">
        <v>1</v>
      </c>
      <c r="D76" s="147">
        <v>8</v>
      </c>
      <c r="E76" s="149">
        <v>208.09928300000001</v>
      </c>
      <c r="F76" s="149">
        <v>220.738</v>
      </c>
      <c r="G76" s="78">
        <v>186.01</v>
      </c>
      <c r="H76" s="149">
        <v>220.36</v>
      </c>
      <c r="I76" s="149">
        <v>266.75</v>
      </c>
      <c r="J76" s="160">
        <f>Table711[[#This Row],[G2AIMD (pingpong)]]/Table711[[#This Row],[gpu-layered]]</f>
        <v>0.94274335637724371</v>
      </c>
      <c r="K76" s="161">
        <f>MIN(Table711[[#This Row],[gpu-hybrid-drop]:[gpu-hybrid-copy]])/Table711[[#This Row],[gpu-layered]]</f>
        <v>0.9982875626308112</v>
      </c>
      <c r="L76" s="145" t="s">
        <v>3989</v>
      </c>
      <c r="M76" s="149">
        <v>216.17</v>
      </c>
      <c r="N76" s="149" t="e">
        <f>Table711[[#This Row],[CPU Only (X &gt; 30m)]]/Table711[[#This Row],[gpu-layered]]</f>
        <v>#VALUE!</v>
      </c>
      <c r="O76" s="160">
        <f>Table711[[#This Row],[gpu-layered]]/Table711[[#This Row],[CPU+GPU]]</f>
        <v>1.0211315168617292</v>
      </c>
      <c r="AK76" s="77" t="s">
        <v>1</v>
      </c>
      <c r="AL76">
        <v>25</v>
      </c>
      <c r="AN76" s="2">
        <v>4.7557159999999996</v>
      </c>
      <c r="AO76" s="105">
        <f ca="1">Table7[[#This Row],[GPU]]/Table7[[#This Row],[expand mode]]</f>
        <v>0.96199235740838018</v>
      </c>
      <c r="AR76" s="105" t="e">
        <f ca="1">Table7[[#This Row],[GPU]]/Table7[[#This Row],[cpuchunk=100]]</f>
        <v>#DIV/0!</v>
      </c>
      <c r="AS76" s="2">
        <v>4.9436109999999998</v>
      </c>
    </row>
    <row r="77" spans="2:45" ht="26" x14ac:dyDescent="0.35">
      <c r="B77" s="147">
        <v>1</v>
      </c>
      <c r="C77" s="148" t="s">
        <v>1411</v>
      </c>
      <c r="D77" s="147">
        <v>5</v>
      </c>
      <c r="E77" s="149">
        <v>241.00033300000001</v>
      </c>
      <c r="F77" s="149">
        <v>228.41716700000001</v>
      </c>
      <c r="G77" s="78">
        <v>231.597522</v>
      </c>
      <c r="H77" s="149">
        <v>224.73620199999999</v>
      </c>
      <c r="I77" s="149">
        <v>224.76857899999999</v>
      </c>
      <c r="J77" s="160">
        <f>Table711[[#This Row],[G2AIMD (pingpong)]]/Table711[[#This Row],[gpu-layered]]</f>
        <v>1.0550885301891517</v>
      </c>
      <c r="K77" s="161">
        <f>MIN(Table711[[#This Row],[gpu-hybrid-drop]:[gpu-hybrid-copy]])/Table711[[#This Row],[gpu-layered]]</f>
        <v>0.98388490213609903</v>
      </c>
      <c r="L77" s="145" t="s">
        <v>3989</v>
      </c>
      <c r="M77" s="149">
        <v>236.29</v>
      </c>
      <c r="N77" s="149" t="e">
        <f>Table711[[#This Row],[CPU Only (X &gt; 30m)]]/Table711[[#This Row],[gpu-layered]]</f>
        <v>#VALUE!</v>
      </c>
      <c r="O77" s="160">
        <f>Table711[[#This Row],[gpu-layered]]/Table711[[#This Row],[CPU+GPU]]</f>
        <v>0.96668148038427359</v>
      </c>
      <c r="AK77" s="77" t="s">
        <v>1391</v>
      </c>
      <c r="AL77">
        <v>5</v>
      </c>
      <c r="AN77" s="2">
        <v>4.8162799999999999</v>
      </c>
      <c r="AO77" s="105">
        <f ca="1">Table7[[#This Row],[GPU]]/Table7[[#This Row],[expand mode]]</f>
        <v>1.3254570097766034</v>
      </c>
      <c r="AR77" s="105" t="e">
        <f ca="1">Table7[[#This Row],[GPU]]/Table7[[#This Row],[cpuchunk=100]]</f>
        <v>#DIV/0!</v>
      </c>
      <c r="AS77" s="2">
        <v>3.6336750000000002</v>
      </c>
    </row>
    <row r="78" spans="2:45" ht="26" x14ac:dyDescent="0.35">
      <c r="B78" s="147">
        <v>1</v>
      </c>
      <c r="C78" s="148" t="s">
        <v>1448</v>
      </c>
      <c r="D78" s="147">
        <v>5</v>
      </c>
      <c r="E78" s="149">
        <v>317.764993</v>
      </c>
      <c r="F78" s="149">
        <v>291.89822400000003</v>
      </c>
      <c r="G78" s="78">
        <v>301.500158</v>
      </c>
      <c r="H78" s="149">
        <v>290.11187200000001</v>
      </c>
      <c r="I78" s="149">
        <v>290.193577</v>
      </c>
      <c r="J78" s="160">
        <f>Table711[[#This Row],[G2AIMD (pingpong)]]/Table711[[#This Row],[gpu-layered]]</f>
        <v>1.0886157121668543</v>
      </c>
      <c r="K78" s="161">
        <f>MIN(Table711[[#This Row],[gpu-hybrid-drop]:[gpu-hybrid-copy]])/Table711[[#This Row],[gpu-layered]]</f>
        <v>0.99388022312872992</v>
      </c>
      <c r="L78" s="145" t="s">
        <v>3989</v>
      </c>
      <c r="M78" s="149">
        <v>315.8</v>
      </c>
      <c r="N78" s="149" t="e">
        <f>Table711[[#This Row],[CPU Only (X &gt; 30m)]]/Table711[[#This Row],[gpu-layered]]</f>
        <v>#VALUE!</v>
      </c>
      <c r="O78" s="160">
        <f>Table711[[#This Row],[gpu-layered]]/Table711[[#This Row],[CPU+GPU]]</f>
        <v>0.92431356554781507</v>
      </c>
      <c r="AK78" s="77" t="s">
        <v>1425</v>
      </c>
      <c r="AL78">
        <v>9</v>
      </c>
      <c r="AN78" s="2">
        <v>5.2190339999999997</v>
      </c>
      <c r="AO78" s="105">
        <f ca="1">Table7[[#This Row],[GPU]]/Table7[[#This Row],[expand mode]]</f>
        <v>0.62279642004773261</v>
      </c>
      <c r="AR78" s="105" t="e">
        <f ca="1">Table7[[#This Row],[GPU]]/Table7[[#This Row],[cpuchunk=100]]</f>
        <v>#DIV/0!</v>
      </c>
      <c r="AS78" s="2">
        <v>8.3800000000000008</v>
      </c>
    </row>
    <row r="79" spans="2:45" ht="26" x14ac:dyDescent="0.35">
      <c r="B79" s="147">
        <v>1</v>
      </c>
      <c r="C79" s="148" t="s">
        <v>1425</v>
      </c>
      <c r="D79" s="147">
        <v>7</v>
      </c>
      <c r="E79" s="149">
        <v>426.04929700000002</v>
      </c>
      <c r="F79" s="149">
        <v>397.48090999999999</v>
      </c>
      <c r="G79" s="78">
        <v>414.23</v>
      </c>
      <c r="H79" s="149">
        <v>397.7</v>
      </c>
      <c r="I79" s="149">
        <v>398.31</v>
      </c>
      <c r="J79" s="160">
        <f>Table711[[#This Row],[G2AIMD (pingpong)]]/Table711[[#This Row],[gpu-layered]]</f>
        <v>1.0718736077161544</v>
      </c>
      <c r="K79" s="161">
        <f>MIN(Table711[[#This Row],[gpu-hybrid-drop]:[gpu-hybrid-copy]])/Table711[[#This Row],[gpu-layered]]</f>
        <v>1.0005511962826088</v>
      </c>
      <c r="L79" s="145" t="s">
        <v>3989</v>
      </c>
      <c r="M79" s="149">
        <v>460.08</v>
      </c>
      <c r="N79" s="149" t="e">
        <f>Table711[[#This Row],[CPU Only (X &gt; 30m)]]/Table711[[#This Row],[gpu-layered]]</f>
        <v>#VALUE!</v>
      </c>
      <c r="O79" s="160">
        <f>Table711[[#This Row],[gpu-layered]]/Table711[[#This Row],[CPU+GPU]]</f>
        <v>0.86393868457659539</v>
      </c>
      <c r="AK79" s="77" t="s">
        <v>3912</v>
      </c>
      <c r="AL79">
        <v>9</v>
      </c>
      <c r="AN79" s="2">
        <v>5.362946</v>
      </c>
      <c r="AO79" s="105">
        <f ca="1">Table7[[#This Row],[GPU]]/Table7[[#This Row],[expand mode]]</f>
        <v>0.95669975754918268</v>
      </c>
      <c r="AR79" s="105" t="e">
        <f ca="1">Table7[[#This Row],[GPU]]/Table7[[#This Row],[cpuchunk=100]]</f>
        <v>#DIV/0!</v>
      </c>
      <c r="AS79" s="2">
        <v>5.6056730000000003</v>
      </c>
    </row>
    <row r="80" spans="2:45" ht="26" x14ac:dyDescent="0.35">
      <c r="B80" s="147">
        <v>1</v>
      </c>
      <c r="C80" s="148" t="s">
        <v>1425</v>
      </c>
      <c r="D80" s="147">
        <v>8</v>
      </c>
      <c r="E80" s="149" t="s">
        <v>3904</v>
      </c>
      <c r="F80" s="149">
        <v>422.13027799999998</v>
      </c>
      <c r="G80" s="78">
        <v>338.07</v>
      </c>
      <c r="H80" s="149">
        <v>418.88</v>
      </c>
      <c r="I80" s="149">
        <v>426.75</v>
      </c>
      <c r="J80" s="160" t="e">
        <f>Table711[[#This Row],[G2AIMD (pingpong)]]/Table711[[#This Row],[gpu-layered]]</f>
        <v>#VALUE!</v>
      </c>
      <c r="K80" s="161">
        <f>MIN(Table711[[#This Row],[gpu-hybrid-drop]:[gpu-hybrid-copy]])/Table711[[#This Row],[gpu-layered]]</f>
        <v>0.99230029645018736</v>
      </c>
      <c r="L80" s="145" t="s">
        <v>3989</v>
      </c>
      <c r="M80" s="149">
        <v>392.57</v>
      </c>
      <c r="N80" s="149" t="e">
        <f>Table711[[#This Row],[CPU Only (X &gt; 30m)]]/Table711[[#This Row],[gpu-layered]]</f>
        <v>#VALUE!</v>
      </c>
      <c r="O80" s="160">
        <f>Table711[[#This Row],[gpu-layered]]/Table711[[#This Row],[CPU+GPU]]</f>
        <v>1.0752993810021143</v>
      </c>
      <c r="AK80" s="77" t="s">
        <v>1461</v>
      </c>
      <c r="AL80">
        <v>2</v>
      </c>
      <c r="AN80" s="2">
        <v>5.4978040000000004</v>
      </c>
      <c r="AO80" s="105">
        <f ca="1">Table7[[#This Row],[GPU]]/Table7[[#This Row],[expand mode]]</f>
        <v>0.1884100068540096</v>
      </c>
      <c r="AR80" s="105" t="e">
        <f ca="1">Table7[[#This Row],[GPU]]/Table7[[#This Row],[cpuchunk=100]]</f>
        <v>#DIV/0!</v>
      </c>
      <c r="AS80" s="2">
        <v>29.18</v>
      </c>
    </row>
    <row r="81" spans="2:46" ht="26" x14ac:dyDescent="0.35">
      <c r="B81" s="147">
        <v>1</v>
      </c>
      <c r="C81" s="148" t="s">
        <v>1461</v>
      </c>
      <c r="D81" s="147">
        <v>7</v>
      </c>
      <c r="E81" s="149">
        <v>478.88740799999999</v>
      </c>
      <c r="F81" s="149">
        <v>457.514028</v>
      </c>
      <c r="G81" s="78">
        <v>453.35</v>
      </c>
      <c r="H81" s="149">
        <v>457.93</v>
      </c>
      <c r="I81" s="149">
        <v>468.97</v>
      </c>
      <c r="J81" s="160">
        <f>Table711[[#This Row],[G2AIMD (pingpong)]]/Table711[[#This Row],[gpu-layered]]</f>
        <v>1.0467163380616604</v>
      </c>
      <c r="K81" s="161">
        <f>MIN(Table711[[#This Row],[gpu-hybrid-drop]:[gpu-hybrid-copy]])/Table711[[#This Row],[gpu-layered]]</f>
        <v>1.0009092005371254</v>
      </c>
      <c r="L81" s="145" t="s">
        <v>3989</v>
      </c>
      <c r="M81" s="149">
        <v>497.43</v>
      </c>
      <c r="N81" s="149" t="e">
        <f>Table711[[#This Row],[CPU Only (X &gt; 30m)]]/Table711[[#This Row],[gpu-layered]]</f>
        <v>#VALUE!</v>
      </c>
      <c r="O81" s="160">
        <f>Table711[[#This Row],[gpu-layered]]/Table711[[#This Row],[CPU+GPU]]</f>
        <v>0.91975559978288401</v>
      </c>
      <c r="AK81" s="77" t="s">
        <v>18</v>
      </c>
      <c r="AL81">
        <v>9</v>
      </c>
      <c r="AN81" s="2">
        <v>5.5034890000000001</v>
      </c>
      <c r="AO81" s="105">
        <f ca="1">Table7[[#This Row],[GPU]]/Table7[[#This Row],[expand mode]]</f>
        <v>0.39282576730906499</v>
      </c>
      <c r="AR81" s="105" t="e">
        <f ca="1">Table7[[#This Row],[GPU]]/Table7[[#This Row],[cpuchunk=100]]</f>
        <v>#DIV/0!</v>
      </c>
      <c r="AS81" s="2">
        <v>14.01</v>
      </c>
    </row>
    <row r="82" spans="2:46" ht="26" x14ac:dyDescent="0.35">
      <c r="B82" s="147">
        <v>1</v>
      </c>
      <c r="C82" s="148" t="s">
        <v>18</v>
      </c>
      <c r="D82" s="147">
        <v>5</v>
      </c>
      <c r="E82" s="149">
        <v>547.90130299999998</v>
      </c>
      <c r="F82" s="149">
        <v>512.48145</v>
      </c>
      <c r="G82" s="78">
        <v>507.925364</v>
      </c>
      <c r="H82" s="149">
        <v>504.05706199999997</v>
      </c>
      <c r="I82" s="149">
        <v>503.83087699999999</v>
      </c>
      <c r="J82" s="160">
        <f>Table711[[#This Row],[G2AIMD (pingpong)]]/Table711[[#This Row],[gpu-layered]]</f>
        <v>1.0691144098971777</v>
      </c>
      <c r="K82" s="161">
        <f>MIN(Table711[[#This Row],[gpu-hybrid-drop]:[gpu-hybrid-copy]])/Table711[[#This Row],[gpu-layered]]</f>
        <v>0.98312022220511586</v>
      </c>
      <c r="L82" s="145" t="s">
        <v>3989</v>
      </c>
      <c r="M82" s="149">
        <v>520.49</v>
      </c>
      <c r="N82" s="149" t="e">
        <f>Table711[[#This Row],[CPU Only (X &gt; 30m)]]/Table711[[#This Row],[gpu-layered]]</f>
        <v>#VALUE!</v>
      </c>
      <c r="O82" s="160">
        <f>Table711[[#This Row],[gpu-layered]]/Table711[[#This Row],[CPU+GPU]]</f>
        <v>0.98461344118042615</v>
      </c>
      <c r="AK82" s="77" t="s">
        <v>1455</v>
      </c>
      <c r="AL82">
        <v>25</v>
      </c>
      <c r="AN82" s="2">
        <v>5.7600699999999998</v>
      </c>
      <c r="AO82" s="105">
        <f ca="1">Table7[[#This Row],[GPU]]/Table7[[#This Row],[expand mode]]</f>
        <v>1.0397238267148015</v>
      </c>
      <c r="AR82" s="105" t="e">
        <f ca="1">Table7[[#This Row],[GPU]]/Table7[[#This Row],[cpuchunk=100]]</f>
        <v>#DIV/0!</v>
      </c>
      <c r="AS82" s="2">
        <v>5.54</v>
      </c>
    </row>
    <row r="83" spans="2:46" ht="26" x14ac:dyDescent="0.35">
      <c r="B83" s="147">
        <v>1</v>
      </c>
      <c r="C83" s="148" t="s">
        <v>1450</v>
      </c>
      <c r="D83" s="147">
        <v>5</v>
      </c>
      <c r="E83" s="149">
        <v>582.60663599999998</v>
      </c>
      <c r="F83" s="149">
        <v>544.28210000000001</v>
      </c>
      <c r="G83" s="78">
        <v>542.1</v>
      </c>
      <c r="H83" s="149">
        <v>534.73</v>
      </c>
      <c r="I83" s="149">
        <v>548.08000000000004</v>
      </c>
      <c r="J83" s="160">
        <f>Table711[[#This Row],[G2AIMD (pingpong)]]/Table711[[#This Row],[gpu-layered]]</f>
        <v>1.0704130009052291</v>
      </c>
      <c r="K83" s="161">
        <f>MIN(Table711[[#This Row],[gpu-hybrid-drop]:[gpu-hybrid-copy]])/Table711[[#This Row],[gpu-layered]]</f>
        <v>0.98245009343500367</v>
      </c>
      <c r="L83" s="145" t="s">
        <v>3989</v>
      </c>
      <c r="M83" s="149">
        <v>563.86</v>
      </c>
      <c r="N83" s="149" t="e">
        <f>Table711[[#This Row],[CPU Only (X &gt; 30m)]]/Table711[[#This Row],[gpu-layered]]</f>
        <v>#VALUE!</v>
      </c>
      <c r="O83" s="160">
        <f>Table711[[#This Row],[gpu-layered]]/Table711[[#This Row],[CPU+GPU]]</f>
        <v>0.96527879260809424</v>
      </c>
      <c r="AK83" s="77" t="s">
        <v>3919</v>
      </c>
      <c r="AL83">
        <v>8</v>
      </c>
      <c r="AN83" s="2">
        <v>6.0313509999999999</v>
      </c>
      <c r="AO83" s="105">
        <f ca="1">Table7[[#This Row],[GPU]]/Table7[[#This Row],[expand mode]]</f>
        <v>1.0475083655982218</v>
      </c>
      <c r="AR83" s="105" t="e">
        <f ca="1">Table7[[#This Row],[GPU]]/Table7[[#This Row],[cpuchunk=100]]</f>
        <v>#DIV/0!</v>
      </c>
      <c r="AS83" s="2">
        <v>5.7578069999999997</v>
      </c>
    </row>
    <row r="84" spans="2:46" ht="26" hidden="1" x14ac:dyDescent="0.35">
      <c r="B84" s="147"/>
      <c r="C84" s="148" t="s">
        <v>1346</v>
      </c>
      <c r="D84" s="147">
        <v>6</v>
      </c>
      <c r="E84" s="149" t="s">
        <v>3989</v>
      </c>
      <c r="F84" s="149" t="s">
        <v>3989</v>
      </c>
      <c r="G84" s="149"/>
      <c r="H84" s="149" t="s">
        <v>3989</v>
      </c>
      <c r="I84" s="149" t="s">
        <v>3989</v>
      </c>
      <c r="J84" s="149" t="e">
        <f>Table711[[#This Row],[G2AIMD (pingpong)]]/Table711[[#This Row],[gpu-layered]]</f>
        <v>#VALUE!</v>
      </c>
      <c r="K84" s="159" t="e">
        <f>MIN(Table711[[#This Row],[gpu-hybrid-drop]:[gpu-hybrid-copy]])/Table711[[#This Row],[gpu-layered]]</f>
        <v>#VALUE!</v>
      </c>
      <c r="L84" s="145" t="s">
        <v>3989</v>
      </c>
      <c r="M84" s="149" t="s">
        <v>3989</v>
      </c>
      <c r="N84" s="149" t="e">
        <f>Table711[[#This Row],[CPU Only (X &gt; 30m)]]/Table711[[#This Row],[gpu-layered]]</f>
        <v>#VALUE!</v>
      </c>
      <c r="O84" s="147" t="e">
        <f>Table711[[#This Row],[gpu-layered]]/Table711[[#This Row],[CPU+GPU]]</f>
        <v>#VALUE!</v>
      </c>
      <c r="AK84" s="77" t="s">
        <v>1461</v>
      </c>
      <c r="AL84">
        <v>9</v>
      </c>
      <c r="AN84" s="2">
        <v>6.5457919999999996</v>
      </c>
      <c r="AO84" s="105">
        <f ca="1">Table7[[#This Row],[GPU]]/Table7[[#This Row],[expand mode]]</f>
        <v>0.55099259259259248</v>
      </c>
      <c r="AR84" s="105" t="e">
        <f ca="1">Table7[[#This Row],[GPU]]/Table7[[#This Row],[cpuchunk=100]]</f>
        <v>#DIV/0!</v>
      </c>
      <c r="AS84" s="2">
        <v>11.88</v>
      </c>
    </row>
    <row r="85" spans="2:46" ht="26" hidden="1" x14ac:dyDescent="0.35">
      <c r="B85" s="147"/>
      <c r="C85" s="148" t="s">
        <v>1</v>
      </c>
      <c r="D85" s="147">
        <v>6</v>
      </c>
      <c r="E85" s="149" t="s">
        <v>3989</v>
      </c>
      <c r="F85" s="149" t="s">
        <v>3989</v>
      </c>
      <c r="G85" s="149"/>
      <c r="H85" s="149" t="s">
        <v>3989</v>
      </c>
      <c r="I85" s="149" t="s">
        <v>3989</v>
      </c>
      <c r="J85" s="149" t="e">
        <f>Table711[[#This Row],[G2AIMD (pingpong)]]/Table711[[#This Row],[gpu-layered]]</f>
        <v>#VALUE!</v>
      </c>
      <c r="K85" s="159" t="e">
        <f>MIN(Table711[[#This Row],[gpu-hybrid-drop]:[gpu-hybrid-copy]])/Table711[[#This Row],[gpu-layered]]</f>
        <v>#VALUE!</v>
      </c>
      <c r="L85" s="145" t="s">
        <v>3989</v>
      </c>
      <c r="M85" s="149" t="s">
        <v>3989</v>
      </c>
      <c r="N85" s="149" t="e">
        <f>Table711[[#This Row],[CPU Only (X &gt; 30m)]]/Table711[[#This Row],[gpu-layered]]</f>
        <v>#VALUE!</v>
      </c>
      <c r="O85" s="147" t="e">
        <f>Table711[[#This Row],[gpu-layered]]/Table711[[#This Row],[CPU+GPU]]</f>
        <v>#VALUE!</v>
      </c>
      <c r="AK85" s="77" t="s">
        <v>1423</v>
      </c>
      <c r="AL85">
        <v>9</v>
      </c>
      <c r="AN85" s="2">
        <v>8.3094400000000004</v>
      </c>
      <c r="AO85" s="105">
        <f ca="1">Table7[[#This Row],[GPU]]/Table7[[#This Row],[expand mode]]</f>
        <v>0.59057853589196874</v>
      </c>
      <c r="AR85" s="105" t="e">
        <f ca="1">Table7[[#This Row],[GPU]]/Table7[[#This Row],[cpuchunk=100]]</f>
        <v>#DIV/0!</v>
      </c>
      <c r="AS85" s="2">
        <v>14.07</v>
      </c>
    </row>
    <row r="86" spans="2:46" ht="26" hidden="1" x14ac:dyDescent="0.35">
      <c r="B86" s="147"/>
      <c r="C86" s="148" t="s">
        <v>1</v>
      </c>
      <c r="D86" s="147">
        <v>7</v>
      </c>
      <c r="E86" s="149" t="s">
        <v>3989</v>
      </c>
      <c r="F86" s="149" t="s">
        <v>3989</v>
      </c>
      <c r="G86" s="149"/>
      <c r="H86" s="149" t="s">
        <v>3989</v>
      </c>
      <c r="I86" s="149" t="s">
        <v>3989</v>
      </c>
      <c r="J86" s="149" t="e">
        <f>Table711[[#This Row],[G2AIMD (pingpong)]]/Table711[[#This Row],[gpu-layered]]</f>
        <v>#VALUE!</v>
      </c>
      <c r="K86" s="159" t="e">
        <f>MIN(Table711[[#This Row],[gpu-hybrid-drop]:[gpu-hybrid-copy]])/Table711[[#This Row],[gpu-layered]]</f>
        <v>#VALUE!</v>
      </c>
      <c r="L86" s="145" t="s">
        <v>3989</v>
      </c>
      <c r="M86" s="149" t="s">
        <v>3989</v>
      </c>
      <c r="N86" s="149" t="e">
        <f>Table711[[#This Row],[CPU Only (X &gt; 30m)]]/Table711[[#This Row],[gpu-layered]]</f>
        <v>#VALUE!</v>
      </c>
      <c r="O86" s="147" t="e">
        <f>Table711[[#This Row],[gpu-layered]]/Table711[[#This Row],[CPU+GPU]]</f>
        <v>#VALUE!</v>
      </c>
      <c r="AK86" s="77" t="s">
        <v>1346</v>
      </c>
      <c r="AL86">
        <v>5</v>
      </c>
      <c r="AN86" s="2">
        <v>8.3391870000000008</v>
      </c>
      <c r="AO86" s="105">
        <f ca="1">Table7[[#This Row],[GPU]]/Table7[[#This Row],[expand mode]]</f>
        <v>0.92657633333333345</v>
      </c>
      <c r="AR86" s="105" t="e">
        <f ca="1">Table7[[#This Row],[GPU]]/Table7[[#This Row],[cpuchunk=100]]</f>
        <v>#DIV/0!</v>
      </c>
      <c r="AS86" s="2">
        <v>9</v>
      </c>
    </row>
    <row r="87" spans="2:46" ht="26" hidden="1" x14ac:dyDescent="0.35">
      <c r="B87" s="147"/>
      <c r="C87" s="148" t="s">
        <v>1</v>
      </c>
      <c r="D87" s="147">
        <v>9</v>
      </c>
      <c r="E87" s="149" t="s">
        <v>3989</v>
      </c>
      <c r="F87" s="149" t="s">
        <v>3989</v>
      </c>
      <c r="G87" s="149"/>
      <c r="H87" s="149" t="s">
        <v>3989</v>
      </c>
      <c r="I87" s="149" t="s">
        <v>3989</v>
      </c>
      <c r="J87" s="149" t="e">
        <f>Table711[[#This Row],[G2AIMD (pingpong)]]/Table711[[#This Row],[gpu-layered]]</f>
        <v>#VALUE!</v>
      </c>
      <c r="K87" s="159" t="e">
        <f>MIN(Table711[[#This Row],[gpu-hybrid-drop]:[gpu-hybrid-copy]])/Table711[[#This Row],[gpu-layered]]</f>
        <v>#VALUE!</v>
      </c>
      <c r="L87" s="145" t="s">
        <v>3989</v>
      </c>
      <c r="M87" s="149" t="s">
        <v>3989</v>
      </c>
      <c r="N87" s="149" t="e">
        <f>Table711[[#This Row],[CPU Only (X &gt; 30m)]]/Table711[[#This Row],[gpu-layered]]</f>
        <v>#VALUE!</v>
      </c>
      <c r="O87" s="147" t="e">
        <f>Table711[[#This Row],[gpu-layered]]/Table711[[#This Row],[CPU+GPU]]</f>
        <v>#VALUE!</v>
      </c>
      <c r="AK87" s="77" t="s">
        <v>1423</v>
      </c>
      <c r="AL87">
        <v>2</v>
      </c>
      <c r="AN87" s="2">
        <v>8.7754530000000006</v>
      </c>
      <c r="AO87" s="105">
        <f ca="1">Table7[[#This Row],[GPU]]/Table7[[#This Row],[expand mode]]</f>
        <v>0.33094065222376678</v>
      </c>
      <c r="AR87" s="105" t="e">
        <f ca="1">Table7[[#This Row],[GPU]]/Table7[[#This Row],[cpuchunk=100]]</f>
        <v>#DIV/0!</v>
      </c>
      <c r="AS87" s="2">
        <v>26.516697000000001</v>
      </c>
    </row>
    <row r="88" spans="2:46" ht="26" hidden="1" x14ac:dyDescent="0.35">
      <c r="B88" s="147"/>
      <c r="C88" s="148" t="s">
        <v>1461</v>
      </c>
      <c r="D88" s="147">
        <v>6</v>
      </c>
      <c r="E88" s="149" t="s">
        <v>3989</v>
      </c>
      <c r="F88" s="149" t="s">
        <v>3989</v>
      </c>
      <c r="G88" s="149"/>
      <c r="H88" s="149" t="s">
        <v>3989</v>
      </c>
      <c r="I88" s="149" t="s">
        <v>3989</v>
      </c>
      <c r="J88" s="149" t="e">
        <f>Table711[[#This Row],[G2AIMD (pingpong)]]/Table711[[#This Row],[gpu-layered]]</f>
        <v>#VALUE!</v>
      </c>
      <c r="K88" s="159" t="e">
        <f>MIN(Table711[[#This Row],[gpu-hybrid-drop]:[gpu-hybrid-copy]])/Table711[[#This Row],[gpu-layered]]</f>
        <v>#VALUE!</v>
      </c>
      <c r="L88" s="145" t="s">
        <v>3989</v>
      </c>
      <c r="M88" s="149" t="s">
        <v>3989</v>
      </c>
      <c r="N88" s="149" t="e">
        <f>Table711[[#This Row],[CPU Only (X &gt; 30m)]]/Table711[[#This Row],[gpu-layered]]</f>
        <v>#VALUE!</v>
      </c>
      <c r="O88" s="147" t="e">
        <f>Table711[[#This Row],[gpu-layered]]/Table711[[#This Row],[CPU+GPU]]</f>
        <v>#VALUE!</v>
      </c>
      <c r="AK88" s="77" t="s">
        <v>1371</v>
      </c>
      <c r="AL88">
        <v>7</v>
      </c>
      <c r="AN88" s="2">
        <v>8.8003280000000004</v>
      </c>
      <c r="AO88" s="105">
        <f ca="1">Table7[[#This Row],[GPU]]/Table7[[#This Row],[expand mode]]</f>
        <v>0.91006494312306108</v>
      </c>
      <c r="AR88" s="105" t="e">
        <f ca="1">Table7[[#This Row],[GPU]]/Table7[[#This Row],[cpuchunk=100]]</f>
        <v>#DIV/0!</v>
      </c>
      <c r="AS88" s="2">
        <v>9.67</v>
      </c>
    </row>
    <row r="89" spans="2:46" ht="26" hidden="1" x14ac:dyDescent="0.35">
      <c r="B89" s="147"/>
      <c r="C89" s="148" t="s">
        <v>1461</v>
      </c>
      <c r="D89" s="147">
        <v>8</v>
      </c>
      <c r="E89" s="149" t="s">
        <v>3989</v>
      </c>
      <c r="F89" s="149" t="s">
        <v>3989</v>
      </c>
      <c r="G89" s="149"/>
      <c r="H89" s="149" t="s">
        <v>3989</v>
      </c>
      <c r="I89" s="149" t="s">
        <v>3989</v>
      </c>
      <c r="J89" s="149" t="e">
        <f>Table711[[#This Row],[G2AIMD (pingpong)]]/Table711[[#This Row],[gpu-layered]]</f>
        <v>#VALUE!</v>
      </c>
      <c r="K89" s="159" t="e">
        <f>MIN(Table711[[#This Row],[gpu-hybrid-drop]:[gpu-hybrid-copy]])/Table711[[#This Row],[gpu-layered]]</f>
        <v>#VALUE!</v>
      </c>
      <c r="L89" s="145" t="s">
        <v>3989</v>
      </c>
      <c r="M89" s="149" t="s">
        <v>3989</v>
      </c>
      <c r="N89" s="149" t="e">
        <f>Table711[[#This Row],[CPU Only (X &gt; 30m)]]/Table711[[#This Row],[gpu-layered]]</f>
        <v>#VALUE!</v>
      </c>
      <c r="O89" s="147" t="e">
        <f>Table711[[#This Row],[gpu-layered]]/Table711[[#This Row],[CPU+GPU]]</f>
        <v>#VALUE!</v>
      </c>
      <c r="AK89" s="77" t="s">
        <v>1391</v>
      </c>
      <c r="AL89">
        <v>7</v>
      </c>
      <c r="AN89" s="2">
        <v>9.1454550000000001</v>
      </c>
      <c r="AO89" s="105">
        <f ca="1">Table7[[#This Row],[GPU]]/Table7[[#This Row],[expand mode]]</f>
        <v>0.99442259433197533</v>
      </c>
      <c r="AR89" s="105" t="e">
        <f ca="1">Table7[[#This Row],[GPU]]/Table7[[#This Row],[cpuchunk=100]]</f>
        <v>#DIV/0!</v>
      </c>
      <c r="AS89" s="2">
        <v>9.1967490000000005</v>
      </c>
    </row>
    <row r="90" spans="2:46" ht="26" hidden="1" x14ac:dyDescent="0.35">
      <c r="B90" s="147"/>
      <c r="C90" s="148" t="s">
        <v>1391</v>
      </c>
      <c r="D90" s="147">
        <v>6</v>
      </c>
      <c r="E90" s="149" t="s">
        <v>3989</v>
      </c>
      <c r="F90" s="149" t="s">
        <v>3989</v>
      </c>
      <c r="G90" s="149"/>
      <c r="H90" s="149" t="s">
        <v>3989</v>
      </c>
      <c r="I90" s="149" t="s">
        <v>3989</v>
      </c>
      <c r="J90" s="149" t="e">
        <f>Table711[[#This Row],[G2AIMD (pingpong)]]/Table711[[#This Row],[gpu-layered]]</f>
        <v>#VALUE!</v>
      </c>
      <c r="K90" s="159" t="e">
        <f>MIN(Table711[[#This Row],[gpu-hybrid-drop]:[gpu-hybrid-copy]])/Table711[[#This Row],[gpu-layered]]</f>
        <v>#VALUE!</v>
      </c>
      <c r="L90" s="145" t="s">
        <v>3989</v>
      </c>
      <c r="M90" s="149" t="s">
        <v>3989</v>
      </c>
      <c r="N90" s="149" t="e">
        <f>Table711[[#This Row],[CPU Only (X &gt; 30m)]]/Table711[[#This Row],[gpu-layered]]</f>
        <v>#VALUE!</v>
      </c>
      <c r="O90" s="147" t="e">
        <f>Table711[[#This Row],[gpu-layered]]/Table711[[#This Row],[CPU+GPU]]</f>
        <v>#VALUE!</v>
      </c>
      <c r="AK90" s="77" t="s">
        <v>3912</v>
      </c>
      <c r="AL90">
        <v>5</v>
      </c>
      <c r="AN90" s="2">
        <v>9.7607599999999994</v>
      </c>
      <c r="AO90" s="105">
        <f ca="1">Table7[[#This Row],[GPU]]/Table7[[#This Row],[expand mode]]</f>
        <v>0.98360926665142989</v>
      </c>
      <c r="AR90" s="105" t="e">
        <f ca="1">Table7[[#This Row],[GPU]]/Table7[[#This Row],[cpuchunk=100]]</f>
        <v>#DIV/0!</v>
      </c>
      <c r="AS90" s="2">
        <v>9.9234120000000008</v>
      </c>
    </row>
    <row r="91" spans="2:46" ht="29" hidden="1" x14ac:dyDescent="0.35">
      <c r="B91" s="147"/>
      <c r="C91" s="148" t="s">
        <v>1440</v>
      </c>
      <c r="D91" s="147">
        <v>5</v>
      </c>
      <c r="E91" s="149" t="s">
        <v>3989</v>
      </c>
      <c r="F91" s="149" t="s">
        <v>3989</v>
      </c>
      <c r="G91" s="149"/>
      <c r="H91" s="149" t="s">
        <v>3989</v>
      </c>
      <c r="I91" s="149" t="s">
        <v>3989</v>
      </c>
      <c r="J91" s="149" t="e">
        <f>Table711[[#This Row],[G2AIMD (pingpong)]]/Table711[[#This Row],[gpu-layered]]</f>
        <v>#VALUE!</v>
      </c>
      <c r="K91" s="159" t="e">
        <f>MIN(Table711[[#This Row],[gpu-hybrid-drop]:[gpu-hybrid-copy]])/Table711[[#This Row],[gpu-layered]]</f>
        <v>#VALUE!</v>
      </c>
      <c r="L91" s="145" t="s">
        <v>3989</v>
      </c>
      <c r="M91" s="149" t="s">
        <v>3989</v>
      </c>
      <c r="N91" s="149" t="e">
        <f>Table711[[#This Row],[CPU Only (X &gt; 30m)]]/Table711[[#This Row],[gpu-layered]]</f>
        <v>#VALUE!</v>
      </c>
      <c r="O91" s="147" t="e">
        <f>Table711[[#This Row],[gpu-layered]]/Table711[[#This Row],[CPU+GPU]]</f>
        <v>#VALUE!</v>
      </c>
      <c r="AJ91">
        <v>1</v>
      </c>
      <c r="AK91" s="77" t="s">
        <v>1371</v>
      </c>
      <c r="AL91">
        <v>8</v>
      </c>
      <c r="AM91" s="77">
        <v>15.318994999999999</v>
      </c>
      <c r="AN91" s="128">
        <v>10.159229</v>
      </c>
      <c r="AO91" s="47">
        <v>9.8000000000000007</v>
      </c>
      <c r="AP91" s="36">
        <v>10.49</v>
      </c>
      <c r="AQ91" s="36">
        <v>13.33</v>
      </c>
      <c r="AR91" s="126">
        <f ca="1">Table7[[#This Row],[GPU]]/Table7[[#This Row],[cpuchunk=100]]</f>
        <v>0.76213270817704426</v>
      </c>
      <c r="AS91" s="2">
        <v>10.119999999999999</v>
      </c>
      <c r="AT91" s="132">
        <v>1844.568945</v>
      </c>
    </row>
    <row r="92" spans="2:46" ht="29" hidden="1" x14ac:dyDescent="0.35">
      <c r="B92" s="147"/>
      <c r="C92" s="148" t="s">
        <v>1440</v>
      </c>
      <c r="D92" s="147">
        <v>6</v>
      </c>
      <c r="E92" s="149" t="s">
        <v>3989</v>
      </c>
      <c r="F92" s="149" t="s">
        <v>3989</v>
      </c>
      <c r="G92" s="149"/>
      <c r="H92" s="149" t="s">
        <v>3989</v>
      </c>
      <c r="I92" s="149" t="s">
        <v>3989</v>
      </c>
      <c r="J92" s="149" t="e">
        <f>Table711[[#This Row],[G2AIMD (pingpong)]]/Table711[[#This Row],[gpu-layered]]</f>
        <v>#VALUE!</v>
      </c>
      <c r="K92" s="159" t="e">
        <f>MIN(Table711[[#This Row],[gpu-hybrid-drop]:[gpu-hybrid-copy]])/Table711[[#This Row],[gpu-layered]]</f>
        <v>#VALUE!</v>
      </c>
      <c r="L92" s="145" t="s">
        <v>3989</v>
      </c>
      <c r="M92" s="149" t="s">
        <v>3989</v>
      </c>
      <c r="N92" s="149" t="e">
        <f>Table711[[#This Row],[CPU Only (X &gt; 30m)]]/Table711[[#This Row],[gpu-layered]]</f>
        <v>#VALUE!</v>
      </c>
      <c r="O92" s="147" t="e">
        <f>Table711[[#This Row],[gpu-layered]]/Table711[[#This Row],[CPU+GPU]]</f>
        <v>#VALUE!</v>
      </c>
      <c r="AJ92">
        <v>1</v>
      </c>
      <c r="AK92" s="77" t="s">
        <v>1448</v>
      </c>
      <c r="AL92">
        <v>2</v>
      </c>
      <c r="AM92" s="77">
        <v>12.071039000000001</v>
      </c>
      <c r="AN92" s="128">
        <v>10.268869</v>
      </c>
      <c r="AO92" s="47">
        <v>12.47</v>
      </c>
      <c r="AP92" s="36">
        <v>13.1</v>
      </c>
      <c r="AQ92" s="36">
        <v>12.38</v>
      </c>
      <c r="AR92" s="126">
        <f ca="1">Table7[[#This Row],[GPU]]/Table7[[#This Row],[cpuchunk=100]]</f>
        <v>0.82947245557350568</v>
      </c>
      <c r="AS92" s="2">
        <v>33.94</v>
      </c>
      <c r="AT92" s="132" t="s">
        <v>3989</v>
      </c>
    </row>
    <row r="93" spans="2:46" ht="29" hidden="1" x14ac:dyDescent="0.35">
      <c r="B93" s="147"/>
      <c r="C93" s="148" t="s">
        <v>1440</v>
      </c>
      <c r="D93" s="147">
        <v>7</v>
      </c>
      <c r="E93" s="149" t="s">
        <v>3989</v>
      </c>
      <c r="F93" s="149" t="s">
        <v>3989</v>
      </c>
      <c r="G93" s="149"/>
      <c r="H93" s="149" t="s">
        <v>3989</v>
      </c>
      <c r="I93" s="149" t="s">
        <v>3989</v>
      </c>
      <c r="J93" s="149" t="e">
        <f>Table711[[#This Row],[G2AIMD (pingpong)]]/Table711[[#This Row],[gpu-layered]]</f>
        <v>#VALUE!</v>
      </c>
      <c r="K93" s="159" t="e">
        <f>MIN(Table711[[#This Row],[gpu-hybrid-drop]:[gpu-hybrid-copy]])/Table711[[#This Row],[gpu-layered]]</f>
        <v>#VALUE!</v>
      </c>
      <c r="L93" s="145" t="s">
        <v>3989</v>
      </c>
      <c r="M93" s="149" t="s">
        <v>3989</v>
      </c>
      <c r="N93" s="149" t="e">
        <f>Table711[[#This Row],[CPU Only (X &gt; 30m)]]/Table711[[#This Row],[gpu-layered]]</f>
        <v>#VALUE!</v>
      </c>
      <c r="O93" s="147" t="e">
        <f>Table711[[#This Row],[gpu-layered]]/Table711[[#This Row],[CPU+GPU]]</f>
        <v>#VALUE!</v>
      </c>
      <c r="AJ93">
        <v>1</v>
      </c>
      <c r="AK93" s="77" t="s">
        <v>1434</v>
      </c>
      <c r="AL93">
        <v>9</v>
      </c>
      <c r="AM93" s="77">
        <v>11.925243999999999</v>
      </c>
      <c r="AN93" s="128">
        <v>11.339861000000001</v>
      </c>
      <c r="AO93" s="47">
        <v>10.944299000000001</v>
      </c>
      <c r="AP93" s="36">
        <v>11.13</v>
      </c>
      <c r="AQ93" s="36">
        <v>12.09</v>
      </c>
      <c r="AR93" s="126">
        <f ca="1">Table7[[#This Row],[GPU]]/Table7[[#This Row],[cpuchunk=100]]</f>
        <v>0.93795376344086034</v>
      </c>
      <c r="AS93" s="2">
        <v>10.973511999999999</v>
      </c>
      <c r="AT93" s="132">
        <v>784.80277100000001</v>
      </c>
    </row>
    <row r="94" spans="2:46" ht="29" hidden="1" x14ac:dyDescent="0.35">
      <c r="B94" s="147"/>
      <c r="C94" s="148" t="s">
        <v>1440</v>
      </c>
      <c r="D94" s="147">
        <v>8</v>
      </c>
      <c r="E94" s="149" t="s">
        <v>3989</v>
      </c>
      <c r="F94" s="149" t="s">
        <v>3989</v>
      </c>
      <c r="G94" s="149"/>
      <c r="H94" s="149" t="s">
        <v>3989</v>
      </c>
      <c r="I94" s="149" t="s">
        <v>3989</v>
      </c>
      <c r="J94" s="149" t="e">
        <f>Table711[[#This Row],[G2AIMD (pingpong)]]/Table711[[#This Row],[gpu-layered]]</f>
        <v>#VALUE!</v>
      </c>
      <c r="K94" s="159" t="e">
        <f>MIN(Table711[[#This Row],[gpu-hybrid-drop]:[gpu-hybrid-copy]])/Table711[[#This Row],[gpu-layered]]</f>
        <v>#VALUE!</v>
      </c>
      <c r="L94" s="145" t="s">
        <v>3989</v>
      </c>
      <c r="M94" s="149" t="s">
        <v>3989</v>
      </c>
      <c r="N94" s="149" t="e">
        <f>Table711[[#This Row],[CPU Only (X &gt; 30m)]]/Table711[[#This Row],[gpu-layered]]</f>
        <v>#VALUE!</v>
      </c>
      <c r="O94" s="147" t="e">
        <f>Table711[[#This Row],[gpu-layered]]/Table711[[#This Row],[CPU+GPU]]</f>
        <v>#VALUE!</v>
      </c>
      <c r="AJ94">
        <v>1</v>
      </c>
      <c r="AK94" s="77" t="s">
        <v>1448</v>
      </c>
      <c r="AL94">
        <v>9</v>
      </c>
      <c r="AM94" s="77">
        <v>14.808792</v>
      </c>
      <c r="AN94" s="128">
        <v>14.022862</v>
      </c>
      <c r="AO94" s="47">
        <v>20.95</v>
      </c>
      <c r="AP94" s="36">
        <v>26.07</v>
      </c>
      <c r="AQ94" s="36">
        <v>15.63</v>
      </c>
      <c r="AR94" s="126">
        <f ca="1">Table7[[#This Row],[GPU]]/Table7[[#This Row],[cpuchunk=100]]</f>
        <v>0.8971760716570697</v>
      </c>
      <c r="AS94" s="2">
        <v>35.89</v>
      </c>
      <c r="AT94" s="132" t="s">
        <v>3989</v>
      </c>
    </row>
    <row r="95" spans="2:46" ht="29" hidden="1" x14ac:dyDescent="0.35">
      <c r="B95" s="147"/>
      <c r="C95" s="148" t="s">
        <v>1450</v>
      </c>
      <c r="D95" s="147">
        <v>6</v>
      </c>
      <c r="E95" s="149" t="s">
        <v>3989</v>
      </c>
      <c r="F95" s="149" t="s">
        <v>3989</v>
      </c>
      <c r="G95" s="149"/>
      <c r="H95" s="149" t="s">
        <v>3989</v>
      </c>
      <c r="I95" s="149" t="s">
        <v>3989</v>
      </c>
      <c r="J95" s="149" t="e">
        <f>Table711[[#This Row],[G2AIMD (pingpong)]]/Table711[[#This Row],[gpu-layered]]</f>
        <v>#VALUE!</v>
      </c>
      <c r="K95" s="159" t="e">
        <f>MIN(Table711[[#This Row],[gpu-hybrid-drop]:[gpu-hybrid-copy]])/Table711[[#This Row],[gpu-layered]]</f>
        <v>#VALUE!</v>
      </c>
      <c r="L95" s="145" t="s">
        <v>3989</v>
      </c>
      <c r="M95" s="149" t="s">
        <v>3989</v>
      </c>
      <c r="N95" s="149" t="e">
        <f>Table711[[#This Row],[CPU Only (X &gt; 30m)]]/Table711[[#This Row],[gpu-layered]]</f>
        <v>#VALUE!</v>
      </c>
      <c r="O95" s="147" t="e">
        <f>Table711[[#This Row],[gpu-layered]]/Table711[[#This Row],[CPU+GPU]]</f>
        <v>#VALUE!</v>
      </c>
      <c r="AJ95">
        <v>1</v>
      </c>
      <c r="AK95" s="77" t="s">
        <v>3919</v>
      </c>
      <c r="AL95">
        <v>6</v>
      </c>
      <c r="AM95" s="77">
        <v>18.152170999999999</v>
      </c>
      <c r="AN95" s="128">
        <v>14.641228999999999</v>
      </c>
      <c r="AO95" s="47">
        <v>14.524549</v>
      </c>
      <c r="AP95" s="36">
        <v>14.290449000000001</v>
      </c>
      <c r="AQ95" s="36">
        <v>14.21</v>
      </c>
      <c r="AR95" s="126">
        <f ca="1">Table7[[#This Row],[GPU]]/Table7[[#This Row],[cpuchunk=100]]</f>
        <v>1.0303468684025332</v>
      </c>
      <c r="AS95" s="2">
        <v>14.312435000000001</v>
      </c>
      <c r="AT95" s="132">
        <v>122.148618</v>
      </c>
    </row>
    <row r="96" spans="2:46" ht="29" hidden="1" x14ac:dyDescent="0.35">
      <c r="B96" s="147"/>
      <c r="C96" s="148" t="s">
        <v>1450</v>
      </c>
      <c r="D96" s="147">
        <v>7</v>
      </c>
      <c r="E96" s="149" t="s">
        <v>3989</v>
      </c>
      <c r="F96" s="149" t="s">
        <v>3989</v>
      </c>
      <c r="G96" s="149"/>
      <c r="H96" s="149" t="s">
        <v>3989</v>
      </c>
      <c r="I96" s="149" t="s">
        <v>3989</v>
      </c>
      <c r="J96" s="149" t="e">
        <f>Table711[[#This Row],[G2AIMD (pingpong)]]/Table711[[#This Row],[gpu-layered]]</f>
        <v>#VALUE!</v>
      </c>
      <c r="K96" s="159" t="e">
        <f>MIN(Table711[[#This Row],[gpu-hybrid-drop]:[gpu-hybrid-copy]])/Table711[[#This Row],[gpu-layered]]</f>
        <v>#VALUE!</v>
      </c>
      <c r="L96" s="145" t="s">
        <v>3989</v>
      </c>
      <c r="M96" s="149" t="s">
        <v>3989</v>
      </c>
      <c r="N96" s="149" t="e">
        <f>Table711[[#This Row],[CPU Only (X &gt; 30m)]]/Table711[[#This Row],[gpu-layered]]</f>
        <v>#VALUE!</v>
      </c>
      <c r="O96" s="147" t="e">
        <f>Table711[[#This Row],[gpu-layered]]/Table711[[#This Row],[CPU+GPU]]</f>
        <v>#VALUE!</v>
      </c>
      <c r="AJ96">
        <v>1</v>
      </c>
      <c r="AK96" s="77" t="s">
        <v>1450</v>
      </c>
      <c r="AL96">
        <v>2</v>
      </c>
      <c r="AM96" s="77">
        <v>21.122053000000001</v>
      </c>
      <c r="AN96" s="128">
        <v>16.624081</v>
      </c>
      <c r="AO96" s="47">
        <v>19.920000000000002</v>
      </c>
      <c r="AP96" s="36">
        <v>20.420000000000002</v>
      </c>
      <c r="AQ96" s="36">
        <v>19.739999999999998</v>
      </c>
      <c r="AR96" s="126">
        <f ca="1">Table7[[#This Row],[GPU]]/Table7[[#This Row],[cpuchunk=100]]</f>
        <v>0.84215202634245201</v>
      </c>
      <c r="AS96" s="2">
        <v>38.707056000000001</v>
      </c>
      <c r="AT96" s="132" t="s">
        <v>3989</v>
      </c>
    </row>
    <row r="97" spans="2:46" ht="29" hidden="1" x14ac:dyDescent="0.35">
      <c r="B97" s="147"/>
      <c r="C97" s="148" t="s">
        <v>1450</v>
      </c>
      <c r="D97" s="147">
        <v>8</v>
      </c>
      <c r="E97" s="149" t="s">
        <v>3989</v>
      </c>
      <c r="F97" s="149" t="s">
        <v>3989</v>
      </c>
      <c r="G97" s="149"/>
      <c r="H97" s="149" t="s">
        <v>3989</v>
      </c>
      <c r="I97" s="149" t="s">
        <v>3989</v>
      </c>
      <c r="J97" s="149" t="e">
        <f>Table711[[#This Row],[G2AIMD (pingpong)]]/Table711[[#This Row],[gpu-layered]]</f>
        <v>#VALUE!</v>
      </c>
      <c r="K97" s="159" t="e">
        <f>MIN(Table711[[#This Row],[gpu-hybrid-drop]:[gpu-hybrid-copy]])/Table711[[#This Row],[gpu-layered]]</f>
        <v>#VALUE!</v>
      </c>
      <c r="L97" s="145" t="s">
        <v>3989</v>
      </c>
      <c r="M97" s="149" t="s">
        <v>3989</v>
      </c>
      <c r="N97" s="149" t="e">
        <f>Table711[[#This Row],[CPU Only (X &gt; 30m)]]/Table711[[#This Row],[gpu-layered]]</f>
        <v>#VALUE!</v>
      </c>
      <c r="O97" s="147" t="e">
        <f>Table711[[#This Row],[gpu-layered]]/Table711[[#This Row],[CPU+GPU]]</f>
        <v>#VALUE!</v>
      </c>
      <c r="AJ97">
        <v>1</v>
      </c>
      <c r="AK97" s="77" t="s">
        <v>3912</v>
      </c>
      <c r="AL97">
        <v>7</v>
      </c>
      <c r="AM97" s="77">
        <v>19.990193000000001</v>
      </c>
      <c r="AN97" s="128">
        <v>19.956325</v>
      </c>
      <c r="AO97" s="47">
        <v>19.78</v>
      </c>
      <c r="AP97" s="36">
        <v>19.64</v>
      </c>
      <c r="AQ97" s="36">
        <v>19.96</v>
      </c>
      <c r="AR97" s="126">
        <f ca="1">Table7[[#This Row],[GPU]]/Table7[[#This Row],[cpuchunk=100]]</f>
        <v>0.99981588176352698</v>
      </c>
      <c r="AS97" s="2">
        <v>19.59</v>
      </c>
      <c r="AT97" s="132" t="s">
        <v>3989</v>
      </c>
    </row>
    <row r="98" spans="2:46" ht="29" hidden="1" x14ac:dyDescent="0.35">
      <c r="B98" s="147"/>
      <c r="C98" s="148" t="s">
        <v>1455</v>
      </c>
      <c r="D98" s="147">
        <v>5</v>
      </c>
      <c r="E98" s="149" t="s">
        <v>3989</v>
      </c>
      <c r="F98" s="149" t="s">
        <v>3989</v>
      </c>
      <c r="G98" s="149"/>
      <c r="H98" s="149" t="s">
        <v>3989</v>
      </c>
      <c r="I98" s="149" t="s">
        <v>3989</v>
      </c>
      <c r="J98" s="149" t="e">
        <f>Table711[[#This Row],[G2AIMD (pingpong)]]/Table711[[#This Row],[gpu-layered]]</f>
        <v>#VALUE!</v>
      </c>
      <c r="K98" s="159" t="e">
        <f>MIN(Table711[[#This Row],[gpu-hybrid-drop]:[gpu-hybrid-copy]])/Table711[[#This Row],[gpu-layered]]</f>
        <v>#VALUE!</v>
      </c>
      <c r="L98" s="145" t="s">
        <v>3989</v>
      </c>
      <c r="M98" s="149" t="s">
        <v>3989</v>
      </c>
      <c r="N98" s="149" t="e">
        <f>Table711[[#This Row],[CPU Only (X &gt; 30m)]]/Table711[[#This Row],[gpu-layered]]</f>
        <v>#VALUE!</v>
      </c>
      <c r="O98" s="147" t="e">
        <f>Table711[[#This Row],[gpu-layered]]/Table711[[#This Row],[CPU+GPU]]</f>
        <v>#VALUE!</v>
      </c>
      <c r="AJ98">
        <v>1</v>
      </c>
      <c r="AK98" s="77" t="s">
        <v>1431</v>
      </c>
      <c r="AL98">
        <v>8</v>
      </c>
      <c r="AM98" s="77" t="s">
        <v>3989</v>
      </c>
      <c r="AN98" s="128">
        <v>21.587534000000002</v>
      </c>
      <c r="AO98" s="47">
        <v>8.9600000000000009</v>
      </c>
      <c r="AP98" s="36">
        <v>9.31</v>
      </c>
      <c r="AQ98" s="36">
        <v>11.89</v>
      </c>
      <c r="AR98" s="126">
        <f ca="1">Table7[[#This Row],[GPU]]/Table7[[#This Row],[cpuchunk=100]]</f>
        <v>1.8156042052144661</v>
      </c>
      <c r="AS98" s="2">
        <v>20.056457999999999</v>
      </c>
      <c r="AT98" s="132" t="s">
        <v>3989</v>
      </c>
    </row>
    <row r="99" spans="2:46" ht="29" hidden="1" x14ac:dyDescent="0.35">
      <c r="B99" s="147"/>
      <c r="C99" s="148" t="s">
        <v>1455</v>
      </c>
      <c r="D99" s="147">
        <v>6</v>
      </c>
      <c r="E99" s="149" t="s">
        <v>3989</v>
      </c>
      <c r="F99" s="149" t="s">
        <v>3989</v>
      </c>
      <c r="G99" s="149"/>
      <c r="H99" s="149" t="s">
        <v>3989</v>
      </c>
      <c r="I99" s="149" t="s">
        <v>3989</v>
      </c>
      <c r="J99" s="149" t="e">
        <f>Table711[[#This Row],[G2AIMD (pingpong)]]/Table711[[#This Row],[gpu-layered]]</f>
        <v>#VALUE!</v>
      </c>
      <c r="K99" s="159" t="e">
        <f>MIN(Table711[[#This Row],[gpu-hybrid-drop]:[gpu-hybrid-copy]])/Table711[[#This Row],[gpu-layered]]</f>
        <v>#VALUE!</v>
      </c>
      <c r="L99" s="145" t="s">
        <v>3989</v>
      </c>
      <c r="M99" s="149" t="s">
        <v>3989</v>
      </c>
      <c r="N99" s="149" t="e">
        <f>Table711[[#This Row],[CPU Only (X &gt; 30m)]]/Table711[[#This Row],[gpu-layered]]</f>
        <v>#VALUE!</v>
      </c>
      <c r="O99" s="147" t="e">
        <f>Table711[[#This Row],[gpu-layered]]/Table711[[#This Row],[CPU+GPU]]</f>
        <v>#VALUE!</v>
      </c>
      <c r="AJ99">
        <v>1</v>
      </c>
      <c r="AK99" s="77" t="s">
        <v>3912</v>
      </c>
      <c r="AL99">
        <v>8</v>
      </c>
      <c r="AM99" s="77">
        <v>23.409692</v>
      </c>
      <c r="AN99" s="128">
        <v>22.264191</v>
      </c>
      <c r="AO99" s="47">
        <v>21.95</v>
      </c>
      <c r="AP99" s="36">
        <v>22.3</v>
      </c>
      <c r="AQ99" s="36">
        <v>22.88</v>
      </c>
      <c r="AR99" s="126">
        <f ca="1">Table7[[#This Row],[GPU]]/Table7[[#This Row],[cpuchunk=100]]</f>
        <v>0.97308527097902109</v>
      </c>
      <c r="AS99" s="2">
        <v>21.730737999999999</v>
      </c>
      <c r="AT99" s="132">
        <v>579.55940199999998</v>
      </c>
    </row>
    <row r="100" spans="2:46" ht="29" hidden="1" x14ac:dyDescent="0.35">
      <c r="B100" s="147"/>
      <c r="C100" s="148" t="s">
        <v>1455</v>
      </c>
      <c r="D100" s="147">
        <v>7</v>
      </c>
      <c r="E100" s="149" t="s">
        <v>3989</v>
      </c>
      <c r="F100" s="149" t="s">
        <v>3989</v>
      </c>
      <c r="G100" s="149"/>
      <c r="H100" s="149" t="s">
        <v>3989</v>
      </c>
      <c r="I100" s="149" t="s">
        <v>3989</v>
      </c>
      <c r="J100" s="149" t="e">
        <f>Table711[[#This Row],[G2AIMD (pingpong)]]/Table711[[#This Row],[gpu-layered]]</f>
        <v>#VALUE!</v>
      </c>
      <c r="K100" s="159" t="e">
        <f>MIN(Table711[[#This Row],[gpu-hybrid-drop]:[gpu-hybrid-copy]])/Table711[[#This Row],[gpu-layered]]</f>
        <v>#VALUE!</v>
      </c>
      <c r="L100" s="145" t="s">
        <v>3989</v>
      </c>
      <c r="M100" s="149" t="s">
        <v>3989</v>
      </c>
      <c r="N100" s="149" t="e">
        <f>Table711[[#This Row],[CPU Only (X &gt; 30m)]]/Table711[[#This Row],[gpu-layered]]</f>
        <v>#VALUE!</v>
      </c>
      <c r="O100" s="147" t="e">
        <f>Table711[[#This Row],[gpu-layered]]/Table711[[#This Row],[CPU+GPU]]</f>
        <v>#VALUE!</v>
      </c>
      <c r="AJ100">
        <v>1</v>
      </c>
      <c r="AK100" s="119" t="s">
        <v>1433</v>
      </c>
      <c r="AL100" s="120">
        <v>2</v>
      </c>
      <c r="AM100" s="77">
        <v>28.529733</v>
      </c>
      <c r="AN100" s="129">
        <v>22.509125000000001</v>
      </c>
      <c r="AO100" s="47">
        <v>27.45</v>
      </c>
      <c r="AP100" s="36">
        <v>27.35</v>
      </c>
      <c r="AQ100" s="36">
        <v>26.74</v>
      </c>
      <c r="AR100" s="126">
        <f ca="1">Table7[[#This Row],[GPU]]/Table7[[#This Row],[cpuchunk=100]]</f>
        <v>0.84177729992520578</v>
      </c>
      <c r="AS100" s="121" t="s">
        <v>3989</v>
      </c>
      <c r="AT100" s="132" t="s">
        <v>3989</v>
      </c>
    </row>
    <row r="101" spans="2:46" ht="29" hidden="1" x14ac:dyDescent="0.35">
      <c r="B101" s="147"/>
      <c r="C101" s="148" t="s">
        <v>1455</v>
      </c>
      <c r="D101" s="147">
        <v>8</v>
      </c>
      <c r="E101" s="149" t="s">
        <v>3989</v>
      </c>
      <c r="F101" s="149" t="s">
        <v>3989</v>
      </c>
      <c r="G101" s="149"/>
      <c r="H101" s="149" t="s">
        <v>3989</v>
      </c>
      <c r="I101" s="149" t="s">
        <v>3989</v>
      </c>
      <c r="J101" s="149" t="e">
        <f>Table711[[#This Row],[G2AIMD (pingpong)]]/Table711[[#This Row],[gpu-layered]]</f>
        <v>#VALUE!</v>
      </c>
      <c r="K101" s="159" t="e">
        <f>MIN(Table711[[#This Row],[gpu-hybrid-drop]:[gpu-hybrid-copy]])/Table711[[#This Row],[gpu-layered]]</f>
        <v>#VALUE!</v>
      </c>
      <c r="L101" s="145" t="s">
        <v>3989</v>
      </c>
      <c r="M101" s="149" t="s">
        <v>3989</v>
      </c>
      <c r="N101" s="149" t="e">
        <f>Table711[[#This Row],[CPU Only (X &gt; 30m)]]/Table711[[#This Row],[gpu-layered]]</f>
        <v>#VALUE!</v>
      </c>
      <c r="O101" s="147" t="e">
        <f>Table711[[#This Row],[gpu-layered]]/Table711[[#This Row],[CPU+GPU]]</f>
        <v>#VALUE!</v>
      </c>
      <c r="AJ101">
        <v>1</v>
      </c>
      <c r="AK101" s="119" t="s">
        <v>1436</v>
      </c>
      <c r="AL101" s="120">
        <v>2</v>
      </c>
      <c r="AM101" s="77">
        <v>29.259466</v>
      </c>
      <c r="AN101" s="129">
        <v>23.602007</v>
      </c>
      <c r="AO101" s="47">
        <v>28.64</v>
      </c>
      <c r="AP101" s="36">
        <v>28.91</v>
      </c>
      <c r="AQ101" s="36">
        <v>27.72</v>
      </c>
      <c r="AR101" s="126">
        <f ca="1">Table7[[#This Row],[GPU]]/Table7[[#This Row],[cpuchunk=100]]</f>
        <v>0.85144325396825404</v>
      </c>
      <c r="AS101" s="121">
        <v>63.010843999999999</v>
      </c>
      <c r="AT101" s="132" t="s">
        <v>3989</v>
      </c>
    </row>
    <row r="102" spans="2:46" ht="29" hidden="1" x14ac:dyDescent="0.35">
      <c r="B102" s="147"/>
      <c r="C102" s="148" t="s">
        <v>1455</v>
      </c>
      <c r="D102" s="147">
        <v>9</v>
      </c>
      <c r="E102" s="149" t="s">
        <v>3989</v>
      </c>
      <c r="F102" s="149" t="s">
        <v>3989</v>
      </c>
      <c r="G102" s="149"/>
      <c r="H102" s="149" t="s">
        <v>3989</v>
      </c>
      <c r="I102" s="149" t="s">
        <v>3989</v>
      </c>
      <c r="J102" s="149" t="e">
        <f>Table711[[#This Row],[G2AIMD (pingpong)]]/Table711[[#This Row],[gpu-layered]]</f>
        <v>#VALUE!</v>
      </c>
      <c r="K102" s="159" t="e">
        <f>MIN(Table711[[#This Row],[gpu-hybrid-drop]:[gpu-hybrid-copy]])/Table711[[#This Row],[gpu-layered]]</f>
        <v>#VALUE!</v>
      </c>
      <c r="L102" s="145" t="s">
        <v>3989</v>
      </c>
      <c r="M102" s="149" t="s">
        <v>3989</v>
      </c>
      <c r="N102" s="149" t="e">
        <f>Table711[[#This Row],[CPU Only (X &gt; 30m)]]/Table711[[#This Row],[gpu-layered]]</f>
        <v>#VALUE!</v>
      </c>
      <c r="O102" s="147" t="e">
        <f>Table711[[#This Row],[gpu-layered]]/Table711[[#This Row],[CPU+GPU]]</f>
        <v>#VALUE!</v>
      </c>
      <c r="AJ102">
        <v>1</v>
      </c>
      <c r="AK102" s="77" t="s">
        <v>1391</v>
      </c>
      <c r="AL102">
        <v>8</v>
      </c>
      <c r="AM102" s="77">
        <v>25.276336000000001</v>
      </c>
      <c r="AN102" s="128">
        <v>24.973725999999999</v>
      </c>
      <c r="AO102" s="47">
        <v>20.522815000000001</v>
      </c>
      <c r="AP102" s="36">
        <v>21.015433000000002</v>
      </c>
      <c r="AQ102" s="36">
        <v>20.965391</v>
      </c>
      <c r="AR102" s="126">
        <f ca="1">Table7[[#This Row],[GPU]]/Table7[[#This Row],[cpuchunk=100]]</f>
        <v>1.1911881824669999</v>
      </c>
      <c r="AS102" s="2">
        <v>25.777509999999999</v>
      </c>
      <c r="AT102" s="132" t="s">
        <v>3989</v>
      </c>
    </row>
    <row r="103" spans="2:46" ht="29" hidden="1" x14ac:dyDescent="0.35">
      <c r="B103" s="147"/>
      <c r="C103" s="148" t="s">
        <v>1409</v>
      </c>
      <c r="D103" s="147">
        <v>5</v>
      </c>
      <c r="E103" s="149" t="s">
        <v>3989</v>
      </c>
      <c r="F103" s="149" t="s">
        <v>3989</v>
      </c>
      <c r="G103" s="149"/>
      <c r="H103" s="149" t="s">
        <v>3989</v>
      </c>
      <c r="I103" s="149" t="s">
        <v>3989</v>
      </c>
      <c r="J103" s="149" t="e">
        <f>Table711[[#This Row],[G2AIMD (pingpong)]]/Table711[[#This Row],[gpu-layered]]</f>
        <v>#VALUE!</v>
      </c>
      <c r="K103" s="159" t="e">
        <f>MIN(Table711[[#This Row],[gpu-hybrid-drop]:[gpu-hybrid-copy]])/Table711[[#This Row],[gpu-layered]]</f>
        <v>#VALUE!</v>
      </c>
      <c r="L103" s="145" t="s">
        <v>3989</v>
      </c>
      <c r="M103" s="149" t="s">
        <v>3989</v>
      </c>
      <c r="N103" s="149" t="e">
        <f>Table711[[#This Row],[CPU Only (X &gt; 30m)]]/Table711[[#This Row],[gpu-layered]]</f>
        <v>#VALUE!</v>
      </c>
      <c r="O103" s="147" t="e">
        <f>Table711[[#This Row],[gpu-layered]]/Table711[[#This Row],[CPU+GPU]]</f>
        <v>#VALUE!</v>
      </c>
      <c r="AJ103">
        <v>1</v>
      </c>
      <c r="AK103" s="77" t="s">
        <v>1346</v>
      </c>
      <c r="AL103">
        <v>7</v>
      </c>
      <c r="AM103" s="77">
        <v>28.379384999999999</v>
      </c>
      <c r="AN103" s="128">
        <v>26.479275000000001</v>
      </c>
      <c r="AO103" s="47">
        <v>29.23</v>
      </c>
      <c r="AP103" s="36">
        <v>30.8</v>
      </c>
      <c r="AQ103" s="36">
        <v>34.92</v>
      </c>
      <c r="AR103" s="126">
        <f ca="1">Table7[[#This Row],[GPU]]/Table7[[#This Row],[cpuchunk=100]]</f>
        <v>0.75828393470790378</v>
      </c>
      <c r="AS103" s="2">
        <v>26.73</v>
      </c>
      <c r="AT103" s="132">
        <v>2038.237151</v>
      </c>
    </row>
    <row r="104" spans="2:46" ht="29" hidden="1" x14ac:dyDescent="0.35">
      <c r="B104" s="147"/>
      <c r="C104" s="148" t="s">
        <v>1409</v>
      </c>
      <c r="D104" s="147">
        <v>6</v>
      </c>
      <c r="E104" s="149" t="s">
        <v>3989</v>
      </c>
      <c r="F104" s="149" t="s">
        <v>3989</v>
      </c>
      <c r="G104" s="149"/>
      <c r="H104" s="149" t="s">
        <v>3989</v>
      </c>
      <c r="I104" s="149" t="s">
        <v>3989</v>
      </c>
      <c r="J104" s="149" t="e">
        <f>Table711[[#This Row],[G2AIMD (pingpong)]]/Table711[[#This Row],[gpu-layered]]</f>
        <v>#VALUE!</v>
      </c>
      <c r="K104" s="159" t="e">
        <f>MIN(Table711[[#This Row],[gpu-hybrid-drop]:[gpu-hybrid-copy]])/Table711[[#This Row],[gpu-layered]]</f>
        <v>#VALUE!</v>
      </c>
      <c r="L104" s="145" t="s">
        <v>3989</v>
      </c>
      <c r="M104" s="149" t="s">
        <v>3989</v>
      </c>
      <c r="N104" s="149" t="e">
        <f>Table711[[#This Row],[CPU Only (X &gt; 30m)]]/Table711[[#This Row],[gpu-layered]]</f>
        <v>#VALUE!</v>
      </c>
      <c r="O104" s="147" t="e">
        <f>Table711[[#This Row],[gpu-layered]]/Table711[[#This Row],[CPU+GPU]]</f>
        <v>#VALUE!</v>
      </c>
      <c r="AJ104">
        <v>1</v>
      </c>
      <c r="AK104" s="77" t="s">
        <v>1434</v>
      </c>
      <c r="AL104">
        <v>5</v>
      </c>
      <c r="AM104" s="77">
        <v>30.819552000000002</v>
      </c>
      <c r="AN104" s="128">
        <v>27.584989</v>
      </c>
      <c r="AO104" s="47">
        <v>28.18</v>
      </c>
      <c r="AP104" s="36">
        <v>28.29</v>
      </c>
      <c r="AQ104" s="36">
        <v>28.36</v>
      </c>
      <c r="AR104" s="126">
        <f ca="1">Table7[[#This Row],[GPU]]/Table7[[#This Row],[cpuchunk=100]]</f>
        <v>0.97267239069111422</v>
      </c>
      <c r="AS104" s="2">
        <v>27.874337000000001</v>
      </c>
      <c r="AT104" s="132">
        <v>1506.4237009999999</v>
      </c>
    </row>
    <row r="105" spans="2:46" ht="29" hidden="1" x14ac:dyDescent="0.35">
      <c r="B105" s="147"/>
      <c r="C105" s="148" t="s">
        <v>1409</v>
      </c>
      <c r="D105" s="147">
        <v>7</v>
      </c>
      <c r="E105" s="149" t="s">
        <v>3989</v>
      </c>
      <c r="F105" s="149" t="s">
        <v>3989</v>
      </c>
      <c r="G105" s="149"/>
      <c r="H105" s="149" t="s">
        <v>3989</v>
      </c>
      <c r="I105" s="149" t="s">
        <v>3989</v>
      </c>
      <c r="J105" s="149" t="e">
        <f>Table711[[#This Row],[G2AIMD (pingpong)]]/Table711[[#This Row],[gpu-layered]]</f>
        <v>#VALUE!</v>
      </c>
      <c r="K105" s="159" t="e">
        <f>MIN(Table711[[#This Row],[gpu-hybrid-drop]:[gpu-hybrid-copy]])/Table711[[#This Row],[gpu-layered]]</f>
        <v>#VALUE!</v>
      </c>
      <c r="L105" s="145" t="s">
        <v>3989</v>
      </c>
      <c r="M105" s="149" t="s">
        <v>3989</v>
      </c>
      <c r="N105" s="149" t="e">
        <f>Table711[[#This Row],[CPU Only (X &gt; 30m)]]/Table711[[#This Row],[gpu-layered]]</f>
        <v>#VALUE!</v>
      </c>
      <c r="O105" s="147" t="e">
        <f>Table711[[#This Row],[gpu-layered]]/Table711[[#This Row],[CPU+GPU]]</f>
        <v>#VALUE!</v>
      </c>
      <c r="AJ105">
        <v>1</v>
      </c>
      <c r="AK105" s="77" t="s">
        <v>1450</v>
      </c>
      <c r="AL105">
        <v>9</v>
      </c>
      <c r="AM105" s="77">
        <v>33.843966000000002</v>
      </c>
      <c r="AN105" s="128">
        <v>28.268073000000001</v>
      </c>
      <c r="AO105" s="47">
        <v>40.86</v>
      </c>
      <c r="AP105" s="36">
        <v>53.31</v>
      </c>
      <c r="AQ105" s="36">
        <v>31.61</v>
      </c>
      <c r="AR105" s="126">
        <f ca="1">Table7[[#This Row],[GPU]]/Table7[[#This Row],[cpuchunk=100]]</f>
        <v>0.89427627333122439</v>
      </c>
      <c r="AS105" s="2">
        <v>59.78</v>
      </c>
      <c r="AT105" s="132" t="s">
        <v>3989</v>
      </c>
    </row>
    <row r="106" spans="2:46" ht="29" hidden="1" x14ac:dyDescent="0.35">
      <c r="B106" s="147"/>
      <c r="C106" s="148" t="s">
        <v>1409</v>
      </c>
      <c r="D106" s="147">
        <v>8</v>
      </c>
      <c r="E106" s="149" t="s">
        <v>3989</v>
      </c>
      <c r="F106" s="149" t="s">
        <v>3989</v>
      </c>
      <c r="G106" s="149"/>
      <c r="H106" s="149" t="s">
        <v>3989</v>
      </c>
      <c r="I106" s="149" t="s">
        <v>3989</v>
      </c>
      <c r="J106" s="149" t="e">
        <f>Table711[[#This Row],[G2AIMD (pingpong)]]/Table711[[#This Row],[gpu-layered]]</f>
        <v>#VALUE!</v>
      </c>
      <c r="K106" s="159" t="e">
        <f>MIN(Table711[[#This Row],[gpu-hybrid-drop]:[gpu-hybrid-copy]])/Table711[[#This Row],[gpu-layered]]</f>
        <v>#VALUE!</v>
      </c>
      <c r="L106" s="145" t="s">
        <v>3989</v>
      </c>
      <c r="M106" s="149" t="s">
        <v>3989</v>
      </c>
      <c r="N106" s="149" t="e">
        <f>Table711[[#This Row],[CPU Only (X &gt; 30m)]]/Table711[[#This Row],[gpu-layered]]</f>
        <v>#VALUE!</v>
      </c>
      <c r="O106" s="147" t="e">
        <f>Table711[[#This Row],[gpu-layered]]/Table711[[#This Row],[CPU+GPU]]</f>
        <v>#VALUE!</v>
      </c>
      <c r="AJ106">
        <v>1</v>
      </c>
      <c r="AK106" s="77" t="s">
        <v>1346</v>
      </c>
      <c r="AL106">
        <v>8</v>
      </c>
      <c r="AM106" s="77">
        <v>37.425060000000002</v>
      </c>
      <c r="AN106" s="128">
        <v>34.536710999999997</v>
      </c>
      <c r="AO106" s="47">
        <v>34.25</v>
      </c>
      <c r="AP106" s="36">
        <v>34.200000000000003</v>
      </c>
      <c r="AQ106" s="36">
        <v>34.51</v>
      </c>
      <c r="AR106" s="126">
        <f ca="1">Table7[[#This Row],[GPU]]/Table7[[#This Row],[cpuchunk=100]]</f>
        <v>1.0007740075340481</v>
      </c>
      <c r="AS106" s="2">
        <v>35.340000000000003</v>
      </c>
      <c r="AT106" s="132" t="s">
        <v>3989</v>
      </c>
    </row>
    <row r="107" spans="2:46" ht="29" hidden="1" x14ac:dyDescent="0.35">
      <c r="B107" s="147"/>
      <c r="C107" s="148" t="s">
        <v>1449</v>
      </c>
      <c r="D107" s="147">
        <v>5</v>
      </c>
      <c r="E107" s="149" t="s">
        <v>3989</v>
      </c>
      <c r="F107" s="149" t="s">
        <v>3989</v>
      </c>
      <c r="G107" s="149"/>
      <c r="H107" s="149" t="s">
        <v>3989</v>
      </c>
      <c r="I107" s="149" t="s">
        <v>3989</v>
      </c>
      <c r="J107" s="149" t="e">
        <f>Table711[[#This Row],[G2AIMD (pingpong)]]/Table711[[#This Row],[gpu-layered]]</f>
        <v>#VALUE!</v>
      </c>
      <c r="K107" s="159" t="e">
        <f>MIN(Table711[[#This Row],[gpu-hybrid-drop]:[gpu-hybrid-copy]])/Table711[[#This Row],[gpu-layered]]</f>
        <v>#VALUE!</v>
      </c>
      <c r="L107" s="145" t="s">
        <v>3989</v>
      </c>
      <c r="M107" s="149" t="s">
        <v>3989</v>
      </c>
      <c r="N107" s="149" t="e">
        <f>Table711[[#This Row],[CPU Only (X &gt; 30m)]]/Table711[[#This Row],[gpu-layered]]</f>
        <v>#VALUE!</v>
      </c>
      <c r="O107" s="147" t="e">
        <f>Table711[[#This Row],[gpu-layered]]/Table711[[#This Row],[CPU+GPU]]</f>
        <v>#VALUE!</v>
      </c>
      <c r="AJ107">
        <v>1</v>
      </c>
      <c r="AK107" s="77" t="s">
        <v>1411</v>
      </c>
      <c r="AL107">
        <v>2</v>
      </c>
      <c r="AM107" s="77">
        <v>42.610433999999998</v>
      </c>
      <c r="AN107" s="128">
        <v>36.894198000000003</v>
      </c>
      <c r="AO107" s="47">
        <v>43.47</v>
      </c>
      <c r="AP107" s="36">
        <v>44.47</v>
      </c>
      <c r="AQ107" s="36">
        <v>43.62</v>
      </c>
      <c r="AR107" s="126">
        <f ca="1">Table7[[#This Row],[GPU]]/Table7[[#This Row],[cpuchunk=100]]</f>
        <v>0.84580921595598357</v>
      </c>
      <c r="AS107" s="2">
        <v>264.74</v>
      </c>
      <c r="AT107" s="132" t="s">
        <v>3989</v>
      </c>
    </row>
    <row r="108" spans="2:46" ht="29" hidden="1" x14ac:dyDescent="0.35">
      <c r="B108" s="147"/>
      <c r="C108" s="148" t="s">
        <v>1449</v>
      </c>
      <c r="D108" s="147">
        <v>6</v>
      </c>
      <c r="E108" s="149" t="s">
        <v>3989</v>
      </c>
      <c r="F108" s="149" t="s">
        <v>3989</v>
      </c>
      <c r="G108" s="149"/>
      <c r="H108" s="149" t="s">
        <v>3989</v>
      </c>
      <c r="I108" s="149" t="s">
        <v>3989</v>
      </c>
      <c r="J108" s="149" t="e">
        <f>Table711[[#This Row],[G2AIMD (pingpong)]]/Table711[[#This Row],[gpu-layered]]</f>
        <v>#VALUE!</v>
      </c>
      <c r="K108" s="159" t="e">
        <f>MIN(Table711[[#This Row],[gpu-hybrid-drop]:[gpu-hybrid-copy]])/Table711[[#This Row],[gpu-layered]]</f>
        <v>#VALUE!</v>
      </c>
      <c r="L108" s="145" t="s">
        <v>3989</v>
      </c>
      <c r="M108" s="149" t="s">
        <v>3989</v>
      </c>
      <c r="N108" s="149" t="e">
        <f>Table711[[#This Row],[CPU Only (X &gt; 30m)]]/Table711[[#This Row],[gpu-layered]]</f>
        <v>#VALUE!</v>
      </c>
      <c r="O108" s="147" t="e">
        <f>Table711[[#This Row],[gpu-layered]]/Table711[[#This Row],[CPU+GPU]]</f>
        <v>#VALUE!</v>
      </c>
      <c r="AJ108">
        <v>1</v>
      </c>
      <c r="AK108" s="77" t="s">
        <v>1449</v>
      </c>
      <c r="AL108">
        <v>2</v>
      </c>
      <c r="AM108" s="77">
        <v>46.799216999999999</v>
      </c>
      <c r="AN108" s="128">
        <v>38.434747000000002</v>
      </c>
      <c r="AO108" s="47">
        <v>46.32</v>
      </c>
      <c r="AP108" s="36">
        <v>45.97</v>
      </c>
      <c r="AQ108" s="36">
        <v>46.61</v>
      </c>
      <c r="AR108" s="126">
        <f ca="1">Table7[[#This Row],[GPU]]/Table7[[#This Row],[cpuchunk=100]]</f>
        <v>0.82460302510190953</v>
      </c>
      <c r="AS108" s="2">
        <v>93.861074000000002</v>
      </c>
      <c r="AT108" s="132" t="s">
        <v>3989</v>
      </c>
    </row>
    <row r="109" spans="2:46" ht="29" hidden="1" x14ac:dyDescent="0.35">
      <c r="B109" s="147"/>
      <c r="C109" s="148" t="s">
        <v>1449</v>
      </c>
      <c r="D109" s="147">
        <v>7</v>
      </c>
      <c r="E109" s="149" t="s">
        <v>3989</v>
      </c>
      <c r="F109" s="149" t="s">
        <v>3989</v>
      </c>
      <c r="G109" s="149"/>
      <c r="H109" s="149" t="s">
        <v>3989</v>
      </c>
      <c r="I109" s="149" t="s">
        <v>3989</v>
      </c>
      <c r="J109" s="149" t="e">
        <f>Table711[[#This Row],[G2AIMD (pingpong)]]/Table711[[#This Row],[gpu-layered]]</f>
        <v>#VALUE!</v>
      </c>
      <c r="K109" s="159" t="e">
        <f>MIN(Table711[[#This Row],[gpu-hybrid-drop]:[gpu-hybrid-copy]])/Table711[[#This Row],[gpu-layered]]</f>
        <v>#VALUE!</v>
      </c>
      <c r="L109" s="145" t="s">
        <v>3989</v>
      </c>
      <c r="M109" s="149" t="s">
        <v>3989</v>
      </c>
      <c r="N109" s="149" t="e">
        <f>Table711[[#This Row],[CPU Only (X &gt; 30m)]]/Table711[[#This Row],[gpu-layered]]</f>
        <v>#VALUE!</v>
      </c>
      <c r="O109" s="147" t="e">
        <f>Table711[[#This Row],[gpu-layered]]/Table711[[#This Row],[CPU+GPU]]</f>
        <v>#VALUE!</v>
      </c>
      <c r="AJ109">
        <v>1</v>
      </c>
      <c r="AK109" s="116" t="s">
        <v>1371</v>
      </c>
      <c r="AL109" s="117">
        <v>6</v>
      </c>
      <c r="AM109" s="77">
        <v>42.350599000000003</v>
      </c>
      <c r="AN109" s="130">
        <v>42.45</v>
      </c>
      <c r="AO109" s="47">
        <v>36.76</v>
      </c>
      <c r="AP109" s="36">
        <v>37</v>
      </c>
      <c r="AQ109" s="36">
        <v>36.46</v>
      </c>
      <c r="AR109" s="126">
        <f ca="1">Table7[[#This Row],[GPU]]/Table7[[#This Row],[cpuchunk=100]]</f>
        <v>1.164289632473944</v>
      </c>
      <c r="AS109" s="118">
        <v>33.44</v>
      </c>
      <c r="AT109" s="132">
        <v>398.639387</v>
      </c>
    </row>
    <row r="110" spans="2:46" ht="29" hidden="1" x14ac:dyDescent="0.35">
      <c r="B110" s="147"/>
      <c r="C110" s="148" t="s">
        <v>1449</v>
      </c>
      <c r="D110" s="147">
        <v>8</v>
      </c>
      <c r="E110" s="149" t="s">
        <v>3989</v>
      </c>
      <c r="F110" s="149" t="s">
        <v>3989</v>
      </c>
      <c r="G110" s="149"/>
      <c r="H110" s="149" t="s">
        <v>3989</v>
      </c>
      <c r="I110" s="149" t="s">
        <v>3989</v>
      </c>
      <c r="J110" s="149" t="e">
        <f>Table711[[#This Row],[G2AIMD (pingpong)]]/Table711[[#This Row],[gpu-layered]]</f>
        <v>#VALUE!</v>
      </c>
      <c r="K110" s="159" t="e">
        <f>MIN(Table711[[#This Row],[gpu-hybrid-drop]:[gpu-hybrid-copy]])/Table711[[#This Row],[gpu-layered]]</f>
        <v>#VALUE!</v>
      </c>
      <c r="L110" s="145" t="s">
        <v>3989</v>
      </c>
      <c r="M110" s="149" t="s">
        <v>3989</v>
      </c>
      <c r="N110" s="149" t="e">
        <f>Table711[[#This Row],[CPU Only (X &gt; 30m)]]/Table711[[#This Row],[gpu-layered]]</f>
        <v>#VALUE!</v>
      </c>
      <c r="O110" s="147" t="e">
        <f>Table711[[#This Row],[gpu-layered]]/Table711[[#This Row],[CPU+GPU]]</f>
        <v>#VALUE!</v>
      </c>
      <c r="AJ110">
        <v>1</v>
      </c>
      <c r="AK110" s="77" t="s">
        <v>1409</v>
      </c>
      <c r="AL110">
        <v>9</v>
      </c>
      <c r="AM110" s="77">
        <v>55.395792</v>
      </c>
      <c r="AN110" s="128">
        <v>45.427039000000001</v>
      </c>
      <c r="AO110" s="47">
        <v>126.68</v>
      </c>
      <c r="AP110" s="36">
        <v>93.31</v>
      </c>
      <c r="AQ110" s="36">
        <v>53.87</v>
      </c>
      <c r="AR110" s="125">
        <f ca="1">Table7[[#This Row],[GPU]]/Table7[[#This Row],[cpuchunk=100]]</f>
        <v>0.84327156116576951</v>
      </c>
      <c r="AS110" s="2">
        <v>199.23</v>
      </c>
      <c r="AT110" s="132" t="s">
        <v>3989</v>
      </c>
    </row>
    <row r="111" spans="2:46" ht="29" hidden="1" x14ac:dyDescent="0.35">
      <c r="B111" s="147"/>
      <c r="C111" s="148" t="s">
        <v>1449</v>
      </c>
      <c r="D111" s="147">
        <v>9</v>
      </c>
      <c r="E111" s="149" t="s">
        <v>3989</v>
      </c>
      <c r="F111" s="149" t="s">
        <v>3989</v>
      </c>
      <c r="G111" s="149"/>
      <c r="H111" s="149" t="s">
        <v>3989</v>
      </c>
      <c r="I111" s="149" t="s">
        <v>3989</v>
      </c>
      <c r="J111" s="149" t="e">
        <f>Table711[[#This Row],[G2AIMD (pingpong)]]/Table711[[#This Row],[gpu-layered]]</f>
        <v>#VALUE!</v>
      </c>
      <c r="K111" s="159" t="e">
        <f>MIN(Table711[[#This Row],[gpu-hybrid-drop]:[gpu-hybrid-copy]])/Table711[[#This Row],[gpu-layered]]</f>
        <v>#VALUE!</v>
      </c>
      <c r="L111" s="145" t="s">
        <v>3989</v>
      </c>
      <c r="M111" s="149" t="s">
        <v>3989</v>
      </c>
      <c r="N111" s="149" t="e">
        <f>Table711[[#This Row],[CPU Only (X &gt; 30m)]]/Table711[[#This Row],[gpu-layered]]</f>
        <v>#VALUE!</v>
      </c>
      <c r="O111" s="147" t="e">
        <f>Table711[[#This Row],[gpu-layered]]/Table711[[#This Row],[CPU+GPU]]</f>
        <v>#VALUE!</v>
      </c>
      <c r="AJ111">
        <v>1</v>
      </c>
      <c r="AK111" s="77" t="s">
        <v>1436</v>
      </c>
      <c r="AL111">
        <v>9</v>
      </c>
      <c r="AM111" s="77">
        <v>52.928930999999999</v>
      </c>
      <c r="AN111" s="128">
        <v>45.434877</v>
      </c>
      <c r="AO111" s="47">
        <v>65.650000000000006</v>
      </c>
      <c r="AP111" s="36">
        <v>57.73</v>
      </c>
      <c r="AQ111" s="36">
        <v>51.67</v>
      </c>
      <c r="AR111" s="125">
        <f ca="1">Table7[[#This Row],[GPU]]/Table7[[#This Row],[cpuchunk=100]]</f>
        <v>0.87932798529127154</v>
      </c>
      <c r="AS111" s="2">
        <v>106.22</v>
      </c>
      <c r="AT111" s="132" t="s">
        <v>3989</v>
      </c>
    </row>
    <row r="112" spans="2:46" ht="29" hidden="1" x14ac:dyDescent="0.35">
      <c r="B112" s="147"/>
      <c r="C112" s="148" t="s">
        <v>1437</v>
      </c>
      <c r="D112" s="147">
        <v>2</v>
      </c>
      <c r="E112" s="149" t="s">
        <v>3989</v>
      </c>
      <c r="F112" s="149" t="s">
        <v>3989</v>
      </c>
      <c r="G112" s="149"/>
      <c r="H112" s="149" t="s">
        <v>3989</v>
      </c>
      <c r="I112" s="149" t="s">
        <v>3989</v>
      </c>
      <c r="J112" s="149" t="e">
        <f>Table711[[#This Row],[G2AIMD (pingpong)]]/Table711[[#This Row],[gpu-layered]]</f>
        <v>#VALUE!</v>
      </c>
      <c r="K112" s="159" t="e">
        <f>MIN(Table711[[#This Row],[gpu-hybrid-drop]:[gpu-hybrid-copy]])/Table711[[#This Row],[gpu-layered]]</f>
        <v>#VALUE!</v>
      </c>
      <c r="L112" s="145" t="s">
        <v>3989</v>
      </c>
      <c r="M112" s="149" t="s">
        <v>3989</v>
      </c>
      <c r="N112" s="149" t="e">
        <f>Table711[[#This Row],[CPU Only (X &gt; 30m)]]/Table711[[#This Row],[gpu-layered]]</f>
        <v>#VALUE!</v>
      </c>
      <c r="O112" s="147" t="e">
        <f>Table711[[#This Row],[gpu-layered]]/Table711[[#This Row],[CPU+GPU]]</f>
        <v>#VALUE!</v>
      </c>
      <c r="AJ112">
        <v>1</v>
      </c>
      <c r="AK112" s="77" t="s">
        <v>18</v>
      </c>
      <c r="AL112">
        <v>2</v>
      </c>
      <c r="AM112" s="77">
        <v>65.804128000000006</v>
      </c>
      <c r="AN112" s="128">
        <v>54.708874999999999</v>
      </c>
      <c r="AO112" s="47">
        <v>67.98</v>
      </c>
      <c r="AP112" s="36">
        <v>72.959999999999994</v>
      </c>
      <c r="AQ112" s="36">
        <v>122.94</v>
      </c>
      <c r="AR112" s="125">
        <f ca="1">Table7[[#This Row],[GPU]]/Table7[[#This Row],[cpuchunk=100]]</f>
        <v>0.44500467707824953</v>
      </c>
      <c r="AS112" s="2">
        <v>477.430588</v>
      </c>
      <c r="AT112" s="132" t="s">
        <v>3989</v>
      </c>
    </row>
    <row r="113" spans="2:46" ht="29" hidden="1" x14ac:dyDescent="0.35">
      <c r="B113" s="147"/>
      <c r="C113" s="148" t="s">
        <v>1437</v>
      </c>
      <c r="D113" s="147">
        <v>5</v>
      </c>
      <c r="E113" s="149" t="s">
        <v>3989</v>
      </c>
      <c r="F113" s="149" t="s">
        <v>3989</v>
      </c>
      <c r="G113" s="149"/>
      <c r="H113" s="149" t="s">
        <v>3989</v>
      </c>
      <c r="I113" s="149" t="s">
        <v>3989</v>
      </c>
      <c r="J113" s="149" t="e">
        <f>Table711[[#This Row],[G2AIMD (pingpong)]]/Table711[[#This Row],[gpu-layered]]</f>
        <v>#VALUE!</v>
      </c>
      <c r="K113" s="159" t="e">
        <f>MIN(Table711[[#This Row],[gpu-hybrid-drop]:[gpu-hybrid-copy]])/Table711[[#This Row],[gpu-layered]]</f>
        <v>#VALUE!</v>
      </c>
      <c r="L113" s="145" t="s">
        <v>3989</v>
      </c>
      <c r="M113" s="149" t="s">
        <v>3989</v>
      </c>
      <c r="N113" s="149" t="e">
        <f>Table711[[#This Row],[CPU Only (X &gt; 30m)]]/Table711[[#This Row],[gpu-layered]]</f>
        <v>#VALUE!</v>
      </c>
      <c r="O113" s="147" t="e">
        <f>Table711[[#This Row],[gpu-layered]]/Table711[[#This Row],[CPU+GPU]]</f>
        <v>#VALUE!</v>
      </c>
      <c r="AJ113">
        <v>1</v>
      </c>
      <c r="AK113" s="77" t="s">
        <v>1455</v>
      </c>
      <c r="AL113">
        <v>2</v>
      </c>
      <c r="AM113" s="77">
        <v>66.658944000000005</v>
      </c>
      <c r="AN113" s="128">
        <v>56.069319</v>
      </c>
      <c r="AO113" s="47">
        <v>67.33</v>
      </c>
      <c r="AP113" s="36">
        <v>67.69</v>
      </c>
      <c r="AQ113" s="36">
        <v>65.989999999999995</v>
      </c>
      <c r="AR113" s="125">
        <f ca="1">Table7[[#This Row],[GPU]]/Table7[[#This Row],[cpuchunk=100]]</f>
        <v>0.84966387331413862</v>
      </c>
      <c r="AS113" s="2">
        <v>124.84438</v>
      </c>
      <c r="AT113" s="132" t="s">
        <v>3989</v>
      </c>
    </row>
    <row r="114" spans="2:46" ht="29" hidden="1" x14ac:dyDescent="0.35">
      <c r="B114" s="147"/>
      <c r="C114" s="148" t="s">
        <v>1437</v>
      </c>
      <c r="D114" s="147">
        <v>6</v>
      </c>
      <c r="E114" s="149" t="s">
        <v>3989</v>
      </c>
      <c r="F114" s="149" t="s">
        <v>3989</v>
      </c>
      <c r="G114" s="149"/>
      <c r="H114" s="149" t="s">
        <v>3989</v>
      </c>
      <c r="I114" s="149" t="s">
        <v>3989</v>
      </c>
      <c r="J114" s="149" t="e">
        <f>Table711[[#This Row],[G2AIMD (pingpong)]]/Table711[[#This Row],[gpu-layered]]</f>
        <v>#VALUE!</v>
      </c>
      <c r="K114" s="159" t="e">
        <f>MIN(Table711[[#This Row],[gpu-hybrid-drop]:[gpu-hybrid-copy]])/Table711[[#This Row],[gpu-layered]]</f>
        <v>#VALUE!</v>
      </c>
      <c r="L114" s="145" t="s">
        <v>3989</v>
      </c>
      <c r="M114" s="149" t="s">
        <v>3989</v>
      </c>
      <c r="N114" s="149" t="e">
        <f>Table711[[#This Row],[CPU Only (X &gt; 30m)]]/Table711[[#This Row],[gpu-layered]]</f>
        <v>#VALUE!</v>
      </c>
      <c r="O114" s="147" t="e">
        <f>Table711[[#This Row],[gpu-layered]]/Table711[[#This Row],[CPU+GPU]]</f>
        <v>#VALUE!</v>
      </c>
      <c r="AJ114">
        <v>1</v>
      </c>
      <c r="AK114" s="77" t="s">
        <v>3912</v>
      </c>
      <c r="AL114">
        <v>6</v>
      </c>
      <c r="AM114" s="77">
        <v>62.898426000000001</v>
      </c>
      <c r="AN114" s="128">
        <v>57.623711</v>
      </c>
      <c r="AO114" s="47">
        <v>56.491925000000002</v>
      </c>
      <c r="AP114" s="36">
        <v>55.23</v>
      </c>
      <c r="AQ114" s="36">
        <v>56.37</v>
      </c>
      <c r="AR114" s="125">
        <f ca="1">Table7[[#This Row],[GPU]]/Table7[[#This Row],[cpuchunk=100]]</f>
        <v>1.0222407486251552</v>
      </c>
      <c r="AS114" s="2">
        <v>57.396535</v>
      </c>
      <c r="AT114" s="132">
        <v>681.58641899999998</v>
      </c>
    </row>
    <row r="115" spans="2:46" ht="29" hidden="1" x14ac:dyDescent="0.35">
      <c r="B115" s="147"/>
      <c r="C115" s="148" t="s">
        <v>1437</v>
      </c>
      <c r="D115" s="147">
        <v>7</v>
      </c>
      <c r="E115" s="149" t="s">
        <v>3989</v>
      </c>
      <c r="F115" s="149" t="s">
        <v>3989</v>
      </c>
      <c r="G115" s="149"/>
      <c r="H115" s="149" t="s">
        <v>3989</v>
      </c>
      <c r="I115" s="149" t="s">
        <v>3989</v>
      </c>
      <c r="J115" s="149" t="e">
        <f>Table711[[#This Row],[G2AIMD (pingpong)]]/Table711[[#This Row],[gpu-layered]]</f>
        <v>#VALUE!</v>
      </c>
      <c r="K115" s="159" t="e">
        <f>MIN(Table711[[#This Row],[gpu-hybrid-drop]:[gpu-hybrid-copy]])/Table711[[#This Row],[gpu-layered]]</f>
        <v>#VALUE!</v>
      </c>
      <c r="L115" s="145" t="s">
        <v>3989</v>
      </c>
      <c r="M115" s="149" t="s">
        <v>3989</v>
      </c>
      <c r="N115" s="149" t="e">
        <f>Table711[[#This Row],[CPU Only (X &gt; 30m)]]/Table711[[#This Row],[gpu-layered]]</f>
        <v>#VALUE!</v>
      </c>
      <c r="O115" s="147" t="e">
        <f>Table711[[#This Row],[gpu-layered]]/Table711[[#This Row],[CPU+GPU]]</f>
        <v>#VALUE!</v>
      </c>
      <c r="AJ115">
        <v>1</v>
      </c>
      <c r="AK115" s="77" t="s">
        <v>1</v>
      </c>
      <c r="AL115">
        <v>5</v>
      </c>
      <c r="AM115" s="77">
        <v>57.615180000000002</v>
      </c>
      <c r="AN115" s="128">
        <v>65.316587999999996</v>
      </c>
      <c r="AO115" s="47">
        <v>57.84</v>
      </c>
      <c r="AP115" s="36">
        <v>60.35</v>
      </c>
      <c r="AQ115" s="36">
        <v>62.65</v>
      </c>
      <c r="AR115" s="125">
        <f ca="1">Table7[[#This Row],[GPU]]/Table7[[#This Row],[cpuchunk=100]]</f>
        <v>1.0425632561851557</v>
      </c>
      <c r="AS115" s="2">
        <v>73.226096999999996</v>
      </c>
      <c r="AT115" s="132" t="s">
        <v>3989</v>
      </c>
    </row>
    <row r="116" spans="2:46" ht="29" hidden="1" x14ac:dyDescent="0.35">
      <c r="B116" s="147"/>
      <c r="C116" s="148" t="s">
        <v>1437</v>
      </c>
      <c r="D116" s="147">
        <v>8</v>
      </c>
      <c r="E116" s="149" t="s">
        <v>3989</v>
      </c>
      <c r="F116" s="149" t="s">
        <v>3989</v>
      </c>
      <c r="G116" s="149"/>
      <c r="H116" s="149" t="s">
        <v>3989</v>
      </c>
      <c r="I116" s="149" t="s">
        <v>3989</v>
      </c>
      <c r="J116" s="149" t="e">
        <f>Table711[[#This Row],[G2AIMD (pingpong)]]/Table711[[#This Row],[gpu-layered]]</f>
        <v>#VALUE!</v>
      </c>
      <c r="K116" s="159" t="e">
        <f>MIN(Table711[[#This Row],[gpu-hybrid-drop]:[gpu-hybrid-copy]])/Table711[[#This Row],[gpu-layered]]</f>
        <v>#VALUE!</v>
      </c>
      <c r="L116" s="145" t="s">
        <v>3989</v>
      </c>
      <c r="M116" s="149" t="s">
        <v>3989</v>
      </c>
      <c r="N116" s="149" t="e">
        <f>Table711[[#This Row],[CPU Only (X &gt; 30m)]]/Table711[[#This Row],[gpu-layered]]</f>
        <v>#VALUE!</v>
      </c>
      <c r="O116" s="147" t="e">
        <f>Table711[[#This Row],[gpu-layered]]/Table711[[#This Row],[CPU+GPU]]</f>
        <v>#VALUE!</v>
      </c>
      <c r="AJ116">
        <v>1</v>
      </c>
      <c r="AK116" s="77" t="s">
        <v>1434</v>
      </c>
      <c r="AL116">
        <v>7</v>
      </c>
      <c r="AM116" s="77">
        <v>76.175668000000002</v>
      </c>
      <c r="AN116" s="128">
        <v>74.836130999999995</v>
      </c>
      <c r="AO116" s="47">
        <v>76.02</v>
      </c>
      <c r="AP116" s="36">
        <v>75.81</v>
      </c>
      <c r="AQ116" s="36">
        <v>82.83</v>
      </c>
      <c r="AR116" s="125">
        <f ca="1">Table7[[#This Row],[GPU]]/Table7[[#This Row],[cpuchunk=100]]</f>
        <v>0.90349065555957986</v>
      </c>
      <c r="AS116" s="2">
        <v>73.849999999999994</v>
      </c>
      <c r="AT116" s="132" t="s">
        <v>3989</v>
      </c>
    </row>
    <row r="117" spans="2:46" ht="29" hidden="1" x14ac:dyDescent="0.35">
      <c r="B117" s="147"/>
      <c r="C117" s="148" t="s">
        <v>1437</v>
      </c>
      <c r="D117" s="147">
        <v>9</v>
      </c>
      <c r="E117" s="149" t="s">
        <v>3989</v>
      </c>
      <c r="F117" s="149" t="s">
        <v>3989</v>
      </c>
      <c r="G117" s="149"/>
      <c r="H117" s="149" t="s">
        <v>3989</v>
      </c>
      <c r="I117" s="149" t="s">
        <v>3989</v>
      </c>
      <c r="J117" s="149" t="e">
        <f>Table711[[#This Row],[G2AIMD (pingpong)]]/Table711[[#This Row],[gpu-layered]]</f>
        <v>#VALUE!</v>
      </c>
      <c r="K117" s="159" t="e">
        <f>MIN(Table711[[#This Row],[gpu-hybrid-drop]:[gpu-hybrid-copy]])/Table711[[#This Row],[gpu-layered]]</f>
        <v>#VALUE!</v>
      </c>
      <c r="L117" s="145" t="s">
        <v>3989</v>
      </c>
      <c r="M117" s="149" t="s">
        <v>3989</v>
      </c>
      <c r="N117" s="149" t="e">
        <f>Table711[[#This Row],[CPU Only (X &gt; 30m)]]/Table711[[#This Row],[gpu-layered]]</f>
        <v>#VALUE!</v>
      </c>
      <c r="O117" s="147" t="e">
        <f>Table711[[#This Row],[gpu-layered]]/Table711[[#This Row],[CPU+GPU]]</f>
        <v>#VALUE!</v>
      </c>
      <c r="AJ117">
        <v>1</v>
      </c>
      <c r="AK117" s="77" t="s">
        <v>1438</v>
      </c>
      <c r="AL117">
        <v>2</v>
      </c>
      <c r="AM117" s="77">
        <v>103.344572</v>
      </c>
      <c r="AN117" s="128">
        <v>85.561336999999995</v>
      </c>
      <c r="AO117" s="47">
        <v>101.93723900000001</v>
      </c>
      <c r="AP117" s="36">
        <v>103.33</v>
      </c>
      <c r="AQ117" s="36">
        <v>105.39</v>
      </c>
      <c r="AR117" s="125">
        <f ca="1">Table7[[#This Row],[GPU]]/Table7[[#This Row],[cpuchunk=100]]</f>
        <v>0.81185441692760218</v>
      </c>
      <c r="AS117" s="2">
        <v>169.211938</v>
      </c>
      <c r="AT117" s="132" t="s">
        <v>3989</v>
      </c>
    </row>
    <row r="118" spans="2:46" ht="29" hidden="1" x14ac:dyDescent="0.35">
      <c r="B118" s="147"/>
      <c r="C118" s="148" t="s">
        <v>1436</v>
      </c>
      <c r="D118" s="147">
        <v>5</v>
      </c>
      <c r="E118" s="149" t="s">
        <v>3989</v>
      </c>
      <c r="F118" s="149" t="s">
        <v>3989</v>
      </c>
      <c r="G118" s="149"/>
      <c r="H118" s="149" t="s">
        <v>3989</v>
      </c>
      <c r="I118" s="149" t="s">
        <v>3989</v>
      </c>
      <c r="J118" s="149" t="e">
        <f>Table711[[#This Row],[G2AIMD (pingpong)]]/Table711[[#This Row],[gpu-layered]]</f>
        <v>#VALUE!</v>
      </c>
      <c r="K118" s="159" t="e">
        <f>MIN(Table711[[#This Row],[gpu-hybrid-drop]:[gpu-hybrid-copy]])/Table711[[#This Row],[gpu-layered]]</f>
        <v>#VALUE!</v>
      </c>
      <c r="L118" s="145" t="s">
        <v>3989</v>
      </c>
      <c r="M118" s="149" t="s">
        <v>3989</v>
      </c>
      <c r="N118" s="149" t="e">
        <f>Table711[[#This Row],[CPU Only (X &gt; 30m)]]/Table711[[#This Row],[gpu-layered]]</f>
        <v>#VALUE!</v>
      </c>
      <c r="O118" s="147" t="e">
        <f>Table711[[#This Row],[gpu-layered]]/Table711[[#This Row],[CPU+GPU]]</f>
        <v>#VALUE!</v>
      </c>
      <c r="AJ118">
        <v>1</v>
      </c>
      <c r="AK118" s="77" t="s">
        <v>1434</v>
      </c>
      <c r="AL118">
        <v>8</v>
      </c>
      <c r="AM118" s="77" t="s">
        <v>3989</v>
      </c>
      <c r="AN118" s="128">
        <v>91.497511000000003</v>
      </c>
      <c r="AO118" s="47">
        <v>89.48</v>
      </c>
      <c r="AP118" s="36">
        <v>87.05</v>
      </c>
      <c r="AQ118" s="36">
        <v>91.47</v>
      </c>
      <c r="AR118" s="125">
        <f ca="1">Table7[[#This Row],[GPU]]/Table7[[#This Row],[cpuchunk=100]]</f>
        <v>1.0003007652782334</v>
      </c>
      <c r="AS118" s="2">
        <v>89.974523000000005</v>
      </c>
      <c r="AT118" s="132" t="s">
        <v>3989</v>
      </c>
    </row>
    <row r="119" spans="2:46" ht="29" hidden="1" x14ac:dyDescent="0.35">
      <c r="B119" s="147"/>
      <c r="C119" s="148" t="s">
        <v>1436</v>
      </c>
      <c r="D119" s="147">
        <v>6</v>
      </c>
      <c r="E119" s="149" t="s">
        <v>3989</v>
      </c>
      <c r="F119" s="149" t="s">
        <v>3989</v>
      </c>
      <c r="G119" s="149"/>
      <c r="H119" s="149" t="s">
        <v>3989</v>
      </c>
      <c r="I119" s="149" t="s">
        <v>3989</v>
      </c>
      <c r="J119" s="149" t="e">
        <f>Table711[[#This Row],[G2AIMD (pingpong)]]/Table711[[#This Row],[gpu-layered]]</f>
        <v>#VALUE!</v>
      </c>
      <c r="K119" s="159" t="e">
        <f>MIN(Table711[[#This Row],[gpu-hybrid-drop]:[gpu-hybrid-copy]])/Table711[[#This Row],[gpu-layered]]</f>
        <v>#VALUE!</v>
      </c>
      <c r="L119" s="145" t="s">
        <v>3989</v>
      </c>
      <c r="M119" s="149" t="s">
        <v>3989</v>
      </c>
      <c r="N119" s="149" t="e">
        <f>Table711[[#This Row],[CPU Only (X &gt; 30m)]]/Table711[[#This Row],[gpu-layered]]</f>
        <v>#VALUE!</v>
      </c>
      <c r="O119" s="147" t="e">
        <f>Table711[[#This Row],[gpu-layered]]/Table711[[#This Row],[CPU+GPU]]</f>
        <v>#VALUE!</v>
      </c>
      <c r="AJ119">
        <v>1</v>
      </c>
      <c r="AK119" s="77" t="s">
        <v>1409</v>
      </c>
      <c r="AL119">
        <v>2</v>
      </c>
      <c r="AM119" s="77">
        <v>113.499054</v>
      </c>
      <c r="AN119" s="128">
        <v>94.717786000000004</v>
      </c>
      <c r="AO119" s="47">
        <v>115.15</v>
      </c>
      <c r="AP119" s="36">
        <v>114.11</v>
      </c>
      <c r="AQ119" s="36">
        <v>112.06</v>
      </c>
      <c r="AR119" s="125">
        <f ca="1">Table7[[#This Row],[GPU]]/Table7[[#This Row],[cpuchunk=100]]</f>
        <v>0.84524170979832236</v>
      </c>
      <c r="AS119" s="2">
        <v>373.59</v>
      </c>
      <c r="AT119" s="132" t="s">
        <v>3989</v>
      </c>
    </row>
    <row r="120" spans="2:46" ht="29" hidden="1" x14ac:dyDescent="0.35">
      <c r="B120" s="147"/>
      <c r="C120" s="148" t="s">
        <v>1436</v>
      </c>
      <c r="D120" s="147">
        <v>7</v>
      </c>
      <c r="E120" s="149" t="s">
        <v>3989</v>
      </c>
      <c r="F120" s="149" t="s">
        <v>3989</v>
      </c>
      <c r="G120" s="149"/>
      <c r="H120" s="149" t="s">
        <v>3989</v>
      </c>
      <c r="I120" s="149" t="s">
        <v>3989</v>
      </c>
      <c r="J120" s="149" t="e">
        <f>Table711[[#This Row],[G2AIMD (pingpong)]]/Table711[[#This Row],[gpu-layered]]</f>
        <v>#VALUE!</v>
      </c>
      <c r="K120" s="159" t="e">
        <f>MIN(Table711[[#This Row],[gpu-hybrid-drop]:[gpu-hybrid-copy]])/Table711[[#This Row],[gpu-layered]]</f>
        <v>#VALUE!</v>
      </c>
      <c r="L120" s="145" t="s">
        <v>3989</v>
      </c>
      <c r="M120" s="149" t="s">
        <v>3989</v>
      </c>
      <c r="N120" s="149" t="e">
        <f>Table711[[#This Row],[CPU Only (X &gt; 30m)]]/Table711[[#This Row],[gpu-layered]]</f>
        <v>#VALUE!</v>
      </c>
      <c r="O120" s="147" t="e">
        <f>Table711[[#This Row],[gpu-layered]]/Table711[[#This Row],[CPU+GPU]]</f>
        <v>#VALUE!</v>
      </c>
      <c r="AJ120">
        <v>1</v>
      </c>
      <c r="AK120" s="77" t="s">
        <v>1425</v>
      </c>
      <c r="AL120">
        <v>5</v>
      </c>
      <c r="AM120" s="77">
        <v>107.200653</v>
      </c>
      <c r="AN120" s="128">
        <v>100.607213</v>
      </c>
      <c r="AO120" s="47">
        <v>107.16</v>
      </c>
      <c r="AP120" s="36">
        <v>107.55</v>
      </c>
      <c r="AQ120" s="36">
        <v>107.62</v>
      </c>
      <c r="AR120" s="125">
        <f ca="1">Table7[[#This Row],[GPU]]/Table7[[#This Row],[cpuchunk=100]]</f>
        <v>0.93483751161494144</v>
      </c>
      <c r="AS120" s="2">
        <v>106.86</v>
      </c>
      <c r="AT120" s="132" t="s">
        <v>3989</v>
      </c>
    </row>
    <row r="121" spans="2:46" ht="29" hidden="1" x14ac:dyDescent="0.35">
      <c r="B121" s="147"/>
      <c r="C121" s="148" t="s">
        <v>1436</v>
      </c>
      <c r="D121" s="147">
        <v>8</v>
      </c>
      <c r="E121" s="149" t="s">
        <v>3989</v>
      </c>
      <c r="F121" s="149" t="s">
        <v>3989</v>
      </c>
      <c r="G121" s="149"/>
      <c r="H121" s="149" t="s">
        <v>3989</v>
      </c>
      <c r="I121" s="149" t="s">
        <v>3989</v>
      </c>
      <c r="J121" s="149" t="e">
        <f>Table711[[#This Row],[G2AIMD (pingpong)]]/Table711[[#This Row],[gpu-layered]]</f>
        <v>#VALUE!</v>
      </c>
      <c r="K121" s="159" t="e">
        <f>MIN(Table711[[#This Row],[gpu-hybrid-drop]:[gpu-hybrid-copy]])/Table711[[#This Row],[gpu-layered]]</f>
        <v>#VALUE!</v>
      </c>
      <c r="L121" s="145" t="s">
        <v>3989</v>
      </c>
      <c r="M121" s="149" t="s">
        <v>3989</v>
      </c>
      <c r="N121" s="149" t="e">
        <f>Table711[[#This Row],[CPU Only (X &gt; 30m)]]/Table711[[#This Row],[gpu-layered]]</f>
        <v>#VALUE!</v>
      </c>
      <c r="O121" s="147" t="e">
        <f>Table711[[#This Row],[gpu-layered]]/Table711[[#This Row],[CPU+GPU]]</f>
        <v>#VALUE!</v>
      </c>
      <c r="AJ121">
        <v>1</v>
      </c>
      <c r="AK121" s="119" t="s">
        <v>1440</v>
      </c>
      <c r="AL121" s="120">
        <v>9</v>
      </c>
      <c r="AM121" s="77">
        <v>143.057703</v>
      </c>
      <c r="AN121" s="129">
        <v>121.78675800000001</v>
      </c>
      <c r="AO121" s="47" t="s">
        <v>3989</v>
      </c>
      <c r="AP121" s="36">
        <v>147.19999999999999</v>
      </c>
      <c r="AQ121" s="36">
        <v>141.01</v>
      </c>
      <c r="AR121" s="125">
        <f ca="1">Table7[[#This Row],[GPU]]/Table7[[#This Row],[cpuchunk=100]]</f>
        <v>0.86367461882136032</v>
      </c>
      <c r="AS121" s="121" t="s">
        <v>3989</v>
      </c>
      <c r="AT121" s="132" t="s">
        <v>3989</v>
      </c>
    </row>
    <row r="122" spans="2:46" ht="29" hidden="1" x14ac:dyDescent="0.35">
      <c r="B122" s="147"/>
      <c r="C122" s="148" t="s">
        <v>1433</v>
      </c>
      <c r="D122" s="147">
        <v>5</v>
      </c>
      <c r="E122" s="149" t="s">
        <v>3989</v>
      </c>
      <c r="F122" s="149" t="s">
        <v>4017</v>
      </c>
      <c r="G122" s="149"/>
      <c r="H122" s="149" t="s">
        <v>3989</v>
      </c>
      <c r="I122" s="149" t="s">
        <v>3989</v>
      </c>
      <c r="J122" s="149" t="e">
        <f>Table711[[#This Row],[G2AIMD (pingpong)]]/Table711[[#This Row],[gpu-layered]]</f>
        <v>#VALUE!</v>
      </c>
      <c r="K122" s="159" t="e">
        <f>MIN(Table711[[#This Row],[gpu-hybrid-drop]:[gpu-hybrid-copy]])/Table711[[#This Row],[gpu-layered]]</f>
        <v>#VALUE!</v>
      </c>
      <c r="L122" s="145" t="s">
        <v>3989</v>
      </c>
      <c r="M122" s="149" t="s">
        <v>3989</v>
      </c>
      <c r="N122" s="149" t="e">
        <f>Table711[[#This Row],[CPU Only (X &gt; 30m)]]/Table711[[#This Row],[gpu-layered]]</f>
        <v>#VALUE!</v>
      </c>
      <c r="O122" s="147" t="e">
        <f>Table711[[#This Row],[gpu-layered]]/Table711[[#This Row],[CPU+GPU]]</f>
        <v>#VALUE!</v>
      </c>
      <c r="AJ122">
        <v>1</v>
      </c>
      <c r="AK122" s="77" t="s">
        <v>3919</v>
      </c>
      <c r="AL122">
        <v>18</v>
      </c>
      <c r="AM122" s="77">
        <v>117.70626300000001</v>
      </c>
      <c r="AN122" s="128">
        <v>129.07867100000001</v>
      </c>
      <c r="AO122" s="47">
        <v>127.01958</v>
      </c>
      <c r="AP122" s="36">
        <v>126.24</v>
      </c>
      <c r="AQ122" s="36">
        <v>126.33</v>
      </c>
      <c r="AR122" s="125">
        <f ca="1">Table7[[#This Row],[GPU]]/Table7[[#This Row],[cpuchunk=100]]</f>
        <v>1.0217578643235972</v>
      </c>
      <c r="AS122" s="2">
        <v>128.053923</v>
      </c>
      <c r="AT122" s="132" t="s">
        <v>3989</v>
      </c>
    </row>
    <row r="123" spans="2:46" ht="29" hidden="1" x14ac:dyDescent="0.35">
      <c r="B123" s="147"/>
      <c r="C123" s="148" t="s">
        <v>1433</v>
      </c>
      <c r="D123" s="147">
        <v>6</v>
      </c>
      <c r="E123" s="149" t="s">
        <v>3989</v>
      </c>
      <c r="F123" s="149" t="s">
        <v>3989</v>
      </c>
      <c r="G123" s="149"/>
      <c r="H123" s="149" t="s">
        <v>3989</v>
      </c>
      <c r="I123" s="149" t="s">
        <v>3989</v>
      </c>
      <c r="J123" s="149" t="e">
        <f>Table711[[#This Row],[G2AIMD (pingpong)]]/Table711[[#This Row],[gpu-layered]]</f>
        <v>#VALUE!</v>
      </c>
      <c r="K123" s="159" t="e">
        <f>MIN(Table711[[#This Row],[gpu-hybrid-drop]:[gpu-hybrid-copy]])/Table711[[#This Row],[gpu-layered]]</f>
        <v>#VALUE!</v>
      </c>
      <c r="L123" s="145" t="s">
        <v>3989</v>
      </c>
      <c r="M123" s="149" t="s">
        <v>3989</v>
      </c>
      <c r="N123" s="149" t="e">
        <f>Table711[[#This Row],[CPU Only (X &gt; 30m)]]/Table711[[#This Row],[gpu-layered]]</f>
        <v>#VALUE!</v>
      </c>
      <c r="O123" s="147" t="e">
        <f>Table711[[#This Row],[gpu-layered]]/Table711[[#This Row],[CPU+GPU]]</f>
        <v>#VALUE!</v>
      </c>
      <c r="AJ123">
        <v>1</v>
      </c>
      <c r="AK123" s="77" t="s">
        <v>1461</v>
      </c>
      <c r="AL123">
        <v>5</v>
      </c>
      <c r="AM123" s="77">
        <v>140.261855</v>
      </c>
      <c r="AN123" s="128">
        <v>132.62251599999999</v>
      </c>
      <c r="AO123" s="47">
        <v>134.26</v>
      </c>
      <c r="AP123" s="36">
        <v>135.83000000000001</v>
      </c>
      <c r="AQ123" s="36">
        <v>136.24</v>
      </c>
      <c r="AR123" s="125">
        <f ca="1">Table7[[#This Row],[GPU]]/Table7[[#This Row],[cpuchunk=100]]</f>
        <v>0.97344770992366403</v>
      </c>
      <c r="AS123" s="2">
        <v>154.84</v>
      </c>
      <c r="AT123" s="132" t="s">
        <v>3989</v>
      </c>
    </row>
    <row r="124" spans="2:46" ht="29" hidden="1" x14ac:dyDescent="0.35">
      <c r="B124" s="147"/>
      <c r="C124" s="148" t="s">
        <v>1433</v>
      </c>
      <c r="D124" s="147">
        <v>7</v>
      </c>
      <c r="E124" s="149" t="s">
        <v>3989</v>
      </c>
      <c r="F124" s="149" t="s">
        <v>3989</v>
      </c>
      <c r="G124" s="149"/>
      <c r="H124" s="149" t="s">
        <v>3989</v>
      </c>
      <c r="I124" s="149" t="s">
        <v>3989</v>
      </c>
      <c r="J124" s="149" t="e">
        <f>Table711[[#This Row],[G2AIMD (pingpong)]]/Table711[[#This Row],[gpu-layered]]</f>
        <v>#VALUE!</v>
      </c>
      <c r="K124" s="159" t="e">
        <f>MIN(Table711[[#This Row],[gpu-hybrid-drop]:[gpu-hybrid-copy]])/Table711[[#This Row],[gpu-layered]]</f>
        <v>#VALUE!</v>
      </c>
      <c r="L124" s="145" t="s">
        <v>3989</v>
      </c>
      <c r="M124" s="149" t="s">
        <v>3989</v>
      </c>
      <c r="N124" s="149" t="e">
        <f>Table711[[#This Row],[CPU Only (X &gt; 30m)]]/Table711[[#This Row],[gpu-layered]]</f>
        <v>#VALUE!</v>
      </c>
      <c r="O124" s="147" t="e">
        <f>Table711[[#This Row],[gpu-layered]]/Table711[[#This Row],[CPU+GPU]]</f>
        <v>#VALUE!</v>
      </c>
      <c r="AJ124">
        <v>1</v>
      </c>
      <c r="AK124" s="77" t="s">
        <v>1423</v>
      </c>
      <c r="AL124">
        <v>5</v>
      </c>
      <c r="AM124" s="77">
        <v>170.47756100000001</v>
      </c>
      <c r="AN124" s="128">
        <v>154.899764</v>
      </c>
      <c r="AO124" s="47">
        <v>167.78</v>
      </c>
      <c r="AP124" s="36">
        <v>172.19</v>
      </c>
      <c r="AQ124" s="36">
        <v>168.85</v>
      </c>
      <c r="AR124" s="125">
        <f ca="1">Table7[[#This Row],[GPU]]/Table7[[#This Row],[cpuchunk=100]]</f>
        <v>0.91738089428486824</v>
      </c>
      <c r="AS124" s="2">
        <v>157.596372</v>
      </c>
      <c r="AT124" s="132" t="s">
        <v>3989</v>
      </c>
    </row>
    <row r="125" spans="2:46" ht="29" hidden="1" x14ac:dyDescent="0.35">
      <c r="B125" s="147"/>
      <c r="C125" s="148" t="s">
        <v>1433</v>
      </c>
      <c r="D125" s="147">
        <v>8</v>
      </c>
      <c r="E125" s="149" t="s">
        <v>3989</v>
      </c>
      <c r="F125" s="149" t="s">
        <v>3989</v>
      </c>
      <c r="G125" s="149"/>
      <c r="H125" s="149" t="s">
        <v>3989</v>
      </c>
      <c r="I125" s="149" t="s">
        <v>3989</v>
      </c>
      <c r="J125" s="149" t="e">
        <f>Table711[[#This Row],[G2AIMD (pingpong)]]/Table711[[#This Row],[gpu-layered]]</f>
        <v>#VALUE!</v>
      </c>
      <c r="K125" s="159" t="e">
        <f>MIN(Table711[[#This Row],[gpu-hybrid-drop]:[gpu-hybrid-copy]])/Table711[[#This Row],[gpu-layered]]</f>
        <v>#VALUE!</v>
      </c>
      <c r="L125" s="145" t="s">
        <v>3989</v>
      </c>
      <c r="M125" s="149" t="s">
        <v>3989</v>
      </c>
      <c r="N125" s="149" t="e">
        <f>Table711[[#This Row],[CPU Only (X &gt; 30m)]]/Table711[[#This Row],[gpu-layered]]</f>
        <v>#VALUE!</v>
      </c>
      <c r="O125" s="147" t="e">
        <f>Table711[[#This Row],[gpu-layered]]/Table711[[#This Row],[CPU+GPU]]</f>
        <v>#VALUE!</v>
      </c>
      <c r="AJ125">
        <v>1</v>
      </c>
      <c r="AK125" s="77" t="s">
        <v>1440</v>
      </c>
      <c r="AL125">
        <v>2</v>
      </c>
      <c r="AM125" s="77">
        <v>257.65440699999999</v>
      </c>
      <c r="AN125" s="128">
        <v>216.72742199999999</v>
      </c>
      <c r="AO125" s="47">
        <v>258.93</v>
      </c>
      <c r="AP125" s="36">
        <v>257.16000000000003</v>
      </c>
      <c r="AQ125" s="36">
        <v>255.51</v>
      </c>
      <c r="AR125" s="125">
        <f ca="1">Table7[[#This Row],[GPU]]/Table7[[#This Row],[cpuchunk=100]]</f>
        <v>0.84821502876599741</v>
      </c>
      <c r="AS125" s="2" t="s">
        <v>3989</v>
      </c>
      <c r="AT125" s="132" t="s">
        <v>3989</v>
      </c>
    </row>
    <row r="126" spans="2:46" ht="29" hidden="1" x14ac:dyDescent="0.35">
      <c r="B126" s="147"/>
      <c r="C126" s="148" t="s">
        <v>1433</v>
      </c>
      <c r="D126" s="147">
        <v>9</v>
      </c>
      <c r="E126" s="149" t="s">
        <v>3989</v>
      </c>
      <c r="F126" s="149" t="s">
        <v>3989</v>
      </c>
      <c r="G126" s="149"/>
      <c r="H126" s="149" t="s">
        <v>3989</v>
      </c>
      <c r="I126" s="149" t="s">
        <v>3989</v>
      </c>
      <c r="J126" s="149" t="e">
        <f>Table711[[#This Row],[G2AIMD (pingpong)]]/Table711[[#This Row],[gpu-layered]]</f>
        <v>#VALUE!</v>
      </c>
      <c r="K126" s="159" t="e">
        <f>MIN(Table711[[#This Row],[gpu-hybrid-drop]:[gpu-hybrid-copy]])/Table711[[#This Row],[gpu-layered]]</f>
        <v>#VALUE!</v>
      </c>
      <c r="L126" s="145" t="s">
        <v>3989</v>
      </c>
      <c r="M126" s="149" t="s">
        <v>3989</v>
      </c>
      <c r="N126" s="149" t="e">
        <f>Table711[[#This Row],[CPU Only (X &gt; 30m)]]/Table711[[#This Row],[gpu-layered]]</f>
        <v>#VALUE!</v>
      </c>
      <c r="O126" s="147" t="e">
        <f>Table711[[#This Row],[gpu-layered]]/Table711[[#This Row],[CPU+GPU]]</f>
        <v>#VALUE!</v>
      </c>
      <c r="AJ126">
        <v>1</v>
      </c>
      <c r="AK126" s="77" t="s">
        <v>1411</v>
      </c>
      <c r="AL126">
        <v>5</v>
      </c>
      <c r="AM126" s="77">
        <v>241.00033300000001</v>
      </c>
      <c r="AN126" s="128">
        <v>228.41716700000001</v>
      </c>
      <c r="AO126" s="47">
        <v>232.44</v>
      </c>
      <c r="AP126" s="36">
        <v>236.29</v>
      </c>
      <c r="AQ126" s="36">
        <v>237.26</v>
      </c>
      <c r="AR126" s="125">
        <f ca="1">Table7[[#This Row],[GPU]]/Table7[[#This Row],[cpuchunk=100]]</f>
        <v>0.96272935598078069</v>
      </c>
      <c r="AS126" s="2">
        <v>401.68</v>
      </c>
      <c r="AT126" s="132" t="s">
        <v>3989</v>
      </c>
    </row>
    <row r="127" spans="2:46" ht="29" hidden="1" x14ac:dyDescent="0.35">
      <c r="B127" s="147"/>
      <c r="C127" s="148" t="s">
        <v>1448</v>
      </c>
      <c r="D127" s="147">
        <v>6</v>
      </c>
      <c r="E127" s="149" t="s">
        <v>3989</v>
      </c>
      <c r="F127" s="149" t="s">
        <v>3989</v>
      </c>
      <c r="G127" s="149"/>
      <c r="H127" s="149" t="s">
        <v>3989</v>
      </c>
      <c r="I127" s="149" t="s">
        <v>3989</v>
      </c>
      <c r="J127" s="149" t="e">
        <f>Table711[[#This Row],[G2AIMD (pingpong)]]/Table711[[#This Row],[gpu-layered]]</f>
        <v>#VALUE!</v>
      </c>
      <c r="K127" s="159" t="e">
        <f>MIN(Table711[[#This Row],[gpu-hybrid-drop]:[gpu-hybrid-copy]])/Table711[[#This Row],[gpu-layered]]</f>
        <v>#VALUE!</v>
      </c>
      <c r="L127" s="145" t="s">
        <v>3989</v>
      </c>
      <c r="M127" s="149" t="s">
        <v>3989</v>
      </c>
      <c r="N127" s="149" t="e">
        <f>Table711[[#This Row],[CPU Only (X &gt; 30m)]]/Table711[[#This Row],[gpu-layered]]</f>
        <v>#VALUE!</v>
      </c>
      <c r="O127" s="147" t="e">
        <f>Table711[[#This Row],[gpu-layered]]/Table711[[#This Row],[CPU+GPU]]</f>
        <v>#VALUE!</v>
      </c>
      <c r="AJ127">
        <v>1</v>
      </c>
      <c r="AK127" s="77" t="s">
        <v>1</v>
      </c>
      <c r="AL127">
        <v>8</v>
      </c>
      <c r="AM127" s="77">
        <v>208.09928300000001</v>
      </c>
      <c r="AN127" s="128">
        <v>245.38578000000001</v>
      </c>
      <c r="AO127" s="47">
        <v>218.27</v>
      </c>
      <c r="AP127" s="36">
        <v>216.17</v>
      </c>
      <c r="AQ127" s="36">
        <v>221.86</v>
      </c>
      <c r="AR127" s="125">
        <f ca="1">Table7[[#This Row],[GPU]]/Table7[[#This Row],[cpuchunk=100]]</f>
        <v>1.1060388533309293</v>
      </c>
      <c r="AS127" s="2">
        <v>248.285864</v>
      </c>
      <c r="AT127" s="132" t="s">
        <v>3989</v>
      </c>
    </row>
    <row r="128" spans="2:46" ht="29" hidden="1" x14ac:dyDescent="0.35">
      <c r="B128" s="147"/>
      <c r="C128" s="148" t="s">
        <v>1448</v>
      </c>
      <c r="D128" s="147">
        <v>7</v>
      </c>
      <c r="E128" s="149" t="s">
        <v>3989</v>
      </c>
      <c r="F128" s="149" t="s">
        <v>3989</v>
      </c>
      <c r="G128" s="149"/>
      <c r="H128" s="149" t="s">
        <v>3989</v>
      </c>
      <c r="I128" s="149" t="s">
        <v>3989</v>
      </c>
      <c r="J128" s="149" t="e">
        <f>Table711[[#This Row],[G2AIMD (pingpong)]]/Table711[[#This Row],[gpu-layered]]</f>
        <v>#VALUE!</v>
      </c>
      <c r="K128" s="159" t="e">
        <f>MIN(Table711[[#This Row],[gpu-hybrid-drop]:[gpu-hybrid-copy]])/Table711[[#This Row],[gpu-layered]]</f>
        <v>#VALUE!</v>
      </c>
      <c r="L128" s="145" t="s">
        <v>3989</v>
      </c>
      <c r="M128" s="149" t="s">
        <v>3989</v>
      </c>
      <c r="N128" s="149" t="e">
        <f>Table711[[#This Row],[CPU Only (X &gt; 30m)]]/Table711[[#This Row],[gpu-layered]]</f>
        <v>#VALUE!</v>
      </c>
      <c r="O128" s="147" t="e">
        <f>Table711[[#This Row],[gpu-layered]]/Table711[[#This Row],[CPU+GPU]]</f>
        <v>#VALUE!</v>
      </c>
      <c r="AJ128">
        <v>1</v>
      </c>
      <c r="AK128" s="77" t="s">
        <v>1448</v>
      </c>
      <c r="AL128">
        <v>5</v>
      </c>
      <c r="AM128" s="77">
        <v>317.764993</v>
      </c>
      <c r="AN128" s="128">
        <v>291.89822400000003</v>
      </c>
      <c r="AO128" s="47">
        <v>314.57</v>
      </c>
      <c r="AP128" s="36">
        <v>315.8</v>
      </c>
      <c r="AQ128" s="36">
        <v>314.29000000000002</v>
      </c>
      <c r="AR128" s="125">
        <f ca="1">Table7[[#This Row],[GPU]]/Table7[[#This Row],[cpuchunk=100]]</f>
        <v>0.92875441153075189</v>
      </c>
      <c r="AS128" s="2">
        <v>323.17</v>
      </c>
      <c r="AT128" s="132" t="s">
        <v>3989</v>
      </c>
    </row>
    <row r="129" spans="2:46" ht="29" hidden="1" x14ac:dyDescent="0.35">
      <c r="B129" s="147"/>
      <c r="C129" s="148" t="s">
        <v>1448</v>
      </c>
      <c r="D129" s="147">
        <v>8</v>
      </c>
      <c r="E129" s="149" t="s">
        <v>3989</v>
      </c>
      <c r="F129" s="149" t="s">
        <v>3989</v>
      </c>
      <c r="G129" s="149"/>
      <c r="H129" s="149" t="s">
        <v>3989</v>
      </c>
      <c r="I129" s="149" t="s">
        <v>3989</v>
      </c>
      <c r="J129" s="149" t="e">
        <f>Table711[[#This Row],[G2AIMD (pingpong)]]/Table711[[#This Row],[gpu-layered]]</f>
        <v>#VALUE!</v>
      </c>
      <c r="K129" s="159" t="e">
        <f>MIN(Table711[[#This Row],[gpu-hybrid-drop]:[gpu-hybrid-copy]])/Table711[[#This Row],[gpu-layered]]</f>
        <v>#VALUE!</v>
      </c>
      <c r="L129" s="145" t="s">
        <v>3989</v>
      </c>
      <c r="M129" s="149" t="s">
        <v>3989</v>
      </c>
      <c r="N129" s="149" t="e">
        <f>Table711[[#This Row],[CPU Only (X &gt; 30m)]]/Table711[[#This Row],[gpu-layered]]</f>
        <v>#VALUE!</v>
      </c>
      <c r="O129" s="147" t="e">
        <f>Table711[[#This Row],[gpu-layered]]/Table711[[#This Row],[CPU+GPU]]</f>
        <v>#VALUE!</v>
      </c>
      <c r="AJ129">
        <v>1</v>
      </c>
      <c r="AK129" s="77" t="s">
        <v>1425</v>
      </c>
      <c r="AL129">
        <v>7</v>
      </c>
      <c r="AM129" s="77">
        <v>426.04929700000002</v>
      </c>
      <c r="AN129" s="128">
        <v>397.48090999999999</v>
      </c>
      <c r="AO129" s="47">
        <v>454.62</v>
      </c>
      <c r="AP129" s="36">
        <v>460.08</v>
      </c>
      <c r="AQ129" s="36">
        <v>476.79</v>
      </c>
      <c r="AR129" s="125">
        <f ca="1">Table7[[#This Row],[GPU]]/Table7[[#This Row],[cpuchunk=100]]</f>
        <v>0.83366033264120465</v>
      </c>
      <c r="AS129" s="2">
        <v>439.04</v>
      </c>
      <c r="AT129" s="132" t="s">
        <v>3989</v>
      </c>
    </row>
    <row r="130" spans="2:46" ht="29" hidden="1" x14ac:dyDescent="0.35">
      <c r="B130" s="147"/>
      <c r="C130" s="148" t="s">
        <v>1431</v>
      </c>
      <c r="D130" s="147">
        <v>6</v>
      </c>
      <c r="E130" s="149" t="s">
        <v>3989</v>
      </c>
      <c r="F130" s="149" t="s">
        <v>3989</v>
      </c>
      <c r="G130" s="149"/>
      <c r="H130" s="149" t="s">
        <v>3989</v>
      </c>
      <c r="I130" s="149" t="s">
        <v>3989</v>
      </c>
      <c r="J130" s="149" t="e">
        <f>Table711[[#This Row],[G2AIMD (pingpong)]]/Table711[[#This Row],[gpu-layered]]</f>
        <v>#VALUE!</v>
      </c>
      <c r="K130" s="159" t="e">
        <f>MIN(Table711[[#This Row],[gpu-hybrid-drop]:[gpu-hybrid-copy]])/Table711[[#This Row],[gpu-layered]]</f>
        <v>#VALUE!</v>
      </c>
      <c r="L130" s="145" t="s">
        <v>3989</v>
      </c>
      <c r="M130" s="149" t="s">
        <v>3989</v>
      </c>
      <c r="N130" s="149" t="e">
        <f>Table711[[#This Row],[CPU Only (X &gt; 30m)]]/Table711[[#This Row],[gpu-layered]]</f>
        <v>#VALUE!</v>
      </c>
      <c r="O130" s="147" t="e">
        <f>Table711[[#This Row],[gpu-layered]]/Table711[[#This Row],[CPU+GPU]]</f>
        <v>#VALUE!</v>
      </c>
      <c r="AJ130">
        <v>1</v>
      </c>
      <c r="AK130" s="77" t="s">
        <v>1425</v>
      </c>
      <c r="AL130">
        <v>8</v>
      </c>
      <c r="AM130" s="77" t="s">
        <v>3989</v>
      </c>
      <c r="AN130" s="128">
        <v>422.13027799999998</v>
      </c>
      <c r="AO130" s="47">
        <v>411.4</v>
      </c>
      <c r="AP130" s="36">
        <v>392.57</v>
      </c>
      <c r="AQ130" s="36">
        <v>399.4</v>
      </c>
      <c r="AR130" s="125">
        <f ca="1">Table7[[#This Row],[GPU]]/Table7[[#This Row],[cpuchunk=100]]</f>
        <v>1.0569110615923887</v>
      </c>
      <c r="AS130" s="2">
        <v>423.83</v>
      </c>
      <c r="AT130" s="132" t="s">
        <v>3989</v>
      </c>
    </row>
    <row r="131" spans="2:46" ht="29" hidden="1" x14ac:dyDescent="0.35">
      <c r="B131" s="147"/>
      <c r="C131" s="148" t="s">
        <v>1423</v>
      </c>
      <c r="D131" s="147">
        <v>6</v>
      </c>
      <c r="E131" s="149" t="s">
        <v>3989</v>
      </c>
      <c r="F131" s="149" t="s">
        <v>3989</v>
      </c>
      <c r="G131" s="149"/>
      <c r="H131" s="149" t="s">
        <v>3989</v>
      </c>
      <c r="I131" s="149" t="s">
        <v>3989</v>
      </c>
      <c r="J131" s="149" t="e">
        <f>Table711[[#This Row],[G2AIMD (pingpong)]]/Table711[[#This Row],[gpu-layered]]</f>
        <v>#VALUE!</v>
      </c>
      <c r="K131" s="159" t="e">
        <f>MIN(Table711[[#This Row],[gpu-hybrid-drop]:[gpu-hybrid-copy]])/Table711[[#This Row],[gpu-layered]]</f>
        <v>#VALUE!</v>
      </c>
      <c r="L131" s="145" t="s">
        <v>3989</v>
      </c>
      <c r="M131" s="149" t="s">
        <v>3989</v>
      </c>
      <c r="N131" s="149" t="e">
        <f>Table711[[#This Row],[CPU Only (X &gt; 30m)]]/Table711[[#This Row],[gpu-layered]]</f>
        <v>#VALUE!</v>
      </c>
      <c r="O131" s="147" t="e">
        <f>Table711[[#This Row],[gpu-layered]]/Table711[[#This Row],[CPU+GPU]]</f>
        <v>#VALUE!</v>
      </c>
      <c r="AJ131">
        <v>1</v>
      </c>
      <c r="AK131" s="77" t="s">
        <v>1461</v>
      </c>
      <c r="AL131">
        <v>7</v>
      </c>
      <c r="AM131" s="77">
        <v>478.88740799999999</v>
      </c>
      <c r="AN131" s="128">
        <v>457.514028</v>
      </c>
      <c r="AO131" s="47">
        <v>488.46</v>
      </c>
      <c r="AP131" s="36">
        <v>497.43</v>
      </c>
      <c r="AQ131" s="36">
        <v>527.86</v>
      </c>
      <c r="AR131" s="125">
        <f ca="1">Table7[[#This Row],[GPU]]/Table7[[#This Row],[cpuchunk=100]]</f>
        <v>0.8667336566513848</v>
      </c>
      <c r="AS131" s="2">
        <v>456.93</v>
      </c>
      <c r="AT131" s="132" t="s">
        <v>3989</v>
      </c>
    </row>
    <row r="132" spans="2:46" ht="29" hidden="1" x14ac:dyDescent="0.35">
      <c r="B132" s="147"/>
      <c r="C132" s="148" t="s">
        <v>1423</v>
      </c>
      <c r="D132" s="147">
        <v>7</v>
      </c>
      <c r="E132" s="149" t="s">
        <v>3989</v>
      </c>
      <c r="F132" s="149" t="s">
        <v>3989</v>
      </c>
      <c r="G132" s="149"/>
      <c r="H132" s="149" t="s">
        <v>3989</v>
      </c>
      <c r="I132" s="149" t="s">
        <v>3989</v>
      </c>
      <c r="J132" s="149" t="e">
        <f>Table711[[#This Row],[G2AIMD (pingpong)]]/Table711[[#This Row],[gpu-layered]]</f>
        <v>#VALUE!</v>
      </c>
      <c r="K132" s="159" t="e">
        <f>MIN(Table711[[#This Row],[gpu-hybrid-drop]:[gpu-hybrid-copy]])/Table711[[#This Row],[gpu-layered]]</f>
        <v>#VALUE!</v>
      </c>
      <c r="L132" s="145" t="s">
        <v>3989</v>
      </c>
      <c r="M132" s="149" t="s">
        <v>3989</v>
      </c>
      <c r="N132" s="149" t="e">
        <f>Table711[[#This Row],[CPU Only (X &gt; 30m)]]/Table711[[#This Row],[gpu-layered]]</f>
        <v>#VALUE!</v>
      </c>
      <c r="O132" s="147" t="e">
        <f>Table711[[#This Row],[gpu-layered]]/Table711[[#This Row],[CPU+GPU]]</f>
        <v>#VALUE!</v>
      </c>
      <c r="AJ132">
        <v>1</v>
      </c>
      <c r="AK132" s="77" t="s">
        <v>18</v>
      </c>
      <c r="AL132">
        <v>5</v>
      </c>
      <c r="AM132" s="77">
        <v>547.90130299999998</v>
      </c>
      <c r="AN132" s="128">
        <v>512.48145</v>
      </c>
      <c r="AO132" s="47">
        <v>516.69000000000005</v>
      </c>
      <c r="AP132" s="36">
        <v>520.49</v>
      </c>
      <c r="AQ132" s="36" t="s">
        <v>3989</v>
      </c>
      <c r="AR132" s="125" t="e">
        <f ca="1">Table7[[#This Row],[GPU]]/Table7[[#This Row],[cpuchunk=100]]</f>
        <v>#VALUE!</v>
      </c>
      <c r="AS132" s="2">
        <v>508.402221</v>
      </c>
      <c r="AT132" s="132" t="s">
        <v>3989</v>
      </c>
    </row>
    <row r="133" spans="2:46" ht="29" hidden="1" x14ac:dyDescent="0.35">
      <c r="B133" s="147"/>
      <c r="C133" s="148" t="s">
        <v>1423</v>
      </c>
      <c r="D133" s="147">
        <v>8</v>
      </c>
      <c r="E133" s="149" t="s">
        <v>3989</v>
      </c>
      <c r="F133" s="149" t="s">
        <v>3989</v>
      </c>
      <c r="G133" s="149"/>
      <c r="H133" s="149" t="s">
        <v>3989</v>
      </c>
      <c r="I133" s="149" t="s">
        <v>3989</v>
      </c>
      <c r="J133" s="149" t="e">
        <f>Table711[[#This Row],[G2AIMD (pingpong)]]/Table711[[#This Row],[gpu-layered]]</f>
        <v>#VALUE!</v>
      </c>
      <c r="K133" s="159" t="e">
        <f>MIN(Table711[[#This Row],[gpu-hybrid-drop]:[gpu-hybrid-copy]])/Table711[[#This Row],[gpu-layered]]</f>
        <v>#VALUE!</v>
      </c>
      <c r="L133" s="145" t="s">
        <v>3989</v>
      </c>
      <c r="M133" s="149" t="s">
        <v>3989</v>
      </c>
      <c r="N133" s="149" t="e">
        <f>Table711[[#This Row],[CPU Only (X &gt; 30m)]]/Table711[[#This Row],[gpu-layered]]</f>
        <v>#VALUE!</v>
      </c>
      <c r="O133" s="147" t="e">
        <f>Table711[[#This Row],[gpu-layered]]/Table711[[#This Row],[CPU+GPU]]</f>
        <v>#VALUE!</v>
      </c>
      <c r="AJ133">
        <v>1</v>
      </c>
      <c r="AK133" s="77" t="s">
        <v>1450</v>
      </c>
      <c r="AL133">
        <v>5</v>
      </c>
      <c r="AM133" s="77">
        <v>582.60663599999998</v>
      </c>
      <c r="AN133" s="128">
        <v>544.28210000000001</v>
      </c>
      <c r="AO133" s="47">
        <v>560.45000000000005</v>
      </c>
      <c r="AP133" s="36">
        <v>563.86</v>
      </c>
      <c r="AQ133" s="36">
        <v>559.66999999999996</v>
      </c>
      <c r="AR133" s="125">
        <f ca="1">Table7[[#This Row],[GPU]]/Table7[[#This Row],[cpuchunk=100]]</f>
        <v>0.97250540497078641</v>
      </c>
      <c r="AS133" s="2">
        <v>520.41054799999995</v>
      </c>
      <c r="AT133" s="132" t="s">
        <v>3989</v>
      </c>
    </row>
    <row r="134" spans="2:46" ht="26" hidden="1" x14ac:dyDescent="0.35">
      <c r="B134" s="147"/>
      <c r="C134" s="148" t="s">
        <v>1411</v>
      </c>
      <c r="D134" s="147">
        <v>6</v>
      </c>
      <c r="E134" s="149" t="s">
        <v>3989</v>
      </c>
      <c r="F134" s="149" t="s">
        <v>3989</v>
      </c>
      <c r="G134" s="149"/>
      <c r="H134" s="149" t="s">
        <v>3989</v>
      </c>
      <c r="I134" s="149" t="s">
        <v>3989</v>
      </c>
      <c r="J134" s="149" t="e">
        <f>Table711[[#This Row],[G2AIMD (pingpong)]]/Table711[[#This Row],[gpu-layered]]</f>
        <v>#VALUE!</v>
      </c>
      <c r="K134" s="159" t="e">
        <f>MIN(Table711[[#This Row],[gpu-hybrid-drop]:[gpu-hybrid-copy]])/Table711[[#This Row],[gpu-layered]]</f>
        <v>#VALUE!</v>
      </c>
      <c r="L134" s="145" t="s">
        <v>3989</v>
      </c>
      <c r="M134" s="149" t="s">
        <v>3989</v>
      </c>
      <c r="N134" s="149" t="e">
        <f>Table711[[#This Row],[CPU Only (X &gt; 30m)]]/Table711[[#This Row],[gpu-layered]]</f>
        <v>#VALUE!</v>
      </c>
      <c r="O134" s="147" t="e">
        <f>Table711[[#This Row],[gpu-layered]]/Table711[[#This Row],[CPU+GPU]]</f>
        <v>#VALUE!</v>
      </c>
      <c r="AK134" s="77" t="s">
        <v>1433</v>
      </c>
      <c r="AL134">
        <v>5</v>
      </c>
      <c r="AN134" s="2">
        <v>567.19409700000006</v>
      </c>
      <c r="AO134" s="105" t="e">
        <f ca="1">Table7[[#This Row],[GPU]]/Table7[[#This Row],[expand mode]]</f>
        <v>#VALUE!</v>
      </c>
      <c r="AR134" s="105" t="e">
        <f ca="1">Table7[[#This Row],[GPU]]/Table7[[#This Row],[cpuchunk=100]]</f>
        <v>#DIV/0!</v>
      </c>
      <c r="AS134" s="2" t="s">
        <v>3989</v>
      </c>
    </row>
    <row r="135" spans="2:46" ht="26" hidden="1" x14ac:dyDescent="0.35">
      <c r="B135" s="147"/>
      <c r="C135" s="148" t="s">
        <v>1411</v>
      </c>
      <c r="D135" s="147">
        <v>7</v>
      </c>
      <c r="E135" s="149" t="s">
        <v>3989</v>
      </c>
      <c r="F135" s="149" t="s">
        <v>3989</v>
      </c>
      <c r="G135" s="149"/>
      <c r="H135" s="149" t="s">
        <v>3989</v>
      </c>
      <c r="I135" s="149" t="s">
        <v>3989</v>
      </c>
      <c r="J135" s="149" t="e">
        <f>Table711[[#This Row],[G2AIMD (pingpong)]]/Table711[[#This Row],[gpu-layered]]</f>
        <v>#VALUE!</v>
      </c>
      <c r="K135" s="159" t="e">
        <f>MIN(Table711[[#This Row],[gpu-hybrid-drop]:[gpu-hybrid-copy]])/Table711[[#This Row],[gpu-layered]]</f>
        <v>#VALUE!</v>
      </c>
      <c r="L135" s="145" t="s">
        <v>3989</v>
      </c>
      <c r="M135" s="149" t="s">
        <v>3989</v>
      </c>
      <c r="N135" s="149" t="e">
        <f>Table711[[#This Row],[CPU Only (X &gt; 30m)]]/Table711[[#This Row],[gpu-layered]]</f>
        <v>#VALUE!</v>
      </c>
      <c r="O135" s="147" t="e">
        <f>Table711[[#This Row],[gpu-layered]]/Table711[[#This Row],[CPU+GPU]]</f>
        <v>#VALUE!</v>
      </c>
      <c r="AK135" s="77" t="s">
        <v>1346</v>
      </c>
      <c r="AL135">
        <v>6</v>
      </c>
      <c r="AN135" s="2" t="s">
        <v>3989</v>
      </c>
      <c r="AO135" s="105" t="e">
        <f ca="1">Table7[[#This Row],[GPU]]/Table7[[#This Row],[expand mode]]</f>
        <v>#VALUE!</v>
      </c>
      <c r="AR135" s="105" t="e">
        <f ca="1">Table7[[#This Row],[GPU]]/Table7[[#This Row],[cpuchunk=100]]</f>
        <v>#VALUE!</v>
      </c>
      <c r="AS135" s="2" t="s">
        <v>3989</v>
      </c>
    </row>
    <row r="136" spans="2:46" ht="26" hidden="1" x14ac:dyDescent="0.35">
      <c r="B136" s="147"/>
      <c r="C136" s="148" t="s">
        <v>1411</v>
      </c>
      <c r="D136" s="147">
        <v>8</v>
      </c>
      <c r="E136" s="149" t="s">
        <v>3989</v>
      </c>
      <c r="F136" s="149" t="s">
        <v>3989</v>
      </c>
      <c r="G136" s="149"/>
      <c r="H136" s="149" t="s">
        <v>3989</v>
      </c>
      <c r="I136" s="149" t="s">
        <v>3989</v>
      </c>
      <c r="J136" s="149" t="e">
        <f>Table711[[#This Row],[G2AIMD (pingpong)]]/Table711[[#This Row],[gpu-layered]]</f>
        <v>#VALUE!</v>
      </c>
      <c r="K136" s="159" t="e">
        <f>MIN(Table711[[#This Row],[gpu-hybrid-drop]:[gpu-hybrid-copy]])/Table711[[#This Row],[gpu-layered]]</f>
        <v>#VALUE!</v>
      </c>
      <c r="L136" s="145" t="s">
        <v>3989</v>
      </c>
      <c r="M136" s="149" t="s">
        <v>3989</v>
      </c>
      <c r="N136" s="149" t="e">
        <f>Table711[[#This Row],[CPU Only (X &gt; 30m)]]/Table711[[#This Row],[gpu-layered]]</f>
        <v>#VALUE!</v>
      </c>
      <c r="O136" s="147" t="e">
        <f>Table711[[#This Row],[gpu-layered]]/Table711[[#This Row],[CPU+GPU]]</f>
        <v>#VALUE!</v>
      </c>
      <c r="AK136" s="77" t="s">
        <v>1346</v>
      </c>
      <c r="AL136">
        <v>18</v>
      </c>
      <c r="AN136" s="2" t="s">
        <v>3989</v>
      </c>
      <c r="AO136" s="105" t="e">
        <f ca="1">Table7[[#This Row],[GPU]]/Table7[[#This Row],[expand mode]]</f>
        <v>#VALUE!</v>
      </c>
      <c r="AR136" s="105" t="e">
        <f ca="1">Table7[[#This Row],[GPU]]/Table7[[#This Row],[cpuchunk=100]]</f>
        <v>#VALUE!</v>
      </c>
      <c r="AS136" s="2" t="s">
        <v>3989</v>
      </c>
    </row>
    <row r="137" spans="2:46" ht="26" hidden="1" x14ac:dyDescent="0.35">
      <c r="B137" s="147"/>
      <c r="C137" s="148" t="s">
        <v>1425</v>
      </c>
      <c r="D137" s="147">
        <v>6</v>
      </c>
      <c r="E137" s="149" t="s">
        <v>3989</v>
      </c>
      <c r="F137" s="149" t="s">
        <v>3989</v>
      </c>
      <c r="G137" s="149"/>
      <c r="H137" s="149" t="s">
        <v>3989</v>
      </c>
      <c r="I137" s="149" t="s">
        <v>3989</v>
      </c>
      <c r="J137" s="149" t="e">
        <f>Table711[[#This Row],[G2AIMD (pingpong)]]/Table711[[#This Row],[gpu-layered]]</f>
        <v>#VALUE!</v>
      </c>
      <c r="K137" s="159" t="e">
        <f>MIN(Table711[[#This Row],[gpu-hybrid-drop]:[gpu-hybrid-copy]])/Table711[[#This Row],[gpu-layered]]</f>
        <v>#VALUE!</v>
      </c>
      <c r="L137" s="145" t="s">
        <v>3989</v>
      </c>
      <c r="M137" s="149" t="s">
        <v>3989</v>
      </c>
      <c r="N137" s="149" t="e">
        <f>Table711[[#This Row],[CPU Only (X &gt; 30m)]]/Table711[[#This Row],[gpu-layered]]</f>
        <v>#VALUE!</v>
      </c>
      <c r="O137" s="147" t="e">
        <f>Table711[[#This Row],[gpu-layered]]/Table711[[#This Row],[CPU+GPU]]</f>
        <v>#VALUE!</v>
      </c>
      <c r="AK137" s="77" t="s">
        <v>1</v>
      </c>
      <c r="AL137">
        <v>6</v>
      </c>
      <c r="AN137" s="2" t="s">
        <v>3989</v>
      </c>
      <c r="AO137" s="105" t="e">
        <f ca="1">Table7[[#This Row],[GPU]]/Table7[[#This Row],[expand mode]]</f>
        <v>#VALUE!</v>
      </c>
      <c r="AR137" s="105" t="e">
        <f ca="1">Table7[[#This Row],[GPU]]/Table7[[#This Row],[cpuchunk=100]]</f>
        <v>#VALUE!</v>
      </c>
      <c r="AS137" s="2" t="s">
        <v>3989</v>
      </c>
    </row>
    <row r="138" spans="2:46" ht="26" hidden="1" x14ac:dyDescent="0.35">
      <c r="B138" s="147"/>
      <c r="C138" s="148" t="s">
        <v>18</v>
      </c>
      <c r="D138" s="147">
        <v>6</v>
      </c>
      <c r="E138" s="149" t="s">
        <v>3989</v>
      </c>
      <c r="F138" s="149" t="s">
        <v>3989</v>
      </c>
      <c r="G138" s="149"/>
      <c r="H138" s="149" t="s">
        <v>3989</v>
      </c>
      <c r="I138" s="149" t="s">
        <v>3989</v>
      </c>
      <c r="J138" s="149" t="e">
        <f>Table711[[#This Row],[G2AIMD (pingpong)]]/Table711[[#This Row],[gpu-layered]]</f>
        <v>#VALUE!</v>
      </c>
      <c r="K138" s="159" t="e">
        <f>MIN(Table711[[#This Row],[gpu-hybrid-drop]:[gpu-hybrid-copy]])/Table711[[#This Row],[gpu-layered]]</f>
        <v>#VALUE!</v>
      </c>
      <c r="L138" s="145" t="s">
        <v>3989</v>
      </c>
      <c r="M138" s="149" t="s">
        <v>3989</v>
      </c>
      <c r="N138" s="149" t="e">
        <f>Table711[[#This Row],[CPU Only (X &gt; 30m)]]/Table711[[#This Row],[gpu-layered]]</f>
        <v>#VALUE!</v>
      </c>
      <c r="O138" s="147" t="e">
        <f>Table711[[#This Row],[gpu-layered]]/Table711[[#This Row],[CPU+GPU]]</f>
        <v>#VALUE!</v>
      </c>
      <c r="AK138" s="77" t="s">
        <v>1</v>
      </c>
      <c r="AL138">
        <v>7</v>
      </c>
      <c r="AN138" s="2" t="s">
        <v>3989</v>
      </c>
      <c r="AO138" s="105" t="e">
        <f ca="1">Table7[[#This Row],[GPU]]/Table7[[#This Row],[expand mode]]</f>
        <v>#VALUE!</v>
      </c>
      <c r="AR138" s="105" t="e">
        <f ca="1">Table7[[#This Row],[GPU]]/Table7[[#This Row],[cpuchunk=100]]</f>
        <v>#VALUE!</v>
      </c>
      <c r="AS138" s="2" t="s">
        <v>3989</v>
      </c>
    </row>
    <row r="139" spans="2:46" ht="26" hidden="1" x14ac:dyDescent="0.35">
      <c r="B139" s="147"/>
      <c r="C139" s="148" t="s">
        <v>18</v>
      </c>
      <c r="D139" s="147">
        <v>7</v>
      </c>
      <c r="E139" s="149" t="s">
        <v>3989</v>
      </c>
      <c r="F139" s="149" t="s">
        <v>3989</v>
      </c>
      <c r="G139" s="149"/>
      <c r="H139" s="149" t="s">
        <v>3989</v>
      </c>
      <c r="I139" s="149" t="s">
        <v>3989</v>
      </c>
      <c r="J139" s="149" t="e">
        <f>Table711[[#This Row],[G2AIMD (pingpong)]]/Table711[[#This Row],[gpu-layered]]</f>
        <v>#VALUE!</v>
      </c>
      <c r="K139" s="159" t="e">
        <f>MIN(Table711[[#This Row],[gpu-hybrid-drop]:[gpu-hybrid-copy]])/Table711[[#This Row],[gpu-layered]]</f>
        <v>#VALUE!</v>
      </c>
      <c r="L139" s="145" t="s">
        <v>3989</v>
      </c>
      <c r="M139" s="149" t="s">
        <v>3989</v>
      </c>
      <c r="N139" s="149" t="e">
        <f>Table711[[#This Row],[CPU Only (X &gt; 30m)]]/Table711[[#This Row],[gpu-layered]]</f>
        <v>#VALUE!</v>
      </c>
      <c r="O139" s="147" t="e">
        <f>Table711[[#This Row],[gpu-layered]]/Table711[[#This Row],[CPU+GPU]]</f>
        <v>#VALUE!</v>
      </c>
      <c r="AK139" s="77" t="s">
        <v>1</v>
      </c>
      <c r="AL139">
        <v>9</v>
      </c>
      <c r="AN139" s="2" t="s">
        <v>3989</v>
      </c>
      <c r="AO139" s="105" t="e">
        <f ca="1">Table7[[#This Row],[GPU]]/Table7[[#This Row],[expand mode]]</f>
        <v>#VALUE!</v>
      </c>
      <c r="AR139" s="105" t="e">
        <f ca="1">Table7[[#This Row],[GPU]]/Table7[[#This Row],[cpuchunk=100]]</f>
        <v>#VALUE!</v>
      </c>
      <c r="AS139" s="2" t="s">
        <v>3989</v>
      </c>
    </row>
    <row r="140" spans="2:46" ht="26" hidden="1" x14ac:dyDescent="0.35">
      <c r="B140" s="147"/>
      <c r="C140" s="148" t="s">
        <v>18</v>
      </c>
      <c r="D140" s="147">
        <v>8</v>
      </c>
      <c r="E140" s="149" t="s">
        <v>3989</v>
      </c>
      <c r="F140" s="149" t="s">
        <v>3989</v>
      </c>
      <c r="G140" s="149"/>
      <c r="H140" s="149" t="s">
        <v>3989</v>
      </c>
      <c r="I140" s="149" t="s">
        <v>3989</v>
      </c>
      <c r="J140" s="149" t="e">
        <f>Table711[[#This Row],[G2AIMD (pingpong)]]/Table711[[#This Row],[gpu-layered]]</f>
        <v>#VALUE!</v>
      </c>
      <c r="K140" s="159" t="e">
        <f>MIN(Table711[[#This Row],[gpu-hybrid-drop]:[gpu-hybrid-copy]])/Table711[[#This Row],[gpu-layered]]</f>
        <v>#VALUE!</v>
      </c>
      <c r="L140" s="145" t="s">
        <v>3989</v>
      </c>
      <c r="M140" s="149" t="s">
        <v>3989</v>
      </c>
      <c r="N140" s="149" t="e">
        <f>Table711[[#This Row],[CPU Only (X &gt; 30m)]]/Table711[[#This Row],[gpu-layered]]</f>
        <v>#VALUE!</v>
      </c>
      <c r="O140" s="147" t="e">
        <f>Table711[[#This Row],[gpu-layered]]/Table711[[#This Row],[CPU+GPU]]</f>
        <v>#VALUE!</v>
      </c>
      <c r="AK140" s="77" t="s">
        <v>1</v>
      </c>
      <c r="AL140">
        <v>18</v>
      </c>
      <c r="AN140" s="2" t="s">
        <v>3989</v>
      </c>
      <c r="AO140" s="105" t="e">
        <f ca="1">Table7[[#This Row],[GPU]]/Table7[[#This Row],[expand mode]]</f>
        <v>#VALUE!</v>
      </c>
      <c r="AR140" s="105" t="e">
        <f ca="1">Table7[[#This Row],[GPU]]/Table7[[#This Row],[cpuchunk=100]]</f>
        <v>#VALUE!</v>
      </c>
      <c r="AS140" s="2" t="s">
        <v>3989</v>
      </c>
    </row>
    <row r="141" spans="2:46" ht="26" hidden="1" x14ac:dyDescent="0.35">
      <c r="B141" s="147"/>
      <c r="C141" s="148" t="s">
        <v>1438</v>
      </c>
      <c r="D141" s="147">
        <v>5</v>
      </c>
      <c r="E141" s="149" t="s">
        <v>3989</v>
      </c>
      <c r="F141" s="149" t="s">
        <v>3989</v>
      </c>
      <c r="G141" s="149"/>
      <c r="H141" s="149" t="s">
        <v>3989</v>
      </c>
      <c r="I141" s="149" t="s">
        <v>3989</v>
      </c>
      <c r="J141" s="149" t="e">
        <f>Table711[[#This Row],[G2AIMD (pingpong)]]/Table711[[#This Row],[gpu-layered]]</f>
        <v>#VALUE!</v>
      </c>
      <c r="K141" s="159" t="e">
        <f>MIN(Table711[[#This Row],[gpu-hybrid-drop]:[gpu-hybrid-copy]])/Table711[[#This Row],[gpu-layered]]</f>
        <v>#VALUE!</v>
      </c>
      <c r="L141" s="145" t="s">
        <v>3989</v>
      </c>
      <c r="M141" s="149" t="s">
        <v>3989</v>
      </c>
      <c r="N141" s="149" t="e">
        <f>Table711[[#This Row],[CPU Only (X &gt; 30m)]]/Table711[[#This Row],[gpu-layered]]</f>
        <v>#VALUE!</v>
      </c>
      <c r="O141" s="147" t="e">
        <f>Table711[[#This Row],[gpu-layered]]/Table711[[#This Row],[CPU+GPU]]</f>
        <v>#VALUE!</v>
      </c>
      <c r="AK141" s="77" t="s">
        <v>1461</v>
      </c>
      <c r="AL141">
        <v>6</v>
      </c>
      <c r="AN141" s="2" t="s">
        <v>3989</v>
      </c>
      <c r="AO141" s="105" t="e">
        <f ca="1">Table7[[#This Row],[GPU]]/Table7[[#This Row],[expand mode]]</f>
        <v>#VALUE!</v>
      </c>
      <c r="AR141" s="105" t="e">
        <f ca="1">Table7[[#This Row],[GPU]]/Table7[[#This Row],[cpuchunk=100]]</f>
        <v>#VALUE!</v>
      </c>
      <c r="AS141" s="2" t="s">
        <v>3989</v>
      </c>
    </row>
    <row r="142" spans="2:46" ht="26" hidden="1" x14ac:dyDescent="0.35">
      <c r="B142" s="147"/>
      <c r="C142" s="148" t="s">
        <v>1438</v>
      </c>
      <c r="D142" s="147">
        <v>6</v>
      </c>
      <c r="E142" s="149" t="s">
        <v>3989</v>
      </c>
      <c r="F142" s="149" t="s">
        <v>3989</v>
      </c>
      <c r="G142" s="149"/>
      <c r="H142" s="149" t="s">
        <v>3989</v>
      </c>
      <c r="I142" s="149" t="s">
        <v>3989</v>
      </c>
      <c r="J142" s="149" t="e">
        <f>Table711[[#This Row],[G2AIMD (pingpong)]]/Table711[[#This Row],[gpu-layered]]</f>
        <v>#VALUE!</v>
      </c>
      <c r="K142" s="159" t="e">
        <f>MIN(Table711[[#This Row],[gpu-hybrid-drop]:[gpu-hybrid-copy]])/Table711[[#This Row],[gpu-layered]]</f>
        <v>#VALUE!</v>
      </c>
      <c r="L142" s="145" t="s">
        <v>3989</v>
      </c>
      <c r="M142" s="149" t="s">
        <v>3989</v>
      </c>
      <c r="N142" s="149" t="e">
        <f>Table711[[#This Row],[CPU Only (X &gt; 30m)]]/Table711[[#This Row],[gpu-layered]]</f>
        <v>#VALUE!</v>
      </c>
      <c r="O142" s="147" t="e">
        <f>Table711[[#This Row],[gpu-layered]]/Table711[[#This Row],[CPU+GPU]]</f>
        <v>#VALUE!</v>
      </c>
      <c r="AK142" s="111" t="s">
        <v>1461</v>
      </c>
      <c r="AL142" s="112">
        <v>8</v>
      </c>
      <c r="AN142" s="113" t="s">
        <v>3989</v>
      </c>
      <c r="AO142" s="114" t="e">
        <f ca="1">Table7[[#This Row],[GPU]]/Table7[[#This Row],[expand mode]]</f>
        <v>#VALUE!</v>
      </c>
      <c r="AR142" s="105" t="e">
        <f ca="1">Table7[[#This Row],[GPU]]/Table7[[#This Row],[cpuchunk=100]]</f>
        <v>#VALUE!</v>
      </c>
      <c r="AS142" s="113">
        <v>463.53</v>
      </c>
    </row>
    <row r="143" spans="2:46" ht="26" hidden="1" x14ac:dyDescent="0.35">
      <c r="B143" s="147"/>
      <c r="C143" s="148" t="s">
        <v>1438</v>
      </c>
      <c r="D143" s="147">
        <v>7</v>
      </c>
      <c r="E143" s="149" t="s">
        <v>3989</v>
      </c>
      <c r="F143" s="149" t="s">
        <v>3989</v>
      </c>
      <c r="G143" s="149"/>
      <c r="H143" s="149" t="s">
        <v>3989</v>
      </c>
      <c r="I143" s="149" t="s">
        <v>3989</v>
      </c>
      <c r="J143" s="149" t="e">
        <f>Table711[[#This Row],[G2AIMD (pingpong)]]/Table711[[#This Row],[gpu-layered]]</f>
        <v>#VALUE!</v>
      </c>
      <c r="K143" s="159" t="e">
        <f>MIN(Table711[[#This Row],[gpu-hybrid-drop]:[gpu-hybrid-copy]])/Table711[[#This Row],[gpu-layered]]</f>
        <v>#VALUE!</v>
      </c>
      <c r="L143" s="145" t="s">
        <v>3989</v>
      </c>
      <c r="M143" s="149" t="s">
        <v>3989</v>
      </c>
      <c r="N143" s="149" t="e">
        <f>Table711[[#This Row],[CPU Only (X &gt; 30m)]]/Table711[[#This Row],[gpu-layered]]</f>
        <v>#VALUE!</v>
      </c>
      <c r="O143" s="147" t="e">
        <f>Table711[[#This Row],[gpu-layered]]/Table711[[#This Row],[CPU+GPU]]</f>
        <v>#VALUE!</v>
      </c>
      <c r="AK143" s="77" t="s">
        <v>1461</v>
      </c>
      <c r="AL143">
        <v>18</v>
      </c>
      <c r="AN143" s="2" t="s">
        <v>3989</v>
      </c>
      <c r="AO143" s="105" t="e">
        <f ca="1">Table7[[#This Row],[GPU]]/Table7[[#This Row],[expand mode]]</f>
        <v>#VALUE!</v>
      </c>
      <c r="AR143" s="105" t="e">
        <f ca="1">Table7[[#This Row],[GPU]]/Table7[[#This Row],[cpuchunk=100]]</f>
        <v>#VALUE!</v>
      </c>
      <c r="AS143" s="2" t="s">
        <v>3989</v>
      </c>
    </row>
    <row r="144" spans="2:46" ht="26" hidden="1" x14ac:dyDescent="0.35">
      <c r="B144" s="147"/>
      <c r="C144" s="148" t="s">
        <v>1438</v>
      </c>
      <c r="D144" s="147">
        <v>8</v>
      </c>
      <c r="E144" s="149" t="s">
        <v>3989</v>
      </c>
      <c r="F144" s="149" t="s">
        <v>3989</v>
      </c>
      <c r="G144" s="149"/>
      <c r="H144" s="149" t="s">
        <v>3989</v>
      </c>
      <c r="I144" s="149" t="s">
        <v>3989</v>
      </c>
      <c r="J144" s="149" t="e">
        <f>Table711[[#This Row],[G2AIMD (pingpong)]]/Table711[[#This Row],[gpu-layered]]</f>
        <v>#VALUE!</v>
      </c>
      <c r="K144" s="159" t="e">
        <f>MIN(Table711[[#This Row],[gpu-hybrid-drop]:[gpu-hybrid-copy]])/Table711[[#This Row],[gpu-layered]]</f>
        <v>#VALUE!</v>
      </c>
      <c r="L144" s="145" t="s">
        <v>3989</v>
      </c>
      <c r="M144" s="149" t="s">
        <v>3989</v>
      </c>
      <c r="N144" s="149" t="e">
        <f>Table711[[#This Row],[CPU Only (X &gt; 30m)]]/Table711[[#This Row],[gpu-layered]]</f>
        <v>#VALUE!</v>
      </c>
      <c r="O144" s="147" t="e">
        <f>Table711[[#This Row],[gpu-layered]]/Table711[[#This Row],[CPU+GPU]]</f>
        <v>#VALUE!</v>
      </c>
      <c r="AK144" s="111" t="s">
        <v>1391</v>
      </c>
      <c r="AL144" s="112">
        <v>6</v>
      </c>
      <c r="AN144" s="113" t="s">
        <v>3989</v>
      </c>
      <c r="AO144" s="114" t="e">
        <f ca="1">Table7[[#This Row],[GPU]]/Table7[[#This Row],[expand mode]]</f>
        <v>#VALUE!</v>
      </c>
      <c r="AR144" s="105" t="e">
        <f ca="1">Table7[[#This Row],[GPU]]/Table7[[#This Row],[cpuchunk=100]]</f>
        <v>#VALUE!</v>
      </c>
      <c r="AS144" s="113">
        <v>55.96</v>
      </c>
    </row>
    <row r="145" spans="2:46" ht="26" hidden="1" x14ac:dyDescent="0.35">
      <c r="B145" s="147"/>
      <c r="C145" s="148" t="s">
        <v>1438</v>
      </c>
      <c r="D145" s="147">
        <v>9</v>
      </c>
      <c r="E145" s="149" t="s">
        <v>3989</v>
      </c>
      <c r="F145" s="149" t="s">
        <v>3989</v>
      </c>
      <c r="G145" s="149"/>
      <c r="H145" s="149" t="s">
        <v>3989</v>
      </c>
      <c r="I145" s="149" t="s">
        <v>3989</v>
      </c>
      <c r="J145" s="149" t="e">
        <f>Table711[[#This Row],[G2AIMD (pingpong)]]/Table711[[#This Row],[gpu-layered]]</f>
        <v>#VALUE!</v>
      </c>
      <c r="K145" s="159" t="e">
        <f>MIN(Table711[[#This Row],[gpu-hybrid-drop]:[gpu-hybrid-copy]])/Table711[[#This Row],[gpu-layered]]</f>
        <v>#VALUE!</v>
      </c>
      <c r="L145" s="145" t="s">
        <v>3989</v>
      </c>
      <c r="M145" s="149" t="s">
        <v>3989</v>
      </c>
      <c r="N145" s="149" t="e">
        <f>Table711[[#This Row],[CPU Only (X &gt; 30m)]]/Table711[[#This Row],[gpu-layered]]</f>
        <v>#VALUE!</v>
      </c>
      <c r="O145" s="147" t="e">
        <f>Table711[[#This Row],[gpu-layered]]/Table711[[#This Row],[CPU+GPU]]</f>
        <v>#VALUE!</v>
      </c>
      <c r="AK145" s="77" t="s">
        <v>1391</v>
      </c>
      <c r="AL145">
        <v>18</v>
      </c>
      <c r="AN145" s="2" t="s">
        <v>3989</v>
      </c>
      <c r="AO145" s="105" t="e">
        <f ca="1">Table7[[#This Row],[GPU]]/Table7[[#This Row],[expand mode]]</f>
        <v>#VALUE!</v>
      </c>
      <c r="AR145" s="105" t="e">
        <f ca="1">Table7[[#This Row],[GPU]]/Table7[[#This Row],[cpuchunk=100]]</f>
        <v>#VALUE!</v>
      </c>
      <c r="AS145" s="2" t="s">
        <v>3989</v>
      </c>
    </row>
    <row r="146" spans="2:46" ht="26" hidden="1" x14ac:dyDescent="0.35">
      <c r="B146" s="147"/>
      <c r="C146" s="148" t="s">
        <v>1434</v>
      </c>
      <c r="D146" s="147">
        <v>6</v>
      </c>
      <c r="E146" s="149" t="s">
        <v>3989</v>
      </c>
      <c r="F146" s="149" t="s">
        <v>3989</v>
      </c>
      <c r="G146" s="149"/>
      <c r="H146" s="149" t="s">
        <v>3989</v>
      </c>
      <c r="I146" s="149" t="s">
        <v>3989</v>
      </c>
      <c r="J146" s="149" t="e">
        <f>Table711[[#This Row],[G2AIMD (pingpong)]]/Table711[[#This Row],[gpu-layered]]</f>
        <v>#VALUE!</v>
      </c>
      <c r="K146" s="159" t="e">
        <f>MIN(Table711[[#This Row],[gpu-hybrid-drop]:[gpu-hybrid-copy]])/Table711[[#This Row],[gpu-layered]]</f>
        <v>#VALUE!</v>
      </c>
      <c r="L146" s="145" t="s">
        <v>3989</v>
      </c>
      <c r="M146" s="149" t="s">
        <v>3989</v>
      </c>
      <c r="N146" s="149" t="e">
        <f>Table711[[#This Row],[CPU Only (X &gt; 30m)]]/Table711[[#This Row],[gpu-layered]]</f>
        <v>#VALUE!</v>
      </c>
      <c r="O146" s="147" t="e">
        <f>Table711[[#This Row],[gpu-layered]]/Table711[[#This Row],[CPU+GPU]]</f>
        <v>#VALUE!</v>
      </c>
      <c r="AK146" s="77" t="s">
        <v>1440</v>
      </c>
      <c r="AL146">
        <v>5</v>
      </c>
      <c r="AN146" s="2" t="s">
        <v>3989</v>
      </c>
      <c r="AO146" s="105" t="e">
        <f ca="1">Table7[[#This Row],[GPU]]/Table7[[#This Row],[expand mode]]</f>
        <v>#VALUE!</v>
      </c>
      <c r="AR146" s="105" t="e">
        <f ca="1">Table7[[#This Row],[GPU]]/Table7[[#This Row],[cpuchunk=100]]</f>
        <v>#VALUE!</v>
      </c>
      <c r="AS146" s="2" t="s">
        <v>3989</v>
      </c>
    </row>
    <row r="147" spans="2:46" ht="22" x14ac:dyDescent="0.25">
      <c r="C147" s="77"/>
      <c r="F147" s="2"/>
      <c r="G147" s="2"/>
      <c r="AL147" s="77"/>
      <c r="AO147" s="2"/>
      <c r="AP147" s="105"/>
      <c r="AS147" s="105"/>
      <c r="AT147" s="2"/>
    </row>
    <row r="148" spans="2:46" ht="29" x14ac:dyDescent="0.35">
      <c r="C148" s="77"/>
      <c r="E148" s="78"/>
      <c r="F148" s="128"/>
      <c r="G148" s="128"/>
      <c r="H148" s="145"/>
      <c r="I148" s="145"/>
      <c r="J148" s="145"/>
      <c r="K148" s="157"/>
      <c r="L148" s="132"/>
      <c r="O148" s="36"/>
      <c r="AL148" s="77"/>
      <c r="AO148" s="2"/>
      <c r="AP148" s="105"/>
      <c r="AS148" s="105"/>
      <c r="AT148" s="2"/>
    </row>
    <row r="149" spans="2:46" ht="22" x14ac:dyDescent="0.25">
      <c r="C149" s="77"/>
      <c r="F149" s="2"/>
      <c r="G149" s="2"/>
      <c r="AL149" s="77"/>
      <c r="AO149" s="2"/>
      <c r="AP149" s="105"/>
      <c r="AS149" s="105"/>
      <c r="AT149" s="2"/>
    </row>
    <row r="150" spans="2:46" ht="22" x14ac:dyDescent="0.25">
      <c r="C150" s="77"/>
      <c r="F150" s="2" t="s">
        <v>4032</v>
      </c>
      <c r="G150" s="2"/>
      <c r="AL150" s="77"/>
      <c r="AO150" s="2"/>
      <c r="AP150" s="105"/>
      <c r="AS150" s="105"/>
      <c r="AT150" s="2"/>
    </row>
    <row r="151" spans="2:46" ht="22" x14ac:dyDescent="0.25">
      <c r="C151" s="77"/>
      <c r="F151" s="2"/>
      <c r="G151" s="2"/>
      <c r="AL151" s="77"/>
      <c r="AO151" s="2"/>
      <c r="AP151" s="105"/>
      <c r="AS151" s="105"/>
      <c r="AT151" s="2"/>
    </row>
    <row r="152" spans="2:46" ht="22" x14ac:dyDescent="0.25">
      <c r="C152" s="77"/>
      <c r="F152" s="2"/>
      <c r="G152" s="2"/>
      <c r="AL152" s="77"/>
      <c r="AO152" s="2"/>
      <c r="AP152" s="105"/>
      <c r="AS152" s="105"/>
      <c r="AT152" s="2"/>
    </row>
    <row r="153" spans="2:46" ht="22" x14ac:dyDescent="0.25">
      <c r="C153" s="77"/>
      <c r="D153" s="144"/>
      <c r="F153" s="2"/>
      <c r="G153" s="2"/>
      <c r="AL153" s="77"/>
      <c r="AO153" s="2"/>
      <c r="AP153" s="105"/>
      <c r="AS153" s="105"/>
      <c r="AT153" s="2"/>
    </row>
    <row r="154" spans="2:46" ht="22" x14ac:dyDescent="0.25">
      <c r="C154" s="77"/>
      <c r="D154" s="144"/>
      <c r="F154" s="2"/>
      <c r="G154" s="2"/>
      <c r="AL154" s="77"/>
      <c r="AO154" s="2"/>
      <c r="AP154" s="105"/>
      <c r="AS154" s="105"/>
      <c r="AT154" s="2"/>
    </row>
    <row r="155" spans="2:46" ht="22" x14ac:dyDescent="0.25">
      <c r="C155" s="77"/>
      <c r="D155" s="144"/>
      <c r="F155" s="2"/>
      <c r="G155" s="2"/>
      <c r="AL155" s="77"/>
      <c r="AO155" s="2"/>
      <c r="AP155" s="105"/>
      <c r="AS155" s="105"/>
      <c r="AT155" s="2"/>
    </row>
    <row r="156" spans="2:46" ht="22" x14ac:dyDescent="0.25">
      <c r="C156" s="77"/>
      <c r="D156" s="144"/>
      <c r="F156" s="2"/>
      <c r="G156" s="2"/>
      <c r="AL156" s="77"/>
      <c r="AO156" s="2"/>
      <c r="AP156" s="105"/>
      <c r="AS156" s="105"/>
      <c r="AT156" s="2"/>
    </row>
    <row r="157" spans="2:46" ht="22" x14ac:dyDescent="0.25">
      <c r="C157" s="77"/>
      <c r="D157" s="144"/>
      <c r="F157" s="2"/>
      <c r="G157" s="2"/>
      <c r="AL157" s="77"/>
      <c r="AO157" s="2"/>
      <c r="AP157" s="105"/>
      <c r="AS157" s="105"/>
      <c r="AT157" s="2"/>
    </row>
    <row r="158" spans="2:46" ht="22" x14ac:dyDescent="0.25">
      <c r="C158" s="77"/>
      <c r="D158" s="144"/>
      <c r="F158" s="2"/>
      <c r="G158" s="2"/>
      <c r="AL158" s="77"/>
      <c r="AO158" s="2"/>
      <c r="AP158" s="105"/>
      <c r="AS158" s="105"/>
      <c r="AT158" s="2"/>
    </row>
    <row r="159" spans="2:46" ht="22" x14ac:dyDescent="0.25">
      <c r="C159" s="77"/>
      <c r="D159" s="144"/>
      <c r="F159" s="2"/>
      <c r="G159" s="2"/>
      <c r="AL159" s="77"/>
      <c r="AO159" s="2"/>
      <c r="AP159" s="105"/>
      <c r="AS159" s="105"/>
      <c r="AT159" s="2"/>
    </row>
    <row r="160" spans="2:46" ht="22" x14ac:dyDescent="0.25">
      <c r="C160" s="77"/>
      <c r="D160" s="144"/>
      <c r="F160" s="2"/>
      <c r="G160" s="2"/>
      <c r="AL160" s="77"/>
      <c r="AO160" s="2"/>
      <c r="AP160" s="105"/>
      <c r="AS160" s="105"/>
      <c r="AT160" s="2"/>
    </row>
    <row r="161" spans="3:46" ht="22" x14ac:dyDescent="0.25">
      <c r="C161" s="77"/>
      <c r="D161" s="144"/>
      <c r="F161" s="2"/>
      <c r="G161" s="2"/>
      <c r="AL161" s="77"/>
      <c r="AO161" s="2"/>
      <c r="AP161" s="105"/>
      <c r="AS161" s="105"/>
      <c r="AT161" s="2"/>
    </row>
    <row r="162" spans="3:46" ht="22" x14ac:dyDescent="0.25">
      <c r="C162" s="77"/>
      <c r="D162" s="144"/>
      <c r="F162" s="2"/>
      <c r="G162" s="2"/>
      <c r="AL162" s="77"/>
      <c r="AO162" s="2"/>
      <c r="AP162" s="105"/>
      <c r="AS162" s="105"/>
      <c r="AT162" s="2"/>
    </row>
    <row r="163" spans="3:46" ht="22" x14ac:dyDescent="0.25">
      <c r="C163" s="77"/>
      <c r="D163" s="144"/>
      <c r="F163" s="2"/>
      <c r="G163" s="2"/>
      <c r="AL163" s="77"/>
      <c r="AO163" s="2"/>
      <c r="AP163" s="105"/>
      <c r="AS163" s="105"/>
      <c r="AT163" s="2"/>
    </row>
    <row r="164" spans="3:46" ht="22" x14ac:dyDescent="0.25">
      <c r="C164" s="77"/>
      <c r="D164" s="144"/>
      <c r="F164" s="2"/>
      <c r="G164" s="2"/>
      <c r="AL164" s="77"/>
      <c r="AO164" s="2"/>
      <c r="AP164" s="105"/>
      <c r="AS164" s="105"/>
      <c r="AT164" s="2"/>
    </row>
    <row r="165" spans="3:46" ht="22" x14ac:dyDescent="0.25">
      <c r="C165" s="77"/>
      <c r="D165" s="144"/>
      <c r="F165" s="2"/>
      <c r="G165" s="2"/>
      <c r="AL165" s="77"/>
      <c r="AO165" s="2"/>
      <c r="AP165" s="105"/>
      <c r="AS165" s="105"/>
      <c r="AT165" s="2"/>
    </row>
    <row r="166" spans="3:46" ht="22" x14ac:dyDescent="0.25">
      <c r="C166" s="77"/>
      <c r="D166" s="144"/>
      <c r="F166" s="2"/>
      <c r="G166" s="2"/>
      <c r="AL166" s="77"/>
      <c r="AO166" s="2"/>
      <c r="AP166" s="105"/>
      <c r="AS166" s="105"/>
      <c r="AT166" s="2"/>
    </row>
    <row r="167" spans="3:46" ht="22" x14ac:dyDescent="0.25">
      <c r="C167" s="77"/>
      <c r="D167" s="144"/>
      <c r="F167" s="2"/>
      <c r="G167" s="2"/>
      <c r="AL167" s="77"/>
      <c r="AO167" s="2"/>
      <c r="AP167" s="105"/>
      <c r="AS167" s="105"/>
      <c r="AT167" s="2"/>
    </row>
    <row r="168" spans="3:46" ht="22" x14ac:dyDescent="0.25">
      <c r="C168" s="77"/>
      <c r="D168" s="144"/>
      <c r="F168" s="2"/>
      <c r="G168" s="2"/>
      <c r="AL168" s="77"/>
      <c r="AO168" s="2"/>
      <c r="AP168" s="105"/>
      <c r="AS168" s="105"/>
      <c r="AT168" s="2"/>
    </row>
    <row r="169" spans="3:46" ht="22" x14ac:dyDescent="0.25">
      <c r="C169" s="77"/>
      <c r="D169" s="144"/>
      <c r="F169" s="2"/>
      <c r="G169" s="2"/>
      <c r="AL169" s="77"/>
      <c r="AO169" s="2"/>
      <c r="AP169" s="105"/>
      <c r="AS169" s="105"/>
      <c r="AT169" s="2"/>
    </row>
    <row r="170" spans="3:46" ht="22" x14ac:dyDescent="0.25">
      <c r="C170" s="77"/>
      <c r="D170" s="144"/>
      <c r="F170" s="2"/>
      <c r="G170" s="2"/>
      <c r="AL170" s="77"/>
      <c r="AO170" s="2"/>
      <c r="AP170" s="105"/>
      <c r="AS170" s="105"/>
      <c r="AT170" s="2"/>
    </row>
    <row r="171" spans="3:46" ht="22" x14ac:dyDescent="0.25">
      <c r="C171" s="77"/>
      <c r="D171" s="144"/>
      <c r="F171" s="2"/>
      <c r="G171" s="2"/>
      <c r="AL171" s="77"/>
      <c r="AO171" s="2"/>
      <c r="AP171" s="105"/>
      <c r="AS171" s="105"/>
      <c r="AT171" s="2"/>
    </row>
    <row r="172" spans="3:46" ht="22" x14ac:dyDescent="0.25">
      <c r="C172" s="77"/>
      <c r="D172" s="144"/>
      <c r="F172" s="2"/>
      <c r="G172" s="2"/>
      <c r="AL172" s="77"/>
      <c r="AO172" s="2"/>
      <c r="AP172" s="105"/>
      <c r="AS172" s="105"/>
      <c r="AT172" s="2"/>
    </row>
    <row r="173" spans="3:46" ht="22" x14ac:dyDescent="0.25">
      <c r="C173" s="77"/>
      <c r="D173" s="144"/>
      <c r="F173" s="2"/>
      <c r="G173" s="2"/>
      <c r="AL173" s="77"/>
      <c r="AO173" s="2"/>
      <c r="AP173" s="105"/>
      <c r="AS173" s="105"/>
      <c r="AT173" s="2"/>
    </row>
    <row r="174" spans="3:46" ht="22" x14ac:dyDescent="0.25">
      <c r="C174" s="77"/>
      <c r="D174" s="144"/>
      <c r="F174" s="2"/>
      <c r="G174" s="2"/>
      <c r="AL174" s="77"/>
      <c r="AO174" s="2"/>
      <c r="AP174" s="105"/>
      <c r="AS174" s="105"/>
      <c r="AT174" s="2"/>
    </row>
    <row r="175" spans="3:46" ht="22" x14ac:dyDescent="0.25">
      <c r="C175" s="77"/>
      <c r="D175" s="144"/>
      <c r="F175" s="2"/>
      <c r="G175" s="2"/>
      <c r="AL175" s="77"/>
      <c r="AO175" s="2"/>
      <c r="AP175" s="105"/>
      <c r="AS175" s="105"/>
      <c r="AT175" s="2"/>
    </row>
    <row r="176" spans="3:46" ht="22" x14ac:dyDescent="0.25">
      <c r="C176" s="77"/>
      <c r="D176" s="144"/>
      <c r="F176" s="2"/>
      <c r="G176" s="2"/>
      <c r="AL176" s="77"/>
      <c r="AO176" s="2"/>
      <c r="AP176" s="105"/>
      <c r="AS176" s="105"/>
      <c r="AT176" s="2"/>
    </row>
    <row r="177" spans="3:46" ht="22" x14ac:dyDescent="0.25">
      <c r="C177" s="77"/>
      <c r="D177" s="144"/>
      <c r="F177" s="2"/>
      <c r="G177" s="2"/>
      <c r="AL177" s="77"/>
      <c r="AO177" s="2"/>
      <c r="AP177" s="105"/>
      <c r="AS177" s="105"/>
      <c r="AT177" s="2"/>
    </row>
    <row r="178" spans="3:46" ht="22" x14ac:dyDescent="0.25">
      <c r="C178" s="77"/>
      <c r="D178" s="144"/>
      <c r="F178" s="2"/>
      <c r="G178" s="2"/>
      <c r="AL178" s="77"/>
      <c r="AO178" s="2"/>
      <c r="AP178" s="105"/>
      <c r="AS178" s="105"/>
      <c r="AT178" s="2"/>
    </row>
    <row r="179" spans="3:46" ht="22" x14ac:dyDescent="0.25">
      <c r="C179" s="77"/>
      <c r="D179" s="144"/>
      <c r="F179" s="2"/>
      <c r="G179" s="2"/>
      <c r="AL179" s="77"/>
      <c r="AO179" s="2"/>
      <c r="AP179" s="105"/>
      <c r="AS179" s="105"/>
      <c r="AT179" s="2"/>
    </row>
    <row r="180" spans="3:46" ht="22" x14ac:dyDescent="0.25">
      <c r="C180" s="77"/>
      <c r="D180" s="144"/>
      <c r="F180" s="2"/>
      <c r="G180" s="2"/>
      <c r="AL180" s="77"/>
      <c r="AO180" s="2"/>
      <c r="AP180" s="105"/>
      <c r="AS180" s="105"/>
      <c r="AT180" s="2"/>
    </row>
    <row r="181" spans="3:46" ht="22" x14ac:dyDescent="0.25">
      <c r="C181" s="77"/>
      <c r="D181" s="144"/>
      <c r="F181" s="2"/>
      <c r="G181" s="2"/>
      <c r="AL181" s="77"/>
      <c r="AO181" s="2"/>
      <c r="AP181" s="105"/>
      <c r="AS181" s="105"/>
      <c r="AT181" s="2"/>
    </row>
    <row r="182" spans="3:46" ht="22" x14ac:dyDescent="0.25">
      <c r="C182" s="77"/>
      <c r="D182" s="144"/>
      <c r="F182" s="2"/>
      <c r="G182" s="2"/>
      <c r="AL182" s="77"/>
      <c r="AO182" s="2"/>
      <c r="AP182" s="105"/>
      <c r="AS182" s="105"/>
      <c r="AT182" s="2"/>
    </row>
    <row r="183" spans="3:46" ht="22" x14ac:dyDescent="0.25">
      <c r="C183" s="77"/>
      <c r="D183" s="144"/>
      <c r="F183" s="2"/>
      <c r="G183" s="2"/>
      <c r="AL183" s="77"/>
      <c r="AO183" s="2"/>
      <c r="AP183" s="105"/>
      <c r="AS183" s="105"/>
      <c r="AT183" s="2"/>
    </row>
    <row r="184" spans="3:46" ht="22" x14ac:dyDescent="0.25">
      <c r="C184" s="77"/>
      <c r="D184" s="144"/>
      <c r="F184" s="2"/>
      <c r="G184" s="2"/>
      <c r="AL184" s="77"/>
      <c r="AO184" s="2"/>
      <c r="AP184" s="105"/>
      <c r="AS184" s="105"/>
      <c r="AT184" s="2"/>
    </row>
    <row r="185" spans="3:46" ht="22" x14ac:dyDescent="0.25">
      <c r="C185" s="77"/>
      <c r="D185" s="144"/>
      <c r="F185" s="2"/>
      <c r="G185" s="2"/>
      <c r="AL185" s="77"/>
      <c r="AO185" s="2"/>
      <c r="AP185" s="105"/>
      <c r="AS185" s="105"/>
      <c r="AT185" s="2"/>
    </row>
    <row r="186" spans="3:46" ht="22" x14ac:dyDescent="0.25">
      <c r="C186" s="77"/>
      <c r="D186" s="144"/>
      <c r="F186" s="2"/>
      <c r="G186" s="2"/>
      <c r="AL186" s="77"/>
      <c r="AO186" s="2"/>
      <c r="AP186" s="105"/>
      <c r="AS186" s="105"/>
      <c r="AT186" s="2"/>
    </row>
    <row r="187" spans="3:46" ht="22" x14ac:dyDescent="0.25">
      <c r="C187" s="77"/>
      <c r="D187" s="144"/>
      <c r="F187" s="2"/>
      <c r="G187" s="2"/>
      <c r="AL187" s="77"/>
      <c r="AO187" s="2"/>
      <c r="AP187" s="105"/>
      <c r="AS187" s="105"/>
      <c r="AT187" s="2"/>
    </row>
    <row r="188" spans="3:46" ht="22" x14ac:dyDescent="0.25">
      <c r="C188" s="77"/>
      <c r="D188" s="144"/>
      <c r="F188" s="2"/>
      <c r="G188" s="2"/>
      <c r="AL188" s="77"/>
      <c r="AO188" s="2"/>
      <c r="AP188" s="105"/>
      <c r="AS188" s="105"/>
      <c r="AT188" s="2"/>
    </row>
    <row r="189" spans="3:46" ht="22" x14ac:dyDescent="0.25">
      <c r="C189" s="77"/>
      <c r="D189" s="144"/>
      <c r="F189" s="2"/>
      <c r="G189" s="2"/>
      <c r="AL189" s="77"/>
      <c r="AO189" s="2"/>
      <c r="AP189" s="105"/>
      <c r="AS189" s="105"/>
      <c r="AT189" s="2"/>
    </row>
    <row r="190" spans="3:46" ht="22" x14ac:dyDescent="0.25">
      <c r="C190" s="77"/>
      <c r="D190" s="144"/>
      <c r="F190" s="2"/>
      <c r="G190" s="2"/>
      <c r="AL190" s="77"/>
      <c r="AO190" s="2"/>
      <c r="AP190" s="105"/>
      <c r="AS190" s="105"/>
      <c r="AT190" s="2"/>
    </row>
    <row r="191" spans="3:46" ht="22" x14ac:dyDescent="0.25">
      <c r="C191" s="77"/>
      <c r="D191" s="144"/>
      <c r="F191" s="2"/>
      <c r="G191" s="2"/>
      <c r="AL191" s="77"/>
      <c r="AO191" s="2"/>
      <c r="AP191" s="105"/>
      <c r="AS191" s="105"/>
      <c r="AT191" s="2"/>
    </row>
    <row r="192" spans="3:46" ht="22" x14ac:dyDescent="0.25">
      <c r="C192" s="77"/>
      <c r="D192" s="144"/>
      <c r="F192" s="2"/>
      <c r="G192" s="2"/>
      <c r="AL192" s="77"/>
      <c r="AO192" s="2"/>
      <c r="AP192" s="105"/>
      <c r="AS192" s="105"/>
      <c r="AT192" s="2"/>
    </row>
    <row r="193" spans="3:46" ht="22" x14ac:dyDescent="0.25">
      <c r="C193" s="77"/>
      <c r="D193" s="144"/>
      <c r="F193" s="2"/>
      <c r="G193" s="2"/>
      <c r="AL193" s="77"/>
      <c r="AO193" s="2"/>
      <c r="AP193" s="105"/>
      <c r="AS193" s="105"/>
      <c r="AT193" s="2"/>
    </row>
    <row r="194" spans="3:46" ht="22" x14ac:dyDescent="0.25">
      <c r="C194" s="77"/>
      <c r="D194" s="144"/>
      <c r="F194" s="2"/>
      <c r="G194" s="2"/>
      <c r="AL194" s="77"/>
      <c r="AO194" s="2"/>
      <c r="AP194" s="105"/>
      <c r="AS194" s="105"/>
      <c r="AT194" s="2"/>
    </row>
    <row r="195" spans="3:46" ht="22" x14ac:dyDescent="0.25">
      <c r="C195" s="77"/>
      <c r="F195" s="2"/>
      <c r="G195" s="2"/>
      <c r="AL195" s="77"/>
      <c r="AO195" s="2"/>
      <c r="AP195" s="105"/>
      <c r="AS195" s="105"/>
      <c r="AT195" s="2"/>
    </row>
    <row r="196" spans="3:46" ht="22" x14ac:dyDescent="0.25">
      <c r="C196" s="77"/>
      <c r="F196" s="2"/>
      <c r="G196" s="2"/>
      <c r="AL196" s="77"/>
      <c r="AO196" s="2"/>
      <c r="AP196" s="105"/>
      <c r="AS196" s="105"/>
      <c r="AT196" s="2"/>
    </row>
    <row r="197" spans="3:46" ht="22" x14ac:dyDescent="0.25">
      <c r="C197" s="77"/>
      <c r="F197" s="2"/>
      <c r="G197" s="2"/>
      <c r="AL197" s="77"/>
      <c r="AO197" s="2"/>
      <c r="AP197" s="105"/>
      <c r="AS197" s="105"/>
      <c r="AT197" s="2"/>
    </row>
    <row r="198" spans="3:46" ht="22" x14ac:dyDescent="0.25">
      <c r="C198" s="77"/>
      <c r="F198" s="2"/>
      <c r="G198" s="2"/>
      <c r="AL198" s="77"/>
      <c r="AO198" s="2"/>
      <c r="AP198" s="105"/>
      <c r="AS198" s="105"/>
      <c r="AT198" s="2"/>
    </row>
    <row r="199" spans="3:46" ht="22" x14ac:dyDescent="0.25">
      <c r="C199" s="77"/>
      <c r="F199" s="2"/>
      <c r="G199" s="2"/>
      <c r="AL199" s="77"/>
      <c r="AO199" s="2"/>
      <c r="AP199" s="105"/>
      <c r="AS199" s="105"/>
      <c r="AT199" s="2"/>
    </row>
    <row r="200" spans="3:46" ht="22" x14ac:dyDescent="0.25">
      <c r="C200" s="77"/>
      <c r="F200" s="2"/>
      <c r="G200" s="2"/>
      <c r="AL200" s="77"/>
      <c r="AO200" s="2"/>
      <c r="AP200" s="105"/>
      <c r="AS200" s="105"/>
      <c r="AT200" s="2"/>
    </row>
    <row r="201" spans="3:46" ht="22" x14ac:dyDescent="0.25">
      <c r="C201" s="77"/>
      <c r="F201" s="2"/>
      <c r="G201" s="2"/>
      <c r="AL201" s="77"/>
      <c r="AO201" s="2"/>
      <c r="AP201" s="105"/>
      <c r="AS201" s="105"/>
      <c r="AT201" s="2"/>
    </row>
    <row r="202" spans="3:46" ht="22" x14ac:dyDescent="0.25">
      <c r="C202" s="77"/>
      <c r="F202" s="2"/>
      <c r="G202" s="2"/>
      <c r="AL202" s="77"/>
      <c r="AO202" s="2"/>
      <c r="AP202" s="105"/>
      <c r="AS202" s="105"/>
      <c r="AT202" s="2"/>
    </row>
    <row r="203" spans="3:46" ht="22" x14ac:dyDescent="0.25">
      <c r="C203" s="77"/>
      <c r="F203" s="2"/>
      <c r="G203" s="2"/>
      <c r="AL203" s="77"/>
      <c r="AO203" s="2"/>
      <c r="AP203" s="105"/>
      <c r="AS203" s="105"/>
      <c r="AT203" s="2"/>
    </row>
    <row r="204" spans="3:46" ht="22" x14ac:dyDescent="0.25">
      <c r="C204" s="77"/>
      <c r="F204" s="2"/>
      <c r="G204" s="2"/>
      <c r="AL204" s="77"/>
      <c r="AO204" s="2"/>
      <c r="AP204" s="105"/>
      <c r="AS204" s="105"/>
      <c r="AT204" s="2"/>
    </row>
    <row r="205" spans="3:46" ht="22" x14ac:dyDescent="0.25">
      <c r="C205" s="77"/>
      <c r="F205" s="2"/>
      <c r="G205" s="2"/>
      <c r="AL205" s="77"/>
      <c r="AO205" s="2"/>
      <c r="AP205" s="105"/>
      <c r="AS205" s="105"/>
      <c r="AT205" s="2"/>
    </row>
    <row r="206" spans="3:46" ht="22" x14ac:dyDescent="0.25">
      <c r="C206" s="77"/>
      <c r="F206" s="2"/>
      <c r="G206" s="2"/>
      <c r="AL206" s="77"/>
      <c r="AO206" s="2"/>
      <c r="AP206" s="105"/>
      <c r="AS206" s="105"/>
      <c r="AT206" s="2"/>
    </row>
    <row r="207" spans="3:46" ht="22" x14ac:dyDescent="0.25">
      <c r="C207" s="77"/>
      <c r="F207" s="2"/>
      <c r="G207" s="2"/>
      <c r="AL207" s="77"/>
      <c r="AO207" s="2"/>
      <c r="AP207" s="105"/>
      <c r="AS207" s="105"/>
      <c r="AT207" s="2"/>
    </row>
    <row r="208" spans="3:46" ht="22" x14ac:dyDescent="0.25">
      <c r="C208" s="77"/>
      <c r="F208" s="2"/>
      <c r="G208" s="2"/>
      <c r="AL208" s="77"/>
      <c r="AO208" s="2"/>
      <c r="AP208" s="105"/>
      <c r="AS208" s="105"/>
      <c r="AT208" s="2"/>
    </row>
    <row r="209" spans="3:46" ht="22" x14ac:dyDescent="0.25">
      <c r="C209" s="77"/>
      <c r="F209" s="2"/>
      <c r="G209" s="2"/>
      <c r="AL209" s="77"/>
      <c r="AO209" s="2"/>
      <c r="AP209" s="105"/>
      <c r="AS209" s="105"/>
      <c r="AT209" s="2"/>
    </row>
    <row r="210" spans="3:46" ht="22" x14ac:dyDescent="0.25">
      <c r="C210" s="77"/>
      <c r="F210" s="2"/>
      <c r="G210" s="2"/>
      <c r="AL210" s="77"/>
      <c r="AO210" s="2"/>
      <c r="AP210" s="105"/>
      <c r="AS210" s="105"/>
      <c r="AT210" s="2"/>
    </row>
    <row r="211" spans="3:46" ht="22" x14ac:dyDescent="0.25">
      <c r="C211" s="77"/>
      <c r="F211" s="2"/>
      <c r="G211" s="2"/>
      <c r="AL211" s="77"/>
      <c r="AO211" s="2"/>
      <c r="AP211" s="105"/>
      <c r="AS211" s="105"/>
      <c r="AT211" s="2"/>
    </row>
    <row r="212" spans="3:46" ht="22" x14ac:dyDescent="0.25">
      <c r="C212" s="77"/>
      <c r="F212" s="2"/>
      <c r="G212" s="2"/>
      <c r="AL212" s="77"/>
      <c r="AO212" s="2"/>
      <c r="AP212" s="105"/>
      <c r="AS212" s="105"/>
      <c r="AT212" s="2"/>
    </row>
    <row r="213" spans="3:46" ht="22" x14ac:dyDescent="0.25">
      <c r="C213" s="77"/>
      <c r="F213" s="2"/>
      <c r="G213" s="2"/>
      <c r="AL213" s="77"/>
      <c r="AO213" s="2"/>
      <c r="AP213" s="105"/>
      <c r="AS213" s="105"/>
      <c r="AT213" s="2"/>
    </row>
    <row r="214" spans="3:46" ht="22" x14ac:dyDescent="0.25">
      <c r="C214" s="77"/>
      <c r="F214" s="2"/>
      <c r="G214" s="2"/>
      <c r="AL214" s="77"/>
      <c r="AO214" s="2"/>
      <c r="AP214" s="105"/>
      <c r="AS214" s="105"/>
      <c r="AT214" s="2"/>
    </row>
    <row r="215" spans="3:46" ht="22" x14ac:dyDescent="0.25">
      <c r="C215" s="77"/>
      <c r="F215" s="2"/>
      <c r="G215" s="2"/>
      <c r="AL215" s="77"/>
      <c r="AO215" s="2"/>
      <c r="AP215" s="105"/>
      <c r="AS215" s="105"/>
      <c r="AT215" s="2"/>
    </row>
    <row r="216" spans="3:46" ht="22" x14ac:dyDescent="0.25">
      <c r="C216" s="77"/>
      <c r="F216" s="2"/>
      <c r="G216" s="2"/>
      <c r="AL216" s="77"/>
      <c r="AO216" s="2"/>
      <c r="AP216" s="105"/>
      <c r="AS216" s="105"/>
      <c r="AT216" s="2"/>
    </row>
    <row r="217" spans="3:46" ht="22" x14ac:dyDescent="0.25">
      <c r="C217" s="77"/>
      <c r="F217" s="2"/>
      <c r="G217" s="2"/>
      <c r="AL217" s="77"/>
      <c r="AO217" s="2"/>
      <c r="AP217" s="105"/>
      <c r="AS217" s="105"/>
      <c r="AT217" s="2"/>
    </row>
    <row r="218" spans="3:46" ht="22" x14ac:dyDescent="0.25">
      <c r="C218" s="77"/>
      <c r="F218" s="2"/>
      <c r="G218" s="2"/>
      <c r="AL218" s="77"/>
      <c r="AO218" s="2"/>
      <c r="AP218" s="105"/>
      <c r="AS218" s="105"/>
      <c r="AT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K136"/>
  <sheetViews>
    <sheetView topLeftCell="A4" zoomScale="85" workbookViewId="0">
      <selection activeCell="N24" sqref="N2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6.6640625" customWidth="1"/>
    <col min="10" max="10" width="19.5" customWidth="1"/>
    <col min="11" max="11" width="39.83203125" bestFit="1" customWidth="1"/>
    <col min="12" max="12" width="43.33203125" bestFit="1" customWidth="1"/>
    <col min="13" max="13" width="43.33203125" customWidth="1"/>
    <col min="14" max="14" width="26.6640625" customWidth="1"/>
    <col min="15" max="15" width="18" customWidth="1"/>
    <col min="16" max="17" width="20.83203125" style="9" customWidth="1"/>
    <col min="18" max="18" width="35.5" style="9" bestFit="1" customWidth="1"/>
    <col min="19" max="19" width="31" customWidth="1"/>
    <col min="20" max="20" width="23.6640625" style="9" customWidth="1"/>
    <col min="21" max="21" width="17.33203125" customWidth="1"/>
    <col min="22" max="22" width="14.6640625" style="43" bestFit="1" customWidth="1"/>
    <col min="23" max="23" width="13.83203125" customWidth="1"/>
    <col min="24" max="24" width="25" bestFit="1" customWidth="1"/>
    <col min="25" max="26" width="25" customWidth="1"/>
    <col min="28" max="28" width="15.1640625" bestFit="1" customWidth="1"/>
    <col min="32" max="32" width="18.33203125" bestFit="1" customWidth="1"/>
    <col min="34" max="34" width="12.6640625" bestFit="1" customWidth="1"/>
  </cols>
  <sheetData>
    <row r="1" spans="3:31" x14ac:dyDescent="0.3">
      <c r="C1" s="9" t="s">
        <v>3933</v>
      </c>
      <c r="J1" s="9"/>
      <c r="K1" s="9"/>
      <c r="N1" s="9"/>
      <c r="P1" s="43"/>
      <c r="Q1" s="43"/>
      <c r="R1" s="43"/>
      <c r="T1"/>
      <c r="V1"/>
    </row>
    <row r="2" spans="3:31" x14ac:dyDescent="0.3">
      <c r="J2" s="9"/>
      <c r="K2" s="9"/>
      <c r="N2" s="9"/>
      <c r="P2" s="43"/>
      <c r="Q2" s="43"/>
      <c r="R2" s="43"/>
      <c r="T2"/>
      <c r="V2"/>
    </row>
    <row r="3" spans="3:31" ht="23" thickBot="1" x14ac:dyDescent="0.35">
      <c r="J3" s="9"/>
      <c r="K3" s="9"/>
      <c r="N3" s="9"/>
      <c r="P3" s="43"/>
      <c r="Q3" s="43"/>
      <c r="R3" s="43"/>
      <c r="T3"/>
      <c r="V3"/>
    </row>
    <row r="4" spans="3:31" ht="28" thickBot="1" x14ac:dyDescent="0.4">
      <c r="I4" s="139"/>
      <c r="J4" s="140"/>
      <c r="K4" s="140"/>
      <c r="L4" s="141" t="s">
        <v>3948</v>
      </c>
      <c r="M4" s="141"/>
      <c r="N4" s="142"/>
      <c r="O4" s="37"/>
      <c r="P4" s="70"/>
      <c r="Q4" s="70"/>
      <c r="R4" s="70"/>
      <c r="S4" s="131"/>
      <c r="T4" s="131"/>
      <c r="U4" s="131"/>
      <c r="V4" s="131"/>
    </row>
    <row r="5" spans="3:31" x14ac:dyDescent="0.3">
      <c r="C5" s="13" t="s">
        <v>25</v>
      </c>
      <c r="D5" s="12" t="s">
        <v>13</v>
      </c>
      <c r="E5" s="12" t="s">
        <v>14</v>
      </c>
      <c r="F5" s="13" t="s">
        <v>4004</v>
      </c>
      <c r="G5" s="12" t="s">
        <v>15</v>
      </c>
      <c r="H5" s="13" t="s">
        <v>3932</v>
      </c>
      <c r="I5" s="13" t="s">
        <v>3976</v>
      </c>
      <c r="J5" s="13" t="s">
        <v>3977</v>
      </c>
      <c r="K5" s="13" t="s">
        <v>4034</v>
      </c>
      <c r="L5" s="13" t="s">
        <v>4033</v>
      </c>
      <c r="M5" s="13" t="s">
        <v>4038</v>
      </c>
      <c r="N5" s="13" t="s">
        <v>4015</v>
      </c>
      <c r="O5" s="13" t="s">
        <v>3929</v>
      </c>
      <c r="P5" s="44" t="s">
        <v>3935</v>
      </c>
      <c r="Q5" s="13" t="s">
        <v>4030</v>
      </c>
      <c r="R5" s="156" t="s">
        <v>4031</v>
      </c>
      <c r="S5" s="13" t="s">
        <v>3992</v>
      </c>
      <c r="T5" s="13" t="s">
        <v>3991</v>
      </c>
      <c r="U5" s="13" t="s">
        <v>3993</v>
      </c>
      <c r="V5" s="13" t="s">
        <v>3994</v>
      </c>
      <c r="W5" s="12" t="s">
        <v>21</v>
      </c>
    </row>
    <row r="6" spans="3:31" hidden="1" x14ac:dyDescent="0.3">
      <c r="C6" s="9" t="s">
        <v>16</v>
      </c>
      <c r="D6" s="11">
        <v>13593032</v>
      </c>
      <c r="E6" s="11">
        <v>669183050</v>
      </c>
      <c r="F6" s="11">
        <f>Table2123242526[[#This Row],[E]]/Table2123242526[[#This Row],[V]]</f>
        <v>49.229859092511518</v>
      </c>
      <c r="G6" s="11">
        <v>1052326</v>
      </c>
      <c r="H6" s="10"/>
      <c r="I6" s="28" t="s">
        <v>3902</v>
      </c>
      <c r="J6" s="10"/>
      <c r="K6" s="10"/>
      <c r="L6" s="25"/>
      <c r="M6" s="34" t="e">
        <f>MIN(Table2123242526[[#This Row],[G2AIMD (pingpong)]:[gpu-layered]])/Table2123242526[[#This Row],[gpu-hybrid-copy]]</f>
        <v>#DIV/0!</v>
      </c>
      <c r="N6" s="10"/>
      <c r="O6" s="9"/>
      <c r="P6" s="45"/>
      <c r="Q6" s="45" t="e">
        <f>Table2123242526[[#This Row],[G2AIMD (pingpong)]]/Table2123242526[[#This Row],[gpu-hybrid-copy]]</f>
        <v>#VALUE!</v>
      </c>
      <c r="R6" s="45" t="e">
        <f>MIN(Table2123242526[[#This Row],[gpu-layered]:[gpu-hybrid-drop (gpuchunk 100k)2]])/Table2123242526[[#This Row],[gpu-hybrid-copy]]</f>
        <v>#DIV/0!</v>
      </c>
      <c r="S6" s="28">
        <f>MIN(Table2123242526[[#This Row],[G2AIMD (pingpong)]], Table2123242526[[#This Row],[gpu-layered]])</f>
        <v>0</v>
      </c>
      <c r="T6" s="28" t="e">
        <f>Table2123242526[[#This Row],[gpu-hybrid-copy]]/Table2123242526[[#This Row],[min]]</f>
        <v>#DIV/0!</v>
      </c>
      <c r="U6" s="28" t="e">
        <f>Table2123242526[[#This Row],[G2AIMD (pingpong)]]/Table2123242526[[#This Row],[gpu-layered]]</f>
        <v>#VALUE!</v>
      </c>
      <c r="V6" s="28" t="e">
        <f>Table2123242526[[#This Row],[gpu-layered]]/Table2123242526[[#This Row],[G2AIMD (pingpong)]]</f>
        <v>#VALUE!</v>
      </c>
      <c r="W6" s="25"/>
    </row>
    <row r="7" spans="3:31" hidden="1" x14ac:dyDescent="0.3">
      <c r="C7" s="9" t="s">
        <v>3901</v>
      </c>
      <c r="D7" s="11">
        <v>18483186</v>
      </c>
      <c r="E7" s="11">
        <v>523574516</v>
      </c>
      <c r="F7" s="11">
        <f>Table2123242526[[#This Row],[E]]/Table2123242526[[#This Row],[V]]</f>
        <v>28.327070668444282</v>
      </c>
      <c r="G7" s="11">
        <v>194955</v>
      </c>
      <c r="H7" s="10"/>
      <c r="I7" s="28" t="s">
        <v>3902</v>
      </c>
      <c r="J7" s="10"/>
      <c r="K7" s="10"/>
      <c r="L7" s="25"/>
      <c r="M7" s="34" t="e">
        <f>MIN(Table2123242526[[#This Row],[G2AIMD (pingpong)]:[gpu-layered]])/Table2123242526[[#This Row],[gpu-hybrid-copy]]</f>
        <v>#DIV/0!</v>
      </c>
      <c r="N7" s="10"/>
      <c r="O7" s="9"/>
      <c r="P7" s="45"/>
      <c r="Q7" s="45" t="e">
        <f>Table2123242526[[#This Row],[G2AIMD (pingpong)]]/Table2123242526[[#This Row],[gpu-hybrid-copy]]</f>
        <v>#VALUE!</v>
      </c>
      <c r="R7" s="45" t="e">
        <f>MIN(Table2123242526[[#This Row],[gpu-layered]:[gpu-hybrid-drop (gpuchunk 100k)2]])/Table2123242526[[#This Row],[gpu-hybrid-copy]]</f>
        <v>#DIV/0!</v>
      </c>
      <c r="S7" s="28">
        <f>MIN(Table2123242526[[#This Row],[G2AIMD (pingpong)]], Table2123242526[[#This Row],[gpu-layered]])</f>
        <v>0</v>
      </c>
      <c r="T7" s="28" t="e">
        <f>Table2123242526[[#This Row],[gpu-hybrid-copy]]/Table2123242526[[#This Row],[min]]</f>
        <v>#DIV/0!</v>
      </c>
      <c r="U7" s="28" t="e">
        <f>Table2123242526[[#This Row],[G2AIMD (pingpong)]]/Table2123242526[[#This Row],[gpu-layered]]</f>
        <v>#VALUE!</v>
      </c>
      <c r="V7" s="28" t="e">
        <f>Table2123242526[[#This Row],[gpu-layered]]/Table2123242526[[#This Row],[G2AIMD (pingpong)]]</f>
        <v>#VALUE!</v>
      </c>
      <c r="W7" s="25"/>
    </row>
    <row r="8" spans="3:31" hidden="1" x14ac:dyDescent="0.3">
      <c r="C8" s="11" t="s">
        <v>1460</v>
      </c>
      <c r="D8" s="11">
        <v>4512099</v>
      </c>
      <c r="E8" s="11">
        <v>163921732</v>
      </c>
      <c r="F8" s="11">
        <f>Table2123242526[[#This Row],[E]]/Table2123242526[[#This Row],[V]]</f>
        <v>36.32937397871811</v>
      </c>
      <c r="G8" s="11">
        <v>288044</v>
      </c>
      <c r="H8" s="10"/>
      <c r="I8" s="28" t="s">
        <v>3902</v>
      </c>
      <c r="J8" s="10"/>
      <c r="K8" s="10"/>
      <c r="L8" s="25"/>
      <c r="M8" s="34" t="e">
        <f>MIN(Table2123242526[[#This Row],[G2AIMD (pingpong)]:[gpu-layered]])/Table2123242526[[#This Row],[gpu-hybrid-copy]]</f>
        <v>#DIV/0!</v>
      </c>
      <c r="N8" s="10"/>
      <c r="O8" s="9"/>
      <c r="P8" s="45"/>
      <c r="Q8" s="45" t="e">
        <f>Table2123242526[[#This Row],[G2AIMD (pingpong)]]/Table2123242526[[#This Row],[gpu-hybrid-copy]]</f>
        <v>#VALUE!</v>
      </c>
      <c r="R8" s="45" t="e">
        <f>MIN(Table2123242526[[#This Row],[gpu-layered]:[gpu-hybrid-drop (gpuchunk 100k)2]])/Table2123242526[[#This Row],[gpu-hybrid-copy]]</f>
        <v>#DIV/0!</v>
      </c>
      <c r="S8" s="28">
        <f>MIN(Table2123242526[[#This Row],[G2AIMD (pingpong)]], Table2123242526[[#This Row],[gpu-layered]])</f>
        <v>0</v>
      </c>
      <c r="T8" s="28" t="e">
        <f>Table2123242526[[#This Row],[gpu-hybrid-copy]]/Table2123242526[[#This Row],[min]]</f>
        <v>#DIV/0!</v>
      </c>
      <c r="U8" s="28" t="e">
        <f>Table2123242526[[#This Row],[G2AIMD (pingpong)]]/Table2123242526[[#This Row],[gpu-layered]]</f>
        <v>#VALUE!</v>
      </c>
      <c r="V8" s="28" t="e">
        <f>Table2123242526[[#This Row],[gpu-layered]]/Table2123242526[[#This Row],[G2AIMD (pingpong)]]</f>
        <v>#VALUE!</v>
      </c>
      <c r="W8" s="25"/>
    </row>
    <row r="9" spans="3:31" hidden="1" x14ac:dyDescent="0.3">
      <c r="C9" s="9" t="s">
        <v>3900</v>
      </c>
      <c r="D9" s="11">
        <v>1069126</v>
      </c>
      <c r="E9" s="11">
        <v>112613306</v>
      </c>
      <c r="F9" s="11">
        <f>Table2123242526[[#This Row],[E]]/Table2123242526[[#This Row],[V]]</f>
        <v>105.33211801041224</v>
      </c>
      <c r="G9" s="11">
        <v>11467</v>
      </c>
      <c r="H9" s="10"/>
      <c r="I9" s="28" t="s">
        <v>3902</v>
      </c>
      <c r="J9" s="10"/>
      <c r="K9" s="10"/>
      <c r="L9" s="25"/>
      <c r="M9" s="34" t="e">
        <f>MIN(Table2123242526[[#This Row],[G2AIMD (pingpong)]:[gpu-layered]])/Table2123242526[[#This Row],[gpu-hybrid-copy]]</f>
        <v>#DIV/0!</v>
      </c>
      <c r="N9" s="10"/>
      <c r="O9" s="9"/>
      <c r="P9" s="45"/>
      <c r="Q9" s="45" t="e">
        <f>Table2123242526[[#This Row],[G2AIMD (pingpong)]]/Table2123242526[[#This Row],[gpu-hybrid-copy]]</f>
        <v>#VALUE!</v>
      </c>
      <c r="R9" s="45" t="e">
        <f>MIN(Table2123242526[[#This Row],[gpu-layered]:[gpu-hybrid-drop (gpuchunk 100k)2]])/Table2123242526[[#This Row],[gpu-hybrid-copy]]</f>
        <v>#DIV/0!</v>
      </c>
      <c r="S9" s="28">
        <f>MIN(Table2123242526[[#This Row],[G2AIMD (pingpong)]], Table2123242526[[#This Row],[gpu-layered]])</f>
        <v>0</v>
      </c>
      <c r="T9" s="28" t="e">
        <f>Table2123242526[[#This Row],[gpu-hybrid-copy]]/Table2123242526[[#This Row],[min]]</f>
        <v>#DIV/0!</v>
      </c>
      <c r="U9" s="28" t="e">
        <f>Table2123242526[[#This Row],[G2AIMD (pingpong)]]/Table2123242526[[#This Row],[gpu-layered]]</f>
        <v>#VALUE!</v>
      </c>
      <c r="V9" s="28" t="e">
        <f>Table2123242526[[#This Row],[gpu-layered]]/Table2123242526[[#This Row],[G2AIMD (pingpong)]]</f>
        <v>#VALUE!</v>
      </c>
      <c r="W9" s="25"/>
    </row>
    <row r="10" spans="3:31" hidden="1" x14ac:dyDescent="0.3">
      <c r="C10" s="9" t="s">
        <v>1427</v>
      </c>
      <c r="D10" s="11">
        <v>2105723</v>
      </c>
      <c r="E10" s="11">
        <v>100093818</v>
      </c>
      <c r="F10" s="11">
        <f>Table2123242526[[#This Row],[E]]/Table2123242526[[#This Row],[V]]</f>
        <v>47.534180896537677</v>
      </c>
      <c r="G10" s="11">
        <v>218818</v>
      </c>
      <c r="H10" s="10"/>
      <c r="I10" s="28" t="s">
        <v>3902</v>
      </c>
      <c r="J10" s="10"/>
      <c r="K10" s="10"/>
      <c r="L10" s="25"/>
      <c r="M10" s="34" t="e">
        <f>MIN(Table2123242526[[#This Row],[G2AIMD (pingpong)]:[gpu-layered]])/Table2123242526[[#This Row],[gpu-hybrid-copy]]</f>
        <v>#DIV/0!</v>
      </c>
      <c r="N10" s="10"/>
      <c r="O10" s="9"/>
      <c r="P10" s="45"/>
      <c r="Q10" s="45" t="e">
        <f>Table2123242526[[#This Row],[G2AIMD (pingpong)]]/Table2123242526[[#This Row],[gpu-hybrid-copy]]</f>
        <v>#VALUE!</v>
      </c>
      <c r="R10" s="45" t="e">
        <f>MIN(Table2123242526[[#This Row],[gpu-layered]:[gpu-hybrid-drop (gpuchunk 100k)2]])/Table2123242526[[#This Row],[gpu-hybrid-copy]]</f>
        <v>#DIV/0!</v>
      </c>
      <c r="S10" s="28">
        <f>MIN(Table2123242526[[#This Row],[G2AIMD (pingpong)]], Table2123242526[[#This Row],[gpu-layered]])</f>
        <v>0</v>
      </c>
      <c r="T10" s="28" t="e">
        <f>Table2123242526[[#This Row],[gpu-hybrid-copy]]/Table2123242526[[#This Row],[min]]</f>
        <v>#DIV/0!</v>
      </c>
      <c r="U10" s="28" t="e">
        <f>Table2123242526[[#This Row],[G2AIMD (pingpong)]]/Table2123242526[[#This Row],[gpu-layered]]</f>
        <v>#VALUE!</v>
      </c>
      <c r="V10" s="28" t="e">
        <f>Table2123242526[[#This Row],[gpu-layered]]/Table2123242526[[#This Row],[G2AIMD (pingpong)]]</f>
        <v>#VALUE!</v>
      </c>
      <c r="W10" s="25"/>
    </row>
    <row r="11" spans="3:31" hidden="1" x14ac:dyDescent="0.3">
      <c r="C11" s="11" t="s">
        <v>1424</v>
      </c>
      <c r="D11" s="11">
        <v>2302925</v>
      </c>
      <c r="E11" s="11">
        <v>45676552</v>
      </c>
      <c r="F11" s="11">
        <f>Table2123242526[[#This Row],[E]]/Table2123242526[[#This Row],[V]]</f>
        <v>19.834146574465084</v>
      </c>
      <c r="G11" s="11">
        <v>27937</v>
      </c>
      <c r="H11" s="10"/>
      <c r="I11" s="28" t="s">
        <v>3902</v>
      </c>
      <c r="J11" s="10"/>
      <c r="K11" s="10"/>
      <c r="L11" s="25"/>
      <c r="M11" s="34" t="e">
        <f>MIN(Table2123242526[[#This Row],[G2AIMD (pingpong)]:[gpu-layered]])/Table2123242526[[#This Row],[gpu-hybrid-copy]]</f>
        <v>#DIV/0!</v>
      </c>
      <c r="N11" s="10"/>
      <c r="O11" s="9"/>
      <c r="P11" s="45"/>
      <c r="Q11" s="45" t="e">
        <f>Table2123242526[[#This Row],[G2AIMD (pingpong)]]/Table2123242526[[#This Row],[gpu-hybrid-copy]]</f>
        <v>#VALUE!</v>
      </c>
      <c r="R11" s="45" t="e">
        <f>MIN(Table2123242526[[#This Row],[gpu-layered]:[gpu-hybrid-drop (gpuchunk 100k)2]])/Table2123242526[[#This Row],[gpu-hybrid-copy]]</f>
        <v>#DIV/0!</v>
      </c>
      <c r="S11" s="28">
        <f>MIN(Table2123242526[[#This Row],[G2AIMD (pingpong)]], Table2123242526[[#This Row],[gpu-layered]])</f>
        <v>0</v>
      </c>
      <c r="T11" s="28" t="e">
        <f>Table2123242526[[#This Row],[gpu-hybrid-copy]]/Table2123242526[[#This Row],[min]]</f>
        <v>#DIV/0!</v>
      </c>
      <c r="U11" s="28" t="e">
        <f>Table2123242526[[#This Row],[G2AIMD (pingpong)]]/Table2123242526[[#This Row],[gpu-layered]]</f>
        <v>#VALUE!</v>
      </c>
      <c r="V11" s="28" t="e">
        <f>Table2123242526[[#This Row],[gpu-layered]]/Table2123242526[[#This Row],[G2AIMD (pingpong)]]</f>
        <v>#VALUE!</v>
      </c>
      <c r="W11" s="25"/>
    </row>
    <row r="12" spans="3:31" hidden="1" x14ac:dyDescent="0.3">
      <c r="C12" s="11" t="s">
        <v>1465</v>
      </c>
      <c r="D12" s="11">
        <v>68349466</v>
      </c>
      <c r="E12" s="11">
        <v>3623698684</v>
      </c>
      <c r="F12" s="11">
        <f>Table2123242526[[#This Row],[E]]/Table2123242526[[#This Row],[V]]</f>
        <v>53.017220119905545</v>
      </c>
      <c r="G12" s="11">
        <v>5214</v>
      </c>
      <c r="H12" s="10"/>
      <c r="I12" s="28" t="s">
        <v>3904</v>
      </c>
      <c r="J12" s="10"/>
      <c r="K12" s="10"/>
      <c r="L12" s="25"/>
      <c r="M12" s="34" t="e">
        <f>MIN(Table2123242526[[#This Row],[G2AIMD (pingpong)]:[gpu-layered]])/Table2123242526[[#This Row],[gpu-hybrid-copy]]</f>
        <v>#DIV/0!</v>
      </c>
      <c r="N12" s="10"/>
      <c r="O12" s="9"/>
      <c r="P12" s="45"/>
      <c r="Q12" s="45" t="e">
        <f>Table2123242526[[#This Row],[G2AIMD (pingpong)]]/Table2123242526[[#This Row],[gpu-hybrid-copy]]</f>
        <v>#VALUE!</v>
      </c>
      <c r="R12" s="45" t="e">
        <f>MIN(Table2123242526[[#This Row],[gpu-layered]:[gpu-hybrid-drop (gpuchunk 100k)2]])/Table2123242526[[#This Row],[gpu-hybrid-copy]]</f>
        <v>#DIV/0!</v>
      </c>
      <c r="S12" s="28">
        <f>MIN(Table2123242526[[#This Row],[G2AIMD (pingpong)]], Table2123242526[[#This Row],[gpu-layered]])</f>
        <v>0</v>
      </c>
      <c r="T12" s="28" t="e">
        <f>Table2123242526[[#This Row],[gpu-hybrid-copy]]/Table2123242526[[#This Row],[min]]</f>
        <v>#DIV/0!</v>
      </c>
      <c r="U12" s="28" t="e">
        <f>Table2123242526[[#This Row],[G2AIMD (pingpong)]]/Table2123242526[[#This Row],[gpu-layered]]</f>
        <v>#VALUE!</v>
      </c>
      <c r="V12" s="28" t="e">
        <f>Table2123242526[[#This Row],[gpu-layered]]/Table2123242526[[#This Row],[G2AIMD (pingpong)]]</f>
        <v>#VALUE!</v>
      </c>
      <c r="W12" s="25"/>
    </row>
    <row r="13" spans="3:31" hidden="1" x14ac:dyDescent="0.3">
      <c r="C13" s="9" t="s">
        <v>3914</v>
      </c>
      <c r="D13" s="11">
        <v>147925593</v>
      </c>
      <c r="E13" s="11">
        <v>893533906</v>
      </c>
      <c r="F13" s="11">
        <f>Table2123242526[[#This Row],[E]]/Table2123242526[[#This Row],[V]]</f>
        <v>6.0404280819749694</v>
      </c>
      <c r="G13" s="11">
        <v>308477</v>
      </c>
      <c r="H13" s="10"/>
      <c r="I13" s="28" t="s">
        <v>3904</v>
      </c>
      <c r="J13" s="10"/>
      <c r="K13" s="10"/>
      <c r="L13" s="25"/>
      <c r="M13" s="34" t="e">
        <f>MIN(Table2123242526[[#This Row],[G2AIMD (pingpong)]:[gpu-layered]])/Table2123242526[[#This Row],[gpu-hybrid-copy]]</f>
        <v>#DIV/0!</v>
      </c>
      <c r="N13" s="10"/>
      <c r="O13" s="9"/>
      <c r="P13" s="45"/>
      <c r="Q13" s="45" t="e">
        <f>Table2123242526[[#This Row],[G2AIMD (pingpong)]]/Table2123242526[[#This Row],[gpu-hybrid-copy]]</f>
        <v>#VALUE!</v>
      </c>
      <c r="R13" s="45" t="e">
        <f>MIN(Table2123242526[[#This Row],[gpu-layered]:[gpu-hybrid-drop (gpuchunk 100k)2]])/Table2123242526[[#This Row],[gpu-hybrid-copy]]</f>
        <v>#DIV/0!</v>
      </c>
      <c r="S13" s="28">
        <f>MIN(Table2123242526[[#This Row],[G2AIMD (pingpong)]], Table2123242526[[#This Row],[gpu-layered]])</f>
        <v>0</v>
      </c>
      <c r="T13" s="28" t="e">
        <f>Table2123242526[[#This Row],[gpu-hybrid-copy]]/Table2123242526[[#This Row],[min]]</f>
        <v>#DIV/0!</v>
      </c>
      <c r="U13" s="28" t="e">
        <f>Table2123242526[[#This Row],[G2AIMD (pingpong)]]/Table2123242526[[#This Row],[gpu-layered]]</f>
        <v>#VALUE!</v>
      </c>
      <c r="V13" s="28" t="e">
        <f>Table2123242526[[#This Row],[gpu-layered]]/Table2123242526[[#This Row],[G2AIMD (pingpong)]]</f>
        <v>#VALUE!</v>
      </c>
      <c r="W13" s="25"/>
    </row>
    <row r="14" spans="3:31" hidden="1" x14ac:dyDescent="0.3">
      <c r="C14" s="11" t="s">
        <v>1417</v>
      </c>
      <c r="D14" s="11">
        <v>5203763</v>
      </c>
      <c r="E14" s="11">
        <v>97419242</v>
      </c>
      <c r="F14" s="11">
        <f>Table2123242526[[#This Row],[E]]/Table2123242526[[#This Row],[V]]</f>
        <v>18.72092214806862</v>
      </c>
      <c r="G14" s="11">
        <v>15016</v>
      </c>
      <c r="H14" s="10"/>
      <c r="I14" s="28" t="s">
        <v>3921</v>
      </c>
      <c r="J14" s="10"/>
      <c r="K14" s="10"/>
      <c r="L14" s="25"/>
      <c r="M14" s="34" t="e">
        <f>MIN(Table2123242526[[#This Row],[G2AIMD (pingpong)]:[gpu-layered]])/Table2123242526[[#This Row],[gpu-hybrid-copy]]</f>
        <v>#DIV/0!</v>
      </c>
      <c r="N14" s="10"/>
      <c r="O14" s="9"/>
      <c r="P14" s="45"/>
      <c r="Q14" s="45" t="e">
        <f>Table2123242526[[#This Row],[G2AIMD (pingpong)]]/Table2123242526[[#This Row],[gpu-hybrid-copy]]</f>
        <v>#VALUE!</v>
      </c>
      <c r="R14" s="45" t="e">
        <f>MIN(Table2123242526[[#This Row],[gpu-layered]:[gpu-hybrid-drop (gpuchunk 100k)2]])/Table2123242526[[#This Row],[gpu-hybrid-copy]]</f>
        <v>#DIV/0!</v>
      </c>
      <c r="S14" s="28">
        <f>MIN(Table2123242526[[#This Row],[G2AIMD (pingpong)]], Table2123242526[[#This Row],[gpu-layered]])</f>
        <v>0</v>
      </c>
      <c r="T14" s="28" t="e">
        <f>Table2123242526[[#This Row],[gpu-hybrid-copy]]/Table2123242526[[#This Row],[min]]</f>
        <v>#DIV/0!</v>
      </c>
      <c r="U14" s="28" t="e">
        <f>Table2123242526[[#This Row],[G2AIMD (pingpong)]]/Table2123242526[[#This Row],[gpu-layered]]</f>
        <v>#VALUE!</v>
      </c>
      <c r="V14" s="28" t="e">
        <f>Table2123242526[[#This Row],[gpu-layered]]/Table2123242526[[#This Row],[G2AIMD (pingpong)]]</f>
        <v>#VALUE!</v>
      </c>
      <c r="W14" s="25"/>
    </row>
    <row r="15" spans="3:31" hidden="1" x14ac:dyDescent="0.3">
      <c r="C15" s="11" t="s">
        <v>1435</v>
      </c>
      <c r="D15" s="11">
        <v>4846609</v>
      </c>
      <c r="E15" s="11">
        <v>85702474</v>
      </c>
      <c r="F15" s="11">
        <f>Table2123242526[[#This Row],[E]]/Table2123242526[[#This Row],[V]]</f>
        <v>17.682976695664948</v>
      </c>
      <c r="G15" s="11">
        <v>20333</v>
      </c>
      <c r="H15" s="10"/>
      <c r="I15" s="28" t="s">
        <v>3921</v>
      </c>
      <c r="J15" s="10"/>
      <c r="K15" s="10"/>
      <c r="L15" s="25"/>
      <c r="M15" s="34" t="e">
        <f>MIN(Table2123242526[[#This Row],[G2AIMD (pingpong)]:[gpu-layered]])/Table2123242526[[#This Row],[gpu-hybrid-copy]]</f>
        <v>#DIV/0!</v>
      </c>
      <c r="N15" s="10"/>
      <c r="O15" s="9"/>
      <c r="P15" s="45"/>
      <c r="Q15" s="45" t="e">
        <f>Table2123242526[[#This Row],[G2AIMD (pingpong)]]/Table2123242526[[#This Row],[gpu-hybrid-copy]]</f>
        <v>#VALUE!</v>
      </c>
      <c r="R15" s="45" t="e">
        <f>MIN(Table2123242526[[#This Row],[gpu-layered]:[gpu-hybrid-drop (gpuchunk 100k)2]])/Table2123242526[[#This Row],[gpu-hybrid-copy]]</f>
        <v>#DIV/0!</v>
      </c>
      <c r="S15" s="28">
        <f>MIN(Table2123242526[[#This Row],[G2AIMD (pingpong)]], Table2123242526[[#This Row],[gpu-layered]])</f>
        <v>0</v>
      </c>
      <c r="T15" s="28" t="e">
        <f>Table2123242526[[#This Row],[gpu-hybrid-copy]]/Table2123242526[[#This Row],[min]]</f>
        <v>#DIV/0!</v>
      </c>
      <c r="U15" s="28" t="e">
        <f>Table2123242526[[#This Row],[G2AIMD (pingpong)]]/Table2123242526[[#This Row],[gpu-layered]]</f>
        <v>#VALUE!</v>
      </c>
      <c r="V15" s="28" t="e">
        <f>Table2123242526[[#This Row],[gpu-layered]]/Table2123242526[[#This Row],[G2AIMD (pingpong)]]</f>
        <v>#VALUE!</v>
      </c>
      <c r="W15" s="25"/>
    </row>
    <row r="16" spans="3:31" ht="24" x14ac:dyDescent="0.3">
      <c r="C16" s="9" t="s">
        <v>11</v>
      </c>
      <c r="D16" s="38">
        <v>2394385</v>
      </c>
      <c r="E16" s="38">
        <v>9319130</v>
      </c>
      <c r="F16" s="38">
        <f>Table2123242526[[#This Row],[E]]/Table2123242526[[#This Row],[V]]</f>
        <v>3.8920766710449657</v>
      </c>
      <c r="G16" s="38">
        <v>100029</v>
      </c>
      <c r="H16" s="39">
        <v>86333306</v>
      </c>
      <c r="I16" s="41">
        <v>3.3782510000000001</v>
      </c>
      <c r="J16" s="41">
        <v>2.6237210000000002</v>
      </c>
      <c r="K16" s="86">
        <v>2.555885</v>
      </c>
      <c r="L16" s="78">
        <v>2.8055430000000001</v>
      </c>
      <c r="M16" s="184">
        <f>MIN(Table2123242526[[#This Row],[G2AIMD (pingpong)]:[gpu-layered]])/Table2123242526[[#This Row],[gpu-hybrid-copy]]</f>
        <v>1.4860214737078197</v>
      </c>
      <c r="N16" s="76">
        <v>1.765601</v>
      </c>
      <c r="O16" s="71">
        <v>11.48353</v>
      </c>
      <c r="P16" s="71">
        <v>2.5116809999999998</v>
      </c>
      <c r="Q16" s="165">
        <f>Table2123242526[[#This Row],[G2AIMD (pingpong)]]/Table2123242526[[#This Row],[gpu-hybrid-copy]]</f>
        <v>1.9133717074242709</v>
      </c>
      <c r="R16" s="165">
        <f>MIN(Table2123242526[[#This Row],[gpu-layered]:[gpu-hybrid-drop (gpuchunk 100k)2]])/Table2123242526[[#This Row],[gpu-hybrid-copy]]</f>
        <v>1.4476005620748968</v>
      </c>
      <c r="S16" s="166">
        <f>MIN(Table2123242526[[#This Row],[G2AIMD (pingpong)]], Table2123242526[[#This Row],[gpu-layered]])</f>
        <v>2.6237210000000002</v>
      </c>
      <c r="T16" s="106">
        <f>Table2123242526[[#This Row],[gpu-hybrid-copy]]/Table2123242526[[#This Row],[min]]</f>
        <v>0.6729377856868165</v>
      </c>
      <c r="U16" s="106">
        <f>Table2123242526[[#This Row],[G2AIMD (pingpong)]]/Table2123242526[[#This Row],[gpu-layered]]</f>
        <v>1.2875801199898922</v>
      </c>
      <c r="V16" s="106">
        <f>Table2123242526[[#This Row],[gpu-layered]]/Table2123242526[[#This Row],[G2AIMD (pingpong)]]</f>
        <v>0.77665069883794902</v>
      </c>
      <c r="W16" s="34">
        <f>Table2123242526[[#This Row],[gpu-layered]]/Table2123242526[[#This Row],[G2AIMD (pingpong)]]</f>
        <v>0.77665069883794902</v>
      </c>
      <c r="AA16" s="35"/>
      <c r="AC16" s="2"/>
      <c r="AE16" s="2"/>
    </row>
    <row r="17" spans="3:31" ht="24" x14ac:dyDescent="0.3">
      <c r="C17" s="11" t="s">
        <v>1449</v>
      </c>
      <c r="D17" s="38">
        <v>4799646</v>
      </c>
      <c r="E17" s="38">
        <v>63844012</v>
      </c>
      <c r="F17" s="38">
        <f>Table2123242526[[#This Row],[E]]/Table2123242526[[#This Row],[V]]</f>
        <v>13.301816842325454</v>
      </c>
      <c r="G17" s="38">
        <v>1076572</v>
      </c>
      <c r="H17" s="39">
        <v>157475935</v>
      </c>
      <c r="I17" s="41">
        <v>6.8452809999999999</v>
      </c>
      <c r="J17" s="41">
        <v>7.4556459999999998</v>
      </c>
      <c r="K17" s="86">
        <v>5.80077</v>
      </c>
      <c r="L17" s="78">
        <v>6.5721610000000004</v>
      </c>
      <c r="M17" s="184">
        <f>MIN(Table2123242526[[#This Row],[G2AIMD (pingpong)]:[gpu-layered]])/Table2123242526[[#This Row],[gpu-hybrid-copy]]</f>
        <v>1.3499341132983067</v>
      </c>
      <c r="N17" s="75">
        <v>5.0708260000000003</v>
      </c>
      <c r="O17" s="71">
        <v>23.708839000000001</v>
      </c>
      <c r="P17" s="71">
        <v>7.6292460000000002</v>
      </c>
      <c r="Q17" s="165">
        <f>Table2123242526[[#This Row],[G2AIMD (pingpong)]]/Table2123242526[[#This Row],[gpu-hybrid-copy]]</f>
        <v>1.3499341132983067</v>
      </c>
      <c r="R17" s="165">
        <f>MIN(Table2123242526[[#This Row],[gpu-layered]:[gpu-hybrid-drop (gpuchunk 100k)2]])/Table2123242526[[#This Row],[gpu-hybrid-copy]]</f>
        <v>1.1439497233784002</v>
      </c>
      <c r="S17" s="166">
        <f>MIN(Table2123242526[[#This Row],[G2AIMD (pingpong)]], Table2123242526[[#This Row],[gpu-layered]])</f>
        <v>6.8452809999999999</v>
      </c>
      <c r="T17" s="106">
        <f>Table2123242526[[#This Row],[gpu-hybrid-copy]]/Table2123242526[[#This Row],[min]]</f>
        <v>0.74077689433056149</v>
      </c>
      <c r="U17" s="106">
        <f>Table2123242526[[#This Row],[G2AIMD (pingpong)]]/Table2123242526[[#This Row],[gpu-layered]]</f>
        <v>0.91813385453118346</v>
      </c>
      <c r="V17" s="106">
        <f>Table2123242526[[#This Row],[gpu-layered]]/Table2123242526[[#This Row],[G2AIMD (pingpong)]]</f>
        <v>1.0891658063416243</v>
      </c>
      <c r="W17" s="34">
        <f>Table2123242526[[#This Row],[gpu-layered]]/Table2123242526[[#This Row],[G2AIMD (pingpong)]]</f>
        <v>1.0891658063416243</v>
      </c>
      <c r="AA17" s="35"/>
      <c r="AC17" s="2"/>
      <c r="AE17" s="2"/>
    </row>
    <row r="18" spans="3:31" ht="24" x14ac:dyDescent="0.3">
      <c r="C18" s="22" t="s">
        <v>3919</v>
      </c>
      <c r="D18" s="38">
        <v>2937612</v>
      </c>
      <c r="E18" s="38">
        <v>41919708</v>
      </c>
      <c r="F18" s="38">
        <f>Table2123242526[[#This Row],[E]]/Table2123242526[[#This Row],[V]]</f>
        <v>14.269994812112696</v>
      </c>
      <c r="G18" s="38">
        <v>4356</v>
      </c>
      <c r="H18" s="39">
        <v>27593398</v>
      </c>
      <c r="I18" s="41">
        <v>0.62366100000000002</v>
      </c>
      <c r="J18" s="41">
        <v>0.63905199999999995</v>
      </c>
      <c r="K18" s="86">
        <v>1.176353</v>
      </c>
      <c r="L18" s="78">
        <v>1.8695850000000001</v>
      </c>
      <c r="M18" s="184">
        <f>MIN(Table2123242526[[#This Row],[G2AIMD (pingpong)]:[gpu-layered]])/Table2123242526[[#This Row],[gpu-hybrid-copy]]</f>
        <v>1.2971723327474858</v>
      </c>
      <c r="N18" s="76">
        <v>0.48078500000000002</v>
      </c>
      <c r="O18" s="71">
        <v>3.6801520000000001</v>
      </c>
      <c r="P18" s="71">
        <v>1.075196</v>
      </c>
      <c r="Q18" s="165">
        <f>Table2123242526[[#This Row],[G2AIMD (pingpong)]]/Table2123242526[[#This Row],[gpu-hybrid-copy]]</f>
        <v>1.2971723327474858</v>
      </c>
      <c r="R18" s="165">
        <f>MIN(Table2123242526[[#This Row],[gpu-layered]:[gpu-hybrid-drop (gpuchunk 100k)2]])/Table2123242526[[#This Row],[gpu-hybrid-copy]]</f>
        <v>1.3291845627463417</v>
      </c>
      <c r="S18" s="166">
        <f>MIN(Table2123242526[[#This Row],[G2AIMD (pingpong)]], Table2123242526[[#This Row],[gpu-layered]])</f>
        <v>0.62366100000000002</v>
      </c>
      <c r="T18" s="106">
        <f>Table2123242526[[#This Row],[gpu-hybrid-copy]]/Table2123242526[[#This Row],[min]]</f>
        <v>0.77090759242601348</v>
      </c>
      <c r="U18" s="106">
        <f>Table2123242526[[#This Row],[G2AIMD (pingpong)]]/Table2123242526[[#This Row],[gpu-layered]]</f>
        <v>0.97591588790896522</v>
      </c>
      <c r="V18" s="106">
        <f>Table2123242526[[#This Row],[gpu-layered]]/Table2123242526[[#This Row],[G2AIMD (pingpong)]]</f>
        <v>1.0246784711566057</v>
      </c>
      <c r="W18" s="34">
        <f>Table2123242526[[#This Row],[gpu-layered]]/Table2123242526[[#This Row],[G2AIMD (pingpong)]]</f>
        <v>1.0246784711566057</v>
      </c>
      <c r="AA18" s="35"/>
      <c r="AC18" s="2"/>
      <c r="AE18" s="2"/>
    </row>
    <row r="19" spans="3:31" ht="24" x14ac:dyDescent="0.3">
      <c r="C19" s="11" t="s">
        <v>1462</v>
      </c>
      <c r="D19" s="38">
        <v>33778221</v>
      </c>
      <c r="E19" s="38">
        <v>203595714</v>
      </c>
      <c r="F19" s="38">
        <f>Table2123242526[[#This Row],[E]]/Table2123242526[[#This Row],[V]]</f>
        <v>6.0274256006555227</v>
      </c>
      <c r="G19" s="38">
        <v>29319</v>
      </c>
      <c r="H19" s="39">
        <v>103359042</v>
      </c>
      <c r="I19" s="41">
        <v>1.6937089999999999</v>
      </c>
      <c r="J19" s="41">
        <v>2.5703559999999999</v>
      </c>
      <c r="K19" s="86">
        <v>2.2523140000000001</v>
      </c>
      <c r="L19" s="78">
        <v>7.0524610000000001</v>
      </c>
      <c r="M19" s="184">
        <f>MIN(Table2123242526[[#This Row],[G2AIMD (pingpong)]:[gpu-layered]])/Table2123242526[[#This Row],[gpu-hybrid-copy]]</f>
        <v>1.2926885672809645</v>
      </c>
      <c r="N19" s="76">
        <v>1.310222</v>
      </c>
      <c r="O19" s="71">
        <v>25.699197000000002</v>
      </c>
      <c r="P19" s="71">
        <v>7.0814329999999996</v>
      </c>
      <c r="Q19" s="165">
        <f>Table2123242526[[#This Row],[G2AIMD (pingpong)]]/Table2123242526[[#This Row],[gpu-hybrid-copy]]</f>
        <v>1.2926885672809645</v>
      </c>
      <c r="R19" s="165">
        <f>MIN(Table2123242526[[#This Row],[gpu-layered]:[gpu-hybrid-drop (gpuchunk 100k)2]])/Table2123242526[[#This Row],[gpu-hybrid-copy]]</f>
        <v>1.7190323471900184</v>
      </c>
      <c r="S19" s="166">
        <f>MIN(Table2123242526[[#This Row],[G2AIMD (pingpong)]], Table2123242526[[#This Row],[gpu-layered]])</f>
        <v>1.6937089999999999</v>
      </c>
      <c r="T19" s="106">
        <f>Table2123242526[[#This Row],[gpu-hybrid-copy]]/Table2123242526[[#This Row],[min]]</f>
        <v>0.77358153023925602</v>
      </c>
      <c r="U19" s="106">
        <f>Table2123242526[[#This Row],[G2AIMD (pingpong)]]/Table2123242526[[#This Row],[gpu-layered]]</f>
        <v>0.65893946208229526</v>
      </c>
      <c r="V19" s="106">
        <f>Table2123242526[[#This Row],[gpu-layered]]/Table2123242526[[#This Row],[G2AIMD (pingpong)]]</f>
        <v>1.517590093693781</v>
      </c>
      <c r="W19" s="34">
        <f>Table2123242526[[#This Row],[gpu-layered]]/Table2123242526[[#This Row],[G2AIMD (pingpong)]]</f>
        <v>1.517590093693781</v>
      </c>
      <c r="AA19" s="35"/>
      <c r="AC19" s="2"/>
      <c r="AE19" s="2"/>
    </row>
    <row r="20" spans="3:31" ht="24" x14ac:dyDescent="0.3">
      <c r="C20" s="22" t="s">
        <v>3920</v>
      </c>
      <c r="D20" s="38">
        <v>1632803</v>
      </c>
      <c r="E20" s="38">
        <v>44603928</v>
      </c>
      <c r="F20" s="38">
        <f>Table2123242526[[#This Row],[E]]/Table2123242526[[#This Row],[V]]</f>
        <v>27.31739713854029</v>
      </c>
      <c r="G20" s="38">
        <v>14854</v>
      </c>
      <c r="H20" s="39">
        <v>19376873</v>
      </c>
      <c r="I20" s="41">
        <v>2.154563</v>
      </c>
      <c r="J20" s="41">
        <v>0.43253999999999998</v>
      </c>
      <c r="K20" s="86">
        <v>1.138009</v>
      </c>
      <c r="L20" s="78">
        <v>1.050052</v>
      </c>
      <c r="M20" s="184">
        <f>MIN(Table2123242526[[#This Row],[G2AIMD (pingpong)]:[gpu-layered]])/Table2123242526[[#This Row],[gpu-hybrid-copy]]</f>
        <v>1.2413187469149265</v>
      </c>
      <c r="N20" s="76">
        <v>0.34845199999999998</v>
      </c>
      <c r="O20" s="71">
        <v>2.2659929999999999</v>
      </c>
      <c r="P20" s="71">
        <v>0.96733800000000003</v>
      </c>
      <c r="Q20" s="165">
        <f>Table2123242526[[#This Row],[G2AIMD (pingpong)]]/Table2123242526[[#This Row],[gpu-hybrid-copy]]</f>
        <v>6.1832418812347187</v>
      </c>
      <c r="R20" s="165">
        <f>MIN(Table2123242526[[#This Row],[gpu-layered]:[gpu-hybrid-drop (gpuchunk 100k)2]])/Table2123242526[[#This Row],[gpu-hybrid-copy]]</f>
        <v>1.2413187469149265</v>
      </c>
      <c r="S20" s="166">
        <f>MIN(Table2123242526[[#This Row],[G2AIMD (pingpong)]], Table2123242526[[#This Row],[gpu-layered]])</f>
        <v>0.43253999999999998</v>
      </c>
      <c r="T20" s="106">
        <f>Table2123242526[[#This Row],[gpu-hybrid-copy]]/Table2123242526[[#This Row],[min]]</f>
        <v>0.80559485827900312</v>
      </c>
      <c r="U20" s="106">
        <f>Table2123242526[[#This Row],[G2AIMD (pingpong)]]/Table2123242526[[#This Row],[gpu-layered]]</f>
        <v>4.9811878670180798</v>
      </c>
      <c r="V20" s="106">
        <f>Table2123242526[[#This Row],[gpu-layered]]/Table2123242526[[#This Row],[G2AIMD (pingpong)]]</f>
        <v>0.2007553271823567</v>
      </c>
      <c r="W20" s="34">
        <f>Table2123242526[[#This Row],[gpu-layered]]/Table2123242526[[#This Row],[G2AIMD (pingpong)]]</f>
        <v>0.2007553271823567</v>
      </c>
      <c r="AA20" s="35"/>
      <c r="AC20" s="2"/>
      <c r="AE20" s="2"/>
    </row>
    <row r="21" spans="3:31" ht="24" x14ac:dyDescent="0.3">
      <c r="C21" s="9" t="s">
        <v>1371</v>
      </c>
      <c r="D21" s="38">
        <v>2140198</v>
      </c>
      <c r="E21" s="38">
        <v>34029892</v>
      </c>
      <c r="F21" s="38">
        <f>Table2123242526[[#This Row],[E]]/Table2123242526[[#This Row],[V]]</f>
        <v>15.900347537938078</v>
      </c>
      <c r="G21" s="38">
        <v>97848</v>
      </c>
      <c r="H21" s="39">
        <v>19365288</v>
      </c>
      <c r="I21" s="41">
        <v>0.85894899999999996</v>
      </c>
      <c r="J21" s="41">
        <v>0.85916800000000004</v>
      </c>
      <c r="K21" s="86">
        <v>1.517344</v>
      </c>
      <c r="L21" s="78">
        <v>2.1469619999999998</v>
      </c>
      <c r="M21" s="184">
        <f>MIN(Table2123242526[[#This Row],[G2AIMD (pingpong)]:[gpu-layered]])/Table2123242526[[#This Row],[gpu-hybrid-copy]]</f>
        <v>1.2046311632323057</v>
      </c>
      <c r="N21" s="76">
        <v>0.71303899999999998</v>
      </c>
      <c r="O21" s="71">
        <v>3.3648449999999999</v>
      </c>
      <c r="P21" s="71">
        <v>1.127974</v>
      </c>
      <c r="Q21" s="165">
        <f>Table2123242526[[#This Row],[G2AIMD (pingpong)]]/Table2123242526[[#This Row],[gpu-hybrid-copy]]</f>
        <v>1.2046311632323057</v>
      </c>
      <c r="R21" s="165">
        <f>MIN(Table2123242526[[#This Row],[gpu-layered]:[gpu-hybrid-drop (gpuchunk 100k)2]])/Table2123242526[[#This Row],[gpu-hybrid-copy]]</f>
        <v>1.2049382993076116</v>
      </c>
      <c r="S21" s="166">
        <f>MIN(Table2123242526[[#This Row],[G2AIMD (pingpong)]], Table2123242526[[#This Row],[gpu-layered]])</f>
        <v>0.85894899999999996</v>
      </c>
      <c r="T21" s="106">
        <f>Table2123242526[[#This Row],[gpu-hybrid-copy]]/Table2123242526[[#This Row],[min]]</f>
        <v>0.83012961188615386</v>
      </c>
      <c r="U21" s="106">
        <f>Table2123242526[[#This Row],[G2AIMD (pingpong)]]/Table2123242526[[#This Row],[gpu-layered]]</f>
        <v>0.99974510223844459</v>
      </c>
      <c r="V21" s="106">
        <f>Table2123242526[[#This Row],[gpu-layered]]/Table2123242526[[#This Row],[G2AIMD (pingpong)]]</f>
        <v>1.00025496275099</v>
      </c>
      <c r="W21" s="34">
        <f>Table2123242526[[#This Row],[gpu-layered]]/Table2123242526[[#This Row],[G2AIMD (pingpong)]]</f>
        <v>1.00025496275099</v>
      </c>
      <c r="AA21" s="35"/>
      <c r="AC21" s="2"/>
      <c r="AE21" s="2"/>
    </row>
    <row r="22" spans="3:31" ht="24" x14ac:dyDescent="0.3">
      <c r="C22" s="11" t="s">
        <v>1346</v>
      </c>
      <c r="D22" s="38">
        <v>1696415</v>
      </c>
      <c r="E22" s="38">
        <v>22190596</v>
      </c>
      <c r="F22" s="38">
        <f>Table2123242526[[#This Row],[E]]/Table2123242526[[#This Row],[V]]</f>
        <v>13.080877025963575</v>
      </c>
      <c r="G22" s="38">
        <v>35455</v>
      </c>
      <c r="H22" s="39">
        <v>37322355</v>
      </c>
      <c r="I22" s="41">
        <v>1.300643</v>
      </c>
      <c r="J22" s="41">
        <v>1.6876949999999999</v>
      </c>
      <c r="K22" s="86">
        <v>1.8380110000000001</v>
      </c>
      <c r="L22" s="78">
        <v>2.1884269999999999</v>
      </c>
      <c r="M22" s="184">
        <f>MIN(Table2123242526[[#This Row],[G2AIMD (pingpong)]:[gpu-layered]])/Table2123242526[[#This Row],[gpu-hybrid-copy]]</f>
        <v>1.1982909762625356</v>
      </c>
      <c r="N22" s="76">
        <v>1.085415</v>
      </c>
      <c r="O22" s="71">
        <v>7.0529869999999999</v>
      </c>
      <c r="P22" s="71">
        <v>2.076346</v>
      </c>
      <c r="Q22" s="165">
        <f>Table2123242526[[#This Row],[G2AIMD (pingpong)]]/Table2123242526[[#This Row],[gpu-hybrid-copy]]</f>
        <v>1.1982909762625356</v>
      </c>
      <c r="R22" s="165">
        <f>MIN(Table2123242526[[#This Row],[gpu-layered]:[gpu-hybrid-drop (gpuchunk 100k)2]])/Table2123242526[[#This Row],[gpu-hybrid-copy]]</f>
        <v>1.5548845372507289</v>
      </c>
      <c r="S22" s="166">
        <f>MIN(Table2123242526[[#This Row],[G2AIMD (pingpong)]], Table2123242526[[#This Row],[gpu-layered]])</f>
        <v>1.300643</v>
      </c>
      <c r="T22" s="106">
        <f>Table2123242526[[#This Row],[gpu-hybrid-copy]]/Table2123242526[[#This Row],[min]]</f>
        <v>0.83452184803977725</v>
      </c>
      <c r="U22" s="106">
        <f>Table2123242526[[#This Row],[G2AIMD (pingpong)]]/Table2123242526[[#This Row],[gpu-layered]]</f>
        <v>0.77066235309105025</v>
      </c>
      <c r="V22" s="106">
        <f>Table2123242526[[#This Row],[gpu-layered]]/Table2123242526[[#This Row],[G2AIMD (pingpong)]]</f>
        <v>1.2975851175149522</v>
      </c>
      <c r="W22" s="34">
        <f>Table2123242526[[#This Row],[gpu-layered]]/Table2123242526[[#This Row],[G2AIMD (pingpong)]]</f>
        <v>1.2975851175149522</v>
      </c>
      <c r="AA22" s="35"/>
      <c r="AC22" s="2"/>
      <c r="AE22" s="2"/>
    </row>
    <row r="23" spans="3:31" ht="24" x14ac:dyDescent="0.3">
      <c r="C23" s="11" t="s">
        <v>1461</v>
      </c>
      <c r="D23" s="38">
        <v>33777768</v>
      </c>
      <c r="E23" s="38">
        <v>274478882</v>
      </c>
      <c r="F23" s="38">
        <f>Table2123242526[[#This Row],[E]]/Table2123242526[[#This Row],[V]]</f>
        <v>8.1260218851642296</v>
      </c>
      <c r="G23" s="38">
        <v>1057783</v>
      </c>
      <c r="H23" s="39">
        <v>152479402</v>
      </c>
      <c r="I23" s="41">
        <v>3.8363990000000001</v>
      </c>
      <c r="J23" s="41">
        <v>4.7929389999999996</v>
      </c>
      <c r="K23" s="86">
        <v>4.2029290000000001</v>
      </c>
      <c r="L23" s="78">
        <v>9.0543630000000004</v>
      </c>
      <c r="M23" s="184">
        <f>MIN(Table2123242526[[#This Row],[G2AIMD (pingpong)]:[gpu-layered]])/Table2123242526[[#This Row],[gpu-hybrid-copy]]</f>
        <v>1.1876282193961372</v>
      </c>
      <c r="N23" s="76">
        <v>3.2303030000000001</v>
      </c>
      <c r="O23" s="71">
        <v>18.665141999999999</v>
      </c>
      <c r="P23" s="71">
        <v>7.6161149999999997</v>
      </c>
      <c r="Q23" s="165">
        <f>Table2123242526[[#This Row],[G2AIMD (pingpong)]]/Table2123242526[[#This Row],[gpu-hybrid-copy]]</f>
        <v>1.1876282193961372</v>
      </c>
      <c r="R23" s="165">
        <f>MIN(Table2123242526[[#This Row],[gpu-layered]:[gpu-hybrid-drop (gpuchunk 100k)2]])/Table2123242526[[#This Row],[gpu-hybrid-copy]]</f>
        <v>1.3010943555449752</v>
      </c>
      <c r="S23" s="166">
        <f>MIN(Table2123242526[[#This Row],[G2AIMD (pingpong)]], Table2123242526[[#This Row],[gpu-layered]])</f>
        <v>3.8363990000000001</v>
      </c>
      <c r="T23" s="106">
        <f>Table2123242526[[#This Row],[gpu-hybrid-copy]]/Table2123242526[[#This Row],[min]]</f>
        <v>0.84201434730850466</v>
      </c>
      <c r="U23" s="106">
        <f>Table2123242526[[#This Row],[G2AIMD (pingpong)]]/Table2123242526[[#This Row],[gpu-layered]]</f>
        <v>0.80042725350771216</v>
      </c>
      <c r="V23" s="106">
        <f>Table2123242526[[#This Row],[gpu-layered]]/Table2123242526[[#This Row],[G2AIMD (pingpong)]]</f>
        <v>1.2493327727381849</v>
      </c>
      <c r="W23" s="34">
        <f>Table2123242526[[#This Row],[gpu-layered]]/Table2123242526[[#This Row],[G2AIMD (pingpong)]]</f>
        <v>1.2493327727381849</v>
      </c>
      <c r="AA23" s="35"/>
      <c r="AC23" s="2"/>
      <c r="AE23" s="2"/>
    </row>
    <row r="24" spans="3:31" ht="24" x14ac:dyDescent="0.3">
      <c r="C24" s="9" t="s">
        <v>1442</v>
      </c>
      <c r="D24" s="38">
        <v>3370462</v>
      </c>
      <c r="E24" s="38">
        <v>143901836</v>
      </c>
      <c r="F24" s="38">
        <f>Table2123242526[[#This Row],[E]]/Table2123242526[[#This Row],[V]]</f>
        <v>42.694988402183441</v>
      </c>
      <c r="G24" s="38">
        <v>282591</v>
      </c>
      <c r="H24" s="39">
        <v>563203047</v>
      </c>
      <c r="I24" s="174">
        <v>127.82051300000001</v>
      </c>
      <c r="J24" s="174">
        <v>80.39</v>
      </c>
      <c r="K24" s="175">
        <v>118.97</v>
      </c>
      <c r="L24" s="176">
        <v>90.01</v>
      </c>
      <c r="M24" s="184">
        <f>MIN(Table2123242526[[#This Row],[G2AIMD (pingpong)]:[gpu-layered]])/Table2123242526[[#This Row],[gpu-hybrid-copy]]</f>
        <v>1.1796038151137196</v>
      </c>
      <c r="N24" s="41">
        <v>68.150000000000006</v>
      </c>
      <c r="O24" s="73">
        <v>200.62130099999999</v>
      </c>
      <c r="P24" s="74">
        <v>47.39</v>
      </c>
      <c r="Q24" s="165">
        <f>Table2123242526[[#This Row],[G2AIMD (pingpong)]]/Table2123242526[[#This Row],[gpu-hybrid-copy]]</f>
        <v>1.875576126192223</v>
      </c>
      <c r="R24" s="165">
        <f>MIN(Table2123242526[[#This Row],[gpu-layered]:[gpu-hybrid-drop (gpuchunk 100k)2]])/Table2123242526[[#This Row],[gpu-hybrid-copy]]</f>
        <v>1.1796038151137196</v>
      </c>
      <c r="S24" s="166">
        <f>MIN(Table2123242526[[#This Row],[G2AIMD (pingpong)]], Table2123242526[[#This Row],[gpu-layered]])</f>
        <v>80.39</v>
      </c>
      <c r="T24" s="106">
        <f>Table2123242526[[#This Row],[gpu-hybrid-copy]]/Table2123242526[[#This Row],[min]]</f>
        <v>0.84774225649956469</v>
      </c>
      <c r="U24" s="106">
        <f>Table2123242526[[#This Row],[G2AIMD (pingpong)]]/Table2123242526[[#This Row],[gpu-layered]]</f>
        <v>1.5900051374549073</v>
      </c>
      <c r="V24" s="106">
        <f>Table2123242526[[#This Row],[gpu-layered]]/Table2123242526[[#This Row],[G2AIMD (pingpong)]]</f>
        <v>0.62892878547592745</v>
      </c>
      <c r="W24" s="34">
        <f>Table2123242526[[#This Row],[gpu-layered]]/Table2123242526[[#This Row],[G2AIMD (pingpong)]]</f>
        <v>0.62892878547592745</v>
      </c>
      <c r="AA24" s="35"/>
      <c r="AC24" s="2"/>
      <c r="AE24" s="2"/>
    </row>
    <row r="25" spans="3:31" ht="24" x14ac:dyDescent="0.3">
      <c r="C25" s="11" t="s">
        <v>7</v>
      </c>
      <c r="D25" s="38">
        <v>2584164</v>
      </c>
      <c r="E25" s="38">
        <v>56367036</v>
      </c>
      <c r="F25" s="38">
        <f>Table2123242526[[#This Row],[E]]/Table2123242526[[#This Row],[V]]</f>
        <v>21.812484037390817</v>
      </c>
      <c r="G25" s="38">
        <v>44065</v>
      </c>
      <c r="H25" s="39">
        <v>918563917</v>
      </c>
      <c r="I25" s="41">
        <v>71.662347999999994</v>
      </c>
      <c r="J25" s="41">
        <v>33.369999999999997</v>
      </c>
      <c r="K25" s="86">
        <v>47.26</v>
      </c>
      <c r="L25" s="78">
        <v>58.32</v>
      </c>
      <c r="M25" s="184">
        <f>MIN(Table2123242526[[#This Row],[G2AIMD (pingpong)]:[gpu-layered]])/Table2123242526[[#This Row],[gpu-hybrid-copy]]</f>
        <v>1.1779032827391458</v>
      </c>
      <c r="N25" s="41">
        <v>28.33</v>
      </c>
      <c r="O25" s="71">
        <v>129.14542800000001</v>
      </c>
      <c r="P25" s="74">
        <v>21.417175</v>
      </c>
      <c r="Q25" s="165">
        <f>Table2123242526[[#This Row],[G2AIMD (pingpong)]]/Table2123242526[[#This Row],[gpu-hybrid-copy]]</f>
        <v>2.5295569361101307</v>
      </c>
      <c r="R25" s="165">
        <f>MIN(Table2123242526[[#This Row],[gpu-layered]:[gpu-hybrid-drop (gpuchunk 100k)2]])/Table2123242526[[#This Row],[gpu-hybrid-copy]]</f>
        <v>1.1779032827391458</v>
      </c>
      <c r="S25" s="166">
        <f>MIN(Table2123242526[[#This Row],[G2AIMD (pingpong)]], Table2123242526[[#This Row],[gpu-layered]])</f>
        <v>33.369999999999997</v>
      </c>
      <c r="T25" s="106">
        <f>Table2123242526[[#This Row],[gpu-hybrid-copy]]/Table2123242526[[#This Row],[min]]</f>
        <v>0.84896613724902603</v>
      </c>
      <c r="U25" s="106">
        <f>Table2123242526[[#This Row],[G2AIMD (pingpong)]]/Table2123242526[[#This Row],[gpu-layered]]</f>
        <v>2.1475081810008989</v>
      </c>
      <c r="V25" s="106">
        <f>Table2123242526[[#This Row],[gpu-layered]]/Table2123242526[[#This Row],[G2AIMD (pingpong)]]</f>
        <v>0.46565596762193728</v>
      </c>
      <c r="W25" s="34">
        <f>Table2123242526[[#This Row],[gpu-layered]]/Table2123242526[[#This Row],[G2AIMD (pingpong)]]</f>
        <v>0.46565596762193728</v>
      </c>
      <c r="AA25" s="35"/>
      <c r="AC25" s="2"/>
      <c r="AE25" s="2"/>
    </row>
    <row r="26" spans="3:31" ht="24" x14ac:dyDescent="0.3">
      <c r="C26" s="9" t="s">
        <v>3917</v>
      </c>
      <c r="D26" s="38">
        <v>1791489</v>
      </c>
      <c r="E26" s="38">
        <v>50888414</v>
      </c>
      <c r="F26" s="38">
        <f>Table2123242526[[#This Row],[E]]/Table2123242526[[#This Row],[V]]</f>
        <v>28.405652504704186</v>
      </c>
      <c r="G26" s="38">
        <v>238342</v>
      </c>
      <c r="H26" s="39">
        <v>27229873</v>
      </c>
      <c r="I26" s="41">
        <v>1.3038989999999999</v>
      </c>
      <c r="J26" s="41">
        <v>1.4571909999999999</v>
      </c>
      <c r="K26" s="86">
        <v>1.8473649999999999</v>
      </c>
      <c r="L26" s="78">
        <v>2.7373289999999999</v>
      </c>
      <c r="M26" s="184">
        <f>MIN(Table2123242526[[#This Row],[G2AIMD (pingpong)]:[gpu-layered]])/Table2123242526[[#This Row],[gpu-hybrid-copy]]</f>
        <v>1.1768561967090603</v>
      </c>
      <c r="N26" s="76">
        <v>1.1079509999999999</v>
      </c>
      <c r="O26" s="71">
        <v>4.5417589999999999</v>
      </c>
      <c r="P26" s="71">
        <v>1.3929849999999999</v>
      </c>
      <c r="Q26" s="165">
        <f>Table2123242526[[#This Row],[G2AIMD (pingpong)]]/Table2123242526[[#This Row],[gpu-hybrid-copy]]</f>
        <v>1.1768561967090603</v>
      </c>
      <c r="R26" s="165">
        <f>MIN(Table2123242526[[#This Row],[gpu-layered]:[gpu-hybrid-drop (gpuchunk 100k)2]])/Table2123242526[[#This Row],[gpu-hybrid-copy]]</f>
        <v>1.315212495859474</v>
      </c>
      <c r="S26" s="166">
        <f>MIN(Table2123242526[[#This Row],[G2AIMD (pingpong)]], Table2123242526[[#This Row],[gpu-layered]])</f>
        <v>1.3038989999999999</v>
      </c>
      <c r="T26" s="106">
        <f>Table2123242526[[#This Row],[gpu-hybrid-copy]]/Table2123242526[[#This Row],[min]]</f>
        <v>0.84972148916442147</v>
      </c>
      <c r="U26" s="106">
        <f>Table2123242526[[#This Row],[G2AIMD (pingpong)]]/Table2123242526[[#This Row],[gpu-layered]]</f>
        <v>0.89480308346675208</v>
      </c>
      <c r="V26" s="106">
        <f>Table2123242526[[#This Row],[gpu-layered]]/Table2123242526[[#This Row],[G2AIMD (pingpong)]]</f>
        <v>1.1175643205493677</v>
      </c>
      <c r="W26" s="34">
        <f>Table2123242526[[#This Row],[gpu-layered]]/Table2123242526[[#This Row],[G2AIMD (pingpong)]]</f>
        <v>1.1175643205493677</v>
      </c>
      <c r="AA26" s="35"/>
      <c r="AC26" s="2"/>
      <c r="AE26" s="2"/>
    </row>
    <row r="27" spans="3:31" ht="24" x14ac:dyDescent="0.3">
      <c r="C27" s="11" t="s">
        <v>6</v>
      </c>
      <c r="D27" s="38">
        <v>3072441</v>
      </c>
      <c r="E27" s="38">
        <v>234369798</v>
      </c>
      <c r="F27" s="38">
        <f>Table2123242526[[#This Row],[E]]/Table2123242526[[#This Row],[V]]</f>
        <v>76.281301414738309</v>
      </c>
      <c r="G27" s="38">
        <v>33313</v>
      </c>
      <c r="H27" s="39">
        <v>2270456447</v>
      </c>
      <c r="I27" s="41">
        <v>85.151685000000001</v>
      </c>
      <c r="J27" s="41">
        <v>84.17</v>
      </c>
      <c r="K27" s="86">
        <v>97.4</v>
      </c>
      <c r="L27" s="78">
        <v>82.09</v>
      </c>
      <c r="M27" s="184">
        <f>MIN(Table2123242526[[#This Row],[G2AIMD (pingpong)]:[gpu-layered]])/Table2123242526[[#This Row],[gpu-hybrid-copy]]</f>
        <v>1.1492353904969963</v>
      </c>
      <c r="N27" s="41">
        <v>73.239999999999995</v>
      </c>
      <c r="O27" s="71">
        <v>281.76346699999999</v>
      </c>
      <c r="P27" s="74">
        <v>51.644970999999998</v>
      </c>
      <c r="Q27" s="165">
        <f>Table2123242526[[#This Row],[G2AIMD (pingpong)]]/Table2123242526[[#This Row],[gpu-hybrid-copy]]</f>
        <v>1.162639063353359</v>
      </c>
      <c r="R27" s="165">
        <f>MIN(Table2123242526[[#This Row],[gpu-layered]:[gpu-hybrid-drop (gpuchunk 100k)2]])/Table2123242526[[#This Row],[gpu-hybrid-copy]]</f>
        <v>1.1208356089568543</v>
      </c>
      <c r="S27" s="166">
        <f>MIN(Table2123242526[[#This Row],[G2AIMD (pingpong)]], Table2123242526[[#This Row],[gpu-layered]])</f>
        <v>84.17</v>
      </c>
      <c r="T27" s="106">
        <f>Table2123242526[[#This Row],[gpu-hybrid-copy]]/Table2123242526[[#This Row],[min]]</f>
        <v>0.87014375668290356</v>
      </c>
      <c r="U27" s="106">
        <f>Table2123242526[[#This Row],[G2AIMD (pingpong)]]/Table2123242526[[#This Row],[gpu-layered]]</f>
        <v>1.011663122252584</v>
      </c>
      <c r="V27" s="106">
        <f>Table2123242526[[#This Row],[gpu-layered]]/Table2123242526[[#This Row],[G2AIMD (pingpong)]]</f>
        <v>0.98847133794240249</v>
      </c>
      <c r="W27" s="34">
        <f>Table2123242526[[#This Row],[gpu-layered]]/Table2123242526[[#This Row],[G2AIMD (pingpong)]]</f>
        <v>0.98847133794240249</v>
      </c>
      <c r="AA27" s="35"/>
      <c r="AC27" s="2"/>
      <c r="AE27" s="2"/>
    </row>
    <row r="28" spans="3:31" ht="24" x14ac:dyDescent="0.3">
      <c r="C28" s="11" t="s">
        <v>1437</v>
      </c>
      <c r="D28" s="38">
        <v>2981204</v>
      </c>
      <c r="E28" s="38">
        <v>42832752</v>
      </c>
      <c r="F28" s="38">
        <f>Table2123242526[[#This Row],[E]]/Table2123242526[[#This Row],[V]]</f>
        <v>14.367601814568879</v>
      </c>
      <c r="G28" s="38">
        <v>385104</v>
      </c>
      <c r="H28" s="39">
        <v>35290880</v>
      </c>
      <c r="I28" s="41">
        <v>1.446725</v>
      </c>
      <c r="J28" s="41">
        <v>1.4544539999999999</v>
      </c>
      <c r="K28" s="86">
        <v>2.0601349999999998</v>
      </c>
      <c r="L28" s="78">
        <v>2.415432</v>
      </c>
      <c r="M28" s="184">
        <f>MIN(Table2123242526[[#This Row],[G2AIMD (pingpong)]:[gpu-layered]])/Table2123242526[[#This Row],[gpu-hybrid-copy]]</f>
        <v>1.1059785413138954</v>
      </c>
      <c r="N28" s="76">
        <v>1.308095</v>
      </c>
      <c r="O28" s="71">
        <v>5.6263290000000001</v>
      </c>
      <c r="P28" s="71">
        <v>2.3065820000000001</v>
      </c>
      <c r="Q28" s="165">
        <f>Table2123242526[[#This Row],[G2AIMD (pingpong)]]/Table2123242526[[#This Row],[gpu-hybrid-copy]]</f>
        <v>1.1059785413138954</v>
      </c>
      <c r="R28" s="165">
        <f>MIN(Table2123242526[[#This Row],[gpu-layered]:[gpu-hybrid-drop (gpuchunk 100k)2]])/Table2123242526[[#This Row],[gpu-hybrid-copy]]</f>
        <v>1.1118871335797476</v>
      </c>
      <c r="S28" s="166">
        <f>MIN(Table2123242526[[#This Row],[G2AIMD (pingpong)]], Table2123242526[[#This Row],[gpu-layered]])</f>
        <v>1.446725</v>
      </c>
      <c r="T28" s="106">
        <f>Table2123242526[[#This Row],[gpu-hybrid-copy]]/Table2123242526[[#This Row],[min]]</f>
        <v>0.90417667490366171</v>
      </c>
      <c r="U28" s="106">
        <f>Table2123242526[[#This Row],[G2AIMD (pingpong)]]/Table2123242526[[#This Row],[gpu-layered]]</f>
        <v>0.99468597838089079</v>
      </c>
      <c r="V28" s="106">
        <f>Table2123242526[[#This Row],[gpu-layered]]/Table2123242526[[#This Row],[G2AIMD (pingpong)]]</f>
        <v>1.0053424113082996</v>
      </c>
      <c r="W28" s="34">
        <f>Table2123242526[[#This Row],[gpu-layered]]/Table2123242526[[#This Row],[G2AIMD (pingpong)]]</f>
        <v>1.0053424113082996</v>
      </c>
      <c r="AA28" s="35"/>
      <c r="AC28" s="2"/>
      <c r="AE28" s="2"/>
    </row>
    <row r="29" spans="3:31" ht="24" x14ac:dyDescent="0.3">
      <c r="C29" s="22" t="s">
        <v>3912</v>
      </c>
      <c r="D29" s="38">
        <v>4033138</v>
      </c>
      <c r="E29" s="38">
        <v>55866126</v>
      </c>
      <c r="F29" s="38">
        <f>Table2123242526[[#This Row],[E]]/Table2123242526[[#This Row],[V]]</f>
        <v>13.851776457934244</v>
      </c>
      <c r="G29" s="38">
        <v>2651</v>
      </c>
      <c r="H29" s="39">
        <v>38413666</v>
      </c>
      <c r="I29" s="41">
        <v>1.571016</v>
      </c>
      <c r="J29" s="41">
        <v>2.039167</v>
      </c>
      <c r="K29" s="86">
        <v>2.1893090000000002</v>
      </c>
      <c r="L29" s="78">
        <v>3.2643270000000002</v>
      </c>
      <c r="M29" s="184">
        <f>MIN(Table2123242526[[#This Row],[G2AIMD (pingpong)]:[gpu-layered]])/Table2123242526[[#This Row],[gpu-hybrid-copy]]</f>
        <v>1.0911379112040871</v>
      </c>
      <c r="N29" s="76">
        <v>1.4397960000000001</v>
      </c>
      <c r="O29" s="71">
        <v>6.711659</v>
      </c>
      <c r="P29" s="71">
        <v>4.0897119999999996</v>
      </c>
      <c r="Q29" s="165">
        <f>Table2123242526[[#This Row],[G2AIMD (pingpong)]]/Table2123242526[[#This Row],[gpu-hybrid-copy]]</f>
        <v>1.0911379112040871</v>
      </c>
      <c r="R29" s="165">
        <f>MIN(Table2123242526[[#This Row],[gpu-layered]:[gpu-hybrid-drop (gpuchunk 100k)2]])/Table2123242526[[#This Row],[gpu-hybrid-copy]]</f>
        <v>1.4162888353627874</v>
      </c>
      <c r="S29" s="166">
        <f>MIN(Table2123242526[[#This Row],[G2AIMD (pingpong)]], Table2123242526[[#This Row],[gpu-layered]])</f>
        <v>1.571016</v>
      </c>
      <c r="T29" s="106">
        <f>Table2123242526[[#This Row],[gpu-hybrid-copy]]/Table2123242526[[#This Row],[min]]</f>
        <v>0.91647443437877152</v>
      </c>
      <c r="U29" s="106">
        <f>Table2123242526[[#This Row],[G2AIMD (pingpong)]]/Table2123242526[[#This Row],[gpu-layered]]</f>
        <v>0.77042047071181519</v>
      </c>
      <c r="V29" s="106">
        <f>Table2123242526[[#This Row],[gpu-layered]]/Table2123242526[[#This Row],[G2AIMD (pingpong)]]</f>
        <v>1.2979925093060796</v>
      </c>
      <c r="W29" s="34">
        <f>Table2123242526[[#This Row],[gpu-layered]]/Table2123242526[[#This Row],[G2AIMD (pingpong)]]</f>
        <v>1.2979925093060796</v>
      </c>
      <c r="AA29" s="35"/>
      <c r="AC29" s="2"/>
      <c r="AE29" s="2"/>
    </row>
    <row r="30" spans="3:31" ht="24" x14ac:dyDescent="0.3">
      <c r="C30" s="11" t="s">
        <v>1404</v>
      </c>
      <c r="D30" s="38">
        <v>2939627</v>
      </c>
      <c r="E30" s="38">
        <v>20974994</v>
      </c>
      <c r="F30" s="38">
        <f>Table2123242526[[#This Row],[E]]/Table2123242526[[#This Row],[V]]</f>
        <v>7.1352569560695969</v>
      </c>
      <c r="G30" s="38">
        <v>916719</v>
      </c>
      <c r="H30" s="39">
        <v>49558992</v>
      </c>
      <c r="I30" s="41">
        <v>3.7311160000000001</v>
      </c>
      <c r="J30" s="41">
        <v>3.5483899999999999</v>
      </c>
      <c r="K30" s="86">
        <v>4.0436699999999997</v>
      </c>
      <c r="L30" s="78">
        <v>4.8350030000000004</v>
      </c>
      <c r="M30" s="184">
        <f>MIN(Table2123242526[[#This Row],[G2AIMD (pingpong)]:[gpu-layered]])/Table2123242526[[#This Row],[gpu-hybrid-copy]]</f>
        <v>1.0906525245769423</v>
      </c>
      <c r="N30" s="40">
        <v>3.2534559999999999</v>
      </c>
      <c r="O30" s="71">
        <v>5.7104470000000003</v>
      </c>
      <c r="P30" s="74">
        <v>2.0374910000000002</v>
      </c>
      <c r="Q30" s="165">
        <f>Table2123242526[[#This Row],[G2AIMD (pingpong)]]/Table2123242526[[#This Row],[gpu-hybrid-copy]]</f>
        <v>1.1468161856192307</v>
      </c>
      <c r="R30" s="165">
        <f>MIN(Table2123242526[[#This Row],[gpu-layered]:[gpu-hybrid-drop (gpuchunk 100k)2]])/Table2123242526[[#This Row],[gpu-hybrid-copy]]</f>
        <v>1.0906525245769423</v>
      </c>
      <c r="S30" s="166">
        <f>MIN(Table2123242526[[#This Row],[G2AIMD (pingpong)]], Table2123242526[[#This Row],[gpu-layered]])</f>
        <v>3.5483899999999999</v>
      </c>
      <c r="T30" s="106">
        <f>Table2123242526[[#This Row],[gpu-hybrid-copy]]/Table2123242526[[#This Row],[min]]</f>
        <v>0.91688230436902374</v>
      </c>
      <c r="U30" s="106">
        <f>Table2123242526[[#This Row],[G2AIMD (pingpong)]]/Table2123242526[[#This Row],[gpu-layered]]</f>
        <v>1.0514954669582544</v>
      </c>
      <c r="V30" s="106">
        <f>Table2123242526[[#This Row],[gpu-layered]]/Table2123242526[[#This Row],[G2AIMD (pingpong)]]</f>
        <v>0.95102644892305677</v>
      </c>
      <c r="W30" s="34">
        <f>Table2123242526[[#This Row],[gpu-layered]]/Table2123242526[[#This Row],[G2AIMD (pingpong)]]</f>
        <v>0.95102644892305677</v>
      </c>
      <c r="AA30" s="35"/>
      <c r="AC30" s="2"/>
      <c r="AE30" s="2"/>
    </row>
    <row r="31" spans="3:31" ht="24" x14ac:dyDescent="0.3">
      <c r="C31" s="11" t="s">
        <v>1425</v>
      </c>
      <c r="D31" s="38">
        <v>5005932</v>
      </c>
      <c r="E31" s="38">
        <v>33083838</v>
      </c>
      <c r="F31" s="38">
        <f>Table2123242526[[#This Row],[E]]/Table2123242526[[#This Row],[V]]</f>
        <v>6.6089267692809255</v>
      </c>
      <c r="G31" s="38">
        <v>1208022</v>
      </c>
      <c r="H31" s="39">
        <v>48080344</v>
      </c>
      <c r="I31" s="41">
        <v>3.2148729999999999</v>
      </c>
      <c r="J31" s="41">
        <v>3.403111</v>
      </c>
      <c r="K31" s="86">
        <v>3.6741229999999998</v>
      </c>
      <c r="L31" s="78">
        <v>4.1567860000000003</v>
      </c>
      <c r="M31" s="184">
        <f>MIN(Table2123242526[[#This Row],[G2AIMD (pingpong)]:[gpu-layered]])/Table2123242526[[#This Row],[gpu-hybrid-copy]]</f>
        <v>1.0818761921299567</v>
      </c>
      <c r="N31" s="40">
        <v>2.9715720000000001</v>
      </c>
      <c r="O31" s="71">
        <v>5.9442469999999998</v>
      </c>
      <c r="P31" s="74">
        <v>2.8253370000000002</v>
      </c>
      <c r="Q31" s="165">
        <f>Table2123242526[[#This Row],[G2AIMD (pingpong)]]/Table2123242526[[#This Row],[gpu-hybrid-copy]]</f>
        <v>1.0818761921299567</v>
      </c>
      <c r="R31" s="165">
        <f>MIN(Table2123242526[[#This Row],[gpu-layered]:[gpu-hybrid-drop (gpuchunk 100k)2]])/Table2123242526[[#This Row],[gpu-hybrid-copy]]</f>
        <v>1.145222461377345</v>
      </c>
      <c r="S31" s="166">
        <f>MIN(Table2123242526[[#This Row],[G2AIMD (pingpong)]], Table2123242526[[#This Row],[gpu-layered]])</f>
        <v>3.2148729999999999</v>
      </c>
      <c r="T31" s="106">
        <f>Table2123242526[[#This Row],[gpu-hybrid-copy]]/Table2123242526[[#This Row],[min]]</f>
        <v>0.92432018309899033</v>
      </c>
      <c r="U31" s="106">
        <f>Table2123242526[[#This Row],[G2AIMD (pingpong)]]/Table2123242526[[#This Row],[gpu-layered]]</f>
        <v>0.94468649421073836</v>
      </c>
      <c r="V31" s="106">
        <f>Table2123242526[[#This Row],[gpu-layered]]/Table2123242526[[#This Row],[G2AIMD (pingpong)]]</f>
        <v>1.0585522351893839</v>
      </c>
      <c r="W31" s="34">
        <f>Table2123242526[[#This Row],[gpu-layered]]/Table2123242526[[#This Row],[G2AIMD (pingpong)]]</f>
        <v>1.0585522351893839</v>
      </c>
      <c r="AA31" s="35"/>
      <c r="AC31" s="2"/>
      <c r="AE31" s="2"/>
    </row>
    <row r="32" spans="3:31" ht="24" x14ac:dyDescent="0.3">
      <c r="C32" s="9" t="s">
        <v>1402</v>
      </c>
      <c r="D32" s="38">
        <v>2132864</v>
      </c>
      <c r="E32" s="38">
        <v>17441248</v>
      </c>
      <c r="F32" s="38">
        <f>Table2123242526[[#This Row],[E]]/Table2123242526[[#This Row],[V]]</f>
        <v>8.1773840244853861</v>
      </c>
      <c r="G32" s="38">
        <v>306136</v>
      </c>
      <c r="H32" s="39">
        <v>11329220</v>
      </c>
      <c r="I32" s="41">
        <v>0.99414100000000005</v>
      </c>
      <c r="J32" s="41">
        <v>0.85337799999999997</v>
      </c>
      <c r="K32" s="86">
        <v>1.5811599999999999</v>
      </c>
      <c r="L32" s="78">
        <v>1.9229080000000001</v>
      </c>
      <c r="M32" s="184">
        <f>MIN(Table2123242526[[#This Row],[G2AIMD (pingpong)]:[gpu-layered]])/Table2123242526[[#This Row],[gpu-hybrid-copy]]</f>
        <v>1.0788351213246727</v>
      </c>
      <c r="N32" s="76">
        <v>0.791018</v>
      </c>
      <c r="O32" s="71">
        <v>1.8110040000000001</v>
      </c>
      <c r="P32" s="71">
        <v>1.1210039999999999</v>
      </c>
      <c r="Q32" s="165">
        <f>Table2123242526[[#This Row],[G2AIMD (pingpong)]]/Table2123242526[[#This Row],[gpu-hybrid-copy]]</f>
        <v>1.2567868240672146</v>
      </c>
      <c r="R32" s="165">
        <f>MIN(Table2123242526[[#This Row],[gpu-layered]:[gpu-hybrid-drop (gpuchunk 100k)2]])/Table2123242526[[#This Row],[gpu-hybrid-copy]]</f>
        <v>1.0788351213246727</v>
      </c>
      <c r="S32" s="166">
        <f>MIN(Table2123242526[[#This Row],[G2AIMD (pingpong)]], Table2123242526[[#This Row],[gpu-layered]])</f>
        <v>0.85337799999999997</v>
      </c>
      <c r="T32" s="106">
        <f>Table2123242526[[#This Row],[gpu-hybrid-copy]]/Table2123242526[[#This Row],[min]]</f>
        <v>0.92692569998289154</v>
      </c>
      <c r="U32" s="106">
        <f>Table2123242526[[#This Row],[G2AIMD (pingpong)]]/Table2123242526[[#This Row],[gpu-layered]]</f>
        <v>1.1649480066277782</v>
      </c>
      <c r="V32" s="106">
        <f>Table2123242526[[#This Row],[gpu-layered]]/Table2123242526[[#This Row],[G2AIMD (pingpong)]]</f>
        <v>0.85840740900938595</v>
      </c>
      <c r="W32" s="34">
        <f>Table2123242526[[#This Row],[gpu-layered]]/Table2123242526[[#This Row],[G2AIMD (pingpong)]]</f>
        <v>0.85840740900938595</v>
      </c>
      <c r="AA32" s="35"/>
      <c r="AC32" s="2"/>
      <c r="AE32" s="2"/>
    </row>
    <row r="33" spans="3:37" ht="24" x14ac:dyDescent="0.3">
      <c r="C33" s="11" t="s">
        <v>1448</v>
      </c>
      <c r="D33" s="38">
        <v>5267977</v>
      </c>
      <c r="E33" s="38">
        <v>55363430</v>
      </c>
      <c r="F33" s="38">
        <f>Table2123242526[[#This Row],[E]]/Table2123242526[[#This Row],[V]]</f>
        <v>10.509428951569074</v>
      </c>
      <c r="G33" s="38">
        <v>590528</v>
      </c>
      <c r="H33" s="39">
        <v>99655585</v>
      </c>
      <c r="I33" s="41">
        <v>3.4353509999999998</v>
      </c>
      <c r="J33" s="41">
        <v>3.8903150000000002</v>
      </c>
      <c r="K33" s="86">
        <v>3.8480089999999998</v>
      </c>
      <c r="L33" s="78">
        <v>4.5217689999999999</v>
      </c>
      <c r="M33" s="184">
        <f>MIN(Table2123242526[[#This Row],[G2AIMD (pingpong)]:[gpu-layered]])/Table2123242526[[#This Row],[gpu-hybrid-copy]]</f>
        <v>1.0717419721157175</v>
      </c>
      <c r="N33" s="76">
        <v>3.20539</v>
      </c>
      <c r="O33" s="71">
        <v>16.841013</v>
      </c>
      <c r="P33" s="71">
        <v>5.4122669999999999</v>
      </c>
      <c r="Q33" s="165">
        <f>Table2123242526[[#This Row],[G2AIMD (pingpong)]]/Table2123242526[[#This Row],[gpu-hybrid-copy]]</f>
        <v>1.0717419721157175</v>
      </c>
      <c r="R33" s="165">
        <f>MIN(Table2123242526[[#This Row],[gpu-layered]:[gpu-hybrid-drop (gpuchunk 100k)2]])/Table2123242526[[#This Row],[gpu-hybrid-copy]]</f>
        <v>1.2004807527321169</v>
      </c>
      <c r="S33" s="166">
        <f>MIN(Table2123242526[[#This Row],[G2AIMD (pingpong)]], Table2123242526[[#This Row],[gpu-layered]])</f>
        <v>3.4353509999999998</v>
      </c>
      <c r="T33" s="106">
        <f>Table2123242526[[#This Row],[gpu-hybrid-copy]]/Table2123242526[[#This Row],[min]]</f>
        <v>0.93306040634566889</v>
      </c>
      <c r="U33" s="106">
        <f>Table2123242526[[#This Row],[G2AIMD (pingpong)]]/Table2123242526[[#This Row],[gpu-layered]]</f>
        <v>0.88305214359248541</v>
      </c>
      <c r="V33" s="106">
        <f>Table2123242526[[#This Row],[gpu-layered]]/Table2123242526[[#This Row],[G2AIMD (pingpong)]]</f>
        <v>1.1324359577813157</v>
      </c>
      <c r="W33" s="34">
        <f>Table2123242526[[#This Row],[gpu-layered]]/Table2123242526[[#This Row],[G2AIMD (pingpong)]]</f>
        <v>1.1324359577813157</v>
      </c>
      <c r="AA33" s="35"/>
      <c r="AC33" s="2"/>
      <c r="AE33" s="2"/>
    </row>
    <row r="34" spans="3:37" ht="24" x14ac:dyDescent="0.3">
      <c r="C34" s="9" t="s">
        <v>1445</v>
      </c>
      <c r="D34" s="38">
        <v>2148791</v>
      </c>
      <c r="E34" s="38">
        <v>155750262</v>
      </c>
      <c r="F34" s="38">
        <f>Table2123242526[[#This Row],[E]]/Table2123242526[[#This Row],[V]]</f>
        <v>72.482741225181968</v>
      </c>
      <c r="G34" s="38">
        <v>286585</v>
      </c>
      <c r="H34" s="39">
        <v>147929073</v>
      </c>
      <c r="I34" s="41">
        <v>33.766888999999999</v>
      </c>
      <c r="J34" s="41">
        <v>38.719047000000003</v>
      </c>
      <c r="K34" s="86">
        <v>32.214925999999998</v>
      </c>
      <c r="L34" s="78">
        <v>37.533554000000002</v>
      </c>
      <c r="M34" s="184">
        <f>MIN(Table2123242526[[#This Row],[G2AIMD (pingpong)]:[gpu-layered]])/Table2123242526[[#This Row],[gpu-hybrid-copy]]</f>
        <v>1.0645554915285165</v>
      </c>
      <c r="N34" s="41">
        <v>31.719238000000001</v>
      </c>
      <c r="O34" s="71">
        <v>110.60061399999999</v>
      </c>
      <c r="P34" s="74">
        <v>23.840702</v>
      </c>
      <c r="Q34" s="165">
        <f>Table2123242526[[#This Row],[G2AIMD (pingpong)]]/Table2123242526[[#This Row],[gpu-hybrid-copy]]</f>
        <v>1.0645554915285165</v>
      </c>
      <c r="R34" s="165">
        <f>MIN(Table2123242526[[#This Row],[gpu-layered]:[gpu-hybrid-drop (gpuchunk 100k)2]])/Table2123242526[[#This Row],[gpu-hybrid-copy]]</f>
        <v>1.0156273615400218</v>
      </c>
      <c r="S34" s="166">
        <f>MIN(Table2123242526[[#This Row],[G2AIMD (pingpong)]], Table2123242526[[#This Row],[gpu-layered]])</f>
        <v>33.766888999999999</v>
      </c>
      <c r="T34" s="106">
        <f>Table2123242526[[#This Row],[gpu-hybrid-copy]]/Table2123242526[[#This Row],[min]]</f>
        <v>0.93935920481155377</v>
      </c>
      <c r="U34" s="106">
        <f>Table2123242526[[#This Row],[G2AIMD (pingpong)]]/Table2123242526[[#This Row],[gpu-layered]]</f>
        <v>0.8721002094912097</v>
      </c>
      <c r="V34" s="106">
        <f>Table2123242526[[#This Row],[gpu-layered]]/Table2123242526[[#This Row],[G2AIMD (pingpong)]]</f>
        <v>1.1466572179628394</v>
      </c>
      <c r="W34" s="34">
        <f>Table2123242526[[#This Row],[gpu-layered]]/Table2123242526[[#This Row],[G2AIMD (pingpong)]]</f>
        <v>1.1466572179628394</v>
      </c>
      <c r="AA34" s="35"/>
      <c r="AC34" s="2"/>
      <c r="AE34" s="2"/>
    </row>
    <row r="35" spans="3:37" ht="24" x14ac:dyDescent="0.3">
      <c r="C35" s="9" t="s">
        <v>1452</v>
      </c>
      <c r="D35" s="38">
        <v>3175009</v>
      </c>
      <c r="E35" s="38">
        <v>206621674</v>
      </c>
      <c r="F35" s="38">
        <f>Table2123242526[[#This Row],[E]]/Table2123242526[[#This Row],[V]]</f>
        <v>65.077508126748612</v>
      </c>
      <c r="G35" s="38">
        <v>369566</v>
      </c>
      <c r="H35" s="39">
        <v>67547002</v>
      </c>
      <c r="I35" s="40">
        <v>433.71</v>
      </c>
      <c r="J35" s="41">
        <v>492.73</v>
      </c>
      <c r="K35" s="86">
        <v>408.37694099999999</v>
      </c>
      <c r="L35" s="78">
        <v>451.19485300000002</v>
      </c>
      <c r="M35" s="184">
        <f>MIN(Table2123242526[[#This Row],[G2AIMD (pingpong)]:[gpu-layered]])/Table2123242526[[#This Row],[gpu-hybrid-copy]]</f>
        <v>1.0625385193487147</v>
      </c>
      <c r="N35" s="41">
        <v>408.18284899999998</v>
      </c>
      <c r="O35" s="72">
        <v>346.19295299999999</v>
      </c>
      <c r="P35" s="74">
        <v>102.65375299999999</v>
      </c>
      <c r="Q35" s="165">
        <f>Table2123242526[[#This Row],[G2AIMD (pingpong)]]/Table2123242526[[#This Row],[gpu-hybrid-copy]]</f>
        <v>1.0625385193487147</v>
      </c>
      <c r="R35" s="165">
        <f>MIN(Table2123242526[[#This Row],[gpu-layered]:[gpu-hybrid-drop (gpuchunk 100k)2]])/Table2123242526[[#This Row],[gpu-hybrid-copy]]</f>
        <v>1.0004755025853622</v>
      </c>
      <c r="S35" s="166">
        <f>MIN(Table2123242526[[#This Row],[G2AIMD (pingpong)]], Table2123242526[[#This Row],[gpu-layered]])</f>
        <v>433.71</v>
      </c>
      <c r="T35" s="106">
        <f>Table2123242526[[#This Row],[gpu-hybrid-copy]]/Table2123242526[[#This Row],[min]]</f>
        <v>0.94114235087962006</v>
      </c>
      <c r="U35" s="106">
        <f>Table2123242526[[#This Row],[G2AIMD (pingpong)]]/Table2123242526[[#This Row],[gpu-layered]]</f>
        <v>0.88021837517504509</v>
      </c>
      <c r="V35" s="106">
        <f>Table2123242526[[#This Row],[gpu-layered]]/Table2123242526[[#This Row],[G2AIMD (pingpong)]]</f>
        <v>1.1360817135874202</v>
      </c>
      <c r="W35" s="34">
        <f>Table2123242526[[#This Row],[gpu-layered]]/Table2123242526[[#This Row],[G2AIMD (pingpong)]]</f>
        <v>1.1360817135874202</v>
      </c>
      <c r="AA35" s="35"/>
      <c r="AC35" s="2"/>
      <c r="AE35" s="2"/>
    </row>
    <row r="36" spans="3:37" ht="24" x14ac:dyDescent="0.3">
      <c r="C36" s="9" t="s">
        <v>1414</v>
      </c>
      <c r="D36" s="38">
        <v>3033373</v>
      </c>
      <c r="E36" s="38">
        <v>87691916</v>
      </c>
      <c r="F36" s="38">
        <f>Table2123242526[[#This Row],[E]]/Table2123242526[[#This Row],[V]]</f>
        <v>28.909044815787574</v>
      </c>
      <c r="G36" s="38">
        <v>275166</v>
      </c>
      <c r="H36" s="39">
        <v>118034566</v>
      </c>
      <c r="I36" s="41">
        <v>8.8155560000000008</v>
      </c>
      <c r="J36" s="41">
        <v>11.389962000000001</v>
      </c>
      <c r="K36" s="86">
        <v>8.9545709999999996</v>
      </c>
      <c r="L36" s="78">
        <v>11.162184</v>
      </c>
      <c r="M36" s="184">
        <f>MIN(Table2123242526[[#This Row],[G2AIMD (pingpong)]:[gpu-layered]])/Table2123242526[[#This Row],[gpu-hybrid-copy]]</f>
        <v>1.0584435293857741</v>
      </c>
      <c r="N36" s="75">
        <v>8.328792</v>
      </c>
      <c r="O36" s="71">
        <v>24.346118000000001</v>
      </c>
      <c r="P36" s="71">
        <v>9.3502709999999993</v>
      </c>
      <c r="Q36" s="165">
        <f>Table2123242526[[#This Row],[G2AIMD (pingpong)]]/Table2123242526[[#This Row],[gpu-hybrid-copy]]</f>
        <v>1.0584435293857741</v>
      </c>
      <c r="R36" s="165">
        <f>MIN(Table2123242526[[#This Row],[gpu-layered]:[gpu-hybrid-drop (gpuchunk 100k)2]])/Table2123242526[[#This Row],[gpu-hybrid-copy]]</f>
        <v>1.0751344252563877</v>
      </c>
      <c r="S36" s="166">
        <f>MIN(Table2123242526[[#This Row],[G2AIMD (pingpong)]], Table2123242526[[#This Row],[gpu-layered]])</f>
        <v>8.8155560000000008</v>
      </c>
      <c r="T36" s="106">
        <f>Table2123242526[[#This Row],[gpu-hybrid-copy]]/Table2123242526[[#This Row],[min]]</f>
        <v>0.94478351677421135</v>
      </c>
      <c r="U36" s="106">
        <f>Table2123242526[[#This Row],[G2AIMD (pingpong)]]/Table2123242526[[#This Row],[gpu-layered]]</f>
        <v>0.77397589210569806</v>
      </c>
      <c r="V36" s="106">
        <f>Table2123242526[[#This Row],[gpu-layered]]/Table2123242526[[#This Row],[G2AIMD (pingpong)]]</f>
        <v>1.2920299071323464</v>
      </c>
      <c r="W36" s="34">
        <f>Table2123242526[[#This Row],[gpu-layered]]/Table2123242526[[#This Row],[G2AIMD (pingpong)]]</f>
        <v>1.2920299071323464</v>
      </c>
      <c r="AA36" s="35"/>
      <c r="AC36" s="2"/>
      <c r="AE36" s="2"/>
    </row>
    <row r="37" spans="3:37" ht="24" x14ac:dyDescent="0.3">
      <c r="C37" s="11" t="s">
        <v>1440</v>
      </c>
      <c r="D37" s="38">
        <v>5812931</v>
      </c>
      <c r="E37" s="38">
        <v>54238524</v>
      </c>
      <c r="F37" s="38">
        <f>Table2123242526[[#This Row],[E]]/Table2123242526[[#This Row],[V]]</f>
        <v>9.3306670937604448</v>
      </c>
      <c r="G37" s="38">
        <v>3504033</v>
      </c>
      <c r="H37" s="39">
        <v>72022415</v>
      </c>
      <c r="I37" s="41">
        <v>5.1042110000000003</v>
      </c>
      <c r="J37" s="41">
        <v>5.3348269999999998</v>
      </c>
      <c r="K37" s="86">
        <v>5.4931109999999999</v>
      </c>
      <c r="L37" s="78">
        <v>6.3343030000000002</v>
      </c>
      <c r="M37" s="184">
        <f>MIN(Table2123242526[[#This Row],[G2AIMD (pingpong)]:[gpu-layered]])/Table2123242526[[#This Row],[gpu-hybrid-copy]]</f>
        <v>1.0562034696836198</v>
      </c>
      <c r="N37" s="41">
        <v>4.8326019999999996</v>
      </c>
      <c r="O37" s="71">
        <v>9.5797369999999997</v>
      </c>
      <c r="P37" s="74">
        <v>3.0204589999999998</v>
      </c>
      <c r="Q37" s="165">
        <f>Table2123242526[[#This Row],[G2AIMD (pingpong)]]/Table2123242526[[#This Row],[gpu-hybrid-copy]]</f>
        <v>1.0562034696836198</v>
      </c>
      <c r="R37" s="165">
        <f>MIN(Table2123242526[[#This Row],[gpu-layered]:[gpu-hybrid-drop (gpuchunk 100k)2]])/Table2123242526[[#This Row],[gpu-hybrid-copy]]</f>
        <v>1.1039243455182115</v>
      </c>
      <c r="S37" s="166">
        <f>MIN(Table2123242526[[#This Row],[G2AIMD (pingpong)]], Table2123242526[[#This Row],[gpu-layered]])</f>
        <v>5.1042110000000003</v>
      </c>
      <c r="T37" s="106">
        <f>Table2123242526[[#This Row],[gpu-hybrid-copy]]/Table2123242526[[#This Row],[min]]</f>
        <v>0.94678727035383126</v>
      </c>
      <c r="U37" s="106">
        <f>Table2123242526[[#This Row],[G2AIMD (pingpong)]]/Table2123242526[[#This Row],[gpu-layered]]</f>
        <v>0.95677160665191219</v>
      </c>
      <c r="V37" s="106">
        <f>Table2123242526[[#This Row],[gpu-layered]]/Table2123242526[[#This Row],[G2AIMD (pingpong)]]</f>
        <v>1.0451815177703272</v>
      </c>
      <c r="W37" s="34">
        <f>Table2123242526[[#This Row],[gpu-layered]]/Table2123242526[[#This Row],[G2AIMD (pingpong)]]</f>
        <v>1.0451815177703272</v>
      </c>
      <c r="AA37" s="35"/>
      <c r="AC37" s="2"/>
      <c r="AE37" s="2"/>
    </row>
    <row r="38" spans="3:37" ht="24" x14ac:dyDescent="0.3">
      <c r="C38" s="11" t="s">
        <v>4</v>
      </c>
      <c r="D38" s="38">
        <v>1203995</v>
      </c>
      <c r="E38" s="38">
        <v>40033816</v>
      </c>
      <c r="F38" s="38">
        <f>Table2123242526[[#This Row],[E]]/Table2123242526[[#This Row],[V]]</f>
        <v>33.250815825647116</v>
      </c>
      <c r="G38" s="38">
        <v>81090</v>
      </c>
      <c r="H38" s="39">
        <v>148294115</v>
      </c>
      <c r="I38" s="41">
        <v>3.9173870000000002</v>
      </c>
      <c r="J38" s="41">
        <v>5.7804260000000003</v>
      </c>
      <c r="K38" s="86">
        <v>4.4764730000000004</v>
      </c>
      <c r="L38" s="78">
        <v>5.3686949999999998</v>
      </c>
      <c r="M38" s="184">
        <f>MIN(Table2123242526[[#This Row],[G2AIMD (pingpong)]:[gpu-layered]])/Table2123242526[[#This Row],[gpu-hybrid-copy]]</f>
        <v>1.0550557007374426</v>
      </c>
      <c r="N38" s="75">
        <v>3.7129669999999999</v>
      </c>
      <c r="O38" s="71">
        <v>28.647296999999998</v>
      </c>
      <c r="P38" s="71">
        <v>7.8326770000000003</v>
      </c>
      <c r="Q38" s="165">
        <f>Table2123242526[[#This Row],[G2AIMD (pingpong)]]/Table2123242526[[#This Row],[gpu-hybrid-copy]]</f>
        <v>1.0550557007374426</v>
      </c>
      <c r="R38" s="165">
        <f>MIN(Table2123242526[[#This Row],[gpu-layered]:[gpu-hybrid-drop (gpuchunk 100k)2]])/Table2123242526[[#This Row],[gpu-hybrid-copy]]</f>
        <v>1.2056323150730939</v>
      </c>
      <c r="S38" s="166">
        <f>MIN(Table2123242526[[#This Row],[G2AIMD (pingpong)]], Table2123242526[[#This Row],[gpu-layered]])</f>
        <v>3.9173870000000002</v>
      </c>
      <c r="T38" s="106">
        <f>Table2123242526[[#This Row],[gpu-hybrid-copy]]/Table2123242526[[#This Row],[min]]</f>
        <v>0.94781725675813999</v>
      </c>
      <c r="U38" s="106">
        <f>Table2123242526[[#This Row],[G2AIMD (pingpong)]]/Table2123242526[[#This Row],[gpu-layered]]</f>
        <v>0.6776986678836473</v>
      </c>
      <c r="V38" s="106">
        <f>Table2123242526[[#This Row],[gpu-layered]]/Table2123242526[[#This Row],[G2AIMD (pingpong)]]</f>
        <v>1.4755820652899496</v>
      </c>
      <c r="W38" s="34">
        <f>Table2123242526[[#This Row],[gpu-layered]]/Table2123242526[[#This Row],[G2AIMD (pingpong)]]</f>
        <v>1.4755820652899496</v>
      </c>
      <c r="AA38" s="35"/>
      <c r="AC38" s="2"/>
      <c r="AE38" s="2"/>
    </row>
    <row r="39" spans="3:37" ht="24" x14ac:dyDescent="0.3">
      <c r="C39" s="9" t="s">
        <v>1438</v>
      </c>
      <c r="D39" s="38">
        <v>7891015</v>
      </c>
      <c r="E39" s="38">
        <v>127830770</v>
      </c>
      <c r="F39" s="38">
        <f>Table2123242526[[#This Row],[E]]/Table2123242526[[#This Row],[V]]</f>
        <v>16.199534533897097</v>
      </c>
      <c r="G39" s="38">
        <v>3636005</v>
      </c>
      <c r="H39" s="39">
        <v>52252646</v>
      </c>
      <c r="I39" s="41">
        <v>11.282028</v>
      </c>
      <c r="J39" s="41">
        <v>11.195107</v>
      </c>
      <c r="K39" s="86">
        <v>11.34853</v>
      </c>
      <c r="L39" s="78">
        <v>14.434450999999999</v>
      </c>
      <c r="M39" s="184">
        <f>MIN(Table2123242526[[#This Row],[G2AIMD (pingpong)]:[gpu-layered]])/Table2123242526[[#This Row],[gpu-hybrid-copy]]</f>
        <v>1.0445415504767197</v>
      </c>
      <c r="N39" s="41">
        <v>10.717722999999999</v>
      </c>
      <c r="O39" s="71">
        <v>2.9514300000000002</v>
      </c>
      <c r="P39" s="74">
        <v>2.0402999999999998</v>
      </c>
      <c r="Q39" s="165">
        <f>Table2123242526[[#This Row],[G2AIMD (pingpong)]]/Table2123242526[[#This Row],[gpu-hybrid-copy]]</f>
        <v>1.0526515753392769</v>
      </c>
      <c r="R39" s="165">
        <f>MIN(Table2123242526[[#This Row],[gpu-layered]:[gpu-hybrid-drop (gpuchunk 100k)2]])/Table2123242526[[#This Row],[gpu-hybrid-copy]]</f>
        <v>1.0445415504767197</v>
      </c>
      <c r="S39" s="166">
        <f>MIN(Table2123242526[[#This Row],[G2AIMD (pingpong)]], Table2123242526[[#This Row],[gpu-layered]])</f>
        <v>11.195107</v>
      </c>
      <c r="T39" s="106">
        <f>Table2123242526[[#This Row],[gpu-hybrid-copy]]/Table2123242526[[#This Row],[min]]</f>
        <v>0.95735779925998021</v>
      </c>
      <c r="U39" s="106">
        <f>Table2123242526[[#This Row],[G2AIMD (pingpong)]]/Table2123242526[[#This Row],[gpu-layered]]</f>
        <v>1.0077641955543615</v>
      </c>
      <c r="V39" s="106">
        <f>Table2123242526[[#This Row],[gpu-layered]]/Table2123242526[[#This Row],[G2AIMD (pingpong)]]</f>
        <v>0.99229562273733052</v>
      </c>
      <c r="W39" s="34">
        <f>Table2123242526[[#This Row],[gpu-layered]]/Table2123242526[[#This Row],[G2AIMD (pingpong)]]</f>
        <v>0.99229562273733052</v>
      </c>
      <c r="AA39" s="35"/>
      <c r="AC39" s="2"/>
      <c r="AE39" s="2"/>
      <c r="AI39" s="2"/>
      <c r="AK39" s="2"/>
    </row>
    <row r="40" spans="3:37" ht="24" x14ac:dyDescent="0.3">
      <c r="C40" s="11" t="s">
        <v>1447</v>
      </c>
      <c r="D40" s="38">
        <v>7489073</v>
      </c>
      <c r="E40" s="38">
        <v>224610814</v>
      </c>
      <c r="F40" s="38">
        <f>Table2123242526[[#This Row],[E]]/Table2123242526[[#This Row],[V]]</f>
        <v>29.991804593171945</v>
      </c>
      <c r="G40" s="38">
        <v>1053720</v>
      </c>
      <c r="H40" s="39">
        <v>148627058</v>
      </c>
      <c r="I40" s="41">
        <v>4.1408459999999998</v>
      </c>
      <c r="J40" s="41">
        <v>5.4947679999999997</v>
      </c>
      <c r="K40" s="86">
        <v>4.434202</v>
      </c>
      <c r="L40" s="78">
        <v>6.4970660000000002</v>
      </c>
      <c r="M40" s="184">
        <f>MIN(Table2123242526[[#This Row],[G2AIMD (pingpong)]:[gpu-layered]])/Table2123242526[[#This Row],[gpu-hybrid-copy]]</f>
        <v>1.0427077869573833</v>
      </c>
      <c r="N40" s="75">
        <v>3.9712429999999999</v>
      </c>
      <c r="O40" s="71">
        <v>37.416477</v>
      </c>
      <c r="P40" s="71">
        <v>5.235112</v>
      </c>
      <c r="Q40" s="165">
        <f>Table2123242526[[#This Row],[G2AIMD (pingpong)]]/Table2123242526[[#This Row],[gpu-hybrid-copy]]</f>
        <v>1.0427077869573833</v>
      </c>
      <c r="R40" s="165">
        <f>MIN(Table2123242526[[#This Row],[gpu-layered]:[gpu-hybrid-drop (gpuchunk 100k)2]])/Table2123242526[[#This Row],[gpu-hybrid-copy]]</f>
        <v>1.1165778573610328</v>
      </c>
      <c r="S40" s="166">
        <f>MIN(Table2123242526[[#This Row],[G2AIMD (pingpong)]], Table2123242526[[#This Row],[gpu-layered]])</f>
        <v>4.1408459999999998</v>
      </c>
      <c r="T40" s="106">
        <f>Table2123242526[[#This Row],[gpu-hybrid-copy]]/Table2123242526[[#This Row],[min]]</f>
        <v>0.95904146157572634</v>
      </c>
      <c r="U40" s="106">
        <f>Table2123242526[[#This Row],[G2AIMD (pingpong)]]/Table2123242526[[#This Row],[gpu-layered]]</f>
        <v>0.7535979681034759</v>
      </c>
      <c r="V40" s="106">
        <f>Table2123242526[[#This Row],[gpu-layered]]/Table2123242526[[#This Row],[G2AIMD (pingpong)]]</f>
        <v>1.3269674844222654</v>
      </c>
      <c r="W40" s="34">
        <f>Table2123242526[[#This Row],[gpu-layered]]/Table2123242526[[#This Row],[G2AIMD (pingpong)]]</f>
        <v>1.3269674844222654</v>
      </c>
      <c r="AA40" s="35"/>
      <c r="AC40" s="2"/>
      <c r="AE40" s="2"/>
      <c r="AI40" s="2"/>
      <c r="AK40" s="2"/>
    </row>
    <row r="41" spans="3:37" ht="24" x14ac:dyDescent="0.3">
      <c r="C41" s="11" t="s">
        <v>1433</v>
      </c>
      <c r="D41" s="38">
        <v>2646291</v>
      </c>
      <c r="E41" s="38">
        <v>42433496</v>
      </c>
      <c r="F41" s="38">
        <f>Table2123242526[[#This Row],[E]]/Table2123242526[[#This Row],[V]]</f>
        <v>16.035083065316702</v>
      </c>
      <c r="G41" s="38">
        <v>850681</v>
      </c>
      <c r="H41" s="39">
        <v>110149144</v>
      </c>
      <c r="I41" s="41">
        <v>3.8337750000000002</v>
      </c>
      <c r="J41" s="41">
        <v>4.6146729999999998</v>
      </c>
      <c r="K41" s="86">
        <v>4.476839</v>
      </c>
      <c r="L41" s="78">
        <v>4.8134779999999999</v>
      </c>
      <c r="M41" s="184">
        <f>MIN(Table2123242526[[#This Row],[G2AIMD (pingpong)]:[gpu-layered]])/Table2123242526[[#This Row],[gpu-hybrid-copy]]</f>
        <v>1.0417968762737897</v>
      </c>
      <c r="N41" s="76">
        <v>3.679964</v>
      </c>
      <c r="O41" s="71">
        <v>15.348898999999999</v>
      </c>
      <c r="P41" s="71">
        <v>4.8238430000000001</v>
      </c>
      <c r="Q41" s="165">
        <f>Table2123242526[[#This Row],[G2AIMD (pingpong)]]/Table2123242526[[#This Row],[gpu-hybrid-copy]]</f>
        <v>1.0417968762737897</v>
      </c>
      <c r="R41" s="165">
        <f>MIN(Table2123242526[[#This Row],[gpu-layered]:[gpu-hybrid-drop (gpuchunk 100k)2]])/Table2123242526[[#This Row],[gpu-hybrid-copy]]</f>
        <v>1.2165442379327625</v>
      </c>
      <c r="S41" s="166">
        <f>MIN(Table2123242526[[#This Row],[G2AIMD (pingpong)]], Table2123242526[[#This Row],[gpu-layered]])</f>
        <v>3.8337750000000002</v>
      </c>
      <c r="T41" s="106">
        <f>Table2123242526[[#This Row],[gpu-hybrid-copy]]/Table2123242526[[#This Row],[min]]</f>
        <v>0.95988001382449406</v>
      </c>
      <c r="U41" s="106">
        <f>Table2123242526[[#This Row],[G2AIMD (pingpong)]]/Table2123242526[[#This Row],[gpu-layered]]</f>
        <v>0.83077934232826467</v>
      </c>
      <c r="V41" s="106">
        <f>Table2123242526[[#This Row],[gpu-layered]]/Table2123242526[[#This Row],[G2AIMD (pingpong)]]</f>
        <v>1.2036890532177813</v>
      </c>
      <c r="W41" s="34">
        <f>Table2123242526[[#This Row],[gpu-layered]]/Table2123242526[[#This Row],[G2AIMD (pingpong)]]</f>
        <v>1.2036890532177813</v>
      </c>
      <c r="AA41" s="35"/>
      <c r="AC41" s="2"/>
      <c r="AE41" s="2"/>
      <c r="AI41" s="2"/>
      <c r="AK41" s="2"/>
    </row>
    <row r="42" spans="3:37" ht="24" x14ac:dyDescent="0.3">
      <c r="C42" s="11" t="s">
        <v>3</v>
      </c>
      <c r="D42" s="38">
        <v>2212663</v>
      </c>
      <c r="E42" s="38">
        <v>58330960</v>
      </c>
      <c r="F42" s="38">
        <f>Table2123242526[[#This Row],[E]]/Table2123242526[[#This Row],[V]]</f>
        <v>26.362333532038093</v>
      </c>
      <c r="G42" s="38">
        <v>137021</v>
      </c>
      <c r="H42" s="39">
        <v>1569924556</v>
      </c>
      <c r="I42" s="41">
        <v>68.285578000000001</v>
      </c>
      <c r="J42" s="41">
        <v>67.303210000000007</v>
      </c>
      <c r="K42" s="86">
        <v>75.48</v>
      </c>
      <c r="L42" s="78">
        <v>74.400000000000006</v>
      </c>
      <c r="M42" s="184">
        <f>MIN(Table2123242526[[#This Row],[G2AIMD (pingpong)]:[gpu-layered]])/Table2123242526[[#This Row],[gpu-hybrid-copy]]</f>
        <v>1.0317830752721142</v>
      </c>
      <c r="N42" s="41">
        <v>65.23</v>
      </c>
      <c r="O42" s="71">
        <v>223.255968</v>
      </c>
      <c r="P42" s="74">
        <v>33.600096000000001</v>
      </c>
      <c r="Q42" s="165">
        <f>Table2123242526[[#This Row],[G2AIMD (pingpong)]]/Table2123242526[[#This Row],[gpu-hybrid-copy]]</f>
        <v>1.0468431396596658</v>
      </c>
      <c r="R42" s="165">
        <f>MIN(Table2123242526[[#This Row],[gpu-layered]:[gpu-hybrid-drop (gpuchunk 100k)2]])/Table2123242526[[#This Row],[gpu-hybrid-copy]]</f>
        <v>1.0317830752721142</v>
      </c>
      <c r="S42" s="166">
        <f>MIN(Table2123242526[[#This Row],[G2AIMD (pingpong)]], Table2123242526[[#This Row],[gpu-layered]])</f>
        <v>67.303210000000007</v>
      </c>
      <c r="T42" s="106">
        <f>Table2123242526[[#This Row],[gpu-hybrid-copy]]/Table2123242526[[#This Row],[min]]</f>
        <v>0.96919597148486669</v>
      </c>
      <c r="U42" s="106">
        <f>Table2123242526[[#This Row],[G2AIMD (pingpong)]]/Table2123242526[[#This Row],[gpu-layered]]</f>
        <v>1.0145961537347177</v>
      </c>
      <c r="V42" s="106">
        <f>Table2123242526[[#This Row],[gpu-layered]]/Table2123242526[[#This Row],[G2AIMD (pingpong)]]</f>
        <v>0.98561382902843708</v>
      </c>
      <c r="W42" s="34">
        <f>Table2123242526[[#This Row],[gpu-layered]]/Table2123242526[[#This Row],[G2AIMD (pingpong)]]</f>
        <v>0.98561382902843708</v>
      </c>
      <c r="AA42" s="35"/>
      <c r="AC42" s="2"/>
      <c r="AE42" s="2"/>
      <c r="AI42" s="2"/>
      <c r="AK42" s="2"/>
    </row>
    <row r="43" spans="3:37" ht="24" x14ac:dyDescent="0.3">
      <c r="C43" s="11" t="s">
        <v>1423</v>
      </c>
      <c r="D43" s="38">
        <v>7570051</v>
      </c>
      <c r="E43" s="38">
        <v>43881980</v>
      </c>
      <c r="F43" s="38">
        <f>Table2123242526[[#This Row],[E]]/Table2123242526[[#This Row],[V]]</f>
        <v>5.7967878948239582</v>
      </c>
      <c r="G43" s="38">
        <v>5669991</v>
      </c>
      <c r="H43" s="39">
        <v>41148109</v>
      </c>
      <c r="I43" s="41">
        <v>12.697224</v>
      </c>
      <c r="J43" s="41">
        <v>12.580476000000001</v>
      </c>
      <c r="K43" s="86">
        <v>12.918736000000001</v>
      </c>
      <c r="L43" s="78">
        <v>13.661474</v>
      </c>
      <c r="M43" s="184">
        <f>MIN(Table2123242526[[#This Row],[G2AIMD (pingpong)]:[gpu-layered]])/Table2123242526[[#This Row],[gpu-hybrid-copy]]</f>
        <v>1.0255163764611324</v>
      </c>
      <c r="N43" s="41">
        <v>12.267455</v>
      </c>
      <c r="O43" s="71">
        <v>4.7210000000000001</v>
      </c>
      <c r="P43" s="74">
        <v>2.3150789999999999</v>
      </c>
      <c r="Q43" s="165">
        <f>Table2123242526[[#This Row],[G2AIMD (pingpong)]]/Table2123242526[[#This Row],[gpu-hybrid-copy]]</f>
        <v>1.0350332648458869</v>
      </c>
      <c r="R43" s="165">
        <f>MIN(Table2123242526[[#This Row],[gpu-layered]:[gpu-hybrid-drop (gpuchunk 100k)2]])/Table2123242526[[#This Row],[gpu-hybrid-copy]]</f>
        <v>1.0255163764611324</v>
      </c>
      <c r="S43" s="166">
        <f>MIN(Table2123242526[[#This Row],[G2AIMD (pingpong)]], Table2123242526[[#This Row],[gpu-layered]])</f>
        <v>12.580476000000001</v>
      </c>
      <c r="T43" s="106">
        <f>Table2123242526[[#This Row],[gpu-hybrid-copy]]/Table2123242526[[#This Row],[min]]</f>
        <v>0.97511850902938801</v>
      </c>
      <c r="U43" s="106">
        <f>Table2123242526[[#This Row],[G2AIMD (pingpong)]]/Table2123242526[[#This Row],[gpu-layered]]</f>
        <v>1.009280094012341</v>
      </c>
      <c r="V43" s="106">
        <f>Table2123242526[[#This Row],[gpu-layered]]/Table2123242526[[#This Row],[G2AIMD (pingpong)]]</f>
        <v>0.99080523427798084</v>
      </c>
      <c r="W43" s="34">
        <f>Table2123242526[[#This Row],[gpu-layered]]/Table2123242526[[#This Row],[G2AIMD (pingpong)]]</f>
        <v>0.99080523427798084</v>
      </c>
      <c r="AA43" s="35"/>
      <c r="AC43" s="2"/>
      <c r="AE43" s="2"/>
      <c r="AI43" s="2"/>
      <c r="AK43" s="2"/>
    </row>
    <row r="44" spans="3:37" ht="24" x14ac:dyDescent="0.3">
      <c r="C44" s="9" t="s">
        <v>1422</v>
      </c>
      <c r="D44" s="38">
        <v>2622756</v>
      </c>
      <c r="E44" s="38">
        <v>94934908</v>
      </c>
      <c r="F44" s="38">
        <f>Table2123242526[[#This Row],[E]]/Table2123242526[[#This Row],[V]]</f>
        <v>36.196622179112353</v>
      </c>
      <c r="G44" s="38">
        <v>900354</v>
      </c>
      <c r="H44" s="39">
        <v>104704438</v>
      </c>
      <c r="I44" s="41">
        <v>23.738012000000001</v>
      </c>
      <c r="J44" s="41">
        <v>27.719543999999999</v>
      </c>
      <c r="K44" s="86">
        <v>23.892412</v>
      </c>
      <c r="L44" s="78">
        <v>30.623418999999998</v>
      </c>
      <c r="M44" s="184">
        <f>MIN(Table2123242526[[#This Row],[G2AIMD (pingpong)]:[gpu-layered]])/Table2123242526[[#This Row],[gpu-hybrid-copy]]</f>
        <v>1.023148937747552</v>
      </c>
      <c r="N44" s="41">
        <v>23.200935000000001</v>
      </c>
      <c r="O44" s="71">
        <v>31.811346</v>
      </c>
      <c r="P44" s="74">
        <v>17.874461</v>
      </c>
      <c r="Q44" s="165">
        <f>Table2123242526[[#This Row],[G2AIMD (pingpong)]]/Table2123242526[[#This Row],[gpu-hybrid-copy]]</f>
        <v>1.023148937747552</v>
      </c>
      <c r="R44" s="165">
        <f>MIN(Table2123242526[[#This Row],[gpu-layered]:[gpu-hybrid-drop (gpuchunk 100k)2]])/Table2123242526[[#This Row],[gpu-hybrid-copy]]</f>
        <v>1.0298038419572315</v>
      </c>
      <c r="S44" s="166">
        <f>MIN(Table2123242526[[#This Row],[G2AIMD (pingpong)]], Table2123242526[[#This Row],[gpu-layered]])</f>
        <v>23.738012000000001</v>
      </c>
      <c r="T44" s="106">
        <f>Table2123242526[[#This Row],[gpu-hybrid-copy]]/Table2123242526[[#This Row],[min]]</f>
        <v>0.97737481133634951</v>
      </c>
      <c r="U44" s="106">
        <f>Table2123242526[[#This Row],[G2AIMD (pingpong)]]/Table2123242526[[#This Row],[gpu-layered]]</f>
        <v>0.85636372661830229</v>
      </c>
      <c r="V44" s="106">
        <f>Table2123242526[[#This Row],[gpu-layered]]/Table2123242526[[#This Row],[G2AIMD (pingpong)]]</f>
        <v>1.1677281147216538</v>
      </c>
      <c r="W44" s="34">
        <f>Table2123242526[[#This Row],[gpu-layered]]/Table2123242526[[#This Row],[G2AIMD (pingpong)]]</f>
        <v>1.1677281147216538</v>
      </c>
      <c r="AA44" s="35"/>
      <c r="AC44" s="2"/>
      <c r="AE44" s="2"/>
      <c r="AI44" s="2"/>
      <c r="AK44" s="2"/>
    </row>
    <row r="45" spans="3:37" ht="24" x14ac:dyDescent="0.3">
      <c r="C45" s="9" t="s">
        <v>3915</v>
      </c>
      <c r="D45" s="38">
        <v>25921548</v>
      </c>
      <c r="E45" s="38">
        <v>1086367222</v>
      </c>
      <c r="F45" s="38">
        <f>Table2123242526[[#This Row],[E]]/Table2123242526[[#This Row],[V]]</f>
        <v>41.909812716431901</v>
      </c>
      <c r="G45" s="38">
        <v>4271341</v>
      </c>
      <c r="H45" s="39">
        <v>568730123</v>
      </c>
      <c r="I45" s="41">
        <v>150.722433</v>
      </c>
      <c r="J45" s="41">
        <v>225.29803999999999</v>
      </c>
      <c r="K45" s="86">
        <v>147.85674399999999</v>
      </c>
      <c r="L45" s="78">
        <v>317.93592100000001</v>
      </c>
      <c r="M45" s="184">
        <f>MIN(Table2123242526[[#This Row],[G2AIMD (pingpong)]:[gpu-layered]])/Table2123242526[[#This Row],[gpu-hybrid-copy]]</f>
        <v>1.0228969811351103</v>
      </c>
      <c r="N45" s="41">
        <v>147.34859499999999</v>
      </c>
      <c r="O45" s="71">
        <v>227.71192199999999</v>
      </c>
      <c r="P45" s="74">
        <v>99.896929</v>
      </c>
      <c r="Q45" s="165">
        <f>Table2123242526[[#This Row],[G2AIMD (pingpong)]]/Table2123242526[[#This Row],[gpu-hybrid-copy]]</f>
        <v>1.0228969811351103</v>
      </c>
      <c r="R45" s="165">
        <f>MIN(Table2123242526[[#This Row],[gpu-layered]:[gpu-hybrid-drop (gpuchunk 100k)2]])/Table2123242526[[#This Row],[gpu-hybrid-copy]]</f>
        <v>1.0034486178846835</v>
      </c>
      <c r="S45" s="166">
        <f>MIN(Table2123242526[[#This Row],[G2AIMD (pingpong)]], Table2123242526[[#This Row],[gpu-layered]])</f>
        <v>150.722433</v>
      </c>
      <c r="T45" s="106">
        <f>Table2123242526[[#This Row],[gpu-hybrid-copy]]/Table2123242526[[#This Row],[min]]</f>
        <v>0.97761555507798892</v>
      </c>
      <c r="U45" s="106">
        <f>Table2123242526[[#This Row],[G2AIMD (pingpong)]]/Table2123242526[[#This Row],[gpu-layered]]</f>
        <v>0.66899131923207145</v>
      </c>
      <c r="V45" s="106">
        <f>Table2123242526[[#This Row],[gpu-layered]]/Table2123242526[[#This Row],[G2AIMD (pingpong)]]</f>
        <v>1.4947877068836859</v>
      </c>
      <c r="W45" s="34">
        <f>Table2123242526[[#This Row],[gpu-layered]]/Table2123242526[[#This Row],[G2AIMD (pingpong)]]</f>
        <v>1.4947877068836859</v>
      </c>
      <c r="AA45" s="35"/>
      <c r="AC45" s="2"/>
      <c r="AE45" s="2"/>
      <c r="AI45" s="2"/>
      <c r="AK45" s="2"/>
    </row>
    <row r="46" spans="3:37" ht="24" x14ac:dyDescent="0.3">
      <c r="C46" s="11" t="s">
        <v>1436</v>
      </c>
      <c r="D46" s="38">
        <v>3790750</v>
      </c>
      <c r="E46" s="38">
        <v>44273578</v>
      </c>
      <c r="F46" s="38">
        <f>Table2123242526[[#This Row],[E]]/Table2123242526[[#This Row],[V]]</f>
        <v>11.679371628305745</v>
      </c>
      <c r="G46" s="38">
        <v>866662</v>
      </c>
      <c r="H46" s="39">
        <v>489911259</v>
      </c>
      <c r="I46" s="41">
        <v>11.255535999999999</v>
      </c>
      <c r="J46" s="41">
        <v>20.010489</v>
      </c>
      <c r="K46" s="86">
        <v>11.006907</v>
      </c>
      <c r="L46" s="78">
        <v>12.374127</v>
      </c>
      <c r="M46" s="184">
        <f>MIN(Table2123242526[[#This Row],[G2AIMD (pingpong)]:[gpu-layered]])/Table2123242526[[#This Row],[gpu-hybrid-copy]]</f>
        <v>1.022080333413879</v>
      </c>
      <c r="N46" s="75">
        <v>11.012378999999999</v>
      </c>
      <c r="O46" s="71">
        <v>72.252588000000003</v>
      </c>
      <c r="P46" s="71">
        <v>12.491521000000001</v>
      </c>
      <c r="Q46" s="165">
        <f>Table2123242526[[#This Row],[G2AIMD (pingpong)]]/Table2123242526[[#This Row],[gpu-hybrid-copy]]</f>
        <v>1.022080333413879</v>
      </c>
      <c r="R46" s="165">
        <f>MIN(Table2123242526[[#This Row],[gpu-layered]:[gpu-hybrid-drop (gpuchunk 100k)2]])/Table2123242526[[#This Row],[gpu-hybrid-copy]]</f>
        <v>0.99950310464251191</v>
      </c>
      <c r="S46" s="166">
        <f>MIN(Table2123242526[[#This Row],[G2AIMD (pingpong)]], Table2123242526[[#This Row],[gpu-layered]])</f>
        <v>11.255535999999999</v>
      </c>
      <c r="T46" s="106">
        <f>Table2123242526[[#This Row],[gpu-hybrid-copy]]/Table2123242526[[#This Row],[min]]</f>
        <v>0.9783966752005413</v>
      </c>
      <c r="U46" s="106">
        <f>Table2123242526[[#This Row],[G2AIMD (pingpong)]]/Table2123242526[[#This Row],[gpu-layered]]</f>
        <v>0.56248180641662482</v>
      </c>
      <c r="V46" s="106">
        <f>Table2123242526[[#This Row],[gpu-layered]]/Table2123242526[[#This Row],[G2AIMD (pingpong)]]</f>
        <v>1.7778352803456008</v>
      </c>
      <c r="W46" s="34">
        <f>Table2123242526[[#This Row],[gpu-layered]]/Table2123242526[[#This Row],[G2AIMD (pingpong)]]</f>
        <v>1.7778352803456008</v>
      </c>
      <c r="AA46" s="35"/>
      <c r="AC46" s="2"/>
      <c r="AE46" s="2"/>
      <c r="AI46" s="2"/>
      <c r="AK46" s="2"/>
    </row>
    <row r="47" spans="3:37" ht="24" x14ac:dyDescent="0.3">
      <c r="C47" s="9" t="s">
        <v>1446</v>
      </c>
      <c r="D47" s="38">
        <v>6100692</v>
      </c>
      <c r="E47" s="38">
        <v>199729748</v>
      </c>
      <c r="F47" s="38">
        <f>Table2123242526[[#This Row],[E]]/Table2123242526[[#This Row],[V]]</f>
        <v>32.738867656324892</v>
      </c>
      <c r="G47" s="38">
        <v>2732817</v>
      </c>
      <c r="H47" s="39">
        <v>97362094</v>
      </c>
      <c r="I47" s="41">
        <v>59.816648000000001</v>
      </c>
      <c r="J47" s="41">
        <v>61.136302999999998</v>
      </c>
      <c r="K47" s="86">
        <v>58.869190000000003</v>
      </c>
      <c r="L47" s="78">
        <v>68.704707999999997</v>
      </c>
      <c r="M47" s="184">
        <f>MIN(Table2123242526[[#This Row],[G2AIMD (pingpong)]:[gpu-layered]])/Table2123242526[[#This Row],[gpu-hybrid-copy]]</f>
        <v>1.0214839225951176</v>
      </c>
      <c r="N47" s="41">
        <v>58.558579999999999</v>
      </c>
      <c r="O47" s="74">
        <v>32.213045000000001</v>
      </c>
      <c r="P47" s="71">
        <v>53.737893</v>
      </c>
      <c r="Q47" s="165">
        <f>Table2123242526[[#This Row],[G2AIMD (pingpong)]]/Table2123242526[[#This Row],[gpu-hybrid-copy]]</f>
        <v>1.0214839225951176</v>
      </c>
      <c r="R47" s="165">
        <f>MIN(Table2123242526[[#This Row],[gpu-layered]:[gpu-hybrid-drop (gpuchunk 100k)2]])/Table2123242526[[#This Row],[gpu-hybrid-copy]]</f>
        <v>1.0053042611347476</v>
      </c>
      <c r="S47" s="166">
        <f>MIN(Table2123242526[[#This Row],[G2AIMD (pingpong)]], Table2123242526[[#This Row],[gpu-layered]])</f>
        <v>59.816648000000001</v>
      </c>
      <c r="T47" s="106">
        <f>Table2123242526[[#This Row],[gpu-hybrid-copy]]/Table2123242526[[#This Row],[min]]</f>
        <v>0.97896792879467265</v>
      </c>
      <c r="U47" s="106">
        <f>Table2123242526[[#This Row],[G2AIMD (pingpong)]]/Table2123242526[[#This Row],[gpu-layered]]</f>
        <v>0.97841454364684111</v>
      </c>
      <c r="V47" s="106">
        <f>Table2123242526[[#This Row],[gpu-layered]]/Table2123242526[[#This Row],[G2AIMD (pingpong)]]</f>
        <v>1.0220616675143681</v>
      </c>
      <c r="W47" s="34">
        <f>Table2123242526[[#This Row],[gpu-layered]]/Table2123242526[[#This Row],[G2AIMD (pingpong)]]</f>
        <v>1.0220616675143681</v>
      </c>
      <c r="AA47" s="35"/>
      <c r="AC47" s="2"/>
      <c r="AE47" s="2"/>
      <c r="AI47" s="2"/>
      <c r="AK47" s="2"/>
    </row>
    <row r="48" spans="3:37" ht="24" x14ac:dyDescent="0.3">
      <c r="C48" s="11" t="s">
        <v>2</v>
      </c>
      <c r="D48" s="38">
        <v>4382070</v>
      </c>
      <c r="E48" s="38">
        <v>38996662</v>
      </c>
      <c r="F48" s="38">
        <f>Table2123242526[[#This Row],[E]]/Table2123242526[[#This Row],[V]]</f>
        <v>8.8991417298217517</v>
      </c>
      <c r="G48" s="38">
        <v>699764</v>
      </c>
      <c r="H48" s="39">
        <v>287608260</v>
      </c>
      <c r="I48" s="41">
        <v>7.5799459999999996</v>
      </c>
      <c r="J48" s="41">
        <v>10.682527</v>
      </c>
      <c r="K48" s="86">
        <v>8.1162390000000002</v>
      </c>
      <c r="L48" s="78">
        <v>8.8547440000000002</v>
      </c>
      <c r="M48" s="184">
        <f>MIN(Table2123242526[[#This Row],[G2AIMD (pingpong)]:[gpu-layered]])/Table2123242526[[#This Row],[gpu-hybrid-copy]]</f>
        <v>1.0207232535610433</v>
      </c>
      <c r="N48" s="75">
        <v>7.4260539999999997</v>
      </c>
      <c r="O48" s="71">
        <v>38.782924999999999</v>
      </c>
      <c r="P48" s="71">
        <v>8.0992370000000005</v>
      </c>
      <c r="Q48" s="165">
        <f>Table2123242526[[#This Row],[G2AIMD (pingpong)]]/Table2123242526[[#This Row],[gpu-hybrid-copy]]</f>
        <v>1.0207232535610433</v>
      </c>
      <c r="R48" s="165">
        <f>MIN(Table2123242526[[#This Row],[gpu-layered]:[gpu-hybrid-drop (gpuchunk 100k)2]])/Table2123242526[[#This Row],[gpu-hybrid-copy]]</f>
        <v>1.0929410155110642</v>
      </c>
      <c r="S48" s="166">
        <f>MIN(Table2123242526[[#This Row],[G2AIMD (pingpong)]], Table2123242526[[#This Row],[gpu-layered]])</f>
        <v>7.5799459999999996</v>
      </c>
      <c r="T48" s="106">
        <f>Table2123242526[[#This Row],[gpu-hybrid-copy]]/Table2123242526[[#This Row],[min]]</f>
        <v>0.9796974806944535</v>
      </c>
      <c r="U48" s="106">
        <f>Table2123242526[[#This Row],[G2AIMD (pingpong)]]/Table2123242526[[#This Row],[gpu-layered]]</f>
        <v>0.70956488104359572</v>
      </c>
      <c r="V48" s="106">
        <f>Table2123242526[[#This Row],[gpu-layered]]/Table2123242526[[#This Row],[G2AIMD (pingpong)]]</f>
        <v>1.4093143935326189</v>
      </c>
      <c r="W48" s="34">
        <f>Table2123242526[[#This Row],[gpu-layered]]/Table2123242526[[#This Row],[G2AIMD (pingpong)]]</f>
        <v>1.4093143935326189</v>
      </c>
      <c r="AA48" s="35"/>
      <c r="AC48" s="2"/>
      <c r="AE48" s="2"/>
      <c r="AI48" s="2"/>
      <c r="AK48" s="2"/>
    </row>
    <row r="49" spans="3:37" ht="24" x14ac:dyDescent="0.3">
      <c r="C49" s="11" t="s">
        <v>1411</v>
      </c>
      <c r="D49" s="38">
        <v>3496954</v>
      </c>
      <c r="E49" s="38">
        <v>27305086</v>
      </c>
      <c r="F49" s="38">
        <f>Table2123242526[[#This Row],[E]]/Table2123242526[[#This Row],[V]]</f>
        <v>7.808248550023821</v>
      </c>
      <c r="G49" s="38">
        <v>2187803</v>
      </c>
      <c r="H49" s="39">
        <v>12230903</v>
      </c>
      <c r="I49" s="41">
        <v>1.9853620000000001</v>
      </c>
      <c r="J49" s="41">
        <v>1.8377460000000001</v>
      </c>
      <c r="K49" s="86">
        <v>2.5170659999999998</v>
      </c>
      <c r="L49" s="78">
        <v>2.9838680000000002</v>
      </c>
      <c r="M49" s="184">
        <f>MIN(Table2123242526[[#This Row],[G2AIMD (pingpong)]:[gpu-layered]])/Table2123242526[[#This Row],[gpu-hybrid-copy]]</f>
        <v>1.0163338238734307</v>
      </c>
      <c r="N49" s="40">
        <v>1.808211</v>
      </c>
      <c r="O49" s="74">
        <v>0.65300999999999998</v>
      </c>
      <c r="P49" s="71">
        <v>0.72130399999999995</v>
      </c>
      <c r="Q49" s="165">
        <f>Table2123242526[[#This Row],[G2AIMD (pingpong)]]/Table2123242526[[#This Row],[gpu-hybrid-copy]]</f>
        <v>1.0979703143051336</v>
      </c>
      <c r="R49" s="165">
        <f>MIN(Table2123242526[[#This Row],[gpu-layered]:[gpu-hybrid-drop (gpuchunk 100k)2]])/Table2123242526[[#This Row],[gpu-hybrid-copy]]</f>
        <v>1.0163338238734307</v>
      </c>
      <c r="S49" s="166">
        <f>MIN(Table2123242526[[#This Row],[G2AIMD (pingpong)]], Table2123242526[[#This Row],[gpu-layered]])</f>
        <v>1.8377460000000001</v>
      </c>
      <c r="T49" s="106">
        <f>Table2123242526[[#This Row],[gpu-hybrid-copy]]/Table2123242526[[#This Row],[min]]</f>
        <v>0.98392868220091345</v>
      </c>
      <c r="U49" s="106">
        <f>Table2123242526[[#This Row],[G2AIMD (pingpong)]]/Table2123242526[[#This Row],[gpu-layered]]</f>
        <v>1.0803244844499729</v>
      </c>
      <c r="V49" s="106">
        <f>Table2123242526[[#This Row],[gpu-layered]]/Table2123242526[[#This Row],[G2AIMD (pingpong)]]</f>
        <v>0.92564781636799742</v>
      </c>
      <c r="W49" s="34">
        <f>Table2123242526[[#This Row],[gpu-layered]]/Table2123242526[[#This Row],[G2AIMD (pingpong)]]</f>
        <v>0.92564781636799742</v>
      </c>
      <c r="AA49" s="35"/>
      <c r="AC49" s="2"/>
      <c r="AE49" s="2"/>
      <c r="AI49" s="2"/>
      <c r="AK49" s="2"/>
    </row>
    <row r="50" spans="3:37" ht="24" x14ac:dyDescent="0.3">
      <c r="C50" s="9" t="s">
        <v>3913</v>
      </c>
      <c r="D50" s="38">
        <v>58655849</v>
      </c>
      <c r="E50" s="38">
        <v>522642066</v>
      </c>
      <c r="F50" s="38">
        <f>Table2123242526[[#This Row],[E]]/Table2123242526[[#This Row],[V]]</f>
        <v>8.9103145706747853</v>
      </c>
      <c r="G50" s="38">
        <v>278489</v>
      </c>
      <c r="H50" s="39">
        <v>1117416174</v>
      </c>
      <c r="I50" s="41">
        <v>60.576824999999999</v>
      </c>
      <c r="J50" s="41">
        <v>32.021475000000002</v>
      </c>
      <c r="K50" s="86">
        <v>48.09</v>
      </c>
      <c r="L50" s="78">
        <v>53.96</v>
      </c>
      <c r="M50" s="184">
        <f>MIN(Table2123242526[[#This Row],[G2AIMD (pingpong)]:[gpu-layered]])/Table2123242526[[#This Row],[gpu-hybrid-copy]]</f>
        <v>1.0146221482889735</v>
      </c>
      <c r="N50" s="41">
        <v>31.56</v>
      </c>
      <c r="O50" s="71">
        <v>144.30504400000001</v>
      </c>
      <c r="P50" s="74">
        <v>30.88738</v>
      </c>
      <c r="Q50" s="165">
        <f>Table2123242526[[#This Row],[G2AIMD (pingpong)]]/Table2123242526[[#This Row],[gpu-hybrid-copy]]</f>
        <v>1.9194177756653994</v>
      </c>
      <c r="R50" s="165">
        <f>MIN(Table2123242526[[#This Row],[gpu-layered]:[gpu-hybrid-drop (gpuchunk 100k)2]])/Table2123242526[[#This Row],[gpu-hybrid-copy]]</f>
        <v>1.0146221482889735</v>
      </c>
      <c r="S50" s="166">
        <f>MIN(Table2123242526[[#This Row],[G2AIMD (pingpong)]], Table2123242526[[#This Row],[gpu-layered]])</f>
        <v>32.021475000000002</v>
      </c>
      <c r="T50" s="106">
        <f>Table2123242526[[#This Row],[gpu-hybrid-copy]]/Table2123242526[[#This Row],[min]]</f>
        <v>0.98558857766545716</v>
      </c>
      <c r="U50" s="106">
        <f>Table2123242526[[#This Row],[G2AIMD (pingpong)]]/Table2123242526[[#This Row],[gpu-layered]]</f>
        <v>1.8917562354638566</v>
      </c>
      <c r="V50" s="106">
        <f>Table2123242526[[#This Row],[gpu-layered]]/Table2123242526[[#This Row],[G2AIMD (pingpong)]]</f>
        <v>0.52860933203415672</v>
      </c>
      <c r="W50" s="34">
        <f>Table2123242526[[#This Row],[gpu-layered]]/Table2123242526[[#This Row],[G2AIMD (pingpong)]]</f>
        <v>0.52860933203415672</v>
      </c>
      <c r="AA50" s="35"/>
      <c r="AC50" s="2"/>
      <c r="AE50" s="2"/>
      <c r="AI50" s="2"/>
      <c r="AK50" s="2"/>
    </row>
    <row r="51" spans="3:37" ht="24" x14ac:dyDescent="0.3">
      <c r="C51" s="11" t="s">
        <v>1431</v>
      </c>
      <c r="D51" s="38">
        <v>4579069</v>
      </c>
      <c r="E51" s="38">
        <v>12530086</v>
      </c>
      <c r="F51" s="38">
        <f>Table2123242526[[#This Row],[E]]/Table2123242526[[#This Row],[V]]</f>
        <v>2.7363828760824527</v>
      </c>
      <c r="G51" s="38">
        <v>4043326</v>
      </c>
      <c r="H51" s="39">
        <v>6015927</v>
      </c>
      <c r="I51" s="41">
        <v>7.7896460000000003</v>
      </c>
      <c r="J51" s="41">
        <v>7.0005249999999997</v>
      </c>
      <c r="K51" s="86">
        <v>7.7192499999999997</v>
      </c>
      <c r="L51" s="78">
        <v>7.8230779999999998</v>
      </c>
      <c r="M51" s="184">
        <f>MIN(Table2123242526[[#This Row],[G2AIMD (pingpong)]:[gpu-layered]])/Table2123242526[[#This Row],[gpu-hybrid-copy]]</f>
        <v>1.014450341018136</v>
      </c>
      <c r="N51" s="40">
        <v>6.9008060000000002</v>
      </c>
      <c r="O51" s="71">
        <v>0.93807399999999996</v>
      </c>
      <c r="P51" s="74">
        <v>0.93605400000000005</v>
      </c>
      <c r="Q51" s="165">
        <f>Table2123242526[[#This Row],[G2AIMD (pingpong)]]/Table2123242526[[#This Row],[gpu-hybrid-copy]]</f>
        <v>1.12880234569701</v>
      </c>
      <c r="R51" s="165">
        <f>MIN(Table2123242526[[#This Row],[gpu-layered]:[gpu-hybrid-drop (gpuchunk 100k)2]])/Table2123242526[[#This Row],[gpu-hybrid-copy]]</f>
        <v>1.014450341018136</v>
      </c>
      <c r="S51" s="166">
        <f>MIN(Table2123242526[[#This Row],[G2AIMD (pingpong)]], Table2123242526[[#This Row],[gpu-layered]])</f>
        <v>7.0005249999999997</v>
      </c>
      <c r="T51" s="106">
        <f>Table2123242526[[#This Row],[gpu-hybrid-copy]]/Table2123242526[[#This Row],[min]]</f>
        <v>0.98575549690916042</v>
      </c>
      <c r="U51" s="106">
        <f>Table2123242526[[#This Row],[G2AIMD (pingpong)]]/Table2123242526[[#This Row],[gpu-layered]]</f>
        <v>1.112723117194782</v>
      </c>
      <c r="V51" s="106">
        <f>Table2123242526[[#This Row],[gpu-layered]]/Table2123242526[[#This Row],[G2AIMD (pingpong)]]</f>
        <v>0.89869616668074515</v>
      </c>
      <c r="W51" s="34">
        <f>Table2123242526[[#This Row],[gpu-layered]]/Table2123242526[[#This Row],[G2AIMD (pingpong)]]</f>
        <v>0.89869616668074515</v>
      </c>
      <c r="AA51" s="35"/>
      <c r="AC51" s="2"/>
      <c r="AE51" s="2"/>
      <c r="AI51" s="2"/>
      <c r="AK51" s="2"/>
    </row>
    <row r="52" spans="3:37" ht="24" x14ac:dyDescent="0.3">
      <c r="C52" s="9" t="s">
        <v>1443</v>
      </c>
      <c r="D52" s="38">
        <v>3924218</v>
      </c>
      <c r="E52" s="38">
        <v>152878772</v>
      </c>
      <c r="F52" s="38">
        <f>Table2123242526[[#This Row],[E]]/Table2123242526[[#This Row],[V]]</f>
        <v>38.957767381934438</v>
      </c>
      <c r="G52" s="38">
        <v>254555</v>
      </c>
      <c r="H52" s="39">
        <v>36008128</v>
      </c>
      <c r="I52" s="41">
        <v>486.47726599999999</v>
      </c>
      <c r="J52" s="41">
        <v>484.93</v>
      </c>
      <c r="K52" s="86">
        <v>482.00630699999999</v>
      </c>
      <c r="L52" s="78">
        <v>520.59385399999996</v>
      </c>
      <c r="M52" s="184">
        <f>MIN(Table2123242526[[#This Row],[G2AIMD (pingpong)]:[gpu-layered]])/Table2123242526[[#This Row],[gpu-hybrid-copy]]</f>
        <v>1.0065867572576068</v>
      </c>
      <c r="N52" s="41">
        <v>481.75678499999998</v>
      </c>
      <c r="O52" s="72">
        <v>450.831255</v>
      </c>
      <c r="P52" s="74">
        <v>220.903085</v>
      </c>
      <c r="Q52" s="165">
        <f>Table2123242526[[#This Row],[G2AIMD (pingpong)]]/Table2123242526[[#This Row],[gpu-hybrid-copy]]</f>
        <v>1.0097984733105523</v>
      </c>
      <c r="R52" s="165">
        <f>MIN(Table2123242526[[#This Row],[gpu-layered]:[gpu-hybrid-drop (gpuchunk 100k)2]])/Table2123242526[[#This Row],[gpu-hybrid-copy]]</f>
        <v>1.0005179418490182</v>
      </c>
      <c r="S52" s="166">
        <f>MIN(Table2123242526[[#This Row],[G2AIMD (pingpong)]], Table2123242526[[#This Row],[gpu-layered]])</f>
        <v>484.93</v>
      </c>
      <c r="T52" s="106">
        <f>Table2123242526[[#This Row],[gpu-hybrid-copy]]/Table2123242526[[#This Row],[min]]</f>
        <v>0.99345634421462881</v>
      </c>
      <c r="U52" s="106">
        <f>Table2123242526[[#This Row],[G2AIMD (pingpong)]]/Table2123242526[[#This Row],[gpu-layered]]</f>
        <v>1.0031906996886149</v>
      </c>
      <c r="V52" s="106">
        <f>Table2123242526[[#This Row],[gpu-layered]]/Table2123242526[[#This Row],[G2AIMD (pingpong)]]</f>
        <v>0.9968194484960784</v>
      </c>
      <c r="W52" s="34"/>
      <c r="AA52" s="35"/>
      <c r="AC52" s="2"/>
      <c r="AE52" s="2"/>
      <c r="AI52" s="2"/>
      <c r="AK52" s="2"/>
    </row>
    <row r="53" spans="3:37" ht="24" x14ac:dyDescent="0.3">
      <c r="C53" s="11" t="s">
        <v>1</v>
      </c>
      <c r="D53" s="38">
        <v>18268991</v>
      </c>
      <c r="E53" s="38">
        <v>253780418</v>
      </c>
      <c r="F53" s="38">
        <f>Table2123242526[[#This Row],[E]]/Table2123242526[[#This Row],[V]]</f>
        <v>13.891320982094742</v>
      </c>
      <c r="G53" s="38">
        <v>612308</v>
      </c>
      <c r="H53" s="39">
        <v>240680701</v>
      </c>
      <c r="I53" s="41">
        <v>6.968604</v>
      </c>
      <c r="J53" s="41">
        <v>10.877093</v>
      </c>
      <c r="K53" s="86">
        <v>7.1944559999999997</v>
      </c>
      <c r="L53" s="78">
        <v>13.416449</v>
      </c>
      <c r="M53" s="184">
        <f>MIN(Table2123242526[[#This Row],[G2AIMD (pingpong)]:[gpu-layered]])/Table2123242526[[#This Row],[gpu-hybrid-copy]]</f>
        <v>1.0058082992776647</v>
      </c>
      <c r="N53" s="75">
        <v>6.9283619999999999</v>
      </c>
      <c r="O53" s="71">
        <v>45.206122000000001</v>
      </c>
      <c r="P53" s="71">
        <v>10.693218999999999</v>
      </c>
      <c r="Q53" s="165">
        <f>Table2123242526[[#This Row],[G2AIMD (pingpong)]]/Table2123242526[[#This Row],[gpu-hybrid-copy]]</f>
        <v>1.0058082992776647</v>
      </c>
      <c r="R53" s="165">
        <f>MIN(Table2123242526[[#This Row],[gpu-layered]:[gpu-hybrid-drop (gpuchunk 100k)2]])/Table2123242526[[#This Row],[gpu-hybrid-copy]]</f>
        <v>1.0384064804927917</v>
      </c>
      <c r="S53" s="166">
        <f>MIN(Table2123242526[[#This Row],[G2AIMD (pingpong)]], Table2123242526[[#This Row],[gpu-layered]])</f>
        <v>6.968604</v>
      </c>
      <c r="T53" s="106">
        <f>Table2123242526[[#This Row],[gpu-hybrid-copy]]/Table2123242526[[#This Row],[min]]</f>
        <v>0.99422524224364017</v>
      </c>
      <c r="U53" s="106">
        <f>Table2123242526[[#This Row],[G2AIMD (pingpong)]]/Table2123242526[[#This Row],[gpu-layered]]</f>
        <v>0.64066786962288547</v>
      </c>
      <c r="V53" s="106">
        <f>Table2123242526[[#This Row],[gpu-layered]]/Table2123242526[[#This Row],[G2AIMD (pingpong)]]</f>
        <v>1.5608711586997912</v>
      </c>
      <c r="W53" s="34">
        <f>Table2123242526[[#This Row],[gpu-layered]]/Table2123242526[[#This Row],[G2AIMD (pingpong)]]</f>
        <v>1.5608711586997912</v>
      </c>
      <c r="AA53" s="35"/>
      <c r="AC53" s="2"/>
      <c r="AE53" s="2"/>
      <c r="AI53" s="2"/>
      <c r="AK53" s="2"/>
    </row>
    <row r="54" spans="3:37" ht="24" x14ac:dyDescent="0.3">
      <c r="C54" s="9" t="s">
        <v>18</v>
      </c>
      <c r="D54" s="38">
        <v>27665730</v>
      </c>
      <c r="E54" s="38">
        <v>281227494</v>
      </c>
      <c r="F54" s="38">
        <f>Table2123242526[[#This Row],[E]]/Table2123242526[[#This Row],[V]]</f>
        <v>10.165193327629526</v>
      </c>
      <c r="G54" s="38">
        <v>11571953</v>
      </c>
      <c r="H54" s="39">
        <v>134221196</v>
      </c>
      <c r="I54" s="41">
        <v>64.861952000000002</v>
      </c>
      <c r="J54" s="41">
        <v>62.440403000000003</v>
      </c>
      <c r="K54" s="86">
        <v>61.752085000000001</v>
      </c>
      <c r="L54" s="78">
        <v>67.470202</v>
      </c>
      <c r="M54" s="184">
        <f>MIN(Table2123242526[[#This Row],[G2AIMD (pingpong)]:[gpu-layered]])/Table2123242526[[#This Row],[gpu-hybrid-copy]]</f>
        <v>1.0026381706448322</v>
      </c>
      <c r="N54" s="41">
        <v>62.276108000000001</v>
      </c>
      <c r="O54" s="74">
        <v>23.307552999999999</v>
      </c>
      <c r="P54" s="71">
        <v>23.874721000000001</v>
      </c>
      <c r="Q54" s="165">
        <f>Table2123242526[[#This Row],[G2AIMD (pingpong)]]/Table2123242526[[#This Row],[gpu-hybrid-copy]]</f>
        <v>1.0415222479863386</v>
      </c>
      <c r="R54" s="165">
        <f>MIN(Table2123242526[[#This Row],[gpu-layered]:[gpu-hybrid-drop (gpuchunk 100k)2]])/Table2123242526[[#This Row],[gpu-hybrid-copy]]</f>
        <v>0.99158548893260956</v>
      </c>
      <c r="S54" s="166">
        <f>MIN(Table2123242526[[#This Row],[G2AIMD (pingpong)]], Table2123242526[[#This Row],[gpu-layered]])</f>
        <v>62.440403000000003</v>
      </c>
      <c r="T54" s="106">
        <f>Table2123242526[[#This Row],[gpu-hybrid-copy]]/Table2123242526[[#This Row],[min]]</f>
        <v>0.99736877098631149</v>
      </c>
      <c r="U54" s="106">
        <f>Table2123242526[[#This Row],[G2AIMD (pingpong)]]/Table2123242526[[#This Row],[gpu-layered]]</f>
        <v>1.0387817644290349</v>
      </c>
      <c r="V54" s="106">
        <f>Table2123242526[[#This Row],[gpu-layered]]/Table2123242526[[#This Row],[G2AIMD (pingpong)]]</f>
        <v>0.96266610970943334</v>
      </c>
      <c r="W54" s="34"/>
      <c r="AA54" s="35"/>
      <c r="AC54" s="2"/>
      <c r="AE54" s="2"/>
      <c r="AI54" s="2"/>
      <c r="AK54" s="2"/>
    </row>
    <row r="55" spans="3:37" ht="24" x14ac:dyDescent="0.3">
      <c r="C55" s="11" t="s">
        <v>1409</v>
      </c>
      <c r="D55" s="38">
        <v>3411795</v>
      </c>
      <c r="E55" s="38">
        <v>26854686</v>
      </c>
      <c r="F55" s="38">
        <f>Table2123242526[[#This Row],[E]]/Table2123242526[[#This Row],[V]]</f>
        <v>7.8711311787490166</v>
      </c>
      <c r="G55" s="38">
        <v>2487058</v>
      </c>
      <c r="H55" s="39">
        <v>8209611</v>
      </c>
      <c r="I55" s="41">
        <v>4.5660360000000004</v>
      </c>
      <c r="J55" s="41">
        <v>2.5640559999999999</v>
      </c>
      <c r="K55" s="86">
        <v>3.286502</v>
      </c>
      <c r="L55" s="78">
        <v>3.6561659999999998</v>
      </c>
      <c r="M55" s="184">
        <f>MIN(Table2123242526[[#This Row],[G2AIMD (pingpong)]:[gpu-layered]])/Table2123242526[[#This Row],[gpu-hybrid-copy]]</f>
        <v>1.0001400321488849</v>
      </c>
      <c r="N55" s="40">
        <v>2.5636969999999999</v>
      </c>
      <c r="O55" s="71">
        <v>0.94574000000000003</v>
      </c>
      <c r="P55" s="74">
        <v>0.85847099999999998</v>
      </c>
      <c r="Q55" s="165">
        <f>Table2123242526[[#This Row],[G2AIMD (pingpong)]]/Table2123242526[[#This Row],[gpu-hybrid-copy]]</f>
        <v>1.7810357464240121</v>
      </c>
      <c r="R55" s="165">
        <f>MIN(Table2123242526[[#This Row],[gpu-layered]:[gpu-hybrid-drop (gpuchunk 100k)2]])/Table2123242526[[#This Row],[gpu-hybrid-copy]]</f>
        <v>1.0001400321488849</v>
      </c>
      <c r="S55" s="166">
        <f>MIN(Table2123242526[[#This Row],[G2AIMD (pingpong)]], Table2123242526[[#This Row],[gpu-layered]])</f>
        <v>2.5640559999999999</v>
      </c>
      <c r="T55" s="106">
        <f>Table2123242526[[#This Row],[gpu-hybrid-copy]]/Table2123242526[[#This Row],[min]]</f>
        <v>0.99985998745737226</v>
      </c>
      <c r="U55" s="106">
        <f>Table2123242526[[#This Row],[G2AIMD (pingpong)]]/Table2123242526[[#This Row],[gpu-layered]]</f>
        <v>1.7807863790806444</v>
      </c>
      <c r="V55" s="106">
        <f>Table2123242526[[#This Row],[gpu-layered]]/Table2123242526[[#This Row],[G2AIMD (pingpong)]]</f>
        <v>0.56154966802714645</v>
      </c>
      <c r="W55" s="34"/>
      <c r="AA55" s="35"/>
      <c r="AC55" s="2"/>
      <c r="AE55" s="2"/>
      <c r="AI55" s="2"/>
      <c r="AK55" s="2"/>
    </row>
    <row r="56" spans="3:37" ht="24" x14ac:dyDescent="0.3">
      <c r="C56" s="11" t="s">
        <v>1391</v>
      </c>
      <c r="D56" s="38">
        <v>8482737</v>
      </c>
      <c r="E56" s="38">
        <v>23585644</v>
      </c>
      <c r="F56" s="38">
        <f>Table2123242526[[#This Row],[E]]/Table2123242526[[#This Row],[V]]</f>
        <v>2.7804285338564663</v>
      </c>
      <c r="G56" s="38">
        <v>8421430</v>
      </c>
      <c r="H56" s="39">
        <v>12043741</v>
      </c>
      <c r="I56" s="41">
        <v>7.652196</v>
      </c>
      <c r="J56" s="41">
        <v>7.3640220000000003</v>
      </c>
      <c r="K56" s="86">
        <v>7.9706739999999998</v>
      </c>
      <c r="L56" s="78">
        <v>8.4647070000000006</v>
      </c>
      <c r="M56" s="184">
        <f>MIN(Table2123242526[[#This Row],[G2AIMD (pingpong)]:[gpu-layered]])/Table2123242526[[#This Row],[gpu-hybrid-copy]]</f>
        <v>0.99970744661715294</v>
      </c>
      <c r="N56" s="40">
        <v>7.3661770000000004</v>
      </c>
      <c r="O56" s="71">
        <v>0.89532500000000004</v>
      </c>
      <c r="P56" s="74">
        <v>0.873803</v>
      </c>
      <c r="Q56" s="165">
        <f>Table2123242526[[#This Row],[G2AIMD (pingpong)]]/Table2123242526[[#This Row],[gpu-hybrid-copy]]</f>
        <v>1.0388286895631207</v>
      </c>
      <c r="R56" s="165">
        <f>MIN(Table2123242526[[#This Row],[gpu-layered]:[gpu-hybrid-drop (gpuchunk 100k)2]])/Table2123242526[[#This Row],[gpu-hybrid-copy]]</f>
        <v>0.99970744661715294</v>
      </c>
      <c r="S56" s="166">
        <f>MIN(Table2123242526[[#This Row],[G2AIMD (pingpong)]], Table2123242526[[#This Row],[gpu-layered]])</f>
        <v>7.3640220000000003</v>
      </c>
      <c r="T56" s="106">
        <f>Table2123242526[[#This Row],[gpu-hybrid-copy]]/Table2123242526[[#This Row],[min]]</f>
        <v>1.000292638995375</v>
      </c>
      <c r="U56" s="106">
        <f>Table2123242526[[#This Row],[G2AIMD (pingpong)]]/Table2123242526[[#This Row],[gpu-layered]]</f>
        <v>1.0391326913472012</v>
      </c>
      <c r="V56" s="106">
        <f>Table2123242526[[#This Row],[gpu-layered]]/Table2123242526[[#This Row],[G2AIMD (pingpong)]]</f>
        <v>0.96234100642482245</v>
      </c>
      <c r="W56" s="34"/>
      <c r="AA56" s="35"/>
      <c r="AC56" s="2"/>
      <c r="AE56" s="2"/>
      <c r="AI56" s="2"/>
      <c r="AK56" s="2"/>
    </row>
    <row r="57" spans="3:37" ht="24" x14ac:dyDescent="0.3">
      <c r="C57" s="9" t="s">
        <v>1405</v>
      </c>
      <c r="D57" s="38">
        <v>2093449</v>
      </c>
      <c r="E57" s="38">
        <v>52098498</v>
      </c>
      <c r="F57" s="38">
        <f>Table2123242526[[#This Row],[E]]/Table2123242526[[#This Row],[V]]</f>
        <v>24.886442421095524</v>
      </c>
      <c r="G57" s="38">
        <v>1140084</v>
      </c>
      <c r="H57" s="39">
        <v>7254227</v>
      </c>
      <c r="I57" s="41">
        <v>17.421547</v>
      </c>
      <c r="J57" s="41">
        <v>17.122154999999999</v>
      </c>
      <c r="K57" s="86">
        <v>17.917183000000001</v>
      </c>
      <c r="L57" s="78">
        <v>18.271353999999999</v>
      </c>
      <c r="M57" s="184">
        <f>MIN(Table2123242526[[#This Row],[G2AIMD (pingpong)]:[gpu-layered]])/Table2123242526[[#This Row],[gpu-hybrid-copy]]</f>
        <v>0.9952268834608704</v>
      </c>
      <c r="N57" s="41">
        <v>17.204273000000001</v>
      </c>
      <c r="O57" s="71">
        <v>23.765003</v>
      </c>
      <c r="P57" s="74">
        <v>14.029244</v>
      </c>
      <c r="Q57" s="165">
        <f>Table2123242526[[#This Row],[G2AIMD (pingpong)]]/Table2123242526[[#This Row],[gpu-hybrid-copy]]</f>
        <v>1.0126290718590667</v>
      </c>
      <c r="R57" s="165">
        <f>MIN(Table2123242526[[#This Row],[gpu-layered]:[gpu-hybrid-drop (gpuchunk 100k)2]])/Table2123242526[[#This Row],[gpu-hybrid-copy]]</f>
        <v>0.9952268834608704</v>
      </c>
      <c r="S57" s="166">
        <f>MIN(Table2123242526[[#This Row],[G2AIMD (pingpong)]], Table2123242526[[#This Row],[gpu-layered]])</f>
        <v>17.122154999999999</v>
      </c>
      <c r="T57" s="106">
        <f>Table2123242526[[#This Row],[gpu-hybrid-copy]]/Table2123242526[[#This Row],[min]]</f>
        <v>1.0047960084463667</v>
      </c>
      <c r="U57" s="106">
        <f>Table2123242526[[#This Row],[G2AIMD (pingpong)]]/Table2123242526[[#This Row],[gpu-layered]]</f>
        <v>1.0174856494407392</v>
      </c>
      <c r="V57" s="106">
        <f>Table2123242526[[#This Row],[gpu-layered]]/Table2123242526[[#This Row],[G2AIMD (pingpong)]]</f>
        <v>0.98281484416969389</v>
      </c>
      <c r="W57" s="34"/>
      <c r="AA57" s="35"/>
      <c r="AC57" s="2"/>
      <c r="AE57" s="2"/>
      <c r="AI57" s="2"/>
      <c r="AK57" s="2"/>
    </row>
    <row r="58" spans="3:37" ht="21" customHeight="1" x14ac:dyDescent="0.3">
      <c r="C58" s="9" t="s">
        <v>1434</v>
      </c>
      <c r="D58" s="38">
        <v>7825669</v>
      </c>
      <c r="E58" s="38">
        <v>124492028</v>
      </c>
      <c r="F58" s="38">
        <f>Table2123242526[[#This Row],[E]]/Table2123242526[[#This Row],[V]]</f>
        <v>15.90816427323977</v>
      </c>
      <c r="G58" s="38">
        <v>204282</v>
      </c>
      <c r="H58" s="39">
        <v>74995873</v>
      </c>
      <c r="I58" s="75">
        <v>2.4138410000000001</v>
      </c>
      <c r="J58" s="41">
        <v>3.702521</v>
      </c>
      <c r="K58" s="86">
        <v>2.9659520000000001</v>
      </c>
      <c r="L58" s="78">
        <v>6.376951</v>
      </c>
      <c r="M58" s="184">
        <f>MIN(Table2123242526[[#This Row],[G2AIMD (pingpong)]:[gpu-layered]])/Table2123242526[[#This Row],[gpu-hybrid-copy]]</f>
        <v>0.99437691015126328</v>
      </c>
      <c r="N58" s="40">
        <v>2.4274909999999998</v>
      </c>
      <c r="O58" s="71">
        <v>11.794521</v>
      </c>
      <c r="P58" s="71">
        <v>4.758845</v>
      </c>
      <c r="Q58" s="165">
        <f>Table2123242526[[#This Row],[G2AIMD (pingpong)]]/Table2123242526[[#This Row],[gpu-hybrid-copy]]</f>
        <v>0.99437691015126328</v>
      </c>
      <c r="R58" s="165">
        <f>MIN(Table2123242526[[#This Row],[gpu-layered]:[gpu-hybrid-drop (gpuchunk 100k)2]])/Table2123242526[[#This Row],[gpu-hybrid-copy]]</f>
        <v>1.2218179181714783</v>
      </c>
      <c r="S58" s="166">
        <f>MIN(Table2123242526[[#This Row],[G2AIMD (pingpong)]], Table2123242526[[#This Row],[gpu-layered]])</f>
        <v>2.4138410000000001</v>
      </c>
      <c r="T58" s="106">
        <f>Table2123242526[[#This Row],[gpu-hybrid-copy]]/Table2123242526[[#This Row],[min]]</f>
        <v>1.0056548877908693</v>
      </c>
      <c r="U58" s="106">
        <f>Table2123242526[[#This Row],[G2AIMD (pingpong)]]/Table2123242526[[#This Row],[gpu-layered]]</f>
        <v>0.65194525567849582</v>
      </c>
      <c r="V58" s="106">
        <f>Table2123242526[[#This Row],[gpu-layered]]/Table2123242526[[#This Row],[G2AIMD (pingpong)]]</f>
        <v>1.5338711207573323</v>
      </c>
      <c r="W58" s="34">
        <f>Table2123242526[[#This Row],[gpu-layered]]/Table2123242526[[#This Row],[G2AIMD (pingpong)]]</f>
        <v>1.5338711207573323</v>
      </c>
      <c r="AA58" s="35"/>
      <c r="AC58" s="2"/>
      <c r="AE58" s="2"/>
      <c r="AI58" s="2"/>
      <c r="AK58" s="2"/>
    </row>
    <row r="59" spans="3:37" ht="24" x14ac:dyDescent="0.3">
      <c r="C59" s="11" t="s">
        <v>1455</v>
      </c>
      <c r="D59" s="38">
        <v>8833229</v>
      </c>
      <c r="E59" s="38">
        <v>105882456</v>
      </c>
      <c r="F59" s="38">
        <f>Table2123242526[[#This Row],[E]]/Table2123242526[[#This Row],[V]]</f>
        <v>11.986834712425093</v>
      </c>
      <c r="G59" s="38">
        <v>2126384</v>
      </c>
      <c r="H59" s="39">
        <v>2115046340</v>
      </c>
      <c r="I59" s="41">
        <v>105.59741699999999</v>
      </c>
      <c r="J59" s="41">
        <v>87.072643999999997</v>
      </c>
      <c r="K59" s="86">
        <v>80.489999999999995</v>
      </c>
      <c r="L59" s="78">
        <v>105.29</v>
      </c>
      <c r="M59" s="184">
        <f>MIN(Table2123242526[[#This Row],[G2AIMD (pingpong)]:[gpu-layered]])/Table2123242526[[#This Row],[gpu-hybrid-copy]]</f>
        <v>0.99375307007532521</v>
      </c>
      <c r="N59" s="41">
        <v>87.62</v>
      </c>
      <c r="O59" s="72">
        <v>306.40025200000002</v>
      </c>
      <c r="P59" s="74">
        <v>46.755004999999997</v>
      </c>
      <c r="Q59" s="165">
        <f>Table2123242526[[#This Row],[G2AIMD (pingpong)]]/Table2123242526[[#This Row],[gpu-hybrid-copy]]</f>
        <v>1.2051748116868293</v>
      </c>
      <c r="R59" s="165">
        <f>MIN(Table2123242526[[#This Row],[gpu-layered]:[gpu-hybrid-drop (gpuchunk 100k)2]])/Table2123242526[[#This Row],[gpu-hybrid-copy]]</f>
        <v>0.91862588450125526</v>
      </c>
      <c r="S59" s="166">
        <f>MIN(Table2123242526[[#This Row],[G2AIMD (pingpong)]], Table2123242526[[#This Row],[gpu-layered]])</f>
        <v>87.072643999999997</v>
      </c>
      <c r="T59" s="106">
        <f>Table2123242526[[#This Row],[gpu-hybrid-copy]]/Table2123242526[[#This Row],[min]]</f>
        <v>1.0062861993716421</v>
      </c>
      <c r="U59" s="106">
        <f>Table2123242526[[#This Row],[G2AIMD (pingpong)]]/Table2123242526[[#This Row],[gpu-layered]]</f>
        <v>1.2127507808307738</v>
      </c>
      <c r="V59" s="106">
        <f>Table2123242526[[#This Row],[gpu-layered]]/Table2123242526[[#This Row],[G2AIMD (pingpong)]]</f>
        <v>0.82457172224203179</v>
      </c>
      <c r="W59" s="34"/>
      <c r="AA59" s="35"/>
      <c r="AC59" s="2"/>
      <c r="AE59" s="2"/>
      <c r="AI59" s="2"/>
      <c r="AK59" s="2"/>
    </row>
    <row r="60" spans="3:37" ht="24" x14ac:dyDescent="0.3">
      <c r="C60" s="11" t="s">
        <v>1408</v>
      </c>
      <c r="D60" s="38">
        <v>4063587</v>
      </c>
      <c r="E60" s="38">
        <v>17652554</v>
      </c>
      <c r="F60" s="38">
        <f>Table2123242526[[#This Row],[E]]/Table2123242526[[#This Row],[V]]</f>
        <v>4.344081718934528</v>
      </c>
      <c r="G60" s="38">
        <v>4059644</v>
      </c>
      <c r="H60" s="39">
        <v>8823479</v>
      </c>
      <c r="I60" s="41">
        <v>1.682345</v>
      </c>
      <c r="J60" s="41">
        <v>1.511938</v>
      </c>
      <c r="K60" s="86">
        <v>2.263528</v>
      </c>
      <c r="L60" s="78">
        <v>2.4572620000000001</v>
      </c>
      <c r="M60" s="184">
        <f>MIN(Table2123242526[[#This Row],[G2AIMD (pingpong)]:[gpu-layered]])/Table2123242526[[#This Row],[gpu-hybrid-copy]]</f>
        <v>0.98458911580662445</v>
      </c>
      <c r="N60" s="40">
        <v>1.5356030000000001</v>
      </c>
      <c r="O60" s="71">
        <v>0.16831399999999999</v>
      </c>
      <c r="P60" s="74">
        <v>0.108086</v>
      </c>
      <c r="Q60" s="165">
        <f>Table2123242526[[#This Row],[G2AIMD (pingpong)]]/Table2123242526[[#This Row],[gpu-hybrid-copy]]</f>
        <v>1.0955598549885615</v>
      </c>
      <c r="R60" s="165">
        <f>MIN(Table2123242526[[#This Row],[gpu-layered]:[gpu-hybrid-drop (gpuchunk 100k)2]])/Table2123242526[[#This Row],[gpu-hybrid-copy]]</f>
        <v>0.98458911580662445</v>
      </c>
      <c r="S60" s="166">
        <f>MIN(Table2123242526[[#This Row],[G2AIMD (pingpong)]], Table2123242526[[#This Row],[gpu-layered]])</f>
        <v>1.511938</v>
      </c>
      <c r="T60" s="106">
        <f>Table2123242526[[#This Row],[gpu-hybrid-copy]]/Table2123242526[[#This Row],[min]]</f>
        <v>1.0156520968452409</v>
      </c>
      <c r="U60" s="106">
        <f>Table2123242526[[#This Row],[G2AIMD (pingpong)]]/Table2123242526[[#This Row],[gpu-layered]]</f>
        <v>1.1127076639386007</v>
      </c>
      <c r="V60" s="106">
        <f>Table2123242526[[#This Row],[gpu-layered]]/Table2123242526[[#This Row],[G2AIMD (pingpong)]]</f>
        <v>0.89870864775060999</v>
      </c>
      <c r="W60" s="34"/>
      <c r="AA60" s="35"/>
      <c r="AC60" s="2"/>
      <c r="AE60" s="2"/>
      <c r="AI60" s="2"/>
      <c r="AK60" s="2"/>
    </row>
    <row r="61" spans="3:37" ht="24" x14ac:dyDescent="0.3">
      <c r="C61" s="11" t="s">
        <v>1456</v>
      </c>
      <c r="D61" s="38">
        <v>5829441</v>
      </c>
      <c r="E61" s="38">
        <v>110439216</v>
      </c>
      <c r="F61" s="38">
        <f>Table2123242526[[#This Row],[E]]/Table2123242526[[#This Row],[V]]</f>
        <v>18.945078267367318</v>
      </c>
      <c r="G61" s="38">
        <v>818185</v>
      </c>
      <c r="H61" s="39">
        <v>1508704249</v>
      </c>
      <c r="I61" s="41">
        <v>84.078997999999999</v>
      </c>
      <c r="J61" s="41">
        <v>51.512694000000003</v>
      </c>
      <c r="K61" s="86">
        <v>73.75</v>
      </c>
      <c r="L61" s="78">
        <v>74.38</v>
      </c>
      <c r="M61" s="184">
        <f>MIN(Table2123242526[[#This Row],[G2AIMD (pingpong)]:[gpu-layered]])/Table2123242526[[#This Row],[gpu-hybrid-copy]]</f>
        <v>0.9774704743833017</v>
      </c>
      <c r="N61" s="41">
        <v>52.7</v>
      </c>
      <c r="O61" s="71">
        <v>245.51799</v>
      </c>
      <c r="P61" s="74">
        <v>37.410254999999999</v>
      </c>
      <c r="Q61" s="165">
        <f>Table2123242526[[#This Row],[G2AIMD (pingpong)]]/Table2123242526[[#This Row],[gpu-hybrid-copy]]</f>
        <v>1.5954269070208726</v>
      </c>
      <c r="R61" s="165">
        <f>MIN(Table2123242526[[#This Row],[gpu-layered]:[gpu-hybrid-drop (gpuchunk 100k)2]])/Table2123242526[[#This Row],[gpu-hybrid-copy]]</f>
        <v>0.9774704743833017</v>
      </c>
      <c r="S61" s="166">
        <f>MIN(Table2123242526[[#This Row],[G2AIMD (pingpong)]], Table2123242526[[#This Row],[gpu-layered]])</f>
        <v>51.512694000000003</v>
      </c>
      <c r="T61" s="106">
        <f>Table2123242526[[#This Row],[gpu-hybrid-copy]]/Table2123242526[[#This Row],[min]]</f>
        <v>1.0230488042423096</v>
      </c>
      <c r="U61" s="106">
        <f>Table2123242526[[#This Row],[G2AIMD (pingpong)]]/Table2123242526[[#This Row],[gpu-layered]]</f>
        <v>1.6321995894837105</v>
      </c>
      <c r="V61" s="106">
        <f>Table2123242526[[#This Row],[gpu-layered]]/Table2123242526[[#This Row],[G2AIMD (pingpong)]]</f>
        <v>0.61267017002272084</v>
      </c>
      <c r="W61" s="34"/>
      <c r="AA61" s="35"/>
      <c r="AC61" s="2"/>
      <c r="AE61" s="2"/>
      <c r="AI61" s="2"/>
      <c r="AK61" s="2"/>
    </row>
    <row r="62" spans="3:37" ht="24" x14ac:dyDescent="0.3">
      <c r="C62" s="11" t="s">
        <v>1450</v>
      </c>
      <c r="D62" s="38">
        <v>5867547</v>
      </c>
      <c r="E62" s="38">
        <v>61171040</v>
      </c>
      <c r="F62" s="38">
        <f>Table2123242526[[#This Row],[E]]/Table2123242526[[#This Row],[V]]</f>
        <v>10.425317428220003</v>
      </c>
      <c r="G62" s="38">
        <v>959344</v>
      </c>
      <c r="H62" s="39">
        <v>994503898</v>
      </c>
      <c r="I62" s="41">
        <v>57.130594000000002</v>
      </c>
      <c r="J62" s="41">
        <v>34.142220000000002</v>
      </c>
      <c r="K62" s="86">
        <v>36.26</v>
      </c>
      <c r="L62" s="78">
        <v>40.49</v>
      </c>
      <c r="M62" s="184">
        <f>MIN(Table2123242526[[#This Row],[G2AIMD (pingpong)]:[gpu-layered]])/Table2123242526[[#This Row],[gpu-hybrid-copy]]</f>
        <v>0.97549200000000003</v>
      </c>
      <c r="N62" s="41">
        <v>35</v>
      </c>
      <c r="O62" s="71">
        <v>123.493318</v>
      </c>
      <c r="P62" s="74">
        <v>20.122519</v>
      </c>
      <c r="Q62" s="165">
        <f>Table2123242526[[#This Row],[G2AIMD (pingpong)]]/Table2123242526[[#This Row],[gpu-hybrid-copy]]</f>
        <v>1.6323026857142857</v>
      </c>
      <c r="R62" s="165">
        <f>MIN(Table2123242526[[#This Row],[gpu-layered]:[gpu-hybrid-drop (gpuchunk 100k)2]])/Table2123242526[[#This Row],[gpu-hybrid-copy]]</f>
        <v>0.97549200000000003</v>
      </c>
      <c r="S62" s="166">
        <f>MIN(Table2123242526[[#This Row],[G2AIMD (pingpong)]], Table2123242526[[#This Row],[gpu-layered]])</f>
        <v>34.142220000000002</v>
      </c>
      <c r="T62" s="106">
        <f>Table2123242526[[#This Row],[gpu-hybrid-copy]]/Table2123242526[[#This Row],[min]]</f>
        <v>1.0251237324345048</v>
      </c>
      <c r="U62" s="106">
        <f>Table2123242526[[#This Row],[G2AIMD (pingpong)]]/Table2123242526[[#This Row],[gpu-layered]]</f>
        <v>1.6733122216422951</v>
      </c>
      <c r="V62" s="106">
        <f>Table2123242526[[#This Row],[gpu-layered]]/Table2123242526[[#This Row],[G2AIMD (pingpong)]]</f>
        <v>0.59761710161809278</v>
      </c>
      <c r="W62" s="34"/>
      <c r="AA62" s="35"/>
      <c r="AC62" s="2"/>
      <c r="AE62" s="2"/>
      <c r="AI62" s="2"/>
      <c r="AK62" s="2"/>
    </row>
    <row r="63" spans="3:37" ht="24" x14ac:dyDescent="0.3">
      <c r="C63" s="9" t="s">
        <v>10</v>
      </c>
      <c r="D63" s="38">
        <v>3603726</v>
      </c>
      <c r="E63" s="38">
        <v>155093964</v>
      </c>
      <c r="F63" s="38">
        <f>Table2123242526[[#This Row],[E]]/Table2123242526[[#This Row],[V]]</f>
        <v>43.037113254448315</v>
      </c>
      <c r="G63" s="38">
        <v>434234</v>
      </c>
      <c r="H63" s="39">
        <v>1237624958</v>
      </c>
      <c r="I63" s="41">
        <v>107.39003200000001</v>
      </c>
      <c r="J63" s="41">
        <v>94.19</v>
      </c>
      <c r="K63" s="86">
        <v>181.27</v>
      </c>
      <c r="L63" s="78">
        <v>136.06</v>
      </c>
      <c r="M63" s="184">
        <f>MIN(Table2123242526[[#This Row],[G2AIMD (pingpong)]:[gpu-layered]])/Table2123242526[[#This Row],[gpu-hybrid-copy]]</f>
        <v>0.95721544715447149</v>
      </c>
      <c r="N63" s="41">
        <v>98.4</v>
      </c>
      <c r="O63" s="72">
        <v>196.60153800000001</v>
      </c>
      <c r="P63" s="74">
        <v>68.88</v>
      </c>
      <c r="Q63" s="165">
        <f>Table2123242526[[#This Row],[G2AIMD (pingpong)]]/Table2123242526[[#This Row],[gpu-hybrid-copy]]</f>
        <v>1.0913621138211382</v>
      </c>
      <c r="R63" s="165">
        <f>MIN(Table2123242526[[#This Row],[gpu-layered]:[gpu-hybrid-drop (gpuchunk 100k)2]])/Table2123242526[[#This Row],[gpu-hybrid-copy]]</f>
        <v>0.95721544715447149</v>
      </c>
      <c r="S63" s="166">
        <f>MIN(Table2123242526[[#This Row],[G2AIMD (pingpong)]], Table2123242526[[#This Row],[gpu-layered]])</f>
        <v>94.19</v>
      </c>
      <c r="T63" s="106">
        <f>Table2123242526[[#This Row],[gpu-hybrid-copy]]/Table2123242526[[#This Row],[min]]</f>
        <v>1.0446968892663766</v>
      </c>
      <c r="U63" s="106">
        <f>Table2123242526[[#This Row],[G2AIMD (pingpong)]]/Table2123242526[[#This Row],[gpu-layered]]</f>
        <v>1.1401426053721202</v>
      </c>
      <c r="V63" s="106">
        <f>Table2123242526[[#This Row],[gpu-layered]]/Table2123242526[[#This Row],[G2AIMD (pingpong)]]</f>
        <v>0.87708326597760944</v>
      </c>
      <c r="W63" s="34"/>
      <c r="AA63" s="35"/>
      <c r="AC63" s="2"/>
      <c r="AE63" s="2"/>
      <c r="AI63" s="2"/>
      <c r="AK63" s="2"/>
    </row>
    <row r="64" spans="3:37" ht="24" x14ac:dyDescent="0.3">
      <c r="C64" s="9" t="s">
        <v>1451</v>
      </c>
      <c r="D64" s="38">
        <v>3333397</v>
      </c>
      <c r="E64" s="38">
        <v>200923810</v>
      </c>
      <c r="F64" s="38">
        <f>Table2123242526[[#This Row],[E]]/Table2123242526[[#This Row],[V]]</f>
        <v>60.275991728557983</v>
      </c>
      <c r="G64" s="38">
        <v>399358</v>
      </c>
      <c r="H64" s="39">
        <v>1902943357</v>
      </c>
      <c r="I64" s="41">
        <v>224.11627300000001</v>
      </c>
      <c r="J64" s="41">
        <v>234.64</v>
      </c>
      <c r="K64" s="86">
        <v>289.92</v>
      </c>
      <c r="L64" s="78">
        <v>242.31</v>
      </c>
      <c r="M64" s="184">
        <f>MIN(Table2123242526[[#This Row],[G2AIMD (pingpong)]:[gpu-layered]])/Table2123242526[[#This Row],[gpu-hybrid-copy]]</f>
        <v>0.95405164956791966</v>
      </c>
      <c r="N64" s="41">
        <v>234.91</v>
      </c>
      <c r="O64" s="71">
        <v>834.23</v>
      </c>
      <c r="P64" s="74">
        <v>179.01</v>
      </c>
      <c r="Q64" s="165">
        <f>Table2123242526[[#This Row],[G2AIMD (pingpong)]]/Table2123242526[[#This Row],[gpu-hybrid-copy]]</f>
        <v>0.95405164956791966</v>
      </c>
      <c r="R64" s="165">
        <f>MIN(Table2123242526[[#This Row],[gpu-layered]:[gpu-hybrid-drop (gpuchunk 100k)2]])/Table2123242526[[#This Row],[gpu-hybrid-copy]]</f>
        <v>0.99885062364309729</v>
      </c>
      <c r="S64" s="166">
        <f>MIN(Table2123242526[[#This Row],[G2AIMD (pingpong)]], Table2123242526[[#This Row],[gpu-layered]])</f>
        <v>224.11627300000001</v>
      </c>
      <c r="T64" s="106">
        <f>Table2123242526[[#This Row],[gpu-hybrid-copy]]/Table2123242526[[#This Row],[min]]</f>
        <v>1.048161281889602</v>
      </c>
      <c r="U64" s="106">
        <f>Table2123242526[[#This Row],[G2AIMD (pingpong)]]/Table2123242526[[#This Row],[gpu-layered]]</f>
        <v>0.95514947579270382</v>
      </c>
      <c r="V64" s="106">
        <f>Table2123242526[[#This Row],[gpu-layered]]/Table2123242526[[#This Row],[G2AIMD (pingpong)]]</f>
        <v>1.0469565500939773</v>
      </c>
      <c r="W64" s="34"/>
      <c r="AA64" s="35"/>
      <c r="AC64" s="2"/>
      <c r="AE64" s="2"/>
      <c r="AI64" s="2"/>
      <c r="AK64" s="2"/>
    </row>
    <row r="65" spans="3:37" ht="24" x14ac:dyDescent="0.3">
      <c r="C65" s="11" t="s">
        <v>5</v>
      </c>
      <c r="D65" s="38">
        <v>8730857</v>
      </c>
      <c r="E65" s="38">
        <v>654072972</v>
      </c>
      <c r="F65" s="38">
        <f>Table2123242526[[#This Row],[E]]/Table2123242526[[#This Row],[V]]</f>
        <v>74.915093902007555</v>
      </c>
      <c r="G65" s="38">
        <v>318268</v>
      </c>
      <c r="H65" s="39">
        <v>417032363</v>
      </c>
      <c r="I65" s="41">
        <v>14.054064</v>
      </c>
      <c r="J65" s="41">
        <v>24.522736999999999</v>
      </c>
      <c r="K65" s="86">
        <v>13.929805</v>
      </c>
      <c r="L65" s="78">
        <v>17.128070000000001</v>
      </c>
      <c r="M65" s="184">
        <f>MIN(Table2123242526[[#This Row],[G2AIMD (pingpong)]:[gpu-layered]])/Table2123242526[[#This Row],[gpu-hybrid-copy]]</f>
        <v>0.74534276913677666</v>
      </c>
      <c r="N65" s="75">
        <v>18.855840000000001</v>
      </c>
      <c r="O65" s="71">
        <v>249.501497</v>
      </c>
      <c r="P65" s="71">
        <v>19.519027000000001</v>
      </c>
      <c r="Q65" s="165">
        <f>Table2123242526[[#This Row],[G2AIMD (pingpong)]]/Table2123242526[[#This Row],[gpu-hybrid-copy]]</f>
        <v>0.74534276913677666</v>
      </c>
      <c r="R65" s="165">
        <f>MIN(Table2123242526[[#This Row],[gpu-layered]:[gpu-hybrid-drop (gpuchunk 100k)2]])/Table2123242526[[#This Row],[gpu-hybrid-copy]]</f>
        <v>0.73875282140705478</v>
      </c>
      <c r="S65" s="166">
        <f>MIN(Table2123242526[[#This Row],[G2AIMD (pingpong)]], Table2123242526[[#This Row],[gpu-layered]])</f>
        <v>14.054064</v>
      </c>
      <c r="T65" s="106">
        <f>Table2123242526[[#This Row],[gpu-hybrid-copy]]/Table2123242526[[#This Row],[min]]</f>
        <v>1.3416645889758294</v>
      </c>
      <c r="U65" s="106">
        <f>Table2123242526[[#This Row],[G2AIMD (pingpong)]]/Table2123242526[[#This Row],[gpu-layered]]</f>
        <v>0.57310340195713072</v>
      </c>
      <c r="V65" s="106">
        <f>Table2123242526[[#This Row],[gpu-layered]]/Table2123242526[[#This Row],[G2AIMD (pingpong)]]</f>
        <v>1.7448858209269573</v>
      </c>
      <c r="W65" s="34"/>
      <c r="AA65" s="35"/>
      <c r="AC65" s="2"/>
      <c r="AE65" s="2"/>
      <c r="AI65" s="2"/>
      <c r="AK65" s="2"/>
    </row>
    <row r="66" spans="3:37" x14ac:dyDescent="0.3">
      <c r="D66" s="11"/>
      <c r="E66" s="11"/>
      <c r="F66" s="11"/>
      <c r="G66" s="11"/>
      <c r="H66" s="10"/>
      <c r="I66" s="19"/>
      <c r="P66" s="10"/>
      <c r="Q66" s="10"/>
      <c r="R66" s="10"/>
      <c r="T66" s="10"/>
      <c r="W66" s="9"/>
      <c r="X66" s="9"/>
      <c r="Y66" s="9"/>
      <c r="Z66" s="9"/>
      <c r="AB66" s="15"/>
      <c r="AC66" s="9"/>
    </row>
    <row r="67" spans="3:37" x14ac:dyDescent="0.3">
      <c r="D67" s="11"/>
      <c r="E67" s="11"/>
      <c r="F67" s="11"/>
      <c r="G67" s="11"/>
      <c r="H67" s="10"/>
      <c r="I67" s="19"/>
      <c r="P67" s="10"/>
      <c r="Q67" s="10"/>
      <c r="R67" s="10"/>
      <c r="T67" s="10"/>
      <c r="W67" s="9"/>
      <c r="X67" s="9"/>
      <c r="Y67" s="9"/>
      <c r="Z67" s="9"/>
      <c r="AB67" s="15"/>
      <c r="AC67" s="9"/>
    </row>
    <row r="68" spans="3:37" x14ac:dyDescent="0.3">
      <c r="D68" s="11"/>
      <c r="E68" s="11"/>
      <c r="F68" s="11"/>
      <c r="G68" s="11"/>
      <c r="H68" s="10"/>
      <c r="I68" s="19"/>
      <c r="P68" s="10"/>
      <c r="Q68" s="10"/>
      <c r="R68" s="10"/>
      <c r="T68" s="10"/>
      <c r="W68" s="9"/>
      <c r="X68" s="9"/>
      <c r="Y68" s="9"/>
      <c r="Z68" s="9"/>
      <c r="AB68" s="15"/>
      <c r="AC68" s="9"/>
    </row>
    <row r="69" spans="3:37" x14ac:dyDescent="0.3">
      <c r="C69" s="11"/>
      <c r="D69" s="11"/>
      <c r="E69" s="11"/>
      <c r="F69" s="11"/>
      <c r="G69" s="10"/>
      <c r="H69" s="20"/>
      <c r="I69" s="9"/>
      <c r="P69" s="20"/>
      <c r="Q69" s="20"/>
      <c r="R69" s="20"/>
      <c r="T69" s="20"/>
      <c r="W69" s="19"/>
      <c r="X69" s="19"/>
      <c r="Y69" s="19"/>
      <c r="Z69" s="19"/>
      <c r="AB69" s="9"/>
    </row>
    <row r="70" spans="3:37" x14ac:dyDescent="0.3">
      <c r="C70" s="11"/>
      <c r="D70" s="11"/>
      <c r="E70" s="11"/>
      <c r="F70" s="11"/>
      <c r="G70" s="10"/>
      <c r="H70" s="20"/>
      <c r="I70" s="9"/>
      <c r="P70" s="20"/>
      <c r="Q70" s="20"/>
      <c r="R70" s="20"/>
      <c r="T70" s="20"/>
      <c r="W70" s="19"/>
      <c r="X70" s="19"/>
      <c r="Y70" s="19"/>
      <c r="Z70" s="19"/>
      <c r="AB70" s="9"/>
    </row>
    <row r="71" spans="3:37" x14ac:dyDescent="0.3">
      <c r="C71" s="11"/>
      <c r="D71" s="11"/>
      <c r="E71" s="11"/>
      <c r="F71" s="11"/>
      <c r="G71" s="10"/>
      <c r="H71" s="20"/>
      <c r="I71" s="9"/>
      <c r="P71" s="20"/>
      <c r="Q71" s="20"/>
      <c r="R71" s="20"/>
      <c r="T71" s="20"/>
      <c r="W71" s="19"/>
      <c r="X71" s="19"/>
      <c r="Y71" s="19"/>
      <c r="Z71" s="19"/>
      <c r="AB71" s="9"/>
    </row>
    <row r="72" spans="3:37" x14ac:dyDescent="0.3">
      <c r="C72" s="11"/>
      <c r="D72" s="11"/>
      <c r="E72" s="11"/>
      <c r="F72" s="11"/>
      <c r="G72" s="10"/>
      <c r="H72" s="20"/>
      <c r="I72" s="9"/>
      <c r="P72" s="20"/>
      <c r="Q72" s="20"/>
      <c r="R72" s="20"/>
      <c r="T72" s="20"/>
      <c r="W72" s="19"/>
      <c r="X72" s="19"/>
      <c r="Y72" s="19"/>
      <c r="Z72" s="19"/>
      <c r="AB72" s="9"/>
    </row>
    <row r="73" spans="3:37" x14ac:dyDescent="0.3">
      <c r="C73" s="11"/>
      <c r="D73" s="11"/>
      <c r="E73" s="11"/>
      <c r="F73" s="11"/>
      <c r="G73" s="10"/>
      <c r="H73" s="20"/>
      <c r="I73" s="9"/>
      <c r="P73" s="20"/>
      <c r="Q73" s="20"/>
      <c r="R73" s="20"/>
      <c r="T73" s="20"/>
      <c r="W73" s="19"/>
      <c r="X73" s="19"/>
      <c r="Y73" s="19"/>
      <c r="Z73" s="19"/>
      <c r="AB73" s="9"/>
    </row>
    <row r="74" spans="3:37" x14ac:dyDescent="0.3">
      <c r="C74" s="11"/>
      <c r="D74" s="11"/>
      <c r="E74" s="11"/>
      <c r="F74" s="11"/>
      <c r="G74" s="10"/>
      <c r="H74" s="10"/>
      <c r="I74" s="9"/>
      <c r="P74" s="10"/>
      <c r="Q74" s="10"/>
      <c r="R74" s="10"/>
      <c r="T74" s="10"/>
      <c r="W74" s="9"/>
      <c r="X74" s="9"/>
      <c r="Y74" s="9"/>
      <c r="Z74" s="9"/>
      <c r="AB74" s="9"/>
    </row>
    <row r="75" spans="3:37" x14ac:dyDescent="0.3">
      <c r="C75" s="11"/>
      <c r="D75" s="11"/>
      <c r="E75" s="11"/>
      <c r="F75" s="11"/>
      <c r="G75" s="10"/>
      <c r="H75" s="10"/>
      <c r="I75" s="9"/>
      <c r="P75" s="10"/>
      <c r="Q75" s="10"/>
      <c r="R75" s="10"/>
      <c r="T75" s="10"/>
      <c r="W75" s="9"/>
      <c r="X75" s="9"/>
      <c r="Y75" s="9"/>
      <c r="Z75" s="9"/>
      <c r="AB75" s="9"/>
    </row>
    <row r="76" spans="3:37" x14ac:dyDescent="0.3">
      <c r="C76" s="11"/>
      <c r="D76" s="11"/>
      <c r="E76" s="11"/>
      <c r="F76" s="11"/>
      <c r="G76" s="10"/>
      <c r="H76" s="10"/>
      <c r="I76" s="9"/>
      <c r="P76" s="10"/>
      <c r="Q76" s="10"/>
      <c r="R76" s="10"/>
      <c r="T76" s="10"/>
      <c r="W76" s="9"/>
      <c r="X76" s="9"/>
      <c r="Y76" s="9"/>
      <c r="Z76" s="9"/>
      <c r="AB76" s="9"/>
    </row>
    <row r="77" spans="3:37" x14ac:dyDescent="0.3">
      <c r="C77" s="11"/>
      <c r="D77" s="11"/>
      <c r="E77" s="11"/>
      <c r="F77" s="11"/>
      <c r="G77" s="10"/>
      <c r="H77" s="10"/>
      <c r="I77" s="9"/>
      <c r="P77" s="10"/>
      <c r="Q77" s="10"/>
      <c r="R77" s="10"/>
      <c r="T77" s="10"/>
      <c r="W77" s="9"/>
      <c r="X77" s="9"/>
      <c r="Y77" s="9"/>
      <c r="Z77" s="9"/>
      <c r="AB77" s="9"/>
    </row>
    <row r="78" spans="3:37" x14ac:dyDescent="0.3">
      <c r="C78" s="11"/>
      <c r="D78" s="11"/>
      <c r="E78" s="11"/>
      <c r="F78" s="11"/>
      <c r="G78" s="10"/>
      <c r="H78" s="10"/>
      <c r="I78" s="9"/>
      <c r="P78" s="10"/>
      <c r="Q78" s="10"/>
      <c r="R78" s="10"/>
      <c r="T78" s="10"/>
      <c r="W78" s="9"/>
      <c r="X78" s="9"/>
      <c r="Y78" s="9"/>
      <c r="Z78" s="9"/>
      <c r="AB78" s="9"/>
    </row>
    <row r="79" spans="3:37" x14ac:dyDescent="0.3">
      <c r="C79" s="11"/>
      <c r="D79" s="11"/>
      <c r="E79" s="11"/>
      <c r="F79" s="11"/>
      <c r="G79" s="10"/>
      <c r="H79" s="10"/>
      <c r="I79" s="9"/>
      <c r="P79" s="10"/>
      <c r="Q79" s="10"/>
      <c r="R79" s="10"/>
      <c r="T79" s="10"/>
      <c r="W79" s="9"/>
      <c r="X79" s="9"/>
      <c r="Y79" s="9"/>
      <c r="Z79" s="9"/>
      <c r="AB79" s="9"/>
    </row>
    <row r="80" spans="3:37" x14ac:dyDescent="0.3">
      <c r="C80" s="11"/>
      <c r="D80" s="11"/>
      <c r="E80" s="11"/>
      <c r="F80" s="11"/>
      <c r="G80" s="10"/>
      <c r="H80" s="10"/>
      <c r="I80" s="9"/>
      <c r="P80" s="10"/>
      <c r="Q80" s="10"/>
      <c r="R80" s="10"/>
      <c r="T80" s="10"/>
      <c r="W80" s="9"/>
      <c r="X80" s="9"/>
      <c r="Y80" s="9"/>
      <c r="Z80" s="9"/>
      <c r="AB80" s="9"/>
    </row>
    <row r="81" spans="3:28" x14ac:dyDescent="0.3">
      <c r="C81" s="11"/>
      <c r="D81" s="11"/>
      <c r="E81" s="11"/>
      <c r="F81" s="11"/>
      <c r="G81" s="10"/>
      <c r="H81" s="10"/>
      <c r="I81" s="9"/>
      <c r="P81" s="10"/>
      <c r="Q81" s="10"/>
      <c r="R81" s="10"/>
      <c r="T81" s="10"/>
      <c r="W81" s="9"/>
      <c r="X81" s="9"/>
      <c r="Y81" s="9"/>
      <c r="Z81" s="9"/>
      <c r="AB81" s="9"/>
    </row>
    <row r="82" spans="3:28" x14ac:dyDescent="0.3">
      <c r="C82" s="11"/>
      <c r="D82" s="11"/>
      <c r="E82" s="11"/>
      <c r="F82" s="11"/>
      <c r="G82" s="10"/>
      <c r="H82" s="10"/>
      <c r="I82" s="9"/>
      <c r="P82" s="10"/>
      <c r="Q82" s="10"/>
      <c r="R82" s="10"/>
      <c r="T82" s="10"/>
      <c r="W82" s="9"/>
      <c r="X82" s="9"/>
      <c r="Y82" s="9"/>
      <c r="Z82" s="9"/>
      <c r="AB82" s="9"/>
    </row>
    <row r="83" spans="3:28" x14ac:dyDescent="0.3">
      <c r="C83" s="11"/>
      <c r="D83" s="11"/>
      <c r="E83" s="11"/>
      <c r="F83" s="11"/>
      <c r="G83" s="10"/>
      <c r="H83" s="10"/>
      <c r="I83" s="9"/>
      <c r="P83" s="10"/>
      <c r="Q83" s="10"/>
      <c r="R83" s="10"/>
      <c r="T83" s="10"/>
      <c r="W83" s="9"/>
      <c r="X83" s="9"/>
      <c r="Y83" s="9"/>
      <c r="Z83" s="9"/>
      <c r="AB83" s="9"/>
    </row>
    <row r="84" spans="3:28" x14ac:dyDescent="0.3">
      <c r="C84" s="11"/>
      <c r="D84" s="11"/>
      <c r="E84" s="11"/>
      <c r="F84" s="11"/>
      <c r="G84" s="10"/>
      <c r="H84" s="10"/>
      <c r="I84" s="9"/>
      <c r="P84" s="10"/>
      <c r="Q84" s="10"/>
      <c r="R84" s="10"/>
      <c r="T84" s="10"/>
      <c r="W84" s="9"/>
      <c r="X84" s="9"/>
      <c r="Y84" s="9"/>
      <c r="Z84" s="9"/>
      <c r="AB84" s="9"/>
    </row>
    <row r="85" spans="3:28" x14ac:dyDescent="0.3">
      <c r="C85" s="11"/>
      <c r="D85" s="11"/>
      <c r="E85" s="11"/>
      <c r="F85" s="11"/>
      <c r="G85" s="10"/>
      <c r="H85" s="10"/>
      <c r="I85" s="9"/>
      <c r="P85" s="10"/>
      <c r="Q85" s="10"/>
      <c r="R85" s="10"/>
      <c r="T85" s="10"/>
      <c r="W85" s="9"/>
      <c r="X85" s="9"/>
      <c r="Y85" s="9"/>
      <c r="Z85" s="9"/>
      <c r="AB85" s="9"/>
    </row>
    <row r="86" spans="3:28" x14ac:dyDescent="0.3">
      <c r="C86" s="11"/>
      <c r="D86" s="11"/>
      <c r="E86" s="11"/>
      <c r="F86" s="11"/>
      <c r="G86" s="10"/>
      <c r="H86" s="10"/>
      <c r="I86" s="9"/>
      <c r="P86" s="10"/>
      <c r="Q86" s="10"/>
      <c r="R86" s="10"/>
      <c r="T86" s="10"/>
      <c r="W86" s="9"/>
      <c r="X86" s="9"/>
      <c r="Y86" s="9"/>
      <c r="Z86" s="9"/>
      <c r="AB86" s="9"/>
    </row>
    <row r="87" spans="3:28" x14ac:dyDescent="0.3">
      <c r="C87" s="11"/>
      <c r="D87" s="11"/>
      <c r="E87" s="11"/>
      <c r="F87" s="11"/>
      <c r="G87" s="10"/>
      <c r="H87" s="10"/>
      <c r="I87" s="9"/>
      <c r="P87" s="10"/>
      <c r="Q87" s="10"/>
      <c r="R87" s="10"/>
      <c r="T87" s="10"/>
      <c r="W87" s="9"/>
      <c r="X87" s="9"/>
      <c r="Y87" s="9"/>
      <c r="Z87" s="9"/>
      <c r="AB87" s="9"/>
    </row>
    <row r="88" spans="3:28" x14ac:dyDescent="0.3">
      <c r="C88" s="11"/>
      <c r="D88" s="11"/>
      <c r="E88" s="11"/>
      <c r="F88" s="11"/>
      <c r="G88" s="10"/>
      <c r="H88" s="10"/>
      <c r="I88" s="9"/>
      <c r="P88" s="10"/>
      <c r="Q88" s="10"/>
      <c r="R88" s="10"/>
      <c r="T88" s="10"/>
      <c r="W88" s="9"/>
      <c r="X88" s="9"/>
      <c r="Y88" s="9"/>
      <c r="Z88" s="9"/>
      <c r="AB88" s="9"/>
    </row>
    <row r="90" spans="3:28" x14ac:dyDescent="0.3">
      <c r="E90" s="3"/>
      <c r="F90" s="3"/>
    </row>
    <row r="91" spans="3:28" x14ac:dyDescent="0.3">
      <c r="E91" s="3"/>
      <c r="F91" s="3"/>
    </row>
    <row r="92" spans="3:28" x14ac:dyDescent="0.3">
      <c r="E92" s="3"/>
      <c r="F92" s="3"/>
    </row>
    <row r="93" spans="3:28" x14ac:dyDescent="0.3">
      <c r="E93" s="3"/>
      <c r="F93" s="3"/>
    </row>
    <row r="94" spans="3:28" x14ac:dyDescent="0.3">
      <c r="E94" s="3"/>
      <c r="F94" s="3"/>
    </row>
    <row r="95" spans="3:28" x14ac:dyDescent="0.3">
      <c r="E95" s="3"/>
      <c r="F95" s="3"/>
    </row>
    <row r="96" spans="3:28"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Q83"/>
  <sheetViews>
    <sheetView topLeftCell="A16" zoomScale="90" workbookViewId="0">
      <selection activeCell="G40" sqref="G40"/>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8.1640625" bestFit="1" customWidth="1"/>
    <col min="8" max="8" width="24.6640625" bestFit="1" customWidth="1"/>
    <col min="9" max="9" width="24.83203125" bestFit="1" customWidth="1"/>
    <col min="10" max="10" width="16.6640625" customWidth="1"/>
    <col min="11" max="11" width="13.5" bestFit="1" customWidth="1"/>
    <col min="12" max="12" width="11.6640625" bestFit="1" customWidth="1"/>
    <col min="13" max="13" width="14" customWidth="1"/>
    <col min="14" max="14" width="18"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2" spans="2:43" ht="22" x14ac:dyDescent="0.25">
      <c r="AQ2" s="35">
        <v>5.7128509999999997</v>
      </c>
    </row>
    <row r="3" spans="2:43" ht="22" x14ac:dyDescent="0.25">
      <c r="N3" t="s">
        <v>3988</v>
      </c>
      <c r="AQ3" s="35">
        <v>18.897711999999999</v>
      </c>
    </row>
    <row r="4" spans="2:43" ht="26" x14ac:dyDescent="0.35">
      <c r="J4" t="s">
        <v>3912</v>
      </c>
      <c r="K4">
        <v>0.92</v>
      </c>
      <c r="L4">
        <v>215</v>
      </c>
      <c r="N4">
        <v>448192</v>
      </c>
      <c r="W4" s="98" t="s">
        <v>3973</v>
      </c>
      <c r="X4" s="98" t="s">
        <v>3985</v>
      </c>
      <c r="Y4" s="99"/>
      <c r="Z4" s="99"/>
      <c r="AA4" s="100" t="s">
        <v>3942</v>
      </c>
      <c r="AB4" s="101" t="s">
        <v>3987</v>
      </c>
      <c r="AC4" s="99"/>
      <c r="AD4" s="100" t="s">
        <v>3938</v>
      </c>
      <c r="AE4" s="101" t="s">
        <v>3987</v>
      </c>
      <c r="AQ4" s="35">
        <v>9.4467379999999999</v>
      </c>
    </row>
    <row r="5" spans="2:43" ht="26" x14ac:dyDescent="0.35">
      <c r="J5" t="s">
        <v>3960</v>
      </c>
      <c r="W5" s="98" t="s">
        <v>3983</v>
      </c>
      <c r="X5" s="98">
        <v>30</v>
      </c>
      <c r="Y5" s="99"/>
      <c r="Z5" s="99"/>
      <c r="AA5" s="102">
        <v>100</v>
      </c>
      <c r="AB5" s="95">
        <v>111.26600000000001</v>
      </c>
      <c r="AC5" s="99"/>
      <c r="AD5" s="102">
        <v>1</v>
      </c>
      <c r="AE5" s="94">
        <v>19.003499999999999</v>
      </c>
      <c r="AQ5" s="35">
        <v>22.320332000000001</v>
      </c>
    </row>
    <row r="6" spans="2:43" ht="26" x14ac:dyDescent="0.35">
      <c r="W6" s="98" t="s">
        <v>3984</v>
      </c>
      <c r="X6" s="98">
        <v>0.95</v>
      </c>
      <c r="Y6" s="99"/>
      <c r="Z6" s="99"/>
      <c r="AA6" s="102">
        <v>1000</v>
      </c>
      <c r="AB6" s="95">
        <v>29.1617</v>
      </c>
      <c r="AC6" s="99"/>
      <c r="AD6" s="102">
        <v>10</v>
      </c>
      <c r="AE6" s="94">
        <v>18.909700000000001</v>
      </c>
      <c r="AF6" s="86"/>
      <c r="AJ6" s="35"/>
      <c r="AQ6" s="35">
        <v>8.3141999999999994E-2</v>
      </c>
    </row>
    <row r="7" spans="2:43" ht="27" x14ac:dyDescent="0.35">
      <c r="O7" s="137"/>
      <c r="P7" s="137"/>
      <c r="Q7" s="137"/>
      <c r="R7" s="91"/>
      <c r="S7" s="138"/>
      <c r="T7" s="138"/>
      <c r="W7" s="98" t="s">
        <v>3986</v>
      </c>
      <c r="X7" s="94">
        <v>36085</v>
      </c>
      <c r="Y7" s="99"/>
      <c r="Z7" s="99"/>
      <c r="AA7" s="103">
        <v>10000</v>
      </c>
      <c r="AB7" s="96">
        <v>18.9161</v>
      </c>
      <c r="AC7" s="99"/>
      <c r="AD7" s="102">
        <v>20</v>
      </c>
      <c r="AE7" s="94">
        <v>17.566099999999999</v>
      </c>
      <c r="AF7" s="86"/>
      <c r="AQ7" s="35">
        <v>22.697265999999999</v>
      </c>
    </row>
    <row r="8" spans="2:43" ht="27" x14ac:dyDescent="0.35">
      <c r="B8" s="81" t="s">
        <v>3973</v>
      </c>
      <c r="C8" s="81" t="s">
        <v>3971</v>
      </c>
      <c r="D8" s="81"/>
      <c r="E8" s="81" t="s">
        <v>3974</v>
      </c>
      <c r="F8" s="81" t="s">
        <v>3934</v>
      </c>
      <c r="G8" s="81" t="s">
        <v>3972</v>
      </c>
      <c r="J8" s="81"/>
      <c r="K8" s="81"/>
      <c r="L8" s="81"/>
      <c r="M8" s="81"/>
      <c r="O8" s="81"/>
      <c r="P8" s="81"/>
      <c r="Q8" s="81"/>
      <c r="R8" s="81"/>
      <c r="S8" s="81"/>
      <c r="T8" s="81"/>
      <c r="W8" s="99"/>
      <c r="X8" s="99"/>
      <c r="Y8" s="99"/>
      <c r="Z8" s="99"/>
      <c r="AA8" s="102">
        <v>20000</v>
      </c>
      <c r="AB8" s="95">
        <v>28.322800000000001</v>
      </c>
      <c r="AC8" s="99"/>
      <c r="AD8" s="102">
        <v>50</v>
      </c>
      <c r="AE8" s="94">
        <v>20.896999999999998</v>
      </c>
      <c r="AF8" s="86"/>
      <c r="AQ8" s="35">
        <v>13.386818999999999</v>
      </c>
    </row>
    <row r="9" spans="2:43" ht="27" x14ac:dyDescent="0.35">
      <c r="B9" s="79" t="s">
        <v>3965</v>
      </c>
      <c r="C9" s="84">
        <v>360</v>
      </c>
      <c r="D9" s="82"/>
      <c r="E9" s="83">
        <v>0.115312</v>
      </c>
      <c r="F9" s="83">
        <v>16</v>
      </c>
      <c r="G9" s="83">
        <v>0.01</v>
      </c>
      <c r="J9" s="81"/>
      <c r="K9" s="88"/>
      <c r="L9" s="88"/>
      <c r="M9" s="88"/>
      <c r="N9" s="88"/>
      <c r="O9" s="89"/>
      <c r="P9" s="89"/>
      <c r="Q9" s="92"/>
      <c r="R9" s="89"/>
      <c r="S9" s="89"/>
      <c r="T9" s="89"/>
      <c r="W9" s="99"/>
      <c r="X9" s="99"/>
      <c r="Y9" s="99"/>
      <c r="Z9" s="99"/>
      <c r="AA9" s="99"/>
      <c r="AB9" s="99"/>
      <c r="AC9" s="99"/>
      <c r="AD9" s="99"/>
      <c r="AE9" s="104"/>
      <c r="AF9" s="86"/>
      <c r="AQ9" s="35">
        <v>74.721911000000006</v>
      </c>
    </row>
    <row r="10" spans="2:43" ht="27" x14ac:dyDescent="0.35">
      <c r="B10" s="79" t="s">
        <v>3966</v>
      </c>
      <c r="C10" s="84">
        <v>6145</v>
      </c>
      <c r="D10" s="82"/>
      <c r="E10" s="83">
        <v>0.97065900000000005</v>
      </c>
      <c r="F10" s="83">
        <v>44</v>
      </c>
      <c r="G10" s="83">
        <v>0.22</v>
      </c>
      <c r="J10" s="81"/>
      <c r="K10" s="88"/>
      <c r="L10" s="88"/>
      <c r="M10" s="88"/>
      <c r="N10" s="88"/>
      <c r="O10" s="89"/>
      <c r="P10" s="89"/>
      <c r="Q10" s="92"/>
      <c r="R10" s="89"/>
      <c r="S10" s="89"/>
      <c r="T10" s="89"/>
      <c r="W10" s="99"/>
      <c r="X10" s="99"/>
      <c r="Y10" s="99"/>
      <c r="Z10" s="99"/>
      <c r="AA10" s="99"/>
      <c r="AB10" s="99"/>
      <c r="AC10" s="99"/>
      <c r="AD10" s="99"/>
      <c r="AE10" s="104"/>
      <c r="AF10" s="87"/>
      <c r="AQ10" s="35">
        <v>290.598725</v>
      </c>
    </row>
    <row r="11" spans="2:43" ht="27" x14ac:dyDescent="0.35">
      <c r="B11" s="79" t="s">
        <v>3967</v>
      </c>
      <c r="C11" s="84">
        <v>28717</v>
      </c>
      <c r="D11" s="82"/>
      <c r="E11" s="83">
        <v>60.854799999999997</v>
      </c>
      <c r="F11" s="83" t="s">
        <v>3902</v>
      </c>
      <c r="G11" s="83">
        <v>49.23</v>
      </c>
      <c r="J11" s="81"/>
      <c r="K11" s="88"/>
      <c r="L11" s="88"/>
      <c r="M11" s="88"/>
      <c r="N11" s="88"/>
      <c r="O11" s="89"/>
      <c r="P11" s="89"/>
      <c r="Q11" s="92"/>
      <c r="R11" s="89"/>
      <c r="S11" s="89"/>
      <c r="T11" s="89"/>
      <c r="W11" s="98" t="s">
        <v>3973</v>
      </c>
      <c r="X11" s="98" t="s">
        <v>1528</v>
      </c>
      <c r="Y11" s="99"/>
      <c r="Z11" s="99"/>
      <c r="AA11" s="100" t="s">
        <v>3942</v>
      </c>
      <c r="AB11" s="101" t="s">
        <v>3987</v>
      </c>
      <c r="AC11" s="99"/>
      <c r="AD11" s="100" t="s">
        <v>3938</v>
      </c>
      <c r="AE11" s="101" t="s">
        <v>3987</v>
      </c>
      <c r="AQ11" s="35">
        <v>433.325399</v>
      </c>
    </row>
    <row r="12" spans="2:43" ht="27" x14ac:dyDescent="0.35">
      <c r="B12" s="79" t="s">
        <v>3968</v>
      </c>
      <c r="C12" s="84">
        <v>2517</v>
      </c>
      <c r="D12" s="82"/>
      <c r="E12" s="83">
        <v>4.77996</v>
      </c>
      <c r="F12" s="83">
        <v>263</v>
      </c>
      <c r="G12" s="83">
        <v>0.49</v>
      </c>
      <c r="J12" s="81"/>
      <c r="K12" s="88"/>
      <c r="L12" s="88"/>
      <c r="M12" s="88"/>
      <c r="N12" s="88"/>
      <c r="O12" s="89"/>
      <c r="P12" s="89"/>
      <c r="Q12" s="89"/>
      <c r="R12" s="89"/>
      <c r="S12" s="89"/>
      <c r="T12" s="92"/>
      <c r="W12" s="98" t="s">
        <v>3983</v>
      </c>
      <c r="X12" s="98">
        <v>20</v>
      </c>
      <c r="Y12" s="99"/>
      <c r="Z12" s="99"/>
      <c r="AA12" s="99">
        <v>10</v>
      </c>
      <c r="AB12" s="95">
        <v>112.94799999999999</v>
      </c>
      <c r="AC12" s="99"/>
      <c r="AD12" s="102">
        <v>1</v>
      </c>
      <c r="AE12" s="95">
        <v>23.771899999999999</v>
      </c>
      <c r="AQ12" s="35" t="s">
        <v>3989</v>
      </c>
    </row>
    <row r="13" spans="2:43" ht="26" x14ac:dyDescent="0.35">
      <c r="B13" s="79" t="s">
        <v>3969</v>
      </c>
      <c r="C13" s="84">
        <v>24383</v>
      </c>
      <c r="D13" s="82"/>
      <c r="E13" s="83">
        <v>1.1475500000000001</v>
      </c>
      <c r="F13" s="83" t="s">
        <v>3902</v>
      </c>
      <c r="G13" s="83">
        <v>3.05</v>
      </c>
      <c r="W13" s="98" t="s">
        <v>3984</v>
      </c>
      <c r="X13" s="98">
        <v>0.8</v>
      </c>
      <c r="Y13" s="99"/>
      <c r="Z13" s="99"/>
      <c r="AA13" s="102">
        <v>100</v>
      </c>
      <c r="AB13" s="95">
        <v>34.610700000000001</v>
      </c>
      <c r="AC13" s="99"/>
      <c r="AD13" s="102">
        <v>10</v>
      </c>
      <c r="AE13" s="95">
        <v>23.1478</v>
      </c>
      <c r="AQ13" s="35" t="s">
        <v>3989</v>
      </c>
    </row>
    <row r="14" spans="2:43" ht="26" x14ac:dyDescent="0.35">
      <c r="B14" s="79" t="s">
        <v>3970</v>
      </c>
      <c r="C14" s="84">
        <v>8949</v>
      </c>
      <c r="D14" s="82"/>
      <c r="E14" s="83">
        <v>5.9763599999999997</v>
      </c>
      <c r="F14" s="83">
        <v>20.440000000000001</v>
      </c>
      <c r="G14" s="83">
        <v>0.47</v>
      </c>
      <c r="Q14" s="90"/>
      <c r="R14" s="90"/>
      <c r="W14" s="98" t="s">
        <v>3986</v>
      </c>
      <c r="X14" s="94">
        <v>3785</v>
      </c>
      <c r="Y14" s="99"/>
      <c r="Z14" s="99"/>
      <c r="AA14" s="103">
        <v>1000</v>
      </c>
      <c r="AB14" s="96">
        <v>24.2639</v>
      </c>
      <c r="AC14" s="99"/>
      <c r="AD14" s="102">
        <v>20</v>
      </c>
      <c r="AE14" s="95">
        <v>23.116099999999999</v>
      </c>
      <c r="AQ14" s="35" t="s">
        <v>3989</v>
      </c>
    </row>
    <row r="15" spans="2:43" ht="26" x14ac:dyDescent="0.35">
      <c r="W15" s="99"/>
      <c r="X15" s="99"/>
      <c r="Y15" s="99"/>
      <c r="Z15" s="99"/>
      <c r="AA15" s="102">
        <v>10000</v>
      </c>
      <c r="AB15" s="95">
        <v>30.773599999999998</v>
      </c>
      <c r="AC15" s="99"/>
      <c r="AD15" s="102">
        <v>50</v>
      </c>
      <c r="AE15" s="95">
        <v>24.661000000000001</v>
      </c>
      <c r="AQ15" s="35" t="s">
        <v>3989</v>
      </c>
    </row>
    <row r="16" spans="2:43" ht="22" x14ac:dyDescent="0.25">
      <c r="AQ16" s="35" t="s">
        <v>3989</v>
      </c>
    </row>
    <row r="17" spans="2:43" ht="22" x14ac:dyDescent="0.25">
      <c r="AQ17" s="35" t="s">
        <v>3989</v>
      </c>
    </row>
    <row r="18" spans="2:43" ht="22" x14ac:dyDescent="0.25">
      <c r="F18" t="s">
        <v>3975</v>
      </c>
      <c r="AQ18" s="35" t="s">
        <v>3989</v>
      </c>
    </row>
    <row r="19" spans="2:43" ht="22" x14ac:dyDescent="0.25">
      <c r="AQ19" s="35" t="s">
        <v>3989</v>
      </c>
    </row>
    <row r="20" spans="2:43" ht="27" x14ac:dyDescent="0.35">
      <c r="F20" s="137" t="s">
        <v>3981</v>
      </c>
      <c r="G20" s="137"/>
      <c r="H20" s="137"/>
      <c r="I20" s="137"/>
      <c r="J20" s="137"/>
      <c r="K20" s="137"/>
      <c r="L20" s="137"/>
      <c r="M20" s="91"/>
      <c r="N20" s="91" t="s">
        <v>3982</v>
      </c>
      <c r="O20" s="91"/>
      <c r="W20" s="81" t="s">
        <v>3973</v>
      </c>
      <c r="X20" s="81" t="s">
        <v>3983</v>
      </c>
      <c r="Y20" s="81" t="s">
        <v>3984</v>
      </c>
      <c r="Z20" s="81" t="s">
        <v>3980</v>
      </c>
      <c r="AQ20" s="35" t="s">
        <v>3989</v>
      </c>
    </row>
    <row r="21" spans="2:43" ht="27" x14ac:dyDescent="0.35">
      <c r="B21" s="81" t="s">
        <v>3973</v>
      </c>
      <c r="C21" s="81" t="s">
        <v>3983</v>
      </c>
      <c r="D21" s="81" t="s">
        <v>3984</v>
      </c>
      <c r="E21" s="81"/>
      <c r="F21" s="81" t="s">
        <v>3930</v>
      </c>
      <c r="G21" s="81" t="s">
        <v>3977</v>
      </c>
      <c r="H21" s="81" t="s">
        <v>4016</v>
      </c>
      <c r="I21" s="81" t="s">
        <v>4015</v>
      </c>
      <c r="J21" s="81" t="s">
        <v>3929</v>
      </c>
      <c r="K21" s="81" t="s">
        <v>3935</v>
      </c>
      <c r="N21" s="81" t="s">
        <v>3934</v>
      </c>
      <c r="O21" s="81" t="s">
        <v>3972</v>
      </c>
      <c r="W21" s="81" t="s">
        <v>1531</v>
      </c>
      <c r="X21" s="88">
        <v>30</v>
      </c>
      <c r="Y21" s="88">
        <v>0.95</v>
      </c>
      <c r="Z21" s="88">
        <v>36085</v>
      </c>
      <c r="AQ21" s="35" t="s">
        <v>3989</v>
      </c>
    </row>
    <row r="22" spans="2:43" ht="27" x14ac:dyDescent="0.35">
      <c r="B22" s="162" t="s">
        <v>1531</v>
      </c>
      <c r="C22" s="88">
        <v>30</v>
      </c>
      <c r="D22" s="88">
        <v>0.95</v>
      </c>
      <c r="E22" s="88"/>
      <c r="F22" s="47">
        <v>112.85599999999999</v>
      </c>
      <c r="G22" s="47">
        <v>126.065</v>
      </c>
      <c r="H22" s="47">
        <v>125.18131085860148</v>
      </c>
      <c r="I22" s="47">
        <v>129.19073894297208</v>
      </c>
      <c r="J22" s="47" t="s">
        <v>3902</v>
      </c>
      <c r="K22" s="93">
        <v>20.8201</v>
      </c>
      <c r="N22" s="89" t="s">
        <v>3902</v>
      </c>
      <c r="O22" s="89">
        <v>396.8</v>
      </c>
      <c r="W22" s="81" t="s">
        <v>3979</v>
      </c>
      <c r="X22" s="88">
        <v>23</v>
      </c>
      <c r="Y22" s="88">
        <v>0.9</v>
      </c>
      <c r="Z22" s="88">
        <v>16009</v>
      </c>
      <c r="AQ22" s="35" t="s">
        <v>3989</v>
      </c>
    </row>
    <row r="23" spans="2:43" ht="27" x14ac:dyDescent="0.35">
      <c r="B23" s="162" t="s">
        <v>3979</v>
      </c>
      <c r="C23" s="88">
        <v>23</v>
      </c>
      <c r="D23" s="88">
        <v>0.9</v>
      </c>
      <c r="E23" s="88"/>
      <c r="F23" s="47" t="s">
        <v>3904</v>
      </c>
      <c r="G23" s="47">
        <v>390.51600000000002</v>
      </c>
      <c r="H23" s="47">
        <v>390.10450995337078</v>
      </c>
      <c r="I23" s="47">
        <v>390.25024172041248</v>
      </c>
      <c r="J23" s="47" t="s">
        <v>3902</v>
      </c>
      <c r="K23" s="93">
        <v>275.56599999999997</v>
      </c>
      <c r="N23" s="89" t="s">
        <v>3902</v>
      </c>
      <c r="O23" s="89" t="s">
        <v>3902</v>
      </c>
      <c r="W23" s="81" t="s">
        <v>1514</v>
      </c>
      <c r="X23" s="88">
        <v>5</v>
      </c>
      <c r="Y23" s="88">
        <v>0.8</v>
      </c>
      <c r="Z23" s="88">
        <v>94500</v>
      </c>
      <c r="AQ23" s="35" t="s">
        <v>3989</v>
      </c>
    </row>
    <row r="24" spans="2:43" ht="27" x14ac:dyDescent="0.35">
      <c r="B24" s="162" t="s">
        <v>1514</v>
      </c>
      <c r="C24" s="88">
        <v>5</v>
      </c>
      <c r="D24" s="88">
        <v>0.8</v>
      </c>
      <c r="E24" s="88"/>
      <c r="F24" s="47">
        <v>48.034700000000001</v>
      </c>
      <c r="G24" s="47">
        <v>50.8005</v>
      </c>
      <c r="H24" s="47">
        <v>49.286268665653402</v>
      </c>
      <c r="I24" s="47">
        <v>48.925929149757124</v>
      </c>
      <c r="J24" s="47">
        <v>50.255800000000001</v>
      </c>
      <c r="K24" s="93">
        <v>8.9690399999999997</v>
      </c>
      <c r="N24" s="89">
        <v>235.078</v>
      </c>
      <c r="O24" s="89">
        <v>296.74</v>
      </c>
      <c r="W24" s="81" t="s">
        <v>1528</v>
      </c>
      <c r="X24" s="88">
        <v>20</v>
      </c>
      <c r="Y24" s="88">
        <v>0.8</v>
      </c>
      <c r="Z24" s="77">
        <v>3785</v>
      </c>
      <c r="AQ24" s="35" t="s">
        <v>3989</v>
      </c>
    </row>
    <row r="25" spans="2:43" ht="27" x14ac:dyDescent="0.35">
      <c r="B25" s="162" t="s">
        <v>1528</v>
      </c>
      <c r="C25" s="88">
        <v>20</v>
      </c>
      <c r="D25" s="88">
        <v>0.8</v>
      </c>
      <c r="E25" s="77"/>
      <c r="F25" s="47">
        <v>34.322899999999997</v>
      </c>
      <c r="G25" s="47">
        <v>30.9161</v>
      </c>
      <c r="H25" s="47">
        <v>32.211912020573102</v>
      </c>
      <c r="I25" s="47">
        <v>31.361574010748814</v>
      </c>
      <c r="J25" s="47">
        <v>1264.97</v>
      </c>
      <c r="K25" s="93">
        <v>30.710999999999999</v>
      </c>
      <c r="N25" s="89" t="s">
        <v>3902</v>
      </c>
      <c r="O25" s="89" t="s">
        <v>3902</v>
      </c>
      <c r="W25" s="6" t="s">
        <v>3960</v>
      </c>
      <c r="X25" s="88">
        <v>115</v>
      </c>
      <c r="Y25" s="88">
        <v>0.96</v>
      </c>
      <c r="AQ25" s="35">
        <v>5.5105000000000001E-2</v>
      </c>
    </row>
    <row r="26" spans="2:43" ht="27" x14ac:dyDescent="0.35">
      <c r="B26" s="163" t="s">
        <v>3960</v>
      </c>
      <c r="C26" s="88">
        <v>115</v>
      </c>
      <c r="D26" s="88">
        <v>0.96</v>
      </c>
      <c r="F26" s="47">
        <v>1143.8209999999999</v>
      </c>
      <c r="G26" s="47">
        <v>1087.48</v>
      </c>
      <c r="H26" s="47">
        <v>1087.5767267912781</v>
      </c>
      <c r="I26" s="47">
        <v>1088.2143548072804</v>
      </c>
      <c r="J26" s="47" t="s">
        <v>3902</v>
      </c>
      <c r="K26" s="97">
        <v>996.42</v>
      </c>
      <c r="N26" s="89" t="s">
        <v>3902</v>
      </c>
      <c r="O26" s="89" t="s">
        <v>3902</v>
      </c>
      <c r="W26" s="77" t="s">
        <v>3919</v>
      </c>
      <c r="X26" s="88">
        <v>20</v>
      </c>
      <c r="Y26" s="88">
        <v>0.95</v>
      </c>
      <c r="AQ26" s="35">
        <v>34.506560999999998</v>
      </c>
    </row>
    <row r="27" spans="2:43" ht="28" x14ac:dyDescent="0.35">
      <c r="B27" s="164" t="s">
        <v>3919</v>
      </c>
      <c r="C27" s="88">
        <v>20</v>
      </c>
      <c r="D27" s="88">
        <v>0.95</v>
      </c>
      <c r="F27" s="172">
        <v>1495.9010000000001</v>
      </c>
      <c r="G27" s="172">
        <v>1452.82</v>
      </c>
      <c r="H27" s="172">
        <v>1455.5143837058636</v>
      </c>
      <c r="I27" s="172">
        <v>1447.9560301116103</v>
      </c>
      <c r="J27" s="47">
        <v>1708.14</v>
      </c>
      <c r="K27" s="97">
        <v>639.14099999999996</v>
      </c>
      <c r="N27" s="89" t="s">
        <v>3902</v>
      </c>
      <c r="O27" s="89" t="s">
        <v>3902</v>
      </c>
      <c r="W27" s="6" t="s">
        <v>3920</v>
      </c>
      <c r="X27" s="88">
        <v>20</v>
      </c>
      <c r="Y27" s="88">
        <v>0.9</v>
      </c>
      <c r="Z27" s="77">
        <v>573021</v>
      </c>
      <c r="AQ27" s="35">
        <v>5.5830380000000002</v>
      </c>
    </row>
    <row r="28" spans="2:43" ht="27" x14ac:dyDescent="0.35">
      <c r="B28" s="163" t="s">
        <v>3920</v>
      </c>
      <c r="C28" s="88">
        <v>20</v>
      </c>
      <c r="D28" s="88">
        <v>0.9</v>
      </c>
      <c r="E28" s="77"/>
      <c r="F28" s="172">
        <v>582.32100000000003</v>
      </c>
      <c r="G28" s="172">
        <v>546.51199999999994</v>
      </c>
      <c r="H28" s="172">
        <v>551.61994410807802</v>
      </c>
      <c r="I28" s="172">
        <v>550.54640957520166</v>
      </c>
      <c r="J28" s="47">
        <v>362.80500000000001</v>
      </c>
      <c r="K28" s="97">
        <v>204.886</v>
      </c>
      <c r="N28" s="89" t="s">
        <v>3902</v>
      </c>
      <c r="O28" s="89" t="s">
        <v>3902</v>
      </c>
      <c r="AQ28" s="35">
        <v>117.90758099999999</v>
      </c>
    </row>
    <row r="29" spans="2:43" ht="22" x14ac:dyDescent="0.25">
      <c r="G29" s="173" t="s">
        <v>4036</v>
      </c>
      <c r="AQ29" s="35">
        <v>75.350153000000006</v>
      </c>
    </row>
    <row r="30" spans="2:43" ht="22" x14ac:dyDescent="0.25">
      <c r="AQ30" s="35">
        <v>411.32039900000001</v>
      </c>
    </row>
    <row r="31" spans="2:43" ht="22" x14ac:dyDescent="0.25">
      <c r="AQ31" s="35">
        <v>516.02195900000004</v>
      </c>
    </row>
    <row r="32" spans="2:43" ht="22" x14ac:dyDescent="0.25">
      <c r="AQ32" s="146">
        <v>1506.4237009999999</v>
      </c>
    </row>
    <row r="33" spans="7:43" ht="22" x14ac:dyDescent="0.25">
      <c r="AQ33" s="35" t="s">
        <v>3989</v>
      </c>
    </row>
    <row r="34" spans="7:43" ht="22" x14ac:dyDescent="0.25">
      <c r="AQ34" s="35" t="s">
        <v>3989</v>
      </c>
    </row>
    <row r="35" spans="7:43" ht="22" x14ac:dyDescent="0.25">
      <c r="AQ35" s="35" t="s">
        <v>3989</v>
      </c>
    </row>
    <row r="36" spans="7:43" ht="22" x14ac:dyDescent="0.25">
      <c r="AQ36" s="35" t="s">
        <v>3989</v>
      </c>
    </row>
    <row r="37" spans="7:43" ht="22" x14ac:dyDescent="0.25">
      <c r="AQ37" s="35" t="s">
        <v>3989</v>
      </c>
    </row>
    <row r="38" spans="7:43" ht="22" x14ac:dyDescent="0.25">
      <c r="AQ38" s="35" t="s">
        <v>3989</v>
      </c>
    </row>
    <row r="39" spans="7:43" ht="22" x14ac:dyDescent="0.25">
      <c r="G39" t="s">
        <v>4037</v>
      </c>
      <c r="AQ39" s="35" t="s">
        <v>3989</v>
      </c>
    </row>
    <row r="40" spans="7:43" ht="22" x14ac:dyDescent="0.25">
      <c r="AQ40" s="35" t="s">
        <v>3989</v>
      </c>
    </row>
    <row r="41" spans="7:43" ht="22" x14ac:dyDescent="0.25">
      <c r="AQ41" s="35" t="s">
        <v>3989</v>
      </c>
    </row>
    <row r="42" spans="7:43" ht="22" x14ac:dyDescent="0.25">
      <c r="AQ42" s="35" t="s">
        <v>3989</v>
      </c>
    </row>
    <row r="43" spans="7:43" ht="22" x14ac:dyDescent="0.25">
      <c r="AQ43" s="35">
        <v>122.148618</v>
      </c>
    </row>
    <row r="44" spans="7:43" ht="22" x14ac:dyDescent="0.25">
      <c r="AQ44" s="35">
        <v>398.639387</v>
      </c>
    </row>
    <row r="45" spans="7:43" ht="22" x14ac:dyDescent="0.25">
      <c r="AQ45" s="35">
        <v>681.58641899999998</v>
      </c>
    </row>
    <row r="46" spans="7:43" ht="22" x14ac:dyDescent="0.25">
      <c r="AQ46" s="35" t="s">
        <v>3989</v>
      </c>
    </row>
    <row r="47" spans="7:43" ht="22" x14ac:dyDescent="0.25">
      <c r="AQ47" s="35" t="s">
        <v>3989</v>
      </c>
    </row>
    <row r="48" spans="7:43" ht="22" x14ac:dyDescent="0.25">
      <c r="AQ48" s="35">
        <v>259.05960099999999</v>
      </c>
    </row>
    <row r="49" spans="43:43" ht="22" x14ac:dyDescent="0.25">
      <c r="AQ49" s="35" t="s">
        <v>3989</v>
      </c>
    </row>
    <row r="50" spans="43:43" ht="22" x14ac:dyDescent="0.25">
      <c r="AQ50" s="35" t="s">
        <v>3989</v>
      </c>
    </row>
    <row r="51" spans="43:43" ht="22" x14ac:dyDescent="0.25">
      <c r="AQ51" s="35" t="s">
        <v>3989</v>
      </c>
    </row>
    <row r="52" spans="43:43" ht="22" x14ac:dyDescent="0.25">
      <c r="AQ52" s="146">
        <v>2038.237151</v>
      </c>
    </row>
    <row r="53" spans="43:43" ht="22" x14ac:dyDescent="0.25">
      <c r="AQ53" s="35" t="s">
        <v>3989</v>
      </c>
    </row>
    <row r="54" spans="43:43" ht="22" x14ac:dyDescent="0.25">
      <c r="AQ54" s="35" t="s">
        <v>3989</v>
      </c>
    </row>
    <row r="55" spans="43:43" ht="22" x14ac:dyDescent="0.25">
      <c r="AQ55" s="35" t="s">
        <v>3989</v>
      </c>
    </row>
    <row r="56" spans="43:43" ht="22" x14ac:dyDescent="0.25">
      <c r="AQ56" s="35">
        <v>142.51957999999999</v>
      </c>
    </row>
    <row r="57" spans="43:43" ht="22" x14ac:dyDescent="0.25">
      <c r="AQ57" s="35">
        <v>126.505053</v>
      </c>
    </row>
    <row r="58" spans="43:43" ht="22" x14ac:dyDescent="0.25">
      <c r="AQ58" s="146">
        <v>1844.568945</v>
      </c>
    </row>
    <row r="59" spans="43:43" ht="22" x14ac:dyDescent="0.25">
      <c r="AQ59" s="35" t="s">
        <v>3989</v>
      </c>
    </row>
    <row r="60" spans="43:43" ht="22" x14ac:dyDescent="0.25">
      <c r="AQ60" s="35">
        <v>579.55940199999998</v>
      </c>
    </row>
    <row r="61" spans="43:43" ht="22" x14ac:dyDescent="0.25">
      <c r="AQ61" s="35" t="s">
        <v>3989</v>
      </c>
    </row>
    <row r="62" spans="43:43" ht="22" x14ac:dyDescent="0.25">
      <c r="AQ62" s="35" t="s">
        <v>3989</v>
      </c>
    </row>
    <row r="63" spans="43:43" ht="22" x14ac:dyDescent="0.25">
      <c r="AQ63" s="35" t="s">
        <v>3989</v>
      </c>
    </row>
    <row r="64" spans="43:43" ht="22" x14ac:dyDescent="0.25">
      <c r="AQ64" s="35" t="s">
        <v>3989</v>
      </c>
    </row>
    <row r="65" spans="43:43" ht="22" x14ac:dyDescent="0.25">
      <c r="AQ65" s="35" t="s">
        <v>3989</v>
      </c>
    </row>
    <row r="66" spans="43:43" ht="22" x14ac:dyDescent="0.25">
      <c r="AQ66" s="35" t="s">
        <v>3989</v>
      </c>
    </row>
    <row r="67" spans="43:43" ht="22" x14ac:dyDescent="0.25">
      <c r="AQ67" s="35" t="s">
        <v>3989</v>
      </c>
    </row>
    <row r="68" spans="43:43" ht="22" x14ac:dyDescent="0.25">
      <c r="AQ68" s="35">
        <v>22.9221</v>
      </c>
    </row>
    <row r="69" spans="43:43" ht="22" x14ac:dyDescent="0.25">
      <c r="AQ69" s="35">
        <v>18.058859000000002</v>
      </c>
    </row>
    <row r="70" spans="43:43" ht="22" x14ac:dyDescent="0.25">
      <c r="AQ70" s="35" t="s">
        <v>3989</v>
      </c>
    </row>
    <row r="71" spans="43:43" ht="22" x14ac:dyDescent="0.25">
      <c r="AQ71" s="35">
        <v>131.51616200000001</v>
      </c>
    </row>
    <row r="72" spans="43:43" ht="22" x14ac:dyDescent="0.25">
      <c r="AQ72" s="35" t="s">
        <v>3989</v>
      </c>
    </row>
    <row r="73" spans="43:43" ht="22" x14ac:dyDescent="0.25">
      <c r="AQ73" s="35" t="s">
        <v>3989</v>
      </c>
    </row>
    <row r="74" spans="43:43" ht="22" x14ac:dyDescent="0.25">
      <c r="AQ74" s="35">
        <v>267.42445199999997</v>
      </c>
    </row>
    <row r="75" spans="43:43" ht="22" x14ac:dyDescent="0.25">
      <c r="AQ75" s="35" t="s">
        <v>3989</v>
      </c>
    </row>
    <row r="76" spans="43:43" ht="22" x14ac:dyDescent="0.25">
      <c r="AQ76" s="35" t="s">
        <v>3989</v>
      </c>
    </row>
    <row r="77" spans="43:43" ht="22" x14ac:dyDescent="0.25">
      <c r="AQ77" s="35" t="s">
        <v>3989</v>
      </c>
    </row>
    <row r="78" spans="43:43" ht="22" x14ac:dyDescent="0.25">
      <c r="AQ78" s="35">
        <v>784.80277100000001</v>
      </c>
    </row>
    <row r="79" spans="43:43" ht="22" x14ac:dyDescent="0.25">
      <c r="AQ79" s="35" t="s">
        <v>3989</v>
      </c>
    </row>
    <row r="80" spans="43:43" ht="22" x14ac:dyDescent="0.25">
      <c r="AQ80" s="35" t="s">
        <v>3989</v>
      </c>
    </row>
    <row r="81" spans="43:43" ht="22" x14ac:dyDescent="0.25">
      <c r="AQ81" s="35" t="s">
        <v>3989</v>
      </c>
    </row>
    <row r="82" spans="43:43" ht="22" x14ac:dyDescent="0.25">
      <c r="AQ82" s="35" t="s">
        <v>3989</v>
      </c>
    </row>
    <row r="83" spans="43:43" ht="22" x14ac:dyDescent="0.25">
      <c r="AQ83" s="35" t="s">
        <v>3989</v>
      </c>
    </row>
  </sheetData>
  <mergeCells count="3">
    <mergeCell ref="O7:Q7"/>
    <mergeCell ref="S7:T7"/>
    <mergeCell ref="F20:L20"/>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101" zoomScale="91" workbookViewId="0">
      <selection activeCell="J183" sqref="J183"/>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55"/>
      <c r="E64" s="55"/>
      <c r="G64" s="36"/>
      <c r="H64" s="36"/>
      <c r="I64" s="36"/>
      <c r="J64" s="36"/>
      <c r="V64" s="35"/>
    </row>
    <row r="65" spans="4:22" ht="23" x14ac:dyDescent="0.3">
      <c r="D65" s="55"/>
      <c r="E65" s="55"/>
      <c r="G65" s="80"/>
      <c r="H65" s="80"/>
      <c r="I65" s="80"/>
      <c r="J65" s="80"/>
      <c r="V65" s="35"/>
    </row>
    <row r="66" spans="4:22" ht="23" x14ac:dyDescent="0.3">
      <c r="D66" s="55"/>
      <c r="E66" s="55"/>
      <c r="G66" s="80"/>
      <c r="H66" s="80"/>
      <c r="I66" s="80"/>
      <c r="J66" s="80"/>
      <c r="V66" s="35"/>
    </row>
    <row r="67" spans="4:22" ht="23" x14ac:dyDescent="0.3">
      <c r="D67" s="55"/>
      <c r="E67" s="55"/>
      <c r="G67" s="80"/>
      <c r="H67" s="80"/>
      <c r="I67" s="80"/>
      <c r="J67" s="80"/>
      <c r="V67" s="35"/>
    </row>
    <row r="68" spans="4:22" ht="23" x14ac:dyDescent="0.3">
      <c r="D68" s="55"/>
      <c r="E68" s="55"/>
      <c r="G68" s="80"/>
      <c r="H68" s="80"/>
      <c r="I68" s="80"/>
      <c r="J68" s="80"/>
      <c r="V68" s="35"/>
    </row>
    <row r="69" spans="4:22" ht="23" x14ac:dyDescent="0.3">
      <c r="D69" s="55"/>
      <c r="E69" s="55"/>
      <c r="G69" s="80"/>
      <c r="H69" s="80"/>
      <c r="I69" s="80"/>
      <c r="J69" s="80"/>
      <c r="V69" s="35"/>
    </row>
    <row r="70" spans="4:22" ht="23" x14ac:dyDescent="0.3">
      <c r="D70" s="55"/>
      <c r="E70" s="55"/>
      <c r="G70" s="80"/>
      <c r="H70" s="80"/>
      <c r="I70" s="80"/>
      <c r="J70" s="80"/>
      <c r="V70" s="35"/>
    </row>
    <row r="71" spans="4:22" ht="23" x14ac:dyDescent="0.3">
      <c r="D71" s="55"/>
      <c r="E71" s="55"/>
      <c r="G71" s="80"/>
      <c r="H71" s="80"/>
      <c r="I71" s="80"/>
      <c r="J71" s="80"/>
      <c r="V71" s="35"/>
    </row>
    <row r="72" spans="4:22" ht="23" x14ac:dyDescent="0.3">
      <c r="D72" s="55"/>
      <c r="E72" s="55"/>
      <c r="G72" s="80"/>
      <c r="H72" s="80"/>
      <c r="I72" s="80"/>
      <c r="J72" s="80"/>
      <c r="V72" s="35"/>
    </row>
    <row r="73" spans="4:22" ht="23" x14ac:dyDescent="0.3">
      <c r="D73" s="80" t="s">
        <v>3973</v>
      </c>
      <c r="E73" s="80" t="s">
        <v>3947</v>
      </c>
      <c r="F73" s="80" t="s">
        <v>3990</v>
      </c>
      <c r="G73" s="80" t="s">
        <v>3948</v>
      </c>
      <c r="H73" s="80" t="s">
        <v>3929</v>
      </c>
      <c r="I73" s="80" t="s">
        <v>3935</v>
      </c>
      <c r="J73" s="80" t="s">
        <v>3996</v>
      </c>
      <c r="K73" s="80" t="s">
        <v>3997</v>
      </c>
      <c r="M73" s="80" t="s">
        <v>3995</v>
      </c>
      <c r="V73" s="35"/>
    </row>
    <row r="74" spans="4:22" ht="27" x14ac:dyDescent="0.35">
      <c r="D74" s="80" t="s">
        <v>1346</v>
      </c>
      <c r="E74" s="80">
        <v>2</v>
      </c>
      <c r="F74" s="36">
        <v>2.4068320000000001</v>
      </c>
      <c r="G74" s="36">
        <v>0.53377600000000003</v>
      </c>
      <c r="H74" s="36">
        <v>22.320332000000001</v>
      </c>
      <c r="I74" s="36">
        <v>2.36</v>
      </c>
      <c r="J74" s="107">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07">
        <f>Table2[[#This Row],[CPU+GPU]]/Table2[[#This Row],[GPU Only]]</f>
        <v>1.1654744140904432</v>
      </c>
      <c r="K75" s="36">
        <f>Table2[[#This Row],[CPU Only]]/Table2[[#This Row],[CPU+GPU]]</f>
        <v>41.971469285714285</v>
      </c>
      <c r="V75" s="35"/>
    </row>
    <row r="76" spans="4:22" ht="27" x14ac:dyDescent="0.35">
      <c r="D76" s="80" t="s">
        <v>1346</v>
      </c>
      <c r="E76" s="80">
        <v>6</v>
      </c>
      <c r="F76" s="36" t="s">
        <v>3989</v>
      </c>
      <c r="G76" s="36" t="s">
        <v>3989</v>
      </c>
      <c r="H76" s="36" t="s">
        <v>3989</v>
      </c>
      <c r="I76" s="36" t="s">
        <v>3989</v>
      </c>
      <c r="J76" s="107"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3989</v>
      </c>
      <c r="I77" s="36">
        <v>28.14</v>
      </c>
      <c r="J77" s="107">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3989</v>
      </c>
      <c r="I78" s="36">
        <v>34.840000000000003</v>
      </c>
      <c r="J78" s="107">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07">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07">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07">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07">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07">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07">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07">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07">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3989</v>
      </c>
      <c r="I87" s="36">
        <v>62.99</v>
      </c>
      <c r="J87" s="107">
        <f>Table2[[#This Row],[CPU+GPU]]/Table2[[#This Row],[GPU Only]]</f>
        <v>1.0378790938246161</v>
      </c>
      <c r="K87" s="36" t="e">
        <f>Table2[[#This Row],[CPU Only]]/Table2[[#This Row],[CPU+GPU]]</f>
        <v>#VALUE!</v>
      </c>
      <c r="V87" s="35"/>
    </row>
    <row r="88" spans="4:22" ht="27" x14ac:dyDescent="0.35">
      <c r="D88" s="80" t="s">
        <v>3</v>
      </c>
      <c r="E88" s="80">
        <v>6</v>
      </c>
      <c r="F88" s="36" t="s">
        <v>3989</v>
      </c>
      <c r="G88" s="36" t="s">
        <v>3989</v>
      </c>
      <c r="H88" s="36" t="s">
        <v>3989</v>
      </c>
      <c r="I88" s="36" t="s">
        <v>3989</v>
      </c>
      <c r="J88" s="107"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3989</v>
      </c>
      <c r="I89" s="36">
        <v>267.39</v>
      </c>
      <c r="J89" s="107">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3989</v>
      </c>
      <c r="I90" s="36">
        <v>192.79</v>
      </c>
      <c r="J90" s="107">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3989</v>
      </c>
      <c r="I91" s="36">
        <v>13.57</v>
      </c>
      <c r="J91" s="107">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07">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3989</v>
      </c>
      <c r="I93" s="36">
        <v>45.52</v>
      </c>
      <c r="J93" s="107">
        <f>Table2[[#This Row],[CPU+GPU]]/Table2[[#This Row],[GPU Only]]</f>
        <v>1.0403258596783707</v>
      </c>
      <c r="K93" s="36" t="e">
        <f>Table2[[#This Row],[CPU Only]]/Table2[[#This Row],[CPU+GPU]]</f>
        <v>#VALUE!</v>
      </c>
      <c r="V93" s="35"/>
    </row>
    <row r="94" spans="4:22" ht="27" x14ac:dyDescent="0.35">
      <c r="D94" s="80" t="s">
        <v>4</v>
      </c>
      <c r="E94" s="80">
        <v>6</v>
      </c>
      <c r="F94" s="36" t="s">
        <v>3989</v>
      </c>
      <c r="G94" s="36" t="s">
        <v>3989</v>
      </c>
      <c r="H94" s="36" t="s">
        <v>3989</v>
      </c>
      <c r="I94" s="36" t="s">
        <v>3989</v>
      </c>
      <c r="J94" s="107"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3989</v>
      </c>
      <c r="I95" s="36">
        <v>195.36</v>
      </c>
      <c r="J95" s="107">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3989</v>
      </c>
      <c r="I96" s="36">
        <v>145.37</v>
      </c>
      <c r="J96" s="107">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3989</v>
      </c>
      <c r="I97" s="36">
        <v>8.3000000000000007</v>
      </c>
      <c r="J97" s="107">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07">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3989</v>
      </c>
      <c r="I99" s="36">
        <v>61.04</v>
      </c>
      <c r="J99" s="107">
        <f>Table2[[#This Row],[CPU+GPU]]/Table2[[#This Row],[GPU Only]]</f>
        <v>1.03370634597474</v>
      </c>
      <c r="K99" s="36" t="e">
        <f>Table2[[#This Row],[CPU Only]]/Table2[[#This Row],[CPU+GPU]]</f>
        <v>#VALUE!</v>
      </c>
      <c r="V99" s="35"/>
    </row>
    <row r="100" spans="4:22" ht="27" x14ac:dyDescent="0.35">
      <c r="D100" s="80" t="s">
        <v>6</v>
      </c>
      <c r="E100" s="80">
        <v>6</v>
      </c>
      <c r="F100" s="36" t="s">
        <v>3989</v>
      </c>
      <c r="G100" s="36" t="s">
        <v>3989</v>
      </c>
      <c r="H100" s="36" t="s">
        <v>3989</v>
      </c>
      <c r="I100" s="36" t="s">
        <v>3989</v>
      </c>
      <c r="J100" s="107"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3989</v>
      </c>
      <c r="I101" s="36">
        <v>184.52</v>
      </c>
      <c r="J101" s="107">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3989</v>
      </c>
      <c r="I102" s="36">
        <v>206.21</v>
      </c>
      <c r="J102" s="107">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3989</v>
      </c>
      <c r="I103" s="36">
        <v>25.19</v>
      </c>
      <c r="J103" s="107">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07">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07">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3989</v>
      </c>
      <c r="I106" s="36">
        <v>53.98</v>
      </c>
      <c r="J106" s="107">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3989</v>
      </c>
      <c r="I107" s="36">
        <v>20.329999999999998</v>
      </c>
      <c r="J107" s="107">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07">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07">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07">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07">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07">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07">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07">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07">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07">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3989</v>
      </c>
      <c r="I117" s="36">
        <v>39.369999999999997</v>
      </c>
      <c r="J117" s="107">
        <f>Table2[[#This Row],[CPU+GPU]]/Table2[[#This Row],[GPU Only]]</f>
        <v>1.0596966102332239</v>
      </c>
      <c r="K117" s="36" t="e">
        <f>Table2[[#This Row],[CPU Only]]/Table2[[#This Row],[CPU+GPU]]</f>
        <v>#VALUE!</v>
      </c>
      <c r="V117" s="35"/>
    </row>
    <row r="118" spans="4:22" ht="27" x14ac:dyDescent="0.35">
      <c r="D118" s="80" t="s">
        <v>3913</v>
      </c>
      <c r="E118" s="80">
        <v>6</v>
      </c>
      <c r="F118" s="36" t="s">
        <v>3989</v>
      </c>
      <c r="G118" s="36" t="s">
        <v>3989</v>
      </c>
      <c r="H118" s="36" t="s">
        <v>3989</v>
      </c>
      <c r="I118" s="36" t="s">
        <v>3989</v>
      </c>
      <c r="J118" s="107"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3989</v>
      </c>
      <c r="I119" s="36">
        <v>103.16</v>
      </c>
      <c r="J119" s="107">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3989</v>
      </c>
      <c r="I120" s="36">
        <v>111.83</v>
      </c>
      <c r="J120" s="107">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3989</v>
      </c>
      <c r="I121" s="36">
        <v>17.7</v>
      </c>
      <c r="J121" s="107">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07">
        <f>Table2[[#This Row],[CPU+GPU]]/Table2[[#This Row],[GPU Only]]</f>
        <v>1.1628603778584807</v>
      </c>
      <c r="K122" s="36">
        <f>Table2[[#This Row],[CPU Only]]/Table2[[#This Row],[CPU+GPU]]</f>
        <v>14.793808346173268</v>
      </c>
      <c r="M122" t="s">
        <v>3998</v>
      </c>
      <c r="V122" s="35"/>
    </row>
    <row r="123" spans="4:22" ht="27" x14ac:dyDescent="0.35">
      <c r="D123" s="80" t="s">
        <v>3919</v>
      </c>
      <c r="E123" s="80">
        <v>5</v>
      </c>
      <c r="F123" s="36">
        <v>3.7282199999999999</v>
      </c>
      <c r="G123" s="36">
        <v>1.8812679999999999</v>
      </c>
      <c r="H123" s="36">
        <v>34.506560999999998</v>
      </c>
      <c r="I123" s="36">
        <v>2.2555969999999999</v>
      </c>
      <c r="J123" s="107">
        <f>Table2[[#This Row],[CPU+GPU]]/Table2[[#This Row],[GPU Only]]</f>
        <v>1.1989769665991235</v>
      </c>
      <c r="K123" s="36">
        <f>Table2[[#This Row],[CPU Only]]/Table2[[#This Row],[CPU+GPU]]</f>
        <v>15.298194225298225</v>
      </c>
      <c r="M123" t="s">
        <v>3999</v>
      </c>
      <c r="V123" s="35"/>
    </row>
    <row r="124" spans="4:22" ht="27" x14ac:dyDescent="0.35">
      <c r="D124" s="80" t="s">
        <v>3919</v>
      </c>
      <c r="E124" s="80">
        <v>6</v>
      </c>
      <c r="F124" s="36">
        <v>18.152170999999999</v>
      </c>
      <c r="G124" s="36">
        <v>14.551477999999999</v>
      </c>
      <c r="H124" s="36">
        <v>122.148618</v>
      </c>
      <c r="I124" s="36">
        <v>14.177133</v>
      </c>
      <c r="J124" s="107">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07">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07">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07">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07">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3989</v>
      </c>
      <c r="I129" s="36">
        <v>33.020000000000003</v>
      </c>
      <c r="J129" s="107">
        <f>Table2[[#This Row],[CPU+GPU]]/Table2[[#This Row],[GPU Only]]</f>
        <v>1.0057292453820368</v>
      </c>
      <c r="K129" s="36" t="e">
        <f>Table2[[#This Row],[CPU Only]]/Table2[[#This Row],[CPU+GPU]]</f>
        <v>#VALUE!</v>
      </c>
    </row>
    <row r="130" spans="4:11" ht="27" x14ac:dyDescent="0.35">
      <c r="D130" s="80" t="s">
        <v>7</v>
      </c>
      <c r="E130" s="80">
        <v>6</v>
      </c>
      <c r="F130" s="36" t="s">
        <v>3989</v>
      </c>
      <c r="G130" s="36" t="s">
        <v>3989</v>
      </c>
      <c r="H130" s="36" t="s">
        <v>3989</v>
      </c>
      <c r="I130" s="36" t="s">
        <v>3989</v>
      </c>
      <c r="J130" s="107"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3989</v>
      </c>
      <c r="I131" s="36">
        <v>124.26</v>
      </c>
      <c r="J131" s="107">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3989</v>
      </c>
      <c r="I132" s="36">
        <v>96.26</v>
      </c>
      <c r="J132" s="107">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3989</v>
      </c>
      <c r="I133" s="36">
        <v>10.53</v>
      </c>
      <c r="J133" s="107">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07">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07">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07">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07">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07">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07">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07">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07">
        <f>Table2[[#This Row],[CPU+GPU]]/Table2[[#This Row],[GPU Only]]</f>
        <v>1.1249469976895319</v>
      </c>
      <c r="K141" s="36">
        <f>Table2[[#This Row],[CPU Only]]/Table2[[#This Row],[CPU+GPU]]</f>
        <v>25.633235076923079</v>
      </c>
    </row>
    <row r="142" spans="4:11" ht="27" x14ac:dyDescent="0.35">
      <c r="D142" s="80" t="s">
        <v>3917</v>
      </c>
      <c r="E142" s="80">
        <v>6</v>
      </c>
      <c r="F142" s="36" t="s">
        <v>3989</v>
      </c>
      <c r="G142" s="36" t="s">
        <v>3989</v>
      </c>
      <c r="H142" s="36" t="s">
        <v>3989</v>
      </c>
      <c r="I142" s="36" t="s">
        <v>3989</v>
      </c>
      <c r="J142" s="107"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3989</v>
      </c>
      <c r="I143" s="36">
        <v>18.46</v>
      </c>
      <c r="J143" s="107">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3989</v>
      </c>
      <c r="I144" s="36">
        <v>21.14</v>
      </c>
      <c r="J144" s="107">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07">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07">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3989</v>
      </c>
      <c r="I147" s="36">
        <v>29.58</v>
      </c>
      <c r="J147" s="107">
        <f>Table2[[#This Row],[CPU+GPU]]/Table2[[#This Row],[GPU Only]]</f>
        <v>1.0559858870592034</v>
      </c>
      <c r="K147" s="36" t="e">
        <f>Table2[[#This Row],[CPU Only]]/Table2[[#This Row],[CPU+GPU]]</f>
        <v>#VALUE!</v>
      </c>
    </row>
    <row r="148" spans="4:11" ht="27" x14ac:dyDescent="0.35">
      <c r="D148" s="80" t="s">
        <v>1434</v>
      </c>
      <c r="E148" s="80">
        <v>6</v>
      </c>
      <c r="F148" s="36" t="s">
        <v>3989</v>
      </c>
      <c r="G148" s="36" t="s">
        <v>3989</v>
      </c>
      <c r="H148" s="36" t="s">
        <v>3989</v>
      </c>
      <c r="I148" s="36" t="s">
        <v>3989</v>
      </c>
      <c r="J148" s="107"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3989</v>
      </c>
      <c r="I149" s="36">
        <v>76.33</v>
      </c>
      <c r="J149" s="107">
        <f>Table2[[#This Row],[CPU+GPU]]/Table2[[#This Row],[GPU Only]]</f>
        <v>1.0222097944652555</v>
      </c>
      <c r="K149" s="36" t="e">
        <f>Table2[[#This Row],[CPU Only]]/Table2[[#This Row],[CPU+GPU]]</f>
        <v>#VALUE!</v>
      </c>
    </row>
    <row r="150" spans="4:11" ht="27" x14ac:dyDescent="0.35">
      <c r="D150" s="80" t="s">
        <v>1434</v>
      </c>
      <c r="E150" s="80">
        <v>8</v>
      </c>
      <c r="F150" s="36" t="s">
        <v>4000</v>
      </c>
      <c r="G150" s="36">
        <v>91.631570999999994</v>
      </c>
      <c r="H150" s="36" t="s">
        <v>3989</v>
      </c>
      <c r="I150" s="36">
        <v>91.06</v>
      </c>
      <c r="J150" s="107">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3989</v>
      </c>
      <c r="I151" s="36">
        <v>13.88</v>
      </c>
      <c r="J151" s="107">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07">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07">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3989</v>
      </c>
      <c r="I154" s="36">
        <v>35.83</v>
      </c>
      <c r="J154" s="107">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3989</v>
      </c>
      <c r="I155" s="36">
        <v>10.25</v>
      </c>
      <c r="J155" s="107">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3989</v>
      </c>
      <c r="I156" s="36">
        <v>10.44</v>
      </c>
      <c r="J156" s="107">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07">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12" ht="22" x14ac:dyDescent="0.25">
      <c r="D161" s="77"/>
      <c r="F161" s="77"/>
      <c r="G161" s="77"/>
      <c r="H161" s="77"/>
      <c r="I161" s="77"/>
    </row>
    <row r="162" spans="4:12" ht="22" x14ac:dyDescent="0.25">
      <c r="D162" s="77"/>
      <c r="F162" s="77"/>
      <c r="G162" s="77"/>
      <c r="H162" s="77"/>
      <c r="I162" s="77"/>
    </row>
    <row r="163" spans="4:12" ht="22" x14ac:dyDescent="0.25">
      <c r="D163" s="77"/>
      <c r="F163" s="77"/>
      <c r="G163" s="77"/>
      <c r="H163" s="77"/>
      <c r="I163" s="77"/>
    </row>
    <row r="164" spans="4:12" ht="22" x14ac:dyDescent="0.25">
      <c r="D164" s="77"/>
      <c r="F164" s="77"/>
      <c r="G164" s="77"/>
      <c r="H164" s="77"/>
      <c r="I164" s="77"/>
    </row>
    <row r="165" spans="4:12" ht="22" x14ac:dyDescent="0.25">
      <c r="D165" s="77"/>
      <c r="F165" s="78"/>
      <c r="G165" s="78"/>
      <c r="H165" s="178">
        <v>200</v>
      </c>
      <c r="I165" s="178">
        <v>500</v>
      </c>
      <c r="J165" s="179">
        <v>1000</v>
      </c>
      <c r="K165" s="178">
        <v>2000</v>
      </c>
      <c r="L165" s="178">
        <v>5000</v>
      </c>
    </row>
    <row r="166" spans="4:12" ht="26" x14ac:dyDescent="0.35">
      <c r="D166" s="150" t="s">
        <v>1371</v>
      </c>
      <c r="E166" s="177">
        <v>8</v>
      </c>
      <c r="F166" s="78"/>
      <c r="G166" s="78"/>
      <c r="H166" s="180">
        <v>13.54364</v>
      </c>
      <c r="I166" s="180">
        <v>11.058916</v>
      </c>
      <c r="J166" s="181">
        <v>10.54932</v>
      </c>
      <c r="K166" s="181">
        <v>9.5753540000000008</v>
      </c>
      <c r="L166" s="182">
        <v>9.3826490000000007</v>
      </c>
    </row>
    <row r="167" spans="4:12" ht="26" x14ac:dyDescent="0.35">
      <c r="D167" s="150" t="s">
        <v>1448</v>
      </c>
      <c r="E167" s="177">
        <v>2</v>
      </c>
      <c r="F167" s="78"/>
      <c r="G167" s="78"/>
      <c r="H167" s="180">
        <v>12.788163000000001</v>
      </c>
      <c r="I167" s="180">
        <v>12.079632</v>
      </c>
      <c r="J167" s="181">
        <v>12.000914</v>
      </c>
      <c r="K167" s="182">
        <v>11.897131999999999</v>
      </c>
      <c r="L167" s="181">
        <v>11.965807</v>
      </c>
    </row>
    <row r="168" spans="4:12" ht="26" x14ac:dyDescent="0.35">
      <c r="D168" s="150" t="s">
        <v>1434</v>
      </c>
      <c r="E168" s="177">
        <v>9</v>
      </c>
      <c r="F168" s="78"/>
      <c r="G168" s="78"/>
      <c r="H168" s="180">
        <v>12.858482</v>
      </c>
      <c r="I168" s="180">
        <v>11.344144</v>
      </c>
      <c r="J168" s="181">
        <v>11.346026999999999</v>
      </c>
      <c r="K168" s="181">
        <v>10.822958</v>
      </c>
      <c r="L168" s="182">
        <v>10.63264</v>
      </c>
    </row>
    <row r="169" spans="4:12" ht="26" x14ac:dyDescent="0.35">
      <c r="D169" s="150" t="s">
        <v>1448</v>
      </c>
      <c r="E169" s="177">
        <v>9</v>
      </c>
      <c r="F169" s="78"/>
      <c r="G169" s="78"/>
      <c r="H169" s="180">
        <v>16.193763000000001</v>
      </c>
      <c r="I169" s="180">
        <v>15.150978</v>
      </c>
      <c r="J169" s="181">
        <v>14.904210000000001</v>
      </c>
      <c r="K169" s="181">
        <v>14.751607</v>
      </c>
      <c r="L169" s="182">
        <v>14.47226</v>
      </c>
    </row>
    <row r="170" spans="4:12" ht="26" x14ac:dyDescent="0.35">
      <c r="D170" s="150" t="s">
        <v>3919</v>
      </c>
      <c r="E170" s="177">
        <v>6</v>
      </c>
      <c r="F170" s="78"/>
      <c r="G170" s="78"/>
      <c r="H170" s="180">
        <v>15.882463</v>
      </c>
      <c r="I170" s="180">
        <v>14.860891000000001</v>
      </c>
      <c r="J170" s="181">
        <v>14.487270000000001</v>
      </c>
      <c r="K170" s="181">
        <v>14.476464999999999</v>
      </c>
      <c r="L170" s="182">
        <v>14.203853000000001</v>
      </c>
    </row>
    <row r="171" spans="4:12" ht="26" x14ac:dyDescent="0.35">
      <c r="D171" s="150" t="s">
        <v>1450</v>
      </c>
      <c r="E171" s="177">
        <v>2</v>
      </c>
      <c r="F171" s="78"/>
      <c r="G171" s="78"/>
      <c r="H171" s="180">
        <v>20.029174000000001</v>
      </c>
      <c r="I171" s="180">
        <v>19.578617999999999</v>
      </c>
      <c r="J171" s="181">
        <v>19.384395000000001</v>
      </c>
      <c r="K171" s="181">
        <v>19.237888000000002</v>
      </c>
      <c r="L171" s="182">
        <v>19.073582999999999</v>
      </c>
    </row>
    <row r="172" spans="4:12" ht="26" x14ac:dyDescent="0.35">
      <c r="D172" s="150" t="s">
        <v>3912</v>
      </c>
      <c r="E172" s="177">
        <v>7</v>
      </c>
      <c r="F172" s="78"/>
      <c r="G172" s="78"/>
      <c r="H172" s="180">
        <v>34.568080000000002</v>
      </c>
      <c r="I172" s="180">
        <v>24.588723000000002</v>
      </c>
      <c r="J172" s="181">
        <v>20.152498000000001</v>
      </c>
      <c r="K172" s="181">
        <v>19.448477</v>
      </c>
      <c r="L172" s="182">
        <v>19.217057</v>
      </c>
    </row>
    <row r="173" spans="4:12" ht="26" x14ac:dyDescent="0.35">
      <c r="D173" s="150" t="s">
        <v>1391</v>
      </c>
      <c r="E173" s="177">
        <v>8</v>
      </c>
      <c r="F173" s="78"/>
      <c r="G173" s="78"/>
      <c r="H173" s="180">
        <v>21.110434000000001</v>
      </c>
      <c r="I173" s="180">
        <v>21.207367000000001</v>
      </c>
      <c r="J173" s="181">
        <v>21.139455000000002</v>
      </c>
      <c r="K173" s="181">
        <v>20.869388000000001</v>
      </c>
      <c r="L173" s="182">
        <v>20.502189000000001</v>
      </c>
    </row>
    <row r="174" spans="4:12" ht="26" x14ac:dyDescent="0.35">
      <c r="D174" s="150" t="s">
        <v>3912</v>
      </c>
      <c r="E174" s="177">
        <v>8</v>
      </c>
      <c r="F174" s="78"/>
      <c r="G174" s="78"/>
      <c r="H174" s="180">
        <v>75.953047999999995</v>
      </c>
      <c r="I174" s="180">
        <v>43.493969</v>
      </c>
      <c r="J174" s="181">
        <v>31.078979</v>
      </c>
      <c r="K174" s="181">
        <v>21.583165000000001</v>
      </c>
      <c r="L174" s="182">
        <v>20.553267000000002</v>
      </c>
    </row>
    <row r="175" spans="4:12" ht="26" x14ac:dyDescent="0.35">
      <c r="D175" s="150" t="s">
        <v>1433</v>
      </c>
      <c r="E175" s="177">
        <v>2</v>
      </c>
      <c r="F175" s="78"/>
      <c r="G175" s="78"/>
      <c r="H175" s="180">
        <v>27.189132000000001</v>
      </c>
      <c r="I175" s="180">
        <v>26.578852999999999</v>
      </c>
      <c r="J175" s="181">
        <v>26.350819999999999</v>
      </c>
      <c r="K175" s="181">
        <v>26.263749000000001</v>
      </c>
      <c r="L175" s="182">
        <v>26.237069999999999</v>
      </c>
    </row>
    <row r="176" spans="4:12" ht="26" x14ac:dyDescent="0.35">
      <c r="D176" s="150" t="s">
        <v>1436</v>
      </c>
      <c r="E176" s="177">
        <v>2</v>
      </c>
      <c r="F176" s="78"/>
      <c r="G176" s="78"/>
      <c r="H176" s="180">
        <v>28.438599</v>
      </c>
      <c r="I176" s="180">
        <v>27.813835999999998</v>
      </c>
      <c r="J176" s="181">
        <v>27.514925000000002</v>
      </c>
      <c r="K176" s="181">
        <v>27.423697000000001</v>
      </c>
      <c r="L176" s="182">
        <v>27.150742000000001</v>
      </c>
    </row>
    <row r="177" spans="4:12" ht="26" x14ac:dyDescent="0.35">
      <c r="D177" s="150" t="s">
        <v>1346</v>
      </c>
      <c r="E177" s="177">
        <v>7</v>
      </c>
      <c r="F177" s="78"/>
      <c r="G177" s="78"/>
      <c r="H177" s="180">
        <v>33.335923000000001</v>
      </c>
      <c r="I177" s="180">
        <v>30.186503999999999</v>
      </c>
      <c r="J177" s="181">
        <v>29.310683999999998</v>
      </c>
      <c r="K177" s="181">
        <v>28.614498999999999</v>
      </c>
      <c r="L177" s="182">
        <v>27.933095999999999</v>
      </c>
    </row>
    <row r="178" spans="4:12" ht="26" x14ac:dyDescent="0.35">
      <c r="D178" s="150" t="s">
        <v>1434</v>
      </c>
      <c r="E178" s="177">
        <v>5</v>
      </c>
      <c r="F178" s="78"/>
      <c r="G178" s="78"/>
      <c r="H178" s="180">
        <v>30.512947</v>
      </c>
      <c r="I178" s="180">
        <v>28.925176</v>
      </c>
      <c r="J178" s="181">
        <v>27.991232</v>
      </c>
      <c r="K178" s="181">
        <v>27.713788999999998</v>
      </c>
      <c r="L178" s="182">
        <v>27.702086999999999</v>
      </c>
    </row>
    <row r="179" spans="4:12" ht="26" x14ac:dyDescent="0.35">
      <c r="D179" s="150" t="s">
        <v>1450</v>
      </c>
      <c r="E179" s="177">
        <v>9</v>
      </c>
      <c r="F179" s="78"/>
      <c r="G179" s="78"/>
      <c r="H179" s="180">
        <v>31.849429000000001</v>
      </c>
      <c r="I179" s="180">
        <v>30.483691</v>
      </c>
      <c r="J179" s="181">
        <v>30.275549000000002</v>
      </c>
      <c r="K179" s="181">
        <v>29.833859</v>
      </c>
      <c r="L179" s="182">
        <v>29.272964999999999</v>
      </c>
    </row>
    <row r="180" spans="4:12" ht="26" x14ac:dyDescent="0.35">
      <c r="D180" s="150" t="s">
        <v>1346</v>
      </c>
      <c r="E180" s="177">
        <v>8</v>
      </c>
      <c r="F180" s="78"/>
      <c r="G180" s="78"/>
      <c r="H180" s="180">
        <v>46.730649</v>
      </c>
      <c r="I180" s="180">
        <v>36.440928999999997</v>
      </c>
      <c r="J180" s="181">
        <v>35.511445000000002</v>
      </c>
      <c r="K180" s="181">
        <v>34.324876000000003</v>
      </c>
      <c r="L180" s="182">
        <v>33.138596</v>
      </c>
    </row>
    <row r="181" spans="4:12" ht="26" x14ac:dyDescent="0.35">
      <c r="D181" s="150" t="s">
        <v>1411</v>
      </c>
      <c r="E181" s="177">
        <v>2</v>
      </c>
      <c r="F181" s="78"/>
      <c r="G181" s="78"/>
      <c r="H181" s="180">
        <v>43.553358000000003</v>
      </c>
      <c r="I181" s="180">
        <v>43.348028999999997</v>
      </c>
      <c r="J181" s="182">
        <v>43.087567</v>
      </c>
      <c r="K181" s="181">
        <v>43.217061000000001</v>
      </c>
      <c r="L181" s="181">
        <v>43.196444</v>
      </c>
    </row>
    <row r="182" spans="4:12" ht="26" x14ac:dyDescent="0.35">
      <c r="D182" s="150" t="s">
        <v>1449</v>
      </c>
      <c r="E182" s="177">
        <v>2</v>
      </c>
      <c r="F182" s="78"/>
      <c r="G182" s="78"/>
      <c r="H182" s="180">
        <v>45.849173999999998</v>
      </c>
      <c r="I182" s="180">
        <v>45.076729</v>
      </c>
      <c r="J182" s="181">
        <v>44.855058999999997</v>
      </c>
      <c r="K182" s="181">
        <v>44.669365999999997</v>
      </c>
      <c r="L182" s="182">
        <v>44.600904</v>
      </c>
    </row>
    <row r="183" spans="4:12" ht="26" x14ac:dyDescent="0.35">
      <c r="D183" s="150" t="s">
        <v>1371</v>
      </c>
      <c r="E183" s="177">
        <v>6</v>
      </c>
      <c r="F183" s="78"/>
      <c r="G183" s="78"/>
      <c r="H183" s="180">
        <v>182.14</v>
      </c>
      <c r="I183" s="180">
        <v>323.20999999999998</v>
      </c>
      <c r="J183" s="182">
        <v>37.100543999999999</v>
      </c>
      <c r="K183" s="181">
        <v>414.23</v>
      </c>
      <c r="L183" s="181">
        <v>252.63</v>
      </c>
    </row>
    <row r="184" spans="4:12" ht="26" x14ac:dyDescent="0.35">
      <c r="D184" s="150" t="s">
        <v>1409</v>
      </c>
      <c r="E184" s="177">
        <v>9</v>
      </c>
      <c r="F184" s="78"/>
      <c r="G184" s="78"/>
      <c r="H184" s="180">
        <v>53.351044000000002</v>
      </c>
      <c r="I184" s="180">
        <v>52.702143</v>
      </c>
      <c r="J184" s="181">
        <v>52.645966000000001</v>
      </c>
      <c r="K184" s="182">
        <v>52.436013000000003</v>
      </c>
      <c r="L184" s="181">
        <v>52.632058999999998</v>
      </c>
    </row>
    <row r="185" spans="4:12" ht="26" x14ac:dyDescent="0.35">
      <c r="D185" s="150" t="s">
        <v>1436</v>
      </c>
      <c r="E185" s="177">
        <v>9</v>
      </c>
      <c r="F185" s="78"/>
      <c r="G185" s="78"/>
      <c r="H185" s="180">
        <v>51.488273999999997</v>
      </c>
      <c r="I185" s="180">
        <v>50.519238999999999</v>
      </c>
      <c r="J185" s="181">
        <v>49.816206000000001</v>
      </c>
      <c r="K185" s="181">
        <v>49.518030000000003</v>
      </c>
      <c r="L185" s="182">
        <v>49.189014999999998</v>
      </c>
    </row>
    <row r="186" spans="4:12" ht="26" x14ac:dyDescent="0.35">
      <c r="D186" s="150" t="s">
        <v>18</v>
      </c>
      <c r="E186" s="177">
        <v>2</v>
      </c>
      <c r="F186" s="78"/>
      <c r="G186" s="78"/>
      <c r="H186" s="180">
        <v>67.527128000000005</v>
      </c>
      <c r="I186" s="180">
        <v>65.895708999999997</v>
      </c>
      <c r="J186" s="181">
        <v>65.688942999999995</v>
      </c>
      <c r="K186" s="181">
        <v>65.747546</v>
      </c>
      <c r="L186" s="182">
        <v>65.533439000000001</v>
      </c>
    </row>
    <row r="187" spans="4:12" ht="26" x14ac:dyDescent="0.35">
      <c r="D187" s="150" t="s">
        <v>1455</v>
      </c>
      <c r="E187" s="177">
        <v>2</v>
      </c>
      <c r="F187" s="78"/>
      <c r="G187" s="78"/>
      <c r="H187" s="180">
        <v>66.708554000000007</v>
      </c>
      <c r="I187" s="180">
        <v>65.846018999999998</v>
      </c>
      <c r="J187" s="181">
        <v>65.728926999999999</v>
      </c>
      <c r="K187" s="181">
        <v>65.258746000000002</v>
      </c>
      <c r="L187" s="182">
        <v>65.123788000000005</v>
      </c>
    </row>
    <row r="188" spans="4:12" ht="26" x14ac:dyDescent="0.35">
      <c r="D188" s="150" t="s">
        <v>3912</v>
      </c>
      <c r="E188" s="177">
        <v>6</v>
      </c>
      <c r="F188" s="78"/>
      <c r="G188" s="78"/>
      <c r="H188" s="180">
        <v>58.977201999999998</v>
      </c>
      <c r="I188" s="180">
        <v>57.302773000000002</v>
      </c>
      <c r="J188" s="181">
        <v>56.745190999999998</v>
      </c>
      <c r="K188" s="181">
        <v>56.760914999999997</v>
      </c>
      <c r="L188" s="182">
        <v>56.493558999999998</v>
      </c>
    </row>
    <row r="189" spans="4:12" ht="26" x14ac:dyDescent="0.35">
      <c r="D189" s="150" t="s">
        <v>1</v>
      </c>
      <c r="E189" s="177">
        <v>5</v>
      </c>
      <c r="F189" s="78"/>
      <c r="G189" s="78"/>
      <c r="H189" s="180">
        <v>66.516069999999999</v>
      </c>
      <c r="I189" s="180">
        <v>62.025692999999997</v>
      </c>
      <c r="J189" s="181">
        <v>58.782516999999999</v>
      </c>
      <c r="K189" s="181">
        <v>56.222129000000002</v>
      </c>
      <c r="L189" s="182">
        <v>55.325994000000001</v>
      </c>
    </row>
    <row r="190" spans="4:12" ht="26" x14ac:dyDescent="0.35">
      <c r="D190" s="150" t="s">
        <v>1434</v>
      </c>
      <c r="E190" s="177">
        <v>7</v>
      </c>
      <c r="F190" s="78"/>
      <c r="G190" s="78"/>
      <c r="H190" s="180">
        <v>86.230993999999995</v>
      </c>
      <c r="I190" s="180">
        <v>78.584799000000004</v>
      </c>
      <c r="J190" s="181">
        <v>76.246281999999994</v>
      </c>
      <c r="K190" s="181">
        <v>75.104703999999998</v>
      </c>
      <c r="L190" s="182">
        <v>73.942231000000007</v>
      </c>
    </row>
    <row r="191" spans="4:12" ht="26" x14ac:dyDescent="0.35">
      <c r="D191" s="150" t="s">
        <v>1438</v>
      </c>
      <c r="E191" s="177">
        <v>2</v>
      </c>
      <c r="F191" s="78"/>
      <c r="G191" s="78"/>
      <c r="H191" s="180">
        <v>103.158689</v>
      </c>
      <c r="I191" s="180">
        <v>101.854315</v>
      </c>
      <c r="J191" s="181">
        <v>101.68702999999999</v>
      </c>
      <c r="K191" s="182">
        <v>101.487123</v>
      </c>
      <c r="L191" s="181">
        <v>101.760442</v>
      </c>
    </row>
    <row r="192" spans="4:12" ht="26" x14ac:dyDescent="0.35">
      <c r="D192" s="150" t="s">
        <v>1434</v>
      </c>
      <c r="E192" s="177">
        <v>8</v>
      </c>
      <c r="F192" s="78"/>
      <c r="G192" s="78"/>
      <c r="H192" s="180">
        <v>150.038915</v>
      </c>
      <c r="I192" s="180">
        <v>109.63044600000001</v>
      </c>
      <c r="J192" s="181">
        <v>91.936704000000006</v>
      </c>
      <c r="K192" s="181">
        <v>87.450755000000001</v>
      </c>
      <c r="L192" s="182">
        <v>83.806042000000005</v>
      </c>
    </row>
    <row r="193" spans="4:12" ht="26" x14ac:dyDescent="0.35">
      <c r="D193" s="150" t="s">
        <v>1409</v>
      </c>
      <c r="E193" s="177">
        <v>2</v>
      </c>
      <c r="F193" s="78"/>
      <c r="G193" s="78"/>
      <c r="H193" s="183">
        <v>110.92055999999999</v>
      </c>
      <c r="I193" s="180">
        <v>110.981557</v>
      </c>
      <c r="J193" s="181">
        <v>111.50702099999999</v>
      </c>
      <c r="K193" s="181">
        <v>111.404892</v>
      </c>
      <c r="L193" s="181">
        <v>111.08095299999999</v>
      </c>
    </row>
    <row r="194" spans="4:12" ht="26" x14ac:dyDescent="0.35">
      <c r="D194" s="150" t="s">
        <v>1425</v>
      </c>
      <c r="E194" s="177">
        <v>5</v>
      </c>
      <c r="F194" s="78"/>
      <c r="G194" s="78"/>
      <c r="H194" s="180">
        <v>111.48347099999999</v>
      </c>
      <c r="I194" s="180">
        <v>110.17731499999999</v>
      </c>
      <c r="J194" s="181">
        <v>108.6473</v>
      </c>
      <c r="K194" s="181">
        <v>106.658112</v>
      </c>
      <c r="L194" s="182">
        <v>105.072243</v>
      </c>
    </row>
    <row r="195" spans="4:12" ht="26" x14ac:dyDescent="0.35">
      <c r="D195" s="150" t="s">
        <v>1440</v>
      </c>
      <c r="E195" s="177">
        <v>9</v>
      </c>
      <c r="F195" s="78"/>
      <c r="G195" s="78"/>
      <c r="H195" s="180">
        <v>141.467356</v>
      </c>
      <c r="I195" s="180">
        <v>140.31502399999999</v>
      </c>
      <c r="J195" s="181">
        <v>139.541595</v>
      </c>
      <c r="K195" s="182">
        <v>139.316845</v>
      </c>
      <c r="L195" s="181">
        <v>139.42422500000001</v>
      </c>
    </row>
    <row r="196" spans="4:12" ht="26" x14ac:dyDescent="0.35">
      <c r="D196" s="150" t="s">
        <v>1461</v>
      </c>
      <c r="E196" s="177">
        <v>5</v>
      </c>
      <c r="F196" s="78"/>
      <c r="G196" s="78"/>
      <c r="H196" s="180">
        <v>140.789737</v>
      </c>
      <c r="I196" s="180">
        <v>136.64110400000001</v>
      </c>
      <c r="J196" s="181">
        <v>134.059369</v>
      </c>
      <c r="K196" s="181">
        <v>133.23129599999999</v>
      </c>
      <c r="L196" s="182">
        <v>132.552098</v>
      </c>
    </row>
    <row r="197" spans="4:12" ht="26" x14ac:dyDescent="0.35">
      <c r="D197" s="150" t="s">
        <v>1423</v>
      </c>
      <c r="E197" s="177">
        <v>5</v>
      </c>
      <c r="F197" s="78"/>
      <c r="G197" s="78"/>
      <c r="H197" s="180">
        <v>172.945031</v>
      </c>
      <c r="I197" s="180">
        <v>171.09279699999999</v>
      </c>
      <c r="J197" s="181">
        <v>170.19131300000001</v>
      </c>
      <c r="K197" s="181">
        <v>167.26216500000001</v>
      </c>
      <c r="L197" s="182">
        <v>164.30501599999999</v>
      </c>
    </row>
    <row r="198" spans="4:12" ht="26" x14ac:dyDescent="0.35">
      <c r="D198" s="150" t="s">
        <v>1440</v>
      </c>
      <c r="E198" s="177">
        <v>2</v>
      </c>
      <c r="F198" s="78"/>
      <c r="G198" s="78"/>
      <c r="H198" s="180">
        <v>255.78950499999999</v>
      </c>
      <c r="I198" s="180">
        <v>255.00335100000001</v>
      </c>
      <c r="J198" s="182">
        <v>254.48178100000001</v>
      </c>
      <c r="K198" s="181">
        <v>254.788084</v>
      </c>
      <c r="L198" s="181">
        <v>255.08629500000001</v>
      </c>
    </row>
    <row r="199" spans="4:12" ht="26" x14ac:dyDescent="0.35">
      <c r="D199" s="150" t="s">
        <v>1</v>
      </c>
      <c r="E199" s="177">
        <v>8</v>
      </c>
      <c r="F199" s="78"/>
      <c r="G199" s="78"/>
      <c r="H199" s="180">
        <v>334.20178499999997</v>
      </c>
      <c r="I199" s="180">
        <v>247.02874199999999</v>
      </c>
      <c r="J199" s="181">
        <v>230.81816599999999</v>
      </c>
      <c r="K199" s="181">
        <v>215.448431</v>
      </c>
      <c r="L199" s="182">
        <v>210.977701</v>
      </c>
    </row>
    <row r="200" spans="4:12" ht="26" x14ac:dyDescent="0.35">
      <c r="D200" s="150" t="s">
        <v>1411</v>
      </c>
      <c r="E200" s="177">
        <v>5</v>
      </c>
      <c r="F200" s="78"/>
      <c r="G200" s="78"/>
      <c r="H200" s="180">
        <v>253.70969099999999</v>
      </c>
      <c r="I200" s="180">
        <v>241.22706700000001</v>
      </c>
      <c r="J200" s="181">
        <v>239.10316599999999</v>
      </c>
      <c r="K200" s="181">
        <v>240.61417299999999</v>
      </c>
      <c r="L200" s="182">
        <v>238.252419</v>
      </c>
    </row>
    <row r="201" spans="4:12" ht="26" x14ac:dyDescent="0.35">
      <c r="D201" s="150" t="s">
        <v>1448</v>
      </c>
      <c r="E201" s="177">
        <v>5</v>
      </c>
      <c r="F201" s="78"/>
      <c r="G201" s="78"/>
      <c r="H201" s="180">
        <v>322.00268299999999</v>
      </c>
      <c r="I201" s="180">
        <v>320.498245</v>
      </c>
      <c r="J201" s="181">
        <v>318.40613100000002</v>
      </c>
      <c r="K201" s="181">
        <v>314.05160100000001</v>
      </c>
      <c r="L201" s="182">
        <v>308.617322</v>
      </c>
    </row>
    <row r="202" spans="4:12" ht="26" x14ac:dyDescent="0.35">
      <c r="D202" s="150" t="s">
        <v>1425</v>
      </c>
      <c r="E202" s="177">
        <v>7</v>
      </c>
      <c r="F202" s="78"/>
      <c r="G202" s="78"/>
      <c r="H202" s="180">
        <v>484.22759600000001</v>
      </c>
      <c r="I202" s="180">
        <v>460.89117299999998</v>
      </c>
      <c r="J202" s="181">
        <v>446.67361699999998</v>
      </c>
      <c r="K202" s="181">
        <v>435.329408</v>
      </c>
      <c r="L202" s="182">
        <v>425.68783300000001</v>
      </c>
    </row>
    <row r="203" spans="4:12" ht="26" x14ac:dyDescent="0.35">
      <c r="D203" s="150" t="s">
        <v>1425</v>
      </c>
      <c r="E203" s="177">
        <v>8</v>
      </c>
      <c r="F203" s="78"/>
      <c r="G203" s="78"/>
      <c r="H203" s="180">
        <v>467.814437</v>
      </c>
      <c r="I203" s="180">
        <v>443.12676299999998</v>
      </c>
      <c r="J203" s="181">
        <v>426.74191200000001</v>
      </c>
      <c r="K203" s="181">
        <v>412.03268100000003</v>
      </c>
      <c r="L203" s="182">
        <v>388.18367000000001</v>
      </c>
    </row>
    <row r="204" spans="4:12" ht="26" x14ac:dyDescent="0.35">
      <c r="D204" s="150" t="s">
        <v>1461</v>
      </c>
      <c r="E204" s="177">
        <v>7</v>
      </c>
      <c r="F204" s="78"/>
      <c r="G204" s="78"/>
      <c r="H204" s="180">
        <v>528.18291099999999</v>
      </c>
      <c r="I204" s="180">
        <v>495.16969599999999</v>
      </c>
      <c r="J204" s="181">
        <v>484.41130900000002</v>
      </c>
      <c r="K204" s="181">
        <v>473.17317000000003</v>
      </c>
      <c r="L204" s="182">
        <v>461.25565499999999</v>
      </c>
    </row>
    <row r="205" spans="4:12" ht="26" x14ac:dyDescent="0.35">
      <c r="D205" s="150" t="s">
        <v>18</v>
      </c>
      <c r="E205" s="177">
        <v>5</v>
      </c>
      <c r="F205" s="78"/>
      <c r="G205" s="78"/>
      <c r="H205" s="180">
        <v>535.30194400000005</v>
      </c>
      <c r="I205" s="180">
        <v>524.99729600000001</v>
      </c>
      <c r="J205" s="181">
        <v>518.47945700000002</v>
      </c>
      <c r="K205" s="181">
        <v>516.59616900000003</v>
      </c>
      <c r="L205" s="182">
        <v>515.24298899999997</v>
      </c>
    </row>
    <row r="206" spans="4:12" ht="26" x14ac:dyDescent="0.35">
      <c r="D206" s="150" t="s">
        <v>1450</v>
      </c>
      <c r="E206" s="177">
        <v>5</v>
      </c>
      <c r="F206" s="78"/>
      <c r="G206" s="78"/>
      <c r="H206" s="180">
        <v>570.61415799999997</v>
      </c>
      <c r="I206" s="180">
        <v>570.125901</v>
      </c>
      <c r="J206" s="181">
        <v>568.85147700000005</v>
      </c>
      <c r="K206" s="181">
        <v>561.15225999999996</v>
      </c>
      <c r="L206" s="182">
        <v>551.44410100000005</v>
      </c>
    </row>
    <row r="207" spans="4:12" ht="22" x14ac:dyDescent="0.25">
      <c r="D207" s="77"/>
      <c r="F207" s="78"/>
      <c r="G207" s="78"/>
      <c r="H207" s="78"/>
      <c r="I207" s="78"/>
    </row>
    <row r="208" spans="4:12"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36" t="s">
        <v>3911</v>
      </c>
      <c r="J4" s="136"/>
      <c r="K4" s="136"/>
      <c r="L4" s="136"/>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1:DN136"/>
  <sheetViews>
    <sheetView topLeftCell="AN1" zoomScale="89" workbookViewId="0">
      <selection activeCell="AM17" sqref="AM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40" max="40" width="55" customWidth="1"/>
    <col min="41" max="41" width="50" bestFit="1" customWidth="1"/>
    <col min="42" max="44" width="18.664062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1" spans="3:110" ht="27" x14ac:dyDescent="0.35">
      <c r="C1" s="37" t="s">
        <v>4013</v>
      </c>
    </row>
    <row r="4" spans="3:110" ht="30" thickBot="1" x14ac:dyDescent="0.4">
      <c r="H4" s="37"/>
      <c r="I4" s="134"/>
      <c r="J4" s="134"/>
      <c r="K4" s="135"/>
      <c r="L4" s="135"/>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AQ4" s="169" t="s">
        <v>4035</v>
      </c>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AP5" s="168">
        <v>1000</v>
      </c>
      <c r="AQ5" s="168">
        <v>2000</v>
      </c>
      <c r="AR5" s="168">
        <v>5000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9" t="s">
        <v>1443</v>
      </c>
      <c r="D16" s="38">
        <v>3924218</v>
      </c>
      <c r="E16" s="38">
        <v>152878772</v>
      </c>
      <c r="F16" s="38">
        <v>254555</v>
      </c>
      <c r="G16" s="39">
        <v>36008128</v>
      </c>
      <c r="H16" s="41">
        <v>486.47726599999999</v>
      </c>
      <c r="I16" s="51">
        <v>450.831255</v>
      </c>
      <c r="J16" s="41">
        <v>481.75678499999998</v>
      </c>
      <c r="K16" s="42"/>
      <c r="L16" s="48">
        <v>220.903085</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AO16" s="77" t="s">
        <v>1443</v>
      </c>
      <c r="AP16" s="171">
        <v>482.62</v>
      </c>
      <c r="AQ16" s="170">
        <v>482.83</v>
      </c>
      <c r="AR16" s="170">
        <v>482.79</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1452</v>
      </c>
      <c r="D17" s="38">
        <v>3175009</v>
      </c>
      <c r="E17" s="38">
        <v>206621674</v>
      </c>
      <c r="F17" s="38">
        <v>369566</v>
      </c>
      <c r="G17" s="39">
        <v>67547002</v>
      </c>
      <c r="H17" s="40">
        <v>433.71</v>
      </c>
      <c r="I17" s="51">
        <v>346.19295299999999</v>
      </c>
      <c r="J17" s="41">
        <v>408.18284899999998</v>
      </c>
      <c r="K17" s="42"/>
      <c r="L17" s="48">
        <v>102.65375299999999</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AO17" s="77" t="s">
        <v>1452</v>
      </c>
      <c r="AP17" s="170">
        <v>531.99</v>
      </c>
      <c r="AQ17" s="171">
        <v>493.76</v>
      </c>
      <c r="AR17" s="170">
        <v>585.07000000000005</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9" t="s">
        <v>1451</v>
      </c>
      <c r="D18" s="38">
        <v>3333397</v>
      </c>
      <c r="E18" s="38">
        <v>200923810</v>
      </c>
      <c r="F18" s="38">
        <v>399358</v>
      </c>
      <c r="G18" s="39">
        <v>1902943357</v>
      </c>
      <c r="H18" s="41">
        <v>224.11627300000001</v>
      </c>
      <c r="I18" s="52">
        <v>834.23</v>
      </c>
      <c r="J18" s="42">
        <v>234.91</v>
      </c>
      <c r="K18" s="42"/>
      <c r="L18" s="48">
        <v>179.01</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AO18" s="77" t="s">
        <v>1451</v>
      </c>
      <c r="AP18" s="171">
        <v>244.43</v>
      </c>
      <c r="AQ18" s="170">
        <v>285.64999999999998</v>
      </c>
      <c r="AR18" s="170">
        <v>497.42</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9" t="s">
        <v>3915</v>
      </c>
      <c r="D19" s="38">
        <v>25921548</v>
      </c>
      <c r="E19" s="38">
        <v>1086367222</v>
      </c>
      <c r="F19" s="38">
        <v>4271341</v>
      </c>
      <c r="G19" s="39">
        <v>568730123</v>
      </c>
      <c r="H19" s="41">
        <v>150.722433</v>
      </c>
      <c r="I19" s="52">
        <v>227.71192199999999</v>
      </c>
      <c r="J19" s="41">
        <v>147.34859499999999</v>
      </c>
      <c r="K19" s="42"/>
      <c r="L19" s="48">
        <v>99.896929</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AO19" s="77" t="s">
        <v>3915</v>
      </c>
      <c r="AP19" s="170">
        <v>297.82518900000002</v>
      </c>
      <c r="AQ19" s="170">
        <v>221.24317099999999</v>
      </c>
      <c r="AR19" s="171">
        <v>177.541134</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9" t="s">
        <v>1442</v>
      </c>
      <c r="D20" s="38">
        <v>3370462</v>
      </c>
      <c r="E20" s="38">
        <v>143901836</v>
      </c>
      <c r="F20" s="38">
        <v>282591</v>
      </c>
      <c r="G20" s="39">
        <v>563203047</v>
      </c>
      <c r="H20" s="41">
        <v>127.82051300000001</v>
      </c>
      <c r="I20" s="53">
        <v>200.62130099999999</v>
      </c>
      <c r="J20" s="41">
        <v>68.150000000000006</v>
      </c>
      <c r="K20" s="42"/>
      <c r="L20" s="48">
        <v>47.39</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AO20" s="77" t="s">
        <v>1442</v>
      </c>
      <c r="AP20" s="171">
        <v>72.59</v>
      </c>
      <c r="AQ20" s="170">
        <v>147.78</v>
      </c>
      <c r="AR20" s="170">
        <v>192.34</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9" t="s">
        <v>10</v>
      </c>
      <c r="D21" s="38">
        <v>3603726</v>
      </c>
      <c r="E21" s="38">
        <v>155093964</v>
      </c>
      <c r="F21" s="38">
        <v>434234</v>
      </c>
      <c r="G21" s="39">
        <v>1237624958</v>
      </c>
      <c r="H21" s="41">
        <v>107.39003200000001</v>
      </c>
      <c r="I21" s="51">
        <v>196.60153800000001</v>
      </c>
      <c r="J21" s="41">
        <v>98.4</v>
      </c>
      <c r="K21" s="42"/>
      <c r="L21" s="48">
        <v>68.88</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AO21" s="77" t="s">
        <v>10</v>
      </c>
      <c r="AP21" s="171">
        <v>101.242086</v>
      </c>
      <c r="AQ21" s="170">
        <v>144.38999999999999</v>
      </c>
      <c r="AR21" s="170">
        <v>251.95</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1455</v>
      </c>
      <c r="D22" s="38">
        <v>8833229</v>
      </c>
      <c r="E22" s="38">
        <v>105882456</v>
      </c>
      <c r="F22" s="38">
        <v>2126384</v>
      </c>
      <c r="G22" s="39">
        <v>2115046340</v>
      </c>
      <c r="H22" s="41">
        <v>105.59741699999999</v>
      </c>
      <c r="I22" s="51">
        <v>306.40025200000002</v>
      </c>
      <c r="J22" s="41">
        <v>87.62</v>
      </c>
      <c r="K22" s="42"/>
      <c r="L22" s="48">
        <v>46.755004999999997</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AO22" s="77" t="s">
        <v>1455</v>
      </c>
      <c r="AP22" s="170">
        <v>83.448556999999994</v>
      </c>
      <c r="AQ22" s="171">
        <v>74.262550000000005</v>
      </c>
      <c r="AR22" s="170">
        <v>82.009750999999994</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6</v>
      </c>
      <c r="D23" s="38">
        <v>3072441</v>
      </c>
      <c r="E23" s="38">
        <v>234369798</v>
      </c>
      <c r="F23" s="38">
        <v>33313</v>
      </c>
      <c r="G23" s="39">
        <v>2270456447</v>
      </c>
      <c r="H23" s="41">
        <v>85.151685000000001</v>
      </c>
      <c r="I23" s="52">
        <v>281.76346699999999</v>
      </c>
      <c r="J23" s="41">
        <v>73.239999999999995</v>
      </c>
      <c r="K23" s="42"/>
      <c r="L23" s="48">
        <v>51.644970999999998</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AO23" s="77" t="s">
        <v>6</v>
      </c>
      <c r="AP23" s="170">
        <v>81.149410000000003</v>
      </c>
      <c r="AQ23" s="171">
        <v>74.39</v>
      </c>
      <c r="AR23" s="170">
        <v>179.46</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11" t="s">
        <v>1456</v>
      </c>
      <c r="D24" s="38">
        <v>5829441</v>
      </c>
      <c r="E24" s="38">
        <v>110439216</v>
      </c>
      <c r="F24" s="38">
        <v>818185</v>
      </c>
      <c r="G24" s="39">
        <v>1508704249</v>
      </c>
      <c r="H24" s="41">
        <v>84.078997999999999</v>
      </c>
      <c r="I24" s="52">
        <v>245.51799</v>
      </c>
      <c r="J24" s="41">
        <v>52.7</v>
      </c>
      <c r="K24" s="42"/>
      <c r="L24" s="48">
        <v>37.410254999999999</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AO24" s="77" t="s">
        <v>1456</v>
      </c>
      <c r="AP24" s="170">
        <v>58.818009000000004</v>
      </c>
      <c r="AQ24" s="171">
        <v>52.129280000000001</v>
      </c>
      <c r="AR24" s="170">
        <v>57.299970999999999</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11" t="s">
        <v>7</v>
      </c>
      <c r="D25" s="38">
        <v>2584164</v>
      </c>
      <c r="E25" s="38">
        <v>56367036</v>
      </c>
      <c r="F25" s="38">
        <v>44065</v>
      </c>
      <c r="G25" s="39">
        <v>918563917</v>
      </c>
      <c r="H25" s="41">
        <v>71.662347999999994</v>
      </c>
      <c r="I25" s="52">
        <v>129.14542800000001</v>
      </c>
      <c r="J25" s="41">
        <v>28.33</v>
      </c>
      <c r="K25" s="42"/>
      <c r="L25" s="48">
        <v>21.417175</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AO25" s="77" t="s">
        <v>7</v>
      </c>
      <c r="AP25" s="170">
        <v>36.127685</v>
      </c>
      <c r="AQ25" s="171">
        <v>34.270000000000003</v>
      </c>
      <c r="AR25" s="170">
        <v>107.75</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AO26" s="77" t="s">
        <v>3</v>
      </c>
      <c r="AP26" s="170">
        <v>71.657591999999994</v>
      </c>
      <c r="AQ26" s="170">
        <v>58.822899999999997</v>
      </c>
      <c r="AR26" s="171">
        <v>50.87</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18</v>
      </c>
      <c r="D27" s="38">
        <v>27665730</v>
      </c>
      <c r="E27" s="38">
        <v>281227494</v>
      </c>
      <c r="F27" s="38">
        <v>11571953</v>
      </c>
      <c r="G27" s="39">
        <v>134221196</v>
      </c>
      <c r="H27" s="41">
        <v>64.861952000000002</v>
      </c>
      <c r="I27" s="52">
        <v>23.307552999999999</v>
      </c>
      <c r="J27" s="41">
        <v>62.276108000000001</v>
      </c>
      <c r="K27" s="42"/>
      <c r="L27" s="48">
        <v>23.874721000000001</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AO27" s="77" t="s">
        <v>18</v>
      </c>
      <c r="AP27" s="170">
        <v>64.677471999999995</v>
      </c>
      <c r="AQ27" s="170">
        <v>64.492125000000001</v>
      </c>
      <c r="AR27" s="171">
        <v>63.427695</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3913</v>
      </c>
      <c r="D28" s="38">
        <v>58655849</v>
      </c>
      <c r="E28" s="38">
        <v>522642066</v>
      </c>
      <c r="F28" s="38">
        <v>278489</v>
      </c>
      <c r="G28" s="39">
        <v>1117416174</v>
      </c>
      <c r="H28" s="41">
        <v>60.576824999999999</v>
      </c>
      <c r="I28" s="52">
        <v>144.30504400000001</v>
      </c>
      <c r="J28" s="41">
        <v>31.56</v>
      </c>
      <c r="K28" s="42"/>
      <c r="L28" s="48">
        <v>30.88738</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AO28" s="77" t="s">
        <v>3913</v>
      </c>
      <c r="AP28" s="170">
        <v>37.385236999999996</v>
      </c>
      <c r="AQ28" s="171">
        <v>32.501784000000001</v>
      </c>
      <c r="AR28" s="170">
        <v>101.51</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1446</v>
      </c>
      <c r="D29" s="38">
        <v>6100692</v>
      </c>
      <c r="E29" s="38">
        <v>199729748</v>
      </c>
      <c r="F29" s="38">
        <v>2732817</v>
      </c>
      <c r="G29" s="39">
        <v>97362094</v>
      </c>
      <c r="H29" s="41">
        <v>59.816648000000001</v>
      </c>
      <c r="I29" s="52">
        <v>32.213045000000001</v>
      </c>
      <c r="J29" s="41">
        <v>58.558579999999999</v>
      </c>
      <c r="K29" s="42"/>
      <c r="L29" s="48">
        <v>53.737893</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AO29" s="77" t="s">
        <v>1446</v>
      </c>
      <c r="AP29" s="170">
        <v>64.532178999999999</v>
      </c>
      <c r="AQ29" s="170">
        <v>62.667752</v>
      </c>
      <c r="AR29" s="171">
        <v>60.092629000000002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11" t="s">
        <v>1450</v>
      </c>
      <c r="D30" s="38">
        <v>5867547</v>
      </c>
      <c r="E30" s="38">
        <v>61171040</v>
      </c>
      <c r="F30" s="38">
        <v>959344</v>
      </c>
      <c r="G30" s="39">
        <v>994503898</v>
      </c>
      <c r="H30" s="41">
        <v>57.130594000000002</v>
      </c>
      <c r="I30" s="52">
        <v>123.493318</v>
      </c>
      <c r="J30" s="41">
        <v>35</v>
      </c>
      <c r="K30" s="42"/>
      <c r="L30" s="48">
        <v>20.122519</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AO30" s="77" t="s">
        <v>1450</v>
      </c>
      <c r="AP30" s="170">
        <v>33.566386000000001</v>
      </c>
      <c r="AQ30" s="170">
        <v>29.500713000000001</v>
      </c>
      <c r="AR30" s="171">
        <v>26.508717000000001</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1445</v>
      </c>
      <c r="D31" s="38">
        <v>2148791</v>
      </c>
      <c r="E31" s="38">
        <v>155750262</v>
      </c>
      <c r="F31" s="38">
        <v>286585</v>
      </c>
      <c r="G31" s="39">
        <v>147929073</v>
      </c>
      <c r="H31" s="41">
        <v>33.766888999999999</v>
      </c>
      <c r="I31" s="52">
        <v>110.60061399999999</v>
      </c>
      <c r="J31" s="41">
        <v>31.719238000000001</v>
      </c>
      <c r="K31" s="42"/>
      <c r="L31" s="48">
        <v>23.840702</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AO31" s="77" t="s">
        <v>1445</v>
      </c>
      <c r="AP31" s="170">
        <v>44.298772</v>
      </c>
      <c r="AQ31" s="170">
        <v>38.003773000000002</v>
      </c>
      <c r="AR31" s="171">
        <v>34.437351999999997</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1422</v>
      </c>
      <c r="D32" s="38">
        <v>2622756</v>
      </c>
      <c r="E32" s="38">
        <v>94934908</v>
      </c>
      <c r="F32" s="38">
        <v>900354</v>
      </c>
      <c r="G32" s="39">
        <v>104704438</v>
      </c>
      <c r="H32" s="41">
        <v>23.738012000000001</v>
      </c>
      <c r="I32" s="52">
        <v>31.811346</v>
      </c>
      <c r="J32" s="41">
        <v>23.200935000000001</v>
      </c>
      <c r="K32" s="42"/>
      <c r="L32" s="48">
        <v>17.874461</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AO32" s="77" t="s">
        <v>1422</v>
      </c>
      <c r="AP32" s="170">
        <v>31.232164000000001</v>
      </c>
      <c r="AQ32" s="170">
        <v>27.994147000000002</v>
      </c>
      <c r="AR32" s="171">
        <v>25.256180000000001</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1405</v>
      </c>
      <c r="D33" s="38">
        <v>2093449</v>
      </c>
      <c r="E33" s="38">
        <v>52098498</v>
      </c>
      <c r="F33" s="38">
        <v>1140084</v>
      </c>
      <c r="G33" s="39">
        <v>7254227</v>
      </c>
      <c r="H33" s="41">
        <v>17.421547</v>
      </c>
      <c r="I33" s="52">
        <v>23.765003</v>
      </c>
      <c r="J33" s="41">
        <v>17.204273000000001</v>
      </c>
      <c r="K33" s="42"/>
      <c r="L33" s="48">
        <v>14.029244</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AO33" s="77" t="s">
        <v>1405</v>
      </c>
      <c r="AP33" s="171">
        <v>17.693947999999999</v>
      </c>
      <c r="AQ33" s="170">
        <v>17.725624</v>
      </c>
      <c r="AR33" s="170">
        <v>17.760722999999999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52">
        <v>249.501497</v>
      </c>
      <c r="J34" s="41">
        <v>13.855840000000001</v>
      </c>
      <c r="K34" s="42"/>
      <c r="L34" s="48">
        <v>19.519027000000001</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AO34" s="77" t="s">
        <v>5</v>
      </c>
      <c r="AP34" s="170">
        <v>32.667997999999997</v>
      </c>
      <c r="AQ34" s="170">
        <v>24.962723</v>
      </c>
      <c r="AR34" s="171">
        <v>20.012726000000001</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1423</v>
      </c>
      <c r="D35" s="38">
        <v>7570051</v>
      </c>
      <c r="E35" s="38">
        <v>43881980</v>
      </c>
      <c r="F35" s="38">
        <v>5669991</v>
      </c>
      <c r="G35" s="39">
        <v>41148109</v>
      </c>
      <c r="H35" s="41">
        <v>12.697224</v>
      </c>
      <c r="I35" s="52">
        <v>4.7210000000000001</v>
      </c>
      <c r="J35" s="41">
        <v>12.267455</v>
      </c>
      <c r="K35" s="42"/>
      <c r="L35" s="48">
        <v>2.3150789999999999</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AO35" s="77" t="s">
        <v>1423</v>
      </c>
      <c r="AP35" s="170">
        <v>13.161386</v>
      </c>
      <c r="AQ35" s="171">
        <v>13.086696</v>
      </c>
      <c r="AR35" s="170">
        <v>13.145464</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1438</v>
      </c>
      <c r="D36" s="38">
        <v>7891015</v>
      </c>
      <c r="E36" s="38">
        <v>127830770</v>
      </c>
      <c r="F36" s="38">
        <v>3636005</v>
      </c>
      <c r="G36" s="39">
        <v>52252646</v>
      </c>
      <c r="H36" s="41">
        <v>11.282028</v>
      </c>
      <c r="I36" s="52">
        <v>2.9514300000000002</v>
      </c>
      <c r="J36" s="41">
        <v>10.717722999999999</v>
      </c>
      <c r="K36" s="42"/>
      <c r="L36" s="48">
        <v>2.0402999999999998</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AO36" s="77" t="s">
        <v>1438</v>
      </c>
      <c r="AP36" s="170">
        <v>12.084013000000001</v>
      </c>
      <c r="AQ36" s="170">
        <v>11.82198</v>
      </c>
      <c r="AR36" s="171">
        <v>11.731083999999999</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1436</v>
      </c>
      <c r="D37" s="38">
        <v>3790750</v>
      </c>
      <c r="E37" s="38">
        <v>44273578</v>
      </c>
      <c r="F37" s="38">
        <v>866662</v>
      </c>
      <c r="G37" s="39">
        <v>489911259</v>
      </c>
      <c r="H37" s="41">
        <v>11.255535999999999</v>
      </c>
      <c r="I37" s="52">
        <v>72.252588000000003</v>
      </c>
      <c r="J37" s="41">
        <v>11.012378999999999</v>
      </c>
      <c r="K37" s="42"/>
      <c r="L37" s="48">
        <v>12.491521000000001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AO37" s="77" t="s">
        <v>1436</v>
      </c>
      <c r="AP37" s="170">
        <v>20.474717999999999</v>
      </c>
      <c r="AQ37" s="170">
        <v>18.352577</v>
      </c>
      <c r="AR37" s="171">
        <v>16.848234000000001</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52">
        <v>24.346118000000001</v>
      </c>
      <c r="J38" s="41">
        <v>8.328792</v>
      </c>
      <c r="K38" s="42"/>
      <c r="L38" s="48">
        <v>9.3502709999999993</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AO38" s="77" t="s">
        <v>1414</v>
      </c>
      <c r="AP38" s="170">
        <v>13.964745000000001</v>
      </c>
      <c r="AQ38" s="170">
        <v>11.749542999999999</v>
      </c>
      <c r="AR38" s="171">
        <v>10.476564</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1431</v>
      </c>
      <c r="D39" s="38">
        <v>4579069</v>
      </c>
      <c r="E39" s="38">
        <v>12530086</v>
      </c>
      <c r="F39" s="38">
        <v>4043326</v>
      </c>
      <c r="G39" s="39">
        <v>6015927</v>
      </c>
      <c r="H39" s="41">
        <v>7.7896460000000003</v>
      </c>
      <c r="I39" s="52">
        <v>0.93807399999999996</v>
      </c>
      <c r="J39" s="40">
        <v>6.9008060000000002</v>
      </c>
      <c r="K39" s="42"/>
      <c r="L39" s="48">
        <v>0.93605400000000005</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AO39" s="77" t="s">
        <v>1431</v>
      </c>
      <c r="AP39" s="170">
        <v>7.8232140000000001</v>
      </c>
      <c r="AQ39" s="170">
        <v>7.9384430000000004</v>
      </c>
      <c r="AR39" s="171">
        <v>7.5581139999999998</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1391</v>
      </c>
      <c r="D40" s="38">
        <v>8482737</v>
      </c>
      <c r="E40" s="38">
        <v>23585644</v>
      </c>
      <c r="F40" s="38">
        <v>8421430</v>
      </c>
      <c r="G40" s="39">
        <v>12043741</v>
      </c>
      <c r="H40" s="41">
        <v>7.652196</v>
      </c>
      <c r="I40" s="52">
        <v>0.89532500000000004</v>
      </c>
      <c r="J40" s="40">
        <v>7.3661770000000004</v>
      </c>
      <c r="K40" s="42"/>
      <c r="L40" s="48">
        <v>0.873803</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AO40" s="77" t="s">
        <v>1391</v>
      </c>
      <c r="AP40" s="171">
        <v>7.9266969999999999</v>
      </c>
      <c r="AQ40" s="170">
        <v>8.0538519999999991</v>
      </c>
      <c r="AR40" s="170">
        <v>8.0061540000000004</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2</v>
      </c>
      <c r="D41" s="38">
        <v>4382070</v>
      </c>
      <c r="E41" s="38">
        <v>38996662</v>
      </c>
      <c r="F41" s="38">
        <v>699764</v>
      </c>
      <c r="G41" s="39">
        <v>287608260</v>
      </c>
      <c r="H41" s="41">
        <v>7.5799459999999996</v>
      </c>
      <c r="I41" s="52">
        <v>38.782924999999999</v>
      </c>
      <c r="J41" s="41">
        <v>7.4260539999999997</v>
      </c>
      <c r="K41" s="42"/>
      <c r="L41" s="48">
        <v>8.0992370000000005</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AO41" s="77" t="s">
        <v>2</v>
      </c>
      <c r="AP41" s="170">
        <v>12.588696000000001</v>
      </c>
      <c r="AQ41" s="170">
        <v>14.476660000000001</v>
      </c>
      <c r="AR41" s="171">
        <v>10.712068</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1</v>
      </c>
      <c r="D42" s="38">
        <v>18268991</v>
      </c>
      <c r="E42" s="38">
        <v>253780418</v>
      </c>
      <c r="F42" s="38">
        <v>612308</v>
      </c>
      <c r="G42" s="39">
        <v>240680701</v>
      </c>
      <c r="H42" s="41">
        <v>6.968604</v>
      </c>
      <c r="I42" s="52">
        <v>45.206122000000001</v>
      </c>
      <c r="J42" s="41">
        <v>6.9283619999999999</v>
      </c>
      <c r="K42" s="42"/>
      <c r="L42" s="48">
        <v>10.693218999999999</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AO42" s="77" t="s">
        <v>1</v>
      </c>
      <c r="AP42" s="170">
        <v>13.445164999999999</v>
      </c>
      <c r="AQ42" s="170">
        <v>11.850719</v>
      </c>
      <c r="AR42" s="171">
        <v>9.3214760000000005</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1449</v>
      </c>
      <c r="D43" s="38">
        <v>4799646</v>
      </c>
      <c r="E43" s="38">
        <v>63844012</v>
      </c>
      <c r="F43" s="38">
        <v>1076572</v>
      </c>
      <c r="G43" s="39">
        <v>157475935</v>
      </c>
      <c r="H43" s="41">
        <v>6.8452809999999999</v>
      </c>
      <c r="I43" s="52">
        <v>23.708839000000001</v>
      </c>
      <c r="J43" s="41">
        <v>5.0708260000000003</v>
      </c>
      <c r="K43" s="42"/>
      <c r="L43" s="48">
        <v>7.6292460000000002</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AO43" s="77" t="s">
        <v>1449</v>
      </c>
      <c r="AP43" s="170">
        <v>7.7751479999999997</v>
      </c>
      <c r="AQ43" s="170">
        <v>7.3410700000000002</v>
      </c>
      <c r="AR43" s="171">
        <v>6.7645090000000003</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52">
        <v>9.5797369999999997</v>
      </c>
      <c r="J44" s="41">
        <v>4.8326019999999996</v>
      </c>
      <c r="K44" s="42"/>
      <c r="L44" s="48">
        <v>3.0204589999999998</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AO44" s="77" t="s">
        <v>1440</v>
      </c>
      <c r="AP44" s="170">
        <v>6.7338509999999996</v>
      </c>
      <c r="AQ44" s="170">
        <v>6.460134</v>
      </c>
      <c r="AR44" s="171">
        <v>6.3358189999999999</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1409</v>
      </c>
      <c r="D45" s="38">
        <v>3411795</v>
      </c>
      <c r="E45" s="38">
        <v>26854686</v>
      </c>
      <c r="F45" s="38">
        <v>2487058</v>
      </c>
      <c r="G45" s="39">
        <v>8209611</v>
      </c>
      <c r="H45" s="41">
        <v>4.5660360000000004</v>
      </c>
      <c r="I45" s="52">
        <v>0.94574000000000003</v>
      </c>
      <c r="J45" s="40">
        <v>2.5636969999999999</v>
      </c>
      <c r="K45" s="42"/>
      <c r="L45" s="48">
        <v>0.85847099999999998</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AO45" s="77" t="s">
        <v>1409</v>
      </c>
      <c r="AP45" s="171">
        <v>3.2835920000000001</v>
      </c>
      <c r="AQ45" s="170">
        <v>3.2967770000000001</v>
      </c>
      <c r="AR45" s="170">
        <v>3.352395</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1447</v>
      </c>
      <c r="D46" s="38">
        <v>7489073</v>
      </c>
      <c r="E46" s="38">
        <v>224610814</v>
      </c>
      <c r="F46" s="38">
        <v>1053720</v>
      </c>
      <c r="G46" s="39">
        <v>148627058</v>
      </c>
      <c r="H46" s="41">
        <v>4.1408459999999998</v>
      </c>
      <c r="I46" s="52">
        <v>37.416477</v>
      </c>
      <c r="J46" s="41">
        <v>3.9712429999999999</v>
      </c>
      <c r="K46" s="42"/>
      <c r="L46" s="48">
        <v>5.235112</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AO46" s="77" t="s">
        <v>1447</v>
      </c>
      <c r="AP46" s="170">
        <v>7.5447680000000004</v>
      </c>
      <c r="AQ46" s="170">
        <v>6.5274619999999999</v>
      </c>
      <c r="AR46" s="171">
        <v>5.4487550000000002</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4</v>
      </c>
      <c r="D47" s="38">
        <v>1203995</v>
      </c>
      <c r="E47" s="38">
        <v>40033816</v>
      </c>
      <c r="F47" s="38">
        <v>81090</v>
      </c>
      <c r="G47" s="39">
        <v>148294115</v>
      </c>
      <c r="H47" s="41">
        <v>3.9173870000000002</v>
      </c>
      <c r="I47" s="52">
        <v>28.647296999999998</v>
      </c>
      <c r="J47" s="41">
        <v>3.7129669999999999</v>
      </c>
      <c r="K47" s="42"/>
      <c r="L47" s="48">
        <v>7.8326770000000003</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AO47" s="77" t="s">
        <v>4</v>
      </c>
      <c r="AP47" s="170">
        <v>8.5708660000000005</v>
      </c>
      <c r="AQ47" s="170">
        <v>6.9221019999999998</v>
      </c>
      <c r="AR47" s="171">
        <v>6.2284980000000001</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1461</v>
      </c>
      <c r="D48" s="38">
        <v>33777768</v>
      </c>
      <c r="E48" s="38">
        <v>274478882</v>
      </c>
      <c r="F48" s="38">
        <v>1057783</v>
      </c>
      <c r="G48" s="39">
        <v>152479402</v>
      </c>
      <c r="H48" s="41">
        <v>3.8363990000000001</v>
      </c>
      <c r="I48" s="52">
        <v>18.665141999999999</v>
      </c>
      <c r="J48" s="40">
        <v>4.2303030000000001</v>
      </c>
      <c r="K48" s="42"/>
      <c r="L48" s="48">
        <v>7.6161149999999997</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AO48" s="77" t="s">
        <v>1461</v>
      </c>
      <c r="AP48" s="170">
        <v>6.0517450000000004</v>
      </c>
      <c r="AQ48" s="170">
        <v>5.2383490000000004</v>
      </c>
      <c r="AR48" s="171">
        <v>5.086544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1433</v>
      </c>
      <c r="D49" s="38">
        <v>2646291</v>
      </c>
      <c r="E49" s="38">
        <v>42433496</v>
      </c>
      <c r="F49" s="38">
        <v>850681</v>
      </c>
      <c r="G49" s="39">
        <v>110149144</v>
      </c>
      <c r="H49" s="41">
        <v>3.8337750000000002</v>
      </c>
      <c r="I49" s="52">
        <v>15.348898999999999</v>
      </c>
      <c r="J49" s="40">
        <v>3.679964</v>
      </c>
      <c r="K49" s="42"/>
      <c r="L49" s="48">
        <v>4.8238430000000001</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AO49" s="77" t="s">
        <v>1433</v>
      </c>
      <c r="AP49" s="170">
        <v>5.5699509999999997</v>
      </c>
      <c r="AQ49" s="170">
        <v>5.4812570000000003</v>
      </c>
      <c r="AR49" s="171">
        <v>5.1453819999999997</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1404</v>
      </c>
      <c r="D50" s="38">
        <v>2939627</v>
      </c>
      <c r="E50" s="38">
        <v>20974994</v>
      </c>
      <c r="F50" s="38">
        <v>916719</v>
      </c>
      <c r="G50" s="39">
        <v>49558992</v>
      </c>
      <c r="H50" s="41">
        <v>3.7311160000000001</v>
      </c>
      <c r="I50" s="52">
        <v>5.7104470000000003</v>
      </c>
      <c r="J50" s="40">
        <v>3.2534559999999999</v>
      </c>
      <c r="K50" s="42"/>
      <c r="L50" s="48">
        <v>2.0374910000000002</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AO50" s="77" t="s">
        <v>1404</v>
      </c>
      <c r="AP50" s="170">
        <v>4.6500659999999998</v>
      </c>
      <c r="AQ50" s="170">
        <v>4.2792620000000001</v>
      </c>
      <c r="AR50" s="171">
        <v>4.2346159999999999</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1448</v>
      </c>
      <c r="D51" s="38">
        <v>5267977</v>
      </c>
      <c r="E51" s="38">
        <v>55363430</v>
      </c>
      <c r="F51" s="38">
        <v>590528</v>
      </c>
      <c r="G51" s="39">
        <v>99655585</v>
      </c>
      <c r="H51" s="41">
        <v>3.4353509999999998</v>
      </c>
      <c r="I51" s="52">
        <v>16.841013</v>
      </c>
      <c r="J51" s="40">
        <v>3.20539</v>
      </c>
      <c r="K51" s="42"/>
      <c r="L51" s="48">
        <v>5.4122669999999999</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AO51" s="77" t="s">
        <v>1448</v>
      </c>
      <c r="AP51" s="170">
        <v>5.7697799999999999</v>
      </c>
      <c r="AQ51" s="170">
        <v>4.8103480000000003</v>
      </c>
      <c r="AR51" s="171">
        <v>4.4678779999999998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11</v>
      </c>
      <c r="D52" s="38">
        <v>2394385</v>
      </c>
      <c r="E52" s="38">
        <v>9319130</v>
      </c>
      <c r="F52" s="38">
        <v>100029</v>
      </c>
      <c r="G52" s="39">
        <v>86333306</v>
      </c>
      <c r="H52" s="41">
        <v>3.3782510000000001</v>
      </c>
      <c r="I52" s="52">
        <v>11.48353</v>
      </c>
      <c r="J52" s="40">
        <v>1.765601</v>
      </c>
      <c r="K52" s="42"/>
      <c r="L52" s="48">
        <v>2.5116809999999998</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AO52" s="77" t="s">
        <v>11</v>
      </c>
      <c r="AP52" s="170">
        <v>3.8667319999999998</v>
      </c>
      <c r="AQ52" s="170">
        <v>3.493598</v>
      </c>
      <c r="AR52" s="171">
        <v>3.2306919999999999</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AO53" s="77" t="s">
        <v>1425</v>
      </c>
      <c r="AP53" s="170">
        <v>4.2081900000000001</v>
      </c>
      <c r="AQ53" s="171">
        <v>3.8599019999999999</v>
      </c>
      <c r="AR53" s="170">
        <v>4.116053</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9" t="s">
        <v>1434</v>
      </c>
      <c r="D54" s="38">
        <v>7825669</v>
      </c>
      <c r="E54" s="38">
        <v>124492028</v>
      </c>
      <c r="F54" s="38">
        <v>204282</v>
      </c>
      <c r="G54" s="39">
        <v>74995873</v>
      </c>
      <c r="H54" s="41">
        <v>2.4138410000000001</v>
      </c>
      <c r="I54" s="52">
        <v>11.794521</v>
      </c>
      <c r="J54" s="40">
        <v>2.4274909999999998</v>
      </c>
      <c r="K54" s="42"/>
      <c r="L54" s="48">
        <v>4.758845</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AO54" s="77" t="s">
        <v>1434</v>
      </c>
      <c r="AP54" s="170">
        <v>5.0392320000000002</v>
      </c>
      <c r="AQ54" s="170">
        <v>4.5123189999999997</v>
      </c>
      <c r="AR54" s="171">
        <v>3.6422150000000002</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22" t="s">
        <v>3920</v>
      </c>
      <c r="D55" s="38">
        <v>1632803</v>
      </c>
      <c r="E55" s="38">
        <v>44603928</v>
      </c>
      <c r="F55" s="38">
        <v>14854</v>
      </c>
      <c r="G55" s="39">
        <v>19376873</v>
      </c>
      <c r="H55" s="41">
        <v>2.154563</v>
      </c>
      <c r="I55" s="52">
        <v>2.2659929999999999</v>
      </c>
      <c r="J55" s="40">
        <v>0.34845199999999998</v>
      </c>
      <c r="K55" s="42"/>
      <c r="L55" s="48">
        <v>0.96733800000000003</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AO55" s="77" t="s">
        <v>3920</v>
      </c>
      <c r="AP55" s="170">
        <v>2.402288</v>
      </c>
      <c r="AQ55" s="171">
        <v>1.1485879999999999</v>
      </c>
      <c r="AR55" s="170">
        <v>1.1681729999999999</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1411</v>
      </c>
      <c r="D56" s="38">
        <v>3496954</v>
      </c>
      <c r="E56" s="38">
        <v>27305086</v>
      </c>
      <c r="F56" s="38">
        <v>2187803</v>
      </c>
      <c r="G56" s="39">
        <v>12230903</v>
      </c>
      <c r="H56" s="41">
        <v>1.9853620000000001</v>
      </c>
      <c r="I56" s="52">
        <v>0.65300999999999998</v>
      </c>
      <c r="J56" s="40">
        <v>1.808211</v>
      </c>
      <c r="K56" s="42"/>
      <c r="L56" s="48">
        <v>0.72130399999999995</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AO56" s="77" t="s">
        <v>1411</v>
      </c>
      <c r="AP56" s="170">
        <v>3.4687429999999999</v>
      </c>
      <c r="AQ56" s="171">
        <v>2.591666</v>
      </c>
      <c r="AR56" s="170">
        <v>3.5129899999999998</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1462</v>
      </c>
      <c r="D57" s="38">
        <v>33778221</v>
      </c>
      <c r="E57" s="38">
        <v>203595714</v>
      </c>
      <c r="F57" s="38">
        <v>29319</v>
      </c>
      <c r="G57" s="39">
        <v>103359042</v>
      </c>
      <c r="H57" s="41">
        <v>1.6937089999999999</v>
      </c>
      <c r="I57" s="52">
        <v>25.699197000000002</v>
      </c>
      <c r="J57" s="40">
        <v>2.310222</v>
      </c>
      <c r="K57" s="42"/>
      <c r="L57" s="48">
        <v>7.0814329999999996</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AO57" s="77" t="s">
        <v>1462</v>
      </c>
      <c r="AP57" s="170">
        <v>2.611996</v>
      </c>
      <c r="AQ57" s="171">
        <v>2.327521</v>
      </c>
      <c r="AR57" s="170">
        <v>3.254823</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1408</v>
      </c>
      <c r="D58" s="38">
        <v>4063587</v>
      </c>
      <c r="E58" s="38">
        <v>17652554</v>
      </c>
      <c r="F58" s="38">
        <v>4059644</v>
      </c>
      <c r="G58" s="39">
        <v>8823479</v>
      </c>
      <c r="H58" s="41">
        <v>1.682345</v>
      </c>
      <c r="I58" s="52">
        <v>0.16831399999999999</v>
      </c>
      <c r="J58" s="40">
        <v>1.5356030000000001</v>
      </c>
      <c r="K58" s="42"/>
      <c r="L58" s="48">
        <v>0.108086</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AO58" s="77" t="s">
        <v>1408</v>
      </c>
      <c r="AP58" s="170">
        <v>2.2859129999999999</v>
      </c>
      <c r="AQ58" s="170">
        <v>2.2792669999999999</v>
      </c>
      <c r="AR58" s="171">
        <v>2.2744740000000001</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22" t="s">
        <v>3912</v>
      </c>
      <c r="D59" s="38">
        <v>4033138</v>
      </c>
      <c r="E59" s="38">
        <v>55866126</v>
      </c>
      <c r="F59" s="38">
        <v>2651</v>
      </c>
      <c r="G59" s="39">
        <v>38413666</v>
      </c>
      <c r="H59" s="41">
        <v>1.571016</v>
      </c>
      <c r="I59" s="52">
        <v>6.711659</v>
      </c>
      <c r="J59" s="40">
        <v>1.4397960000000001</v>
      </c>
      <c r="K59" s="42"/>
      <c r="L59" s="48">
        <v>4.0897119999999996</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AO59" s="77" t="s">
        <v>3912</v>
      </c>
      <c r="AP59" s="170">
        <v>2.6181109999999999</v>
      </c>
      <c r="AQ59" s="171">
        <v>2.3589120000000001</v>
      </c>
      <c r="AR59" s="170">
        <v>2.4806240000000002</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52">
        <v>5.6263290000000001</v>
      </c>
      <c r="J60" s="40">
        <v>1.308095</v>
      </c>
      <c r="K60" s="42"/>
      <c r="L60" s="48">
        <v>2.3065820000000001</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AO60" s="77" t="s">
        <v>1437</v>
      </c>
      <c r="AP60" s="170">
        <v>2.3037390000000002</v>
      </c>
      <c r="AQ60" s="170">
        <v>2.2455539999999998</v>
      </c>
      <c r="AR60" s="171">
        <v>2.2039140000000002</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3917</v>
      </c>
      <c r="D61" s="38">
        <v>1791489</v>
      </c>
      <c r="E61" s="38">
        <v>50888414</v>
      </c>
      <c r="F61" s="38">
        <v>238342</v>
      </c>
      <c r="G61" s="39">
        <v>27229873</v>
      </c>
      <c r="H61" s="41">
        <v>1.3038989999999999</v>
      </c>
      <c r="I61" s="52">
        <v>4.5417589999999999</v>
      </c>
      <c r="J61" s="40">
        <v>1.1079509999999999</v>
      </c>
      <c r="K61" s="42"/>
      <c r="L61" s="48">
        <v>1.3929849999999999</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AO61" s="77" t="s">
        <v>3917</v>
      </c>
      <c r="AP61" s="170">
        <v>2.4666739999999998</v>
      </c>
      <c r="AQ61" s="170">
        <v>2.299417</v>
      </c>
      <c r="AR61" s="171">
        <v>1.9127430000000001</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11" t="s">
        <v>1346</v>
      </c>
      <c r="D62" s="38">
        <v>1696415</v>
      </c>
      <c r="E62" s="38">
        <v>22190596</v>
      </c>
      <c r="F62" s="38">
        <v>35455</v>
      </c>
      <c r="G62" s="39">
        <v>37322355</v>
      </c>
      <c r="H62" s="41">
        <v>1.300643</v>
      </c>
      <c r="I62" s="52">
        <v>7.0529869999999999</v>
      </c>
      <c r="J62" s="40">
        <v>1.085415</v>
      </c>
      <c r="K62" s="42"/>
      <c r="L62" s="48">
        <v>2.076346</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AO62" s="77" t="s">
        <v>1346</v>
      </c>
      <c r="AP62" s="170">
        <v>2.4157470000000001</v>
      </c>
      <c r="AQ62" s="170">
        <v>2.1838299999999999</v>
      </c>
      <c r="AR62" s="171">
        <v>2.0846650000000002</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9" t="s">
        <v>1402</v>
      </c>
      <c r="D63" s="38">
        <v>2132864</v>
      </c>
      <c r="E63" s="38">
        <v>17441248</v>
      </c>
      <c r="F63" s="38">
        <v>306136</v>
      </c>
      <c r="G63" s="39">
        <v>11329220</v>
      </c>
      <c r="H63" s="41">
        <v>0.99414100000000005</v>
      </c>
      <c r="I63" s="52">
        <v>1.8110040000000001</v>
      </c>
      <c r="J63" s="40">
        <v>0.791018</v>
      </c>
      <c r="K63" s="42"/>
      <c r="L63" s="48">
        <v>1.1210039999999999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AO63" s="77" t="s">
        <v>1402</v>
      </c>
      <c r="AP63" s="170">
        <v>1.66544</v>
      </c>
      <c r="AQ63" s="170">
        <v>1.6737820000000001</v>
      </c>
      <c r="AR63" s="171">
        <v>1.602886</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9" t="s">
        <v>1371</v>
      </c>
      <c r="D64" s="38">
        <v>2140198</v>
      </c>
      <c r="E64" s="38">
        <v>34029892</v>
      </c>
      <c r="F64" s="38">
        <v>97848</v>
      </c>
      <c r="G64" s="39">
        <v>19365288</v>
      </c>
      <c r="H64" s="41">
        <v>0.85894899999999996</v>
      </c>
      <c r="I64" s="52">
        <v>3.3648449999999999</v>
      </c>
      <c r="J64" s="40">
        <v>0.71303899999999998</v>
      </c>
      <c r="K64" s="42"/>
      <c r="L64" s="48">
        <v>1.127974</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AO64" s="77" t="s">
        <v>1371</v>
      </c>
      <c r="AP64" s="170">
        <v>1.7990200000000001</v>
      </c>
      <c r="AQ64" s="170">
        <v>1.5453190000000001</v>
      </c>
      <c r="AR64" s="171">
        <v>1.5209250000000001</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3919</v>
      </c>
      <c r="D65" s="38">
        <v>2937612</v>
      </c>
      <c r="E65" s="38">
        <v>41919708</v>
      </c>
      <c r="F65" s="38">
        <v>4356</v>
      </c>
      <c r="G65" s="39">
        <v>27593398</v>
      </c>
      <c r="H65" s="41">
        <v>0.62366100000000002</v>
      </c>
      <c r="I65" s="52">
        <v>3.6801520000000001</v>
      </c>
      <c r="J65" s="40">
        <v>0.48078500000000002</v>
      </c>
      <c r="K65" s="42"/>
      <c r="L65" s="48">
        <v>1.075196</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AO65" s="77" t="s">
        <v>3919</v>
      </c>
      <c r="AP65" s="170">
        <v>1.462917</v>
      </c>
      <c r="AQ65" s="171">
        <v>1.318945</v>
      </c>
      <c r="AR65" s="170">
        <v>1.3714489999999999</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33"/>
      <c r="I4" s="133"/>
      <c r="J4" s="133"/>
      <c r="K4" s="133"/>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4:E30"/>
  <sheetViews>
    <sheetView workbookViewId="0">
      <selection activeCell="B28" sqref="B28"/>
    </sheetView>
  </sheetViews>
  <sheetFormatPr baseColWidth="10" defaultRowHeight="16" x14ac:dyDescent="0.2"/>
  <cols>
    <col min="1" max="1" width="28.5" bestFit="1" customWidth="1"/>
    <col min="2" max="2" width="26.6640625" bestFit="1" customWidth="1"/>
    <col min="3" max="3" width="13" bestFit="1" customWidth="1"/>
    <col min="4" max="4" width="15.5" customWidth="1"/>
    <col min="5" max="5" width="11.83203125" bestFit="1" customWidth="1"/>
  </cols>
  <sheetData>
    <row r="4" spans="1:5" ht="22" x14ac:dyDescent="0.3">
      <c r="A4" s="154" t="s">
        <v>25</v>
      </c>
      <c r="B4" s="154" t="s">
        <v>13</v>
      </c>
      <c r="C4" s="154" t="s">
        <v>14</v>
      </c>
      <c r="D4" s="154" t="s">
        <v>4004</v>
      </c>
      <c r="E4" s="154" t="s">
        <v>15</v>
      </c>
    </row>
    <row r="5" spans="1:5" ht="22" x14ac:dyDescent="0.3">
      <c r="A5" s="152" t="s">
        <v>1346</v>
      </c>
      <c r="B5" s="151">
        <v>1696415</v>
      </c>
      <c r="C5" s="151">
        <v>22190596</v>
      </c>
      <c r="D5" s="151">
        <v>13.080877025963575</v>
      </c>
      <c r="E5" s="151">
        <v>35455</v>
      </c>
    </row>
    <row r="6" spans="1:5" ht="22" x14ac:dyDescent="0.3">
      <c r="A6" s="152" t="s">
        <v>1</v>
      </c>
      <c r="B6" s="151">
        <v>18268991</v>
      </c>
      <c r="C6" s="151">
        <v>253780418</v>
      </c>
      <c r="D6" s="151">
        <v>13.891320982094742</v>
      </c>
      <c r="E6" s="151">
        <v>612308</v>
      </c>
    </row>
    <row r="7" spans="1:5" ht="22" x14ac:dyDescent="0.3">
      <c r="A7" s="152" t="s">
        <v>1461</v>
      </c>
      <c r="B7" s="151">
        <v>33777768</v>
      </c>
      <c r="C7" s="151">
        <v>274478882</v>
      </c>
      <c r="D7" s="151">
        <v>8.1260218851642296</v>
      </c>
      <c r="E7" s="151">
        <v>1057783</v>
      </c>
    </row>
    <row r="8" spans="1:5" ht="22" x14ac:dyDescent="0.3">
      <c r="A8" s="152" t="s">
        <v>1391</v>
      </c>
      <c r="B8" s="151">
        <v>8482737</v>
      </c>
      <c r="C8" s="151">
        <v>23585644</v>
      </c>
      <c r="D8" s="151">
        <v>2.7804285338564663</v>
      </c>
      <c r="E8" s="151">
        <v>8421430</v>
      </c>
    </row>
    <row r="9" spans="1:5" ht="22" x14ac:dyDescent="0.3">
      <c r="A9" s="152" t="s">
        <v>1440</v>
      </c>
      <c r="B9" s="151">
        <v>5812931</v>
      </c>
      <c r="C9" s="151">
        <v>54238524</v>
      </c>
      <c r="D9" s="151">
        <v>9.3306670937604448</v>
      </c>
      <c r="E9" s="151">
        <v>3504033</v>
      </c>
    </row>
    <row r="10" spans="1:5" ht="22" x14ac:dyDescent="0.3">
      <c r="A10" s="152" t="s">
        <v>1450</v>
      </c>
      <c r="B10" s="151">
        <v>5867547</v>
      </c>
      <c r="C10" s="151">
        <v>61171040</v>
      </c>
      <c r="D10" s="151">
        <v>10.425317428220003</v>
      </c>
      <c r="E10" s="151">
        <v>959344</v>
      </c>
    </row>
    <row r="11" spans="1:5" ht="22" x14ac:dyDescent="0.3">
      <c r="A11" s="152" t="s">
        <v>1455</v>
      </c>
      <c r="B11" s="151">
        <v>8833229</v>
      </c>
      <c r="C11" s="151">
        <v>105882456</v>
      </c>
      <c r="D11" s="151">
        <v>11.986834712425093</v>
      </c>
      <c r="E11" s="151">
        <v>2126384</v>
      </c>
    </row>
    <row r="12" spans="1:5" ht="22" x14ac:dyDescent="0.3">
      <c r="A12" s="152" t="s">
        <v>1409</v>
      </c>
      <c r="B12" s="151">
        <v>3411795</v>
      </c>
      <c r="C12" s="151">
        <v>26854686</v>
      </c>
      <c r="D12" s="151">
        <v>7.8711311787490166</v>
      </c>
      <c r="E12" s="151">
        <v>2487058</v>
      </c>
    </row>
    <row r="13" spans="1:5" ht="22" x14ac:dyDescent="0.3">
      <c r="A13" s="152" t="s">
        <v>1449</v>
      </c>
      <c r="B13" s="151">
        <v>4799646</v>
      </c>
      <c r="C13" s="151">
        <v>63844012</v>
      </c>
      <c r="D13" s="151">
        <v>13.301816842325454</v>
      </c>
      <c r="E13" s="151">
        <v>1076572</v>
      </c>
    </row>
    <row r="14" spans="1:5" ht="22" x14ac:dyDescent="0.3">
      <c r="A14" s="152" t="s">
        <v>1437</v>
      </c>
      <c r="B14" s="151">
        <v>2981204</v>
      </c>
      <c r="C14" s="151">
        <v>42832752</v>
      </c>
      <c r="D14" s="151">
        <v>14.367601814568879</v>
      </c>
      <c r="E14" s="151">
        <v>385104</v>
      </c>
    </row>
    <row r="15" spans="1:5" ht="22" x14ac:dyDescent="0.3">
      <c r="A15" s="152" t="s">
        <v>1408</v>
      </c>
      <c r="B15" s="151">
        <v>4063587</v>
      </c>
      <c r="C15" s="151">
        <v>17652554</v>
      </c>
      <c r="D15" s="151">
        <v>4.344081718934528</v>
      </c>
      <c r="E15" s="151">
        <v>4059644</v>
      </c>
    </row>
    <row r="16" spans="1:5" ht="22" x14ac:dyDescent="0.3">
      <c r="A16" s="152" t="s">
        <v>1436</v>
      </c>
      <c r="B16" s="151">
        <v>3790750</v>
      </c>
      <c r="C16" s="151">
        <v>44273578</v>
      </c>
      <c r="D16" s="151">
        <v>11.679371628305745</v>
      </c>
      <c r="E16" s="151">
        <v>866662</v>
      </c>
    </row>
    <row r="17" spans="1:5" ht="22" x14ac:dyDescent="0.3">
      <c r="A17" s="152" t="s">
        <v>1433</v>
      </c>
      <c r="B17" s="151">
        <v>2646291</v>
      </c>
      <c r="C17" s="151">
        <v>42433496</v>
      </c>
      <c r="D17" s="151">
        <f>Table2123242526[[#This Row],[E]]/Table2123242526[[#This Row],[V]]</f>
        <v>13.301816842325454</v>
      </c>
      <c r="E17" s="151">
        <v>850681</v>
      </c>
    </row>
    <row r="18" spans="1:5" ht="22" x14ac:dyDescent="0.3">
      <c r="A18" s="152" t="s">
        <v>1448</v>
      </c>
      <c r="B18" s="151">
        <v>5267977</v>
      </c>
      <c r="C18" s="151">
        <v>55363430</v>
      </c>
      <c r="D18" s="151">
        <v>10.509428951569074</v>
      </c>
      <c r="E18" s="151">
        <v>590528</v>
      </c>
    </row>
    <row r="19" spans="1:5" ht="22" x14ac:dyDescent="0.3">
      <c r="A19" s="152" t="s">
        <v>1431</v>
      </c>
      <c r="B19" s="151">
        <v>4579069</v>
      </c>
      <c r="C19" s="151">
        <v>12530086</v>
      </c>
      <c r="D19" s="151">
        <v>2.7363828760824527</v>
      </c>
      <c r="E19" s="151">
        <v>4043326</v>
      </c>
    </row>
    <row r="20" spans="1:5" ht="22" x14ac:dyDescent="0.3">
      <c r="A20" s="152" t="s">
        <v>1423</v>
      </c>
      <c r="B20" s="151">
        <v>7570051</v>
      </c>
      <c r="C20" s="151">
        <v>43881980</v>
      </c>
      <c r="D20" s="151">
        <v>5.7967878948239582</v>
      </c>
      <c r="E20" s="151">
        <v>5669991</v>
      </c>
    </row>
    <row r="21" spans="1:5" ht="22" x14ac:dyDescent="0.3">
      <c r="A21" s="152" t="s">
        <v>1411</v>
      </c>
      <c r="B21" s="151">
        <v>3496954</v>
      </c>
      <c r="C21" s="151">
        <v>27305086</v>
      </c>
      <c r="D21" s="151">
        <v>7.808248550023821</v>
      </c>
      <c r="E21" s="151">
        <v>2187803</v>
      </c>
    </row>
    <row r="22" spans="1:5" ht="22" x14ac:dyDescent="0.3">
      <c r="A22" s="152" t="s">
        <v>1425</v>
      </c>
      <c r="B22" s="151">
        <v>5005932</v>
      </c>
      <c r="C22" s="151">
        <v>33083838</v>
      </c>
      <c r="D22" s="151">
        <v>6.6089267692809255</v>
      </c>
      <c r="E22" s="151">
        <v>1208022</v>
      </c>
    </row>
    <row r="23" spans="1:5" ht="22" x14ac:dyDescent="0.3">
      <c r="A23" s="153" t="s">
        <v>3912</v>
      </c>
      <c r="B23" s="151">
        <v>4033138</v>
      </c>
      <c r="C23" s="151">
        <v>55866126</v>
      </c>
      <c r="D23" s="151">
        <v>13.851776457934244</v>
      </c>
      <c r="E23" s="151">
        <v>2651</v>
      </c>
    </row>
    <row r="24" spans="1:5" ht="22" x14ac:dyDescent="0.3">
      <c r="A24" s="153" t="s">
        <v>3919</v>
      </c>
      <c r="B24" s="151">
        <v>2937612</v>
      </c>
      <c r="C24" s="151">
        <v>41919708</v>
      </c>
      <c r="D24" s="151">
        <v>14.269994812112696</v>
      </c>
      <c r="E24" s="151">
        <v>4356</v>
      </c>
    </row>
    <row r="25" spans="1:5" ht="22" x14ac:dyDescent="0.3">
      <c r="A25" s="153" t="s">
        <v>18</v>
      </c>
      <c r="B25" s="151">
        <v>27665730</v>
      </c>
      <c r="C25" s="151">
        <v>281227494</v>
      </c>
      <c r="D25" s="151">
        <v>10.165193327629526</v>
      </c>
      <c r="E25" s="151">
        <v>11571953</v>
      </c>
    </row>
    <row r="26" spans="1:5" ht="22" x14ac:dyDescent="0.3">
      <c r="A26" s="153" t="s">
        <v>1438</v>
      </c>
      <c r="B26" s="151">
        <v>7891015</v>
      </c>
      <c r="C26" s="151">
        <v>127830770</v>
      </c>
      <c r="D26" s="151">
        <f>Table2123242526[[#This Row],[E]]/Table2123242526[[#This Row],[V]]</f>
        <v>28.405652504704186</v>
      </c>
      <c r="E26" s="151">
        <v>3636005</v>
      </c>
    </row>
    <row r="27" spans="1:5" ht="22" x14ac:dyDescent="0.3">
      <c r="A27" s="153" t="s">
        <v>1434</v>
      </c>
      <c r="B27" s="151">
        <v>7825669</v>
      </c>
      <c r="C27" s="151">
        <v>124492028</v>
      </c>
      <c r="D27" s="151">
        <f>Table2123242526[[#This Row],[E]]/Table2123242526[[#This Row],[V]]</f>
        <v>76.281301414738309</v>
      </c>
      <c r="E27" s="151">
        <v>204282</v>
      </c>
    </row>
    <row r="28" spans="1:5" ht="22" x14ac:dyDescent="0.3">
      <c r="A28" s="153"/>
      <c r="B28" s="151"/>
      <c r="C28" s="151"/>
      <c r="D28" s="151"/>
      <c r="E28" s="151"/>
    </row>
    <row r="29" spans="1:5" ht="22" x14ac:dyDescent="0.3">
      <c r="A29" s="152"/>
      <c r="B29" s="151"/>
      <c r="C29" s="151"/>
      <c r="D29" s="151"/>
      <c r="E29" s="151"/>
    </row>
    <row r="30" spans="1:5" ht="22" x14ac:dyDescent="0.3">
      <c r="A30" s="152"/>
      <c r="B30" s="151"/>
      <c r="C30" s="151"/>
      <c r="D30" s="151"/>
      <c r="E30" s="151"/>
    </row>
  </sheetData>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E1326"/>
  <sheetViews>
    <sheetView topLeftCell="D6" workbookViewId="0">
      <selection activeCell="X6" sqref="X6:X27"/>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1" ht="23" x14ac:dyDescent="0.3">
      <c r="C1" s="8" t="s">
        <v>19</v>
      </c>
      <c r="D1" s="8" t="s">
        <v>20</v>
      </c>
      <c r="E1" s="8" t="s">
        <v>21</v>
      </c>
      <c r="F1" s="8" t="s">
        <v>22</v>
      </c>
      <c r="G1" s="8" t="s">
        <v>23</v>
      </c>
      <c r="H1" s="8" t="s">
        <v>3899</v>
      </c>
      <c r="I1" s="8" t="s">
        <v>3898</v>
      </c>
      <c r="J1" s="8" t="s">
        <v>24</v>
      </c>
      <c r="X1" s="110" t="s">
        <v>25</v>
      </c>
      <c r="Y1" s="109" t="s">
        <v>13</v>
      </c>
      <c r="Z1" s="109" t="s">
        <v>14</v>
      </c>
      <c r="AA1" s="109" t="s">
        <v>4004</v>
      </c>
      <c r="AB1" s="109" t="s">
        <v>15</v>
      </c>
      <c r="AC1" s="108" t="s">
        <v>4005</v>
      </c>
      <c r="AE1" s="35"/>
    </row>
    <row r="2" spans="3:31"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3979</v>
      </c>
      <c r="R2" t="s">
        <v>3978</v>
      </c>
      <c r="X2" s="9" t="s">
        <v>1405</v>
      </c>
      <c r="Y2" s="38">
        <v>2093449</v>
      </c>
      <c r="Z2" s="38">
        <v>52098498</v>
      </c>
      <c r="AA2" s="38">
        <f>Table4[[#This Row],[E]]/Table4[[#This Row],[V]]</f>
        <v>24.886442421095524</v>
      </c>
      <c r="AB2" s="38">
        <v>1140084</v>
      </c>
      <c r="AC2" s="38">
        <v>2</v>
      </c>
      <c r="AE2" s="35"/>
    </row>
    <row r="3" spans="3:31"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1"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1"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1"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15">
        <v>4579069</v>
      </c>
      <c r="Z6" s="115">
        <v>12530086</v>
      </c>
      <c r="AA6" s="115">
        <f>Table4[[#This Row],[E]]/Table4[[#This Row],[V]]</f>
        <v>2.7363828760824527</v>
      </c>
      <c r="AB6" s="115">
        <v>4043326</v>
      </c>
      <c r="AC6" s="115">
        <v>1</v>
      </c>
      <c r="AE6" s="35"/>
    </row>
    <row r="7" spans="3:31"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15">
        <v>8482737</v>
      </c>
      <c r="Z7" s="115">
        <v>23585644</v>
      </c>
      <c r="AA7" s="115">
        <f>Table4[[#This Row],[E]]/Table4[[#This Row],[V]]</f>
        <v>2.7804285338564663</v>
      </c>
      <c r="AB7" s="115">
        <v>8421430</v>
      </c>
      <c r="AC7" s="115">
        <v>1</v>
      </c>
      <c r="AE7" s="35"/>
    </row>
    <row r="8" spans="3:31"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15">
        <v>4063587</v>
      </c>
      <c r="Z8" s="115">
        <v>17652554</v>
      </c>
      <c r="AA8" s="115">
        <f>Table4[[#This Row],[E]]/Table4[[#This Row],[V]]</f>
        <v>4.344081718934528</v>
      </c>
      <c r="AB8" s="115">
        <v>4059644</v>
      </c>
      <c r="AC8" s="115">
        <v>1</v>
      </c>
      <c r="AE8" s="35"/>
    </row>
    <row r="9" spans="3:31"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15">
        <v>7570051</v>
      </c>
      <c r="Z9" s="115">
        <v>43881980</v>
      </c>
      <c r="AA9" s="115">
        <f>Table4[[#This Row],[E]]/Table4[[#This Row],[V]]</f>
        <v>5.7967878948239582</v>
      </c>
      <c r="AB9" s="115">
        <v>5669991</v>
      </c>
      <c r="AC9" s="115">
        <v>1</v>
      </c>
      <c r="AE9" s="35"/>
    </row>
    <row r="10" spans="3:31"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15">
        <v>5005932</v>
      </c>
      <c r="Z10" s="115">
        <v>33083838</v>
      </c>
      <c r="AA10" s="115">
        <f>Table4[[#This Row],[E]]/Table4[[#This Row],[V]]</f>
        <v>6.6089267692809255</v>
      </c>
      <c r="AB10" s="115">
        <v>1208022</v>
      </c>
      <c r="AC10" s="115">
        <v>1</v>
      </c>
      <c r="AE10" s="35"/>
    </row>
    <row r="11" spans="3:31"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15">
        <v>3496954</v>
      </c>
      <c r="Z11" s="115">
        <v>27305086</v>
      </c>
      <c r="AA11" s="115">
        <f>Table4[[#This Row],[E]]/Table4[[#This Row],[V]]</f>
        <v>7.808248550023821</v>
      </c>
      <c r="AB11" s="115">
        <v>2187803</v>
      </c>
      <c r="AC11" s="115">
        <v>1</v>
      </c>
      <c r="AE11" s="35"/>
    </row>
    <row r="12" spans="3:31"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15">
        <v>3411795</v>
      </c>
      <c r="Z12" s="115">
        <v>26854686</v>
      </c>
      <c r="AA12" s="115">
        <f>Table4[[#This Row],[E]]/Table4[[#This Row],[V]]</f>
        <v>7.8711311787490166</v>
      </c>
      <c r="AB12" s="115">
        <v>2487058</v>
      </c>
      <c r="AC12" s="115">
        <v>1</v>
      </c>
      <c r="AE12" s="35"/>
    </row>
    <row r="13" spans="3:31"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15">
        <v>33777768</v>
      </c>
      <c r="Z13" s="115">
        <v>274478882</v>
      </c>
      <c r="AA13" s="115">
        <f>Table4[[#This Row],[E]]/Table4[[#This Row],[V]]</f>
        <v>8.1260218851642296</v>
      </c>
      <c r="AB13" s="115">
        <v>1057783</v>
      </c>
      <c r="AC13" s="115">
        <v>1</v>
      </c>
      <c r="AE13" s="35"/>
    </row>
    <row r="14" spans="3:31"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15">
        <v>5812931</v>
      </c>
      <c r="Z14" s="115">
        <v>54238524</v>
      </c>
      <c r="AA14" s="115">
        <f>Table4[[#This Row],[E]]/Table4[[#This Row],[V]]</f>
        <v>9.3306670937604448</v>
      </c>
      <c r="AB14" s="115">
        <v>3504033</v>
      </c>
      <c r="AC14" s="115">
        <v>1</v>
      </c>
      <c r="AE14" s="35"/>
    </row>
    <row r="15" spans="3:31"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15">
        <v>27665730</v>
      </c>
      <c r="Z15" s="115">
        <v>281227494</v>
      </c>
      <c r="AA15" s="115">
        <f>Table4[[#This Row],[E]]/Table4[[#This Row],[V]]</f>
        <v>10.165193327629526</v>
      </c>
      <c r="AB15" s="115">
        <v>11571953</v>
      </c>
      <c r="AC15" s="115">
        <v>1</v>
      </c>
      <c r="AE15" s="35"/>
    </row>
    <row r="16" spans="3:31"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15">
        <v>5867547</v>
      </c>
      <c r="Z16" s="115">
        <v>61171040</v>
      </c>
      <c r="AA16" s="115">
        <f>Table4[[#This Row],[E]]/Table4[[#This Row],[V]]</f>
        <v>10.425317428220003</v>
      </c>
      <c r="AB16" s="115">
        <v>959344</v>
      </c>
      <c r="AC16" s="115">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15">
        <v>5267977</v>
      </c>
      <c r="Z17" s="115">
        <v>55363430</v>
      </c>
      <c r="AA17" s="115">
        <f>Table4[[#This Row],[E]]/Table4[[#This Row],[V]]</f>
        <v>10.509428951569074</v>
      </c>
      <c r="AB17" s="115">
        <v>590528</v>
      </c>
      <c r="AC17" s="115">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15">
        <v>3790750</v>
      </c>
      <c r="Z18" s="115">
        <v>44273578</v>
      </c>
      <c r="AA18" s="115">
        <f>Table4[[#This Row],[E]]/Table4[[#This Row],[V]]</f>
        <v>11.679371628305745</v>
      </c>
      <c r="AB18" s="115">
        <v>866662</v>
      </c>
      <c r="AC18" s="115">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15">
        <v>8833229</v>
      </c>
      <c r="Z19" s="115">
        <v>105882456</v>
      </c>
      <c r="AA19" s="115">
        <f>Table4[[#This Row],[E]]/Table4[[#This Row],[V]]</f>
        <v>11.986834712425093</v>
      </c>
      <c r="AB19" s="115">
        <v>2126384</v>
      </c>
      <c r="AC19" s="115">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15">
        <v>1696415</v>
      </c>
      <c r="Z20" s="115">
        <v>22190596</v>
      </c>
      <c r="AA20" s="115">
        <f>Table4[[#This Row],[E]]/Table4[[#This Row],[V]]</f>
        <v>13.080877025963575</v>
      </c>
      <c r="AB20" s="115">
        <v>35455</v>
      </c>
      <c r="AC20" s="115">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15">
        <v>4799646</v>
      </c>
      <c r="Z21" s="115">
        <v>63844012</v>
      </c>
      <c r="AA21" s="115">
        <f>Table4[[#This Row],[E]]/Table4[[#This Row],[V]]</f>
        <v>13.301816842325454</v>
      </c>
      <c r="AB21" s="115">
        <v>1076572</v>
      </c>
      <c r="AC21" s="115">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15">
        <v>18268991</v>
      </c>
      <c r="Z22" s="115">
        <v>253780418</v>
      </c>
      <c r="AA22" s="115">
        <f>Table4[[#This Row],[E]]/Table4[[#This Row],[V]]</f>
        <v>13.891320982094742</v>
      </c>
      <c r="AB22" s="115">
        <v>612308</v>
      </c>
      <c r="AC22" s="115">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15">
        <v>2981204</v>
      </c>
      <c r="Z23" s="115">
        <v>42832752</v>
      </c>
      <c r="AA23" s="115">
        <f>Table4[[#This Row],[E]]/Table4[[#This Row],[V]]</f>
        <v>14.367601814568879</v>
      </c>
      <c r="AB23" s="115">
        <v>385104</v>
      </c>
      <c r="AC23" s="115">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15">
        <v>2140198</v>
      </c>
      <c r="Z24" s="115">
        <v>34029892</v>
      </c>
      <c r="AA24" s="115">
        <f>Table4[[#This Row],[E]]/Table4[[#This Row],[V]]</f>
        <v>15.900347537938078</v>
      </c>
      <c r="AB24" s="115">
        <v>97848</v>
      </c>
      <c r="AC24" s="115">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15">
        <v>7825669</v>
      </c>
      <c r="Z25" s="115">
        <v>124492028</v>
      </c>
      <c r="AA25" s="115">
        <f>Table4[[#This Row],[E]]/Table4[[#This Row],[V]]</f>
        <v>15.90816427323977</v>
      </c>
      <c r="AB25" s="115">
        <v>204282</v>
      </c>
      <c r="AC25" s="115">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15">
        <v>2646291</v>
      </c>
      <c r="Z26" s="115">
        <v>42433496</v>
      </c>
      <c r="AA26" s="115">
        <f>Table4[[#This Row],[E]]/Table4[[#This Row],[V]]</f>
        <v>16.035083065316702</v>
      </c>
      <c r="AB26" s="115">
        <v>850681</v>
      </c>
      <c r="AC26" s="115">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15">
        <v>7891015</v>
      </c>
      <c r="Z27" s="115">
        <v>127830770</v>
      </c>
      <c r="AA27" s="115">
        <f>Table4[[#This Row],[E]]/Table4[[#This Row],[V]]</f>
        <v>16.199534533897097</v>
      </c>
      <c r="AB27" s="115">
        <v>3636005</v>
      </c>
      <c r="AC27" s="115">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15">
        <v>4033138</v>
      </c>
      <c r="Z28" s="115">
        <v>55866126</v>
      </c>
      <c r="AA28" s="115">
        <f>Table4[[#This Row],[E]]/Table4[[#This Row],[V]]</f>
        <v>13.851776457934244</v>
      </c>
      <c r="AB28" s="115">
        <v>2651</v>
      </c>
      <c r="AC28" s="115">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15">
        <v>2937612</v>
      </c>
      <c r="Z29" s="115">
        <v>41919708</v>
      </c>
      <c r="AA29" s="115">
        <f>Table4[[#This Row],[E]]/Table4[[#This Row],[V]]</f>
        <v>14.269994812112696</v>
      </c>
      <c r="AB29" s="115">
        <v>4356</v>
      </c>
      <c r="AC29" s="115">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46"/>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46"/>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46"/>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SM2</vt:lpstr>
      <vt:lpstr>MC</vt:lpstr>
      <vt:lpstr>MQC</vt:lpstr>
      <vt:lpstr>SM</vt:lpstr>
      <vt:lpstr>AIMD-ampere</vt:lpstr>
      <vt:lpstr>mce-gpu</vt:lpstr>
      <vt:lpstr>MC - para</vt:lpstr>
      <vt:lpstr>QC</vt:lpstr>
      <vt:lpstr>SM-datasets</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2026-07-18T04:58:06Z</dcterms:modified>
</cp:coreProperties>
</file>