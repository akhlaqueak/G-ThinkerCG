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443DF4EB-1137-F347-BB2B-3C683DEC81E9}" xr6:coauthVersionLast="47" xr6:coauthVersionMax="47" xr10:uidLastSave="{00000000-0000-0000-0000-000000000000}"/>
  <bookViews>
    <workbookView xWindow="0" yWindow="760" windowWidth="30240" windowHeight="18880" activeTab="2" xr2:uid="{93E1CCD5-64A0-5F4C-A5F1-EE4B217F183B}"/>
  </bookViews>
  <sheets>
    <sheet name="MC" sheetId="28" r:id="rId1"/>
    <sheet name="SM2" sheetId="32" r:id="rId2"/>
    <sheet name="MQC" sheetId="27" r:id="rId3"/>
    <sheet name="MC - para" sheetId="29" r:id="rId4"/>
    <sheet name="SM-para" sheetId="30" r:id="rId5"/>
    <sheet name="AIMD-ampere" sheetId="11" r:id="rId6"/>
    <sheet name="mce-gpu" sheetId="9" r:id="rId7"/>
    <sheet name="QC" sheetId="31" r:id="rId8"/>
    <sheet name="Tables for paper" sheetId="33" r:id="rId9"/>
    <sheet name="Sheet4" sheetId="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 i="32" l="1"/>
  <c r="O7" i="32"/>
  <c r="O8" i="32"/>
  <c r="O9" i="32"/>
  <c r="O10" i="32"/>
  <c r="O11" i="32"/>
  <c r="O12" i="32"/>
  <c r="O13" i="32"/>
  <c r="O14" i="32"/>
  <c r="O15" i="32"/>
  <c r="O16" i="32"/>
  <c r="O17" i="32"/>
  <c r="O18" i="32"/>
  <c r="O19" i="32"/>
  <c r="O20" i="32"/>
  <c r="O21" i="32"/>
  <c r="O22" i="32"/>
  <c r="O23" i="32"/>
  <c r="O24" i="32"/>
  <c r="O25" i="32"/>
  <c r="Q7" i="27"/>
  <c r="Q6" i="27"/>
  <c r="Q8" i="27"/>
  <c r="Q9" i="27"/>
  <c r="Q10" i="27"/>
  <c r="Q11" i="27"/>
  <c r="Q12" i="27"/>
  <c r="Q13" i="27"/>
  <c r="Q14" i="27"/>
  <c r="Q15" i="27"/>
  <c r="Q16" i="27"/>
  <c r="P6" i="27"/>
  <c r="P7" i="27"/>
  <c r="P8" i="27"/>
  <c r="P9" i="27"/>
  <c r="P10" i="27"/>
  <c r="P11" i="27"/>
  <c r="P12" i="27"/>
  <c r="P13" i="27"/>
  <c r="P14" i="27"/>
  <c r="P15" i="27"/>
  <c r="P16" i="27"/>
  <c r="R6" i="27"/>
  <c r="R7" i="27"/>
  <c r="R8" i="27"/>
  <c r="R9" i="27"/>
  <c r="R10" i="27"/>
  <c r="R11" i="27"/>
  <c r="R12" i="27"/>
  <c r="R13" i="27"/>
  <c r="R14" i="27"/>
  <c r="R15" i="27"/>
  <c r="R16" i="27"/>
  <c r="N7" i="32"/>
  <c r="N8" i="32"/>
  <c r="N9" i="32"/>
  <c r="N10" i="32"/>
  <c r="N11" i="32"/>
  <c r="N12" i="32"/>
  <c r="N13" i="32"/>
  <c r="N14" i="32"/>
  <c r="N15" i="32"/>
  <c r="N16" i="32"/>
  <c r="N17" i="32"/>
  <c r="N18" i="32"/>
  <c r="N19" i="32"/>
  <c r="N20" i="32"/>
  <c r="N21" i="32"/>
  <c r="N22" i="32"/>
  <c r="N23" i="32"/>
  <c r="N24" i="32"/>
  <c r="N25" i="32"/>
  <c r="N6" i="32"/>
  <c r="M7" i="32"/>
  <c r="M8" i="32"/>
  <c r="M9" i="32"/>
  <c r="M10" i="32"/>
  <c r="M11" i="32"/>
  <c r="M12" i="32"/>
  <c r="M13" i="32"/>
  <c r="M14" i="32"/>
  <c r="M15" i="32"/>
  <c r="M16" i="32"/>
  <c r="M17" i="32"/>
  <c r="M18" i="32"/>
  <c r="M19" i="32"/>
  <c r="M20" i="32"/>
  <c r="M21" i="32"/>
  <c r="M22" i="32"/>
  <c r="M23" i="32"/>
  <c r="M24" i="32"/>
  <c r="M25" i="32"/>
  <c r="M6" i="32"/>
  <c r="AA6" i="28"/>
  <c r="AA7" i="28"/>
  <c r="AA8" i="28"/>
  <c r="AA9" i="28"/>
  <c r="AA10" i="28"/>
  <c r="AA11" i="28"/>
  <c r="AA12" i="28"/>
  <c r="AA13" i="28"/>
  <c r="AA14" i="28"/>
  <c r="AA15" i="28"/>
  <c r="AA16" i="28"/>
  <c r="AA17" i="28"/>
  <c r="AA18" i="28"/>
  <c r="AA19" i="28"/>
  <c r="AA20" i="28"/>
  <c r="AA21" i="28"/>
  <c r="AA22" i="28"/>
  <c r="AA23" i="28"/>
  <c r="AA24" i="28"/>
  <c r="AA25" i="28"/>
  <c r="AA26" i="28"/>
  <c r="AA27" i="28"/>
  <c r="AA28" i="28"/>
  <c r="AA29" i="28"/>
  <c r="AA30" i="28"/>
  <c r="AA31" i="28"/>
  <c r="AA32" i="28"/>
  <c r="AA33" i="28"/>
  <c r="AA34" i="28"/>
  <c r="AA35" i="28"/>
  <c r="AA36" i="28"/>
  <c r="AA37" i="28"/>
  <c r="AA38" i="28"/>
  <c r="AA39" i="28"/>
  <c r="AA40" i="28"/>
  <c r="AA41" i="28"/>
  <c r="AA42" i="28"/>
  <c r="AA43" i="28"/>
  <c r="AA44" i="28"/>
  <c r="AA45" i="28"/>
  <c r="AA46" i="28"/>
  <c r="AA47" i="28"/>
  <c r="AA48" i="28"/>
  <c r="AA49" i="28"/>
  <c r="AA50" i="28"/>
  <c r="AA51" i="28"/>
  <c r="AA52" i="28"/>
  <c r="AA53" i="28"/>
  <c r="AA54" i="28"/>
  <c r="AA55" i="28"/>
  <c r="Y6" i="28"/>
  <c r="Y7" i="28"/>
  <c r="Y8" i="28"/>
  <c r="Y9" i="28"/>
  <c r="Y10" i="28"/>
  <c r="Y11" i="28"/>
  <c r="Y12" i="28"/>
  <c r="Y13" i="28"/>
  <c r="Y14" i="28"/>
  <c r="Y15" i="28"/>
  <c r="Y16" i="28"/>
  <c r="Y17" i="28"/>
  <c r="Y18" i="28"/>
  <c r="Y19" i="28"/>
  <c r="Y20" i="28"/>
  <c r="Y21" i="28"/>
  <c r="Y22" i="28"/>
  <c r="Y23" i="28"/>
  <c r="Y24" i="28"/>
  <c r="Y25" i="28"/>
  <c r="Y26" i="28"/>
  <c r="Y27" i="28"/>
  <c r="Y28" i="28"/>
  <c r="Y29" i="28"/>
  <c r="Y30" i="28"/>
  <c r="Y31" i="28"/>
  <c r="Y32" i="28"/>
  <c r="Y33" i="28"/>
  <c r="Y34" i="28"/>
  <c r="Y35" i="28"/>
  <c r="Y36" i="28"/>
  <c r="Y37" i="28"/>
  <c r="Y38" i="28"/>
  <c r="Y39" i="28"/>
  <c r="Y40" i="28"/>
  <c r="Y41" i="28"/>
  <c r="Y42" i="28"/>
  <c r="Y43" i="28"/>
  <c r="Y44" i="28"/>
  <c r="Y45" i="28"/>
  <c r="Y46" i="28"/>
  <c r="Y47" i="28"/>
  <c r="Y48" i="28"/>
  <c r="Y49" i="28"/>
  <c r="Y50" i="28"/>
  <c r="Y51" i="28"/>
  <c r="Y52" i="28"/>
  <c r="Y53" i="28"/>
  <c r="Y54" i="28"/>
  <c r="Y55" i="28"/>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6" i="29"/>
  <c r="J62" i="33"/>
  <c r="J61" i="33"/>
  <c r="J60" i="33"/>
  <c r="I60" i="33"/>
  <c r="J59" i="33"/>
  <c r="I59" i="33"/>
  <c r="J58" i="33"/>
  <c r="I58" i="33"/>
  <c r="J57" i="33"/>
  <c r="I57" i="33"/>
  <c r="J56" i="33"/>
  <c r="I56" i="33"/>
  <c r="J55" i="33"/>
  <c r="I55" i="33"/>
  <c r="J54" i="33"/>
  <c r="I54" i="33"/>
  <c r="J53" i="33"/>
  <c r="I53" i="33"/>
  <c r="J52" i="33"/>
  <c r="I52" i="33"/>
  <c r="Q28" i="33"/>
  <c r="Q30" i="33"/>
  <c r="Q31" i="33"/>
  <c r="Q32" i="33"/>
  <c r="Q33" i="33"/>
  <c r="Q34" i="33"/>
  <c r="Q35" i="33"/>
  <c r="Q36" i="33"/>
  <c r="Q37" i="33"/>
  <c r="Q38" i="33"/>
  <c r="Q39" i="33"/>
  <c r="Q40" i="33"/>
  <c r="Q41" i="33"/>
  <c r="Q42" i="33"/>
  <c r="Q43" i="33"/>
  <c r="Q44" i="33"/>
  <c r="Q45" i="33"/>
  <c r="Q46" i="33"/>
  <c r="Q47" i="33"/>
  <c r="Q29" i="33"/>
  <c r="P29" i="33"/>
  <c r="P30" i="33"/>
  <c r="P31" i="33"/>
  <c r="P32" i="33"/>
  <c r="P33" i="33"/>
  <c r="P34" i="33"/>
  <c r="P35" i="33"/>
  <c r="P36" i="33"/>
  <c r="P37" i="33"/>
  <c r="P38" i="33"/>
  <c r="P39" i="33"/>
  <c r="P40" i="33"/>
  <c r="P41" i="33"/>
  <c r="P42" i="33"/>
  <c r="P43" i="33"/>
  <c r="P44" i="33"/>
  <c r="P45" i="33"/>
  <c r="P46" i="33"/>
  <c r="P47" i="33"/>
  <c r="P28" i="33"/>
  <c r="O29" i="33"/>
  <c r="O30" i="33"/>
  <c r="O31" i="33"/>
  <c r="O32" i="33"/>
  <c r="O33" i="33"/>
  <c r="O34" i="33"/>
  <c r="O35" i="33"/>
  <c r="O36" i="33"/>
  <c r="O37" i="33"/>
  <c r="O38" i="33"/>
  <c r="O39" i="33"/>
  <c r="O40" i="33"/>
  <c r="O41" i="33"/>
  <c r="O42" i="33"/>
  <c r="O43" i="33"/>
  <c r="O44" i="33"/>
  <c r="O45" i="33"/>
  <c r="O46" i="33"/>
  <c r="O47" i="33"/>
  <c r="O28" i="33"/>
  <c r="I62" i="33"/>
  <c r="I61" i="33"/>
  <c r="L53" i="33"/>
  <c r="M53" i="33"/>
  <c r="L54" i="33"/>
  <c r="M54" i="33"/>
  <c r="L55" i="33"/>
  <c r="M55" i="33"/>
  <c r="L56" i="33"/>
  <c r="M56" i="33"/>
  <c r="L57" i="33"/>
  <c r="M57" i="33"/>
  <c r="L58" i="33"/>
  <c r="M58" i="33"/>
  <c r="L59" i="33"/>
  <c r="M59" i="33"/>
  <c r="L60" i="33"/>
  <c r="M60" i="33"/>
  <c r="L61" i="33"/>
  <c r="M61" i="33"/>
  <c r="L62" i="33"/>
  <c r="M62" i="33"/>
  <c r="M52" i="33"/>
  <c r="L52" i="33"/>
  <c r="S53" i="33"/>
  <c r="T53" i="33"/>
  <c r="U53" i="33"/>
  <c r="S54" i="33"/>
  <c r="T54" i="33"/>
  <c r="U54" i="33"/>
  <c r="S55" i="33"/>
  <c r="T55" i="33"/>
  <c r="U55" i="33"/>
  <c r="S56" i="33"/>
  <c r="T56" i="33"/>
  <c r="U56" i="33"/>
  <c r="S57" i="33"/>
  <c r="T57" i="33"/>
  <c r="U57" i="33"/>
  <c r="S58" i="33"/>
  <c r="T58" i="33"/>
  <c r="U58" i="33"/>
  <c r="S59" i="33"/>
  <c r="T59" i="33"/>
  <c r="U59" i="33"/>
  <c r="S60" i="33"/>
  <c r="T60" i="33"/>
  <c r="U60" i="33"/>
  <c r="S61" i="33"/>
  <c r="T61" i="33"/>
  <c r="U61" i="33"/>
  <c r="S62" i="33"/>
  <c r="T62" i="33"/>
  <c r="U62" i="33"/>
  <c r="U52" i="33"/>
  <c r="T52" i="33"/>
  <c r="S52" i="33"/>
  <c r="H53" i="33"/>
  <c r="H54" i="33"/>
  <c r="H55" i="33"/>
  <c r="H56" i="33"/>
  <c r="H57" i="33"/>
  <c r="H58" i="33"/>
  <c r="H59" i="33"/>
  <c r="H60" i="33"/>
  <c r="H61" i="33"/>
  <c r="H62" i="33"/>
  <c r="H52" i="33"/>
  <c r="Q5" i="33"/>
  <c r="Q6" i="33"/>
  <c r="Q7" i="33"/>
  <c r="Q8" i="33"/>
  <c r="Q9" i="33"/>
  <c r="Q10" i="33"/>
  <c r="Q11" i="33"/>
  <c r="Q12" i="33"/>
  <c r="Q13" i="33"/>
  <c r="Q14" i="33"/>
  <c r="Q15" i="33"/>
  <c r="Q16" i="33"/>
  <c r="Q17" i="33"/>
  <c r="Q18" i="33"/>
  <c r="Q19" i="33"/>
  <c r="Q20" i="33"/>
  <c r="Q21" i="33"/>
  <c r="Q22" i="33"/>
  <c r="Q23" i="33"/>
  <c r="Q4" i="33"/>
  <c r="S5" i="33"/>
  <c r="S6" i="33"/>
  <c r="S7" i="33"/>
  <c r="S8" i="33"/>
  <c r="S9" i="33"/>
  <c r="S10" i="33"/>
  <c r="S11" i="33"/>
  <c r="S12" i="33"/>
  <c r="S13" i="33"/>
  <c r="S14" i="33"/>
  <c r="S15" i="33"/>
  <c r="S16" i="33"/>
  <c r="S17" i="33"/>
  <c r="S18" i="33"/>
  <c r="S19" i="33"/>
  <c r="S20" i="33"/>
  <c r="S21" i="33"/>
  <c r="S22" i="33"/>
  <c r="S23" i="33"/>
  <c r="S4" i="33"/>
  <c r="R5" i="33"/>
  <c r="R6" i="33"/>
  <c r="R7" i="33"/>
  <c r="R8" i="33"/>
  <c r="R9" i="33"/>
  <c r="R10" i="33"/>
  <c r="R11" i="33"/>
  <c r="R12" i="33"/>
  <c r="R13" i="33"/>
  <c r="R14" i="33"/>
  <c r="R15" i="33"/>
  <c r="R16" i="33"/>
  <c r="R17" i="33"/>
  <c r="R18" i="33"/>
  <c r="R19" i="33"/>
  <c r="R20" i="33"/>
  <c r="R21" i="33"/>
  <c r="R22" i="33"/>
  <c r="R23" i="33"/>
  <c r="R4" i="33"/>
  <c r="K5" i="33"/>
  <c r="K6" i="33"/>
  <c r="K7" i="33"/>
  <c r="K8" i="33"/>
  <c r="K9" i="33"/>
  <c r="K10" i="33"/>
  <c r="K11" i="33"/>
  <c r="K12" i="33"/>
  <c r="K13" i="33"/>
  <c r="K14" i="33"/>
  <c r="K15" i="33"/>
  <c r="K16" i="33"/>
  <c r="K17" i="33"/>
  <c r="K18" i="33"/>
  <c r="K19" i="33"/>
  <c r="K20" i="33"/>
  <c r="K21" i="33"/>
  <c r="K22" i="33"/>
  <c r="K23" i="33"/>
  <c r="K4" i="33"/>
  <c r="J4" i="33"/>
  <c r="J5" i="33"/>
  <c r="J6" i="33"/>
  <c r="J7" i="33"/>
  <c r="J8" i="33"/>
  <c r="J9" i="33"/>
  <c r="J10" i="33"/>
  <c r="J11" i="33"/>
  <c r="J12" i="33"/>
  <c r="J13" i="33"/>
  <c r="J14" i="33"/>
  <c r="J15" i="33"/>
  <c r="J16" i="33"/>
  <c r="J17" i="33"/>
  <c r="J18" i="33"/>
  <c r="J19" i="33"/>
  <c r="J20" i="33"/>
  <c r="J21" i="33"/>
  <c r="J22" i="33"/>
  <c r="J23" i="33"/>
  <c r="I5" i="33"/>
  <c r="I6" i="33"/>
  <c r="I7" i="33"/>
  <c r="I8" i="33"/>
  <c r="I9" i="33"/>
  <c r="I10" i="33"/>
  <c r="I11" i="33"/>
  <c r="I12" i="33"/>
  <c r="I13" i="33"/>
  <c r="I14" i="33"/>
  <c r="I15" i="33"/>
  <c r="I16" i="33"/>
  <c r="I17" i="33"/>
  <c r="I18" i="33"/>
  <c r="I19" i="33"/>
  <c r="I20" i="33"/>
  <c r="I21" i="33"/>
  <c r="I22" i="33"/>
  <c r="I23" i="33"/>
  <c r="I4" i="33"/>
  <c r="W14" i="28"/>
  <c r="W19" i="28"/>
  <c r="W18" i="28"/>
  <c r="W7" i="28"/>
  <c r="W15" i="28"/>
  <c r="W8" i="28"/>
  <c r="W20" i="28"/>
  <c r="W17" i="28"/>
  <c r="W12" i="28"/>
  <c r="W11" i="28"/>
  <c r="W24" i="28"/>
  <c r="W22" i="28"/>
  <c r="W10" i="28"/>
  <c r="W13" i="28"/>
  <c r="W21" i="28"/>
  <c r="W6" i="28"/>
  <c r="W16" i="28"/>
  <c r="W9" i="28"/>
  <c r="W25" i="28"/>
  <c r="W23" i="28"/>
  <c r="W26" i="28"/>
  <c r="W27" i="28"/>
  <c r="W28" i="28"/>
  <c r="W29" i="28"/>
  <c r="W30" i="28"/>
  <c r="W31" i="28"/>
  <c r="W32" i="28"/>
  <c r="W33" i="28"/>
  <c r="W34" i="28"/>
  <c r="W35" i="28"/>
  <c r="W36" i="28"/>
  <c r="W37" i="28"/>
  <c r="W38" i="28"/>
  <c r="W39" i="28"/>
  <c r="W40" i="28"/>
  <c r="W41" i="28"/>
  <c r="W42" i="28"/>
  <c r="W43" i="28"/>
  <c r="W44" i="28"/>
  <c r="W45" i="28"/>
  <c r="W46" i="28"/>
  <c r="W47" i="28"/>
  <c r="W48" i="28"/>
  <c r="W49" i="28"/>
  <c r="W50" i="28"/>
  <c r="W51" i="28"/>
  <c r="W52" i="28"/>
  <c r="W53" i="28"/>
  <c r="W54" i="28"/>
  <c r="W55" i="28"/>
  <c r="Z30" i="28"/>
  <c r="Z9" i="28"/>
  <c r="Z40" i="28"/>
  <c r="Z10" i="28"/>
  <c r="Z31" i="28"/>
  <c r="Z19" i="28"/>
  <c r="Z16" i="28"/>
  <c r="Z34" i="28"/>
  <c r="Z48" i="28"/>
  <c r="Z14" i="28"/>
  <c r="Z26" i="28"/>
  <c r="Z8" i="28"/>
  <c r="Z11" i="28"/>
  <c r="Z13" i="28"/>
  <c r="Z21" i="28"/>
  <c r="Z7" i="28"/>
  <c r="Z17" i="28"/>
  <c r="Z15" i="28"/>
  <c r="Z20" i="28"/>
  <c r="Z12" i="28"/>
  <c r="Z24" i="28"/>
  <c r="Z27" i="28"/>
  <c r="Z18" i="28"/>
  <c r="Z22" i="28"/>
  <c r="Z28" i="28"/>
  <c r="Z35" i="28"/>
  <c r="Z29" i="28"/>
  <c r="Z6" i="28"/>
  <c r="Z36" i="28"/>
  <c r="Z32" i="28"/>
  <c r="Z38" i="28"/>
  <c r="Z37" i="28"/>
  <c r="Z25" i="28"/>
  <c r="Z44" i="28"/>
  <c r="Z42" i="28"/>
  <c r="Z53" i="28"/>
  <c r="Z23" i="28"/>
  <c r="Z41" i="28"/>
  <c r="Z39" i="28"/>
  <c r="Z54" i="28"/>
  <c r="Z46" i="28"/>
  <c r="Z51" i="28"/>
  <c r="Z52" i="28"/>
  <c r="Z47" i="28"/>
  <c r="Z43" i="28"/>
  <c r="Z33" i="28"/>
  <c r="Z45" i="28"/>
  <c r="Z55" i="28"/>
  <c r="Z49" i="28"/>
  <c r="Z50" i="28"/>
  <c r="X55" i="28"/>
  <c r="X33" i="28"/>
  <c r="X54" i="28"/>
  <c r="X53" i="28"/>
  <c r="X50" i="28"/>
  <c r="X52" i="28"/>
  <c r="X27" i="28"/>
  <c r="X25" i="28"/>
  <c r="X51" i="28"/>
  <c r="X6" i="28"/>
  <c r="X49" i="28"/>
  <c r="X30" i="28"/>
  <c r="X23" i="28"/>
  <c r="X12" i="28"/>
  <c r="X48" i="28"/>
  <c r="X15" i="28"/>
  <c r="X17" i="28"/>
  <c r="X45" i="28"/>
  <c r="X16" i="28"/>
  <c r="X21" i="28"/>
  <c r="X29" i="28"/>
  <c r="X47" i="28"/>
  <c r="X44" i="28"/>
  <c r="X43" i="28"/>
  <c r="X46" i="28"/>
  <c r="X41" i="28"/>
  <c r="X26" i="28"/>
  <c r="X13" i="28"/>
  <c r="X20" i="28"/>
  <c r="X40" i="28"/>
  <c r="X42" i="28"/>
  <c r="X32" i="28"/>
  <c r="X9" i="28"/>
  <c r="X38" i="28"/>
  <c r="X31" i="28"/>
  <c r="X10" i="28"/>
  <c r="X28" i="28"/>
  <c r="X39" i="28"/>
  <c r="X11" i="28"/>
  <c r="X18" i="28"/>
  <c r="X22" i="28"/>
  <c r="X24" i="28"/>
  <c r="X35" i="28"/>
  <c r="X7" i="28"/>
  <c r="X14" i="28"/>
  <c r="X19" i="28"/>
  <c r="X37" i="28"/>
  <c r="X34" i="28"/>
  <c r="X8" i="28"/>
  <c r="X36" i="28"/>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4" i="28"/>
  <c r="H9" i="28"/>
  <c r="H10" i="28"/>
  <c r="H7" i="28"/>
  <c r="H30" i="28"/>
  <c r="H40" i="28"/>
  <c r="H31" i="28"/>
  <c r="H13" i="28"/>
  <c r="H35" i="28"/>
  <c r="H16" i="28"/>
  <c r="H48" i="28"/>
  <c r="H8" i="28"/>
  <c r="H29" i="28"/>
  <c r="H28" i="28"/>
  <c r="H41" i="28"/>
  <c r="H45" i="28"/>
  <c r="H42" i="28"/>
  <c r="H11" i="28"/>
  <c r="H21" i="28"/>
  <c r="H22" i="28"/>
  <c r="H37" i="28"/>
  <c r="H44" i="28"/>
  <c r="H12" i="28"/>
  <c r="H32" i="28"/>
  <c r="H39" i="28"/>
  <c r="H46" i="28"/>
  <c r="H15" i="28"/>
  <c r="H18" i="28"/>
  <c r="H51" i="28"/>
  <c r="H19" i="28"/>
  <c r="H36" i="28"/>
  <c r="H53" i="28"/>
  <c r="H24" i="28"/>
  <c r="H17" i="28"/>
  <c r="H6" i="28"/>
  <c r="H38" i="28"/>
  <c r="H14" i="28"/>
  <c r="H25" i="28"/>
  <c r="H47" i="28"/>
  <c r="H26" i="28"/>
  <c r="H23" i="28"/>
  <c r="H54" i="28"/>
  <c r="H43" i="28"/>
  <c r="H27" i="28"/>
  <c r="H52" i="28"/>
  <c r="H20" i="28"/>
  <c r="H50" i="28"/>
  <c r="H55" i="28"/>
  <c r="H33" i="28"/>
  <c r="H49"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<sst xmlns="http://schemas.openxmlformats.org/spreadsheetml/2006/main" count="6608" uniqueCount="4087">
  <si>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</si>
  <si>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</si>
  <si>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</si>
  <si>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</si>
  <si>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</si>
  <si>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</si>
  <si>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</si>
  <si>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</si>
  <si>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</si>
  <si>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</si>
  <si>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</si>
  <si>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</si>
  <si>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</si>
  <si>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</si>
  <si>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</si>
  <si>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</si>
  <si>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</si>
  <si>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</si>
  <si>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</si>
  <si>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</si>
  <si>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</si>
  <si>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</si>
  <si>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</si>
  <si>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</si>
  <si>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</si>
  <si>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</si>
  <si>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</si>
  <si>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</si>
  <si>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</si>
  <si>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</si>
  <si>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</si>
  <si>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</si>
  <si>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</si>
  <si>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</si>
  <si>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</si>
  <si>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</si>
  <si>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</si>
  <si>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</si>
  <si>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</si>
  <si>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</si>
  <si>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</si>
  <si>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</si>
  <si>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</si>
  <si>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</si>
  <si>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</si>
  <si>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</si>
  <si>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</si>
  <si>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</si>
  <si>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</si>
  <si>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</si>
  <si>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</si>
  <si>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</si>
  <si>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</si>
  <si>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</si>
  <si>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</si>
  <si>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</si>
  <si>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</si>
  <si>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</si>
  <si>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</si>
  <si>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</si>
  <si>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</si>
  <si>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</si>
  <si>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</si>
  <si>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</si>
  <si>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</si>
  <si>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</si>
  <si>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</si>
  <si>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</si>
  <si>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</si>
  <si>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</si>
  <si>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</si>
  <si>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</si>
  <si>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</si>
  <si>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</si>
  <si>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</si>
  <si>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</si>
  <si>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</si>
  <si>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</si>
  <si>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</si>
  <si>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</si>
  <si>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</si>
  <si>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</si>
  <si>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</si>
  <si>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</si>
  <si>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</si>
  <si>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</si>
  <si>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</si>
  <si>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</si>
  <si>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</si>
  <si>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</si>
  <si>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</si>
  <si>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</si>
  <si>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</si>
  <si>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</si>
  <si>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</si>
  <si>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</si>
  <si>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</si>
  <si>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</si>
  <si>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</si>
  <si>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</si>
  <si>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</si>
  <si>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</si>
  <si>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</si>
  <si>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</si>
  <si>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</si>
  <si>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</si>
  <si>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</si>
  <si>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</si>
  <si>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</si>
  <si>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</si>
  <si>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</si>
  <si>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</si>
  <si>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</si>
  <si>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</si>
  <si>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</si>
  <si>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</si>
  <si>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</si>
  <si>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</si>
  <si>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</si>
  <si>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</si>
  <si>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</si>
  <si>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</si>
  <si>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</si>
  <si>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</si>
  <si>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</si>
  <si>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</si>
  <si>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</si>
  <si>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</si>
  <si>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</si>
  <si>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</si>
  <si>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</si>
  <si>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</si>
  <si>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</si>
  <si>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</si>
  <si>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</si>
  <si>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</si>
  <si>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</si>
  <si>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</si>
  <si>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</si>
  <si>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</si>
  <si>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</si>
  <si>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</si>
  <si>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</si>
  <si>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</si>
  <si>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</si>
  <si>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</si>
  <si>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</si>
  <si>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</si>
  <si>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</si>
  <si>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</si>
  <si>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</si>
  <si>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</si>
  <si>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</si>
  <si>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</si>
  <si>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</si>
  <si>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</si>
  <si>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</si>
  <si>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</si>
  <si>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</si>
  <si>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</si>
  <si>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</si>
  <si>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</si>
  <si>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</si>
  <si>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</si>
  <si>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</si>
  <si>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</si>
  <si>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</si>
  <si>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</si>
  <si>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</si>
  <si>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</si>
  <si>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</si>
  <si>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</si>
  <si>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</si>
  <si>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</si>
  <si>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</si>
  <si>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</si>
  <si>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</si>
  <si>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</si>
  <si>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</si>
  <si>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</si>
  <si>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</si>
  <si>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</si>
  <si>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</si>
  <si>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</si>
  <si>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</si>
  <si>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</si>
  <si>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</si>
  <si>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</si>
  <si>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</si>
  <si>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</si>
  <si>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</si>
  <si>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</si>
  <si>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</si>
  <si>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</si>
  <si>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</si>
  <si>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</si>
  <si>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</si>
  <si>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</si>
  <si>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</si>
  <si>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</si>
  <si>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</si>
  <si>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</si>
  <si>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</si>
  <si>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</si>
  <si>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</si>
  <si>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</si>
  <si>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</si>
  <si>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</si>
  <si>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</si>
  <si>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</si>
  <si>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</si>
  <si>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</si>
  <si>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</si>
  <si>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</si>
  <si>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</si>
  <si>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</si>
  <si>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</si>
  <si>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</si>
  <si>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</si>
  <si>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</si>
  <si>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</si>
  <si>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</si>
  <si>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</si>
  <si>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</si>
  <si>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</si>
  <si>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</si>
  <si>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</si>
  <si>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</si>
  <si>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</si>
  <si>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</si>
  <si>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</si>
  <si>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</si>
  <si>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</si>
  <si>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</si>
  <si>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</si>
  <si>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</si>
  <si>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</si>
  <si>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</si>
  <si>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</si>
  <si>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</si>
  <si>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</si>
  <si>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</si>
  <si>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</si>
  <si>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</si>
  <si>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</si>
  <si>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</si>
  <si>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</si>
  <si>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</si>
  <si>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</si>
  <si>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</si>
  <si>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</si>
  <si>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</si>
  <si>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</si>
  <si>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</si>
  <si>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</si>
  <si>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</si>
  <si>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</si>
  <si>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</si>
  <si>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</si>
  <si>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</si>
  <si>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</si>
  <si>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</si>
  <si>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</si>
  <si>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</si>
  <si>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</si>
  <si>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</si>
  <si>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</si>
  <si>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</si>
  <si>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</si>
  <si>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</si>
  <si>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</si>
  <si>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</si>
  <si>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</si>
  <si>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</si>
  <si>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</si>
  <si>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</si>
  <si>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</si>
  <si>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</si>
  <si>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</si>
  <si>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</si>
  <si>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</si>
  <si>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</si>
  <si>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</si>
  <si>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</si>
  <si>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</si>
  <si>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</si>
  <si>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</si>
  <si>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</si>
  <si>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</si>
  <si>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</si>
  <si>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</si>
  <si>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</si>
  <si>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</si>
  <si>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</si>
  <si>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</si>
  <si>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</si>
  <si>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</si>
  <si>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</si>
  <si>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</si>
  <si>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</si>
  <si>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</si>
  <si>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</si>
  <si>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</si>
  <si>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</si>
  <si>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</si>
  <si>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</si>
  <si>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</si>
  <si>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</si>
  <si>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</si>
  <si>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</si>
  <si>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</si>
  <si>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</si>
  <si>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</si>
  <si>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</si>
  <si>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</si>
  <si>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</si>
  <si>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</si>
  <si>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</si>
  <si>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</si>
  <si>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</si>
  <si>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</si>
  <si>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</si>
  <si>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</si>
  <si>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</si>
  <si>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</si>
  <si>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</si>
  <si>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</si>
  <si>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</si>
  <si>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</si>
  <si>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</si>
  <si>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</si>
  <si>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</si>
  <si>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</si>
  <si>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</si>
  <si>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</si>
  <si>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</si>
  <si>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</si>
  <si>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</si>
  <si>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</si>
  <si>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</si>
  <si>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</si>
  <si>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</si>
  <si>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</si>
  <si>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</si>
  <si>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</si>
  <si>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</si>
  <si>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</si>
  <si>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</si>
  <si>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</si>
  <si>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</si>
  <si>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</si>
  <si>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</si>
  <si>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</si>
  <si>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</si>
  <si>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</si>
  <si>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</si>
  <si>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</si>
  <si>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</si>
  <si>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</si>
  <si>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</si>
  <si>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</si>
  <si>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</si>
  <si>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</si>
  <si>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</si>
  <si>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</si>
  <si>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</si>
  <si>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</si>
  <si>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</si>
  <si>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</si>
  <si>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</si>
  <si>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</si>
  <si>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</si>
  <si>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</si>
  <si>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</si>
  <si>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</si>
  <si>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</si>
  <si>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</si>
  <si>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</si>
  <si>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</si>
  <si>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</si>
  <si>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</si>
  <si>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</si>
  <si>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</si>
  <si>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</si>
  <si>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</si>
  <si>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</si>
  <si>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</si>
  <si>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</si>
  <si>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</si>
  <si>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</si>
  <si>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</si>
  <si>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</si>
  <si>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</si>
  <si>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</si>
  <si>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</si>
  <si>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</si>
  <si>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</si>
  <si>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</si>
  <si>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</si>
  <si>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</si>
  <si>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</si>
  <si>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</si>
  <si>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</si>
  <si>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</si>
  <si>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</si>
  <si>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</si>
  <si>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</si>
  <si>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</si>
  <si>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</si>
  <si>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</si>
  <si>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</si>
  <si>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</si>
  <si>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</si>
  <si>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</si>
  <si>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</si>
  <si>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</si>
  <si>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</si>
  <si>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</si>
  <si>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</si>
  <si>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</si>
  <si>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</si>
  <si>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</si>
  <si>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</si>
  <si>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</si>
  <si>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</si>
  <si>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</si>
  <si>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</si>
  <si>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</si>
  <si>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</si>
  <si>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</si>
  <si>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</si>
  <si>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</si>
  <si>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</si>
  <si>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</si>
  <si>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</si>
  <si>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</si>
  <si>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</si>
  <si>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</si>
  <si>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</si>
  <si>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</si>
  <si>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</si>
  <si>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</si>
  <si>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</si>
  <si>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</si>
  <si>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</si>
  <si>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</si>
  <si>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</si>
  <si>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</si>
  <si>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</si>
  <si>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</si>
  <si>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</si>
  <si>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</si>
  <si>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</si>
  <si>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</si>
  <si>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</si>
  <si>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</si>
  <si>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</si>
  <si>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</si>
  <si>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</si>
  <si>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</si>
  <si>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</si>
  <si>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</si>
  <si>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</si>
  <si>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</si>
  <si>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</si>
  <si>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</si>
  <si>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</si>
  <si>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</si>
  <si>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</si>
  <si>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</si>
  <si>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</si>
  <si>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</si>
  <si>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</si>
  <si>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</si>
  <si>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</si>
  <si>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</si>
  <si>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</si>
  <si>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</si>
  <si>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</si>
  <si>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</si>
  <si>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</si>
  <si>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</si>
  <si>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</si>
  <si>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</si>
  <si>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</si>
  <si>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</si>
  <si>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</si>
  <si>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</si>
  <si>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</si>
  <si>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</si>
  <si>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</si>
  <si>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</si>
  <si>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</si>
  <si>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</si>
  <si>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</si>
  <si>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</si>
  <si>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</si>
  <si>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</si>
  <si>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</si>
  <si>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</si>
  <si>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</si>
  <si>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</si>
  <si>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</si>
  <si>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</si>
  <si>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</si>
  <si>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</si>
  <si>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</si>
  <si>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</si>
  <si>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</si>
  <si>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</si>
  <si>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</si>
  <si>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</si>
  <si>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</si>
  <si>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</si>
  <si>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</si>
  <si>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</si>
  <si>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</si>
  <si>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</si>
  <si>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</si>
  <si>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</si>
  <si>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</si>
  <si>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</si>
  <si>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</si>
  <si>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</si>
  <si>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</si>
  <si>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</si>
  <si>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</si>
  <si>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</si>
  <si>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</si>
  <si>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</si>
  <si>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</si>
  <si>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</si>
  <si>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</si>
  <si>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</si>
  <si>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</si>
  <si>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</si>
  <si>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</si>
  <si>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</si>
  <si>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</si>
  <si>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</si>
  <si>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</si>
  <si>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</si>
  <si>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</si>
  <si>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</si>
  <si>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</si>
  <si>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</si>
  <si>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</si>
  <si>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</si>
  <si>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</si>
  <si>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</si>
  <si>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</si>
  <si>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</si>
  <si>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</si>
  <si>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</si>
  <si>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</si>
  <si>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</si>
  <si>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</si>
  <si>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</si>
  <si>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</si>
  <si>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</si>
  <si>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</si>
  <si>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</si>
  <si>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</si>
  <si>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</si>
  <si>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</si>
  <si>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</si>
  <si>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</si>
  <si>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</si>
  <si>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</si>
  <si>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</si>
  <si>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</si>
  <si>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</si>
  <si>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</si>
  <si>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</si>
  <si>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</si>
  <si>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</si>
  <si>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</si>
  <si>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</si>
  <si>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</si>
  <si>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</si>
  <si>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</si>
  <si>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</si>
  <si>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</si>
  <si>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</si>
  <si>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</si>
  <si>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</si>
  <si>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</si>
  <si>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</si>
  <si>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</si>
  <si>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</si>
  <si>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</si>
  <si>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</si>
  <si>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</si>
  <si>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</si>
  <si>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</si>
  <si>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</si>
  <si>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</si>
  <si>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</si>
  <si>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</si>
  <si>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</si>
  <si>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</si>
  <si>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</si>
  <si>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</si>
  <si>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</si>
  <si>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</si>
  <si>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</si>
  <si>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</si>
  <si>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</si>
  <si>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</si>
  <si>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</si>
  <si>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</si>
  <si>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</si>
  <si>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</si>
  <si>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</si>
  <si>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</si>
  <si>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</si>
  <si>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</si>
  <si>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</si>
  <si>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</si>
  <si>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</si>
  <si>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</si>
  <si>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</si>
  <si>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</si>
  <si>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</si>
  <si>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</si>
  <si>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</si>
  <si>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</si>
  <si>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</si>
  <si>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</si>
  <si>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</si>
  <si>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</si>
  <si>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</si>
  <si>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</si>
  <si>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</si>
  <si>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</si>
  <si>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</si>
  <si>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</si>
  <si>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</si>
  <si>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</si>
  <si>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</si>
  <si>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</si>
  <si>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</si>
  <si>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</si>
  <si>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</si>
  <si>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</si>
  <si>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</si>
  <si>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</si>
  <si>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</si>
  <si>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</si>
  <si>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</si>
  <si>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</si>
  <si>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</si>
  <si>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</si>
  <si>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</si>
  <si>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</si>
  <si>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</si>
  <si>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</si>
  <si>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</si>
  <si>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</si>
  <si>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</si>
  <si>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</si>
  <si>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</si>
  <si>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</si>
  <si>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</si>
  <si>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</si>
  <si>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</si>
  <si>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</si>
  <si>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</si>
  <si>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</si>
  <si>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</si>
  <si>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</si>
  <si>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</si>
  <si>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</si>
  <si>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</si>
  <si>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</si>
  <si>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</si>
  <si>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</si>
  <si>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</si>
  <si>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</si>
  <si>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</si>
  <si>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</si>
  <si>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</si>
  <si>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</si>
  <si>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</si>
  <si>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</si>
  <si>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</si>
  <si>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</si>
  <si>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</si>
  <si>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</si>
  <si>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</si>
  <si>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</si>
  <si>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</si>
  <si>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</si>
  <si>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</si>
  <si>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</si>
  <si>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</si>
  <si>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</si>
  <si>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</si>
  <si>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</si>
  <si>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</si>
  <si>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</si>
  <si>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</si>
  <si>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</si>
  <si>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</si>
  <si>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</si>
  <si>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</si>
  <si>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</si>
  <si>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</si>
  <si>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</si>
  <si>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</si>
  <si>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</si>
  <si>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</si>
  <si>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</si>
  <si>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</si>
  <si>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</si>
  <si>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</si>
  <si>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</si>
  <si>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</si>
  <si>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</si>
  <si>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</si>
  <si>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</si>
  <si>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</si>
  <si>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</si>
  <si>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</si>
  <si>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</si>
  <si>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</si>
  <si>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</si>
  <si>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</si>
  <si>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</si>
  <si>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</si>
  <si>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</si>
  <si>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</si>
  <si>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</si>
  <si>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</si>
  <si>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</si>
  <si>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</si>
  <si>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</si>
  <si>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</si>
  <si>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</si>
  <si>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</si>
  <si>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</si>
  <si>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</si>
  <si>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</si>
  <si>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</si>
  <si>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</si>
  <si>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</si>
  <si>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</si>
  <si>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</si>
  <si>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</si>
  <si>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</si>
  <si>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</si>
  <si>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</si>
  <si>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</si>
  <si>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</si>
  <si>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</si>
  <si>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</si>
  <si>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</si>
  <si>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</si>
  <si>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</si>
  <si>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</si>
  <si>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</si>
  <si>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</si>
  <si>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</si>
  <si>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</si>
  <si>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</si>
  <si>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</si>
  <si>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</si>
  <si>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</si>
  <si>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</si>
  <si>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</si>
  <si>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</si>
  <si>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</si>
  <si>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</si>
  <si>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</si>
  <si>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</si>
  <si>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</si>
  <si>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</si>
  <si>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</si>
  <si>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</si>
  <si>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</si>
  <si>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</si>
  <si>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</si>
  <si>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</si>
  <si>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</si>
  <si>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</si>
  <si>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</si>
  <si>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</si>
  <si>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</si>
  <si>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</si>
  <si>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</si>
  <si>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</si>
  <si>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</si>
  <si>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</si>
  <si>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</si>
  <si>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</si>
  <si>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</si>
  <si>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</si>
  <si>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</si>
  <si>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</si>
  <si>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</si>
  <si>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</si>
  <si>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</si>
  <si>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</si>
  <si>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</si>
  <si>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</si>
  <si>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</si>
  <si>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</si>
  <si>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</si>
  <si>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</si>
  <si>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</si>
  <si>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</si>
  <si>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</si>
  <si>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</si>
  <si>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</si>
  <si>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</si>
  <si>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</si>
  <si>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</si>
  <si>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</si>
  <si>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</si>
  <si>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</si>
  <si>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</si>
  <si>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</si>
  <si>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</si>
  <si>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</si>
  <si>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</si>
  <si>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</si>
  <si>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</si>
  <si>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</si>
  <si>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</si>
  <si>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</si>
  <si>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</si>
  <si>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</si>
  <si>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</si>
  <si>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</si>
  <si>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</si>
  <si>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</si>
  <si>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</si>
  <si>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</si>
  <si>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</si>
  <si>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</si>
  <si>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</si>
  <si>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</si>
  <si>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</si>
  <si>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</si>
  <si>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</si>
  <si>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</si>
  <si>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</si>
  <si>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</si>
  <si>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</si>
  <si>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</si>
  <si>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</si>
  <si>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</si>
  <si>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</si>
  <si>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</si>
  <si>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</si>
  <si>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</si>
  <si>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</si>
  <si>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</si>
  <si>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</si>
  <si>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</si>
  <si>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</si>
  <si>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</si>
  <si>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</si>
  <si>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</si>
  <si>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</si>
  <si>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</si>
  <si>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</si>
  <si>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</si>
  <si>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</si>
  <si>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</si>
  <si>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</si>
  <si>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</si>
  <si>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</si>
  <si>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</si>
  <si>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</si>
  <si>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</si>
  <si>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</si>
  <si>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</si>
  <si>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</si>
  <si>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</si>
  <si>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</si>
  <si>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</si>
  <si>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</si>
  <si>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</si>
  <si>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</si>
  <si>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</si>
  <si>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</si>
  <si>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</si>
  <si>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</si>
  <si>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</si>
  <si>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</si>
  <si>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</si>
  <si>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</si>
  <si>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</si>
  <si>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</si>
  <si>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</si>
  <si>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</si>
  <si>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</si>
  <si>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</si>
  <si>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</si>
  <si>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</si>
  <si>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</si>
  <si>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</si>
  <si>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</si>
  <si>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</si>
  <si>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</si>
  <si>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</si>
  <si>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</si>
  <si>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</si>
  <si>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</si>
  <si>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</si>
  <si>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</si>
  <si>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</si>
  <si>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</si>
  <si>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</si>
  <si>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</si>
  <si>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</si>
  <si>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</si>
  <si>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</si>
  <si>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</si>
  <si>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</si>
  <si>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</si>
  <si>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</si>
  <si>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</si>
  <si>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</si>
  <si>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</si>
  <si>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</si>
  <si>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</si>
  <si>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</si>
  <si>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</si>
  <si>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</si>
  <si>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</si>
  <si>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</si>
  <si>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</si>
  <si>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</si>
  <si>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</si>
  <si>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</si>
  <si>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</si>
  <si>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</si>
  <si>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</si>
  <si>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</si>
  <si>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</si>
  <si>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</si>
  <si>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</si>
  <si>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</si>
  <si>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</si>
  <si>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</si>
  <si>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</si>
  <si>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</si>
  <si>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</si>
  <si>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</si>
  <si>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</si>
  <si>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</si>
  <si>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</si>
  <si>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</si>
  <si>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</si>
  <si>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</si>
  <si>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</si>
  <si>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</si>
  <si>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</si>
  <si>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</si>
  <si>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</si>
  <si>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</si>
  <si>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</si>
  <si>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</si>
  <si>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</si>
  <si>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</si>
  <si>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</si>
  <si>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</si>
  <si>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</si>
  <si>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</si>
  <si>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</si>
  <si>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</si>
  <si>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</si>
  <si>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</si>
  <si>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</si>
  <si>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</si>
  <si>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</si>
  <si>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</si>
  <si>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</si>
  <si>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</si>
  <si>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</si>
  <si>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</si>
  <si>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</si>
  <si>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</si>
  <si>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</si>
  <si>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</si>
  <si>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</si>
  <si>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</si>
  <si>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</si>
  <si>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</si>
  <si>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</si>
  <si>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</si>
  <si>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</si>
  <si>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</si>
  <si>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</si>
  <si>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</si>
  <si>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</si>
  <si>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</si>
  <si>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</si>
  <si>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</si>
  <si>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</si>
  <si>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</si>
  <si>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</si>
  <si>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</si>
  <si>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</si>
  <si>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</si>
  <si>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</si>
  <si>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</si>
  <si>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</si>
  <si>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</si>
  <si>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</si>
  <si>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</si>
  <si>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</si>
  <si>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</si>
  <si>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</si>
  <si>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</si>
  <si>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</si>
  <si>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</si>
  <si>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</si>
  <si>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</si>
  <si>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</si>
  <si>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</si>
  <si>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</si>
  <si>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</si>
  <si>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</si>
  <si>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</si>
  <si>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</si>
  <si>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</si>
  <si>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</si>
  <si>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</si>
  <si>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</si>
  <si>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</si>
  <si>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</si>
  <si>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</si>
  <si>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</si>
  <si>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</si>
  <si>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</si>
  <si>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</si>
  <si>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</si>
  <si>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</si>
  <si>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</si>
  <si>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</si>
  <si>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</si>
  <si>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</si>
  <si>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</si>
  <si>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</si>
  <si>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</si>
  <si>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</si>
  <si>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</si>
  <si>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</si>
  <si>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</si>
  <si>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</si>
  <si>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</si>
  <si>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</si>
  <si>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</si>
  <si>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</si>
  <si>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</si>
  <si>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</si>
  <si>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</si>
  <si>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</si>
  <si>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</si>
  <si>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</si>
  <si>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</si>
  <si>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</si>
  <si>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</si>
  <si>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</si>
  <si>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</si>
  <si>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</si>
  <si>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</si>
  <si>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</si>
  <si>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</si>
  <si>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</si>
  <si>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</si>
  <si>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</si>
  <si>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</si>
  <si>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</si>
  <si>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</si>
  <si>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</si>
  <si>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</si>
  <si>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</si>
  <si>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</si>
  <si>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</si>
  <si>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</si>
  <si>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</si>
  <si>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</si>
  <si>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</si>
  <si>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</si>
  <si>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</si>
  <si>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</si>
  <si>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</si>
  <si>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</si>
  <si>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</si>
  <si>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</si>
  <si>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</si>
  <si>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</si>
  <si>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</si>
  <si>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</si>
  <si>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</si>
  <si>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</si>
  <si>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</si>
  <si>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</si>
  <si>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</si>
  <si>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</si>
  <si>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</si>
  <si>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</si>
  <si>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</si>
  <si>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</si>
  <si>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</si>
  <si>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</si>
  <si>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</si>
  <si>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</si>
  <si>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</si>
  <si>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</si>
  <si>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</si>
  <si>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</si>
  <si>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</si>
  <si>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</si>
  <si>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</si>
  <si>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</si>
  <si>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</si>
  <si>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</si>
  <si>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</si>
  <si>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</si>
  <si>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</si>
  <si>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</si>
  <si>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</si>
  <si>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</si>
  <si>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</si>
  <si>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</si>
  <si>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</si>
  <si>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</si>
  <si>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</si>
  <si>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</si>
  <si>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</si>
  <si>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</si>
  <si>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</si>
  <si>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</si>
  <si>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</si>
  <si>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</si>
  <si>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</si>
  <si>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</si>
  <si>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</si>
  <si>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</si>
  <si>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</si>
  <si>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</si>
  <si>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</si>
  <si>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</si>
  <si>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</si>
  <si>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</si>
  <si>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</si>
  <si>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</si>
  <si>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</si>
  <si>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</si>
  <si>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</si>
  <si>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</si>
  <si>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</si>
  <si>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</si>
  <si>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</si>
  <si>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</si>
  <si>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</si>
  <si>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</si>
  <si>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</si>
  <si>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</si>
  <si>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</si>
  <si>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</si>
  <si>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</si>
  <si>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</si>
  <si>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</si>
  <si>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</si>
  <si>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</si>
  <si>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</si>
  <si>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</si>
  <si>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</si>
  <si>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</si>
  <si>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</si>
  <si>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</si>
  <si>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</si>
  <si>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</si>
  <si>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</si>
  <si>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</si>
  <si>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</si>
  <si>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</si>
  <si>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</si>
  <si>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</si>
  <si>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</si>
  <si>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</si>
  <si>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</si>
  <si>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</si>
  <si>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</si>
  <si>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</si>
  <si>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</si>
  <si>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</si>
  <si>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</si>
  <si>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</si>
  <si>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</si>
  <si>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</si>
  <si>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</si>
  <si>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</si>
  <si>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</si>
  <si>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</si>
  <si>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</si>
  <si>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</si>
  <si>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</si>
  <si>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</si>
  <si>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</si>
  <si>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</si>
  <si>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</si>
  <si>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</si>
  <si>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</si>
  <si>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</si>
  <si>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</si>
  <si>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</si>
  <si>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</si>
  <si>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</si>
  <si>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</si>
  <si>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</si>
  <si>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</si>
  <si>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</si>
  <si>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</si>
  <si>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</si>
  <si>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</si>
  <si>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</si>
  <si>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</si>
  <si>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</si>
  <si>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</si>
  <si>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</si>
  <si>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</si>
  <si>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</si>
  <si>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</si>
  <si>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</si>
  <si>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</si>
  <si>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</si>
  <si>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</si>
  <si>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</si>
  <si>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</si>
  <si>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</si>
  <si>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</si>
  <si>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</si>
  <si>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</si>
  <si>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</si>
  <si>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</si>
  <si>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</si>
  <si>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</si>
  <si>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</si>
  <si>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</si>
  <si>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</si>
  <si>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</si>
  <si>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</si>
  <si>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</si>
  <si>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</si>
  <si>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</si>
  <si>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</si>
  <si>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</si>
  <si>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</si>
  <si>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</si>
  <si>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</si>
  <si>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</si>
  <si>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</si>
  <si>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</si>
  <si>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</si>
  <si>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</si>
  <si>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</si>
  <si>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</si>
  <si>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</si>
  <si>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</si>
  <si>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</si>
  <si>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</si>
  <si>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</si>
  <si>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</si>
  <si>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</si>
  <si>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</si>
  <si>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</si>
  <si>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</si>
  <si>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</si>
  <si>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</si>
  <si>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</si>
  <si>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</si>
  <si>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</si>
  <si>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</si>
  <si>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</si>
  <si>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</si>
  <si>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</si>
  <si>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</si>
  <si>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</si>
  <si>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</si>
  <si>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</si>
  <si>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</si>
  <si>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</si>
  <si>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</si>
  <si>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</si>
  <si>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</si>
  <si>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</si>
  <si>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</si>
  <si>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</si>
  <si>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</si>
  <si>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</si>
  <si>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</si>
  <si>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</si>
  <si>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</si>
  <si>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</si>
  <si>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</si>
  <si>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</si>
  <si>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</si>
  <si>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</si>
  <si>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</si>
  <si>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</si>
  <si>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</si>
  <si>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</si>
  <si>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</si>
  <si>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</si>
  <si>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</si>
  <si>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</si>
  <si>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</si>
  <si>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</si>
  <si>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</si>
  <si>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</si>
  <si>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</si>
  <si>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</si>
  <si>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</si>
  <si>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</si>
  <si>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</si>
  <si>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</si>
  <si>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</si>
  <si>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</si>
  <si>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</si>
  <si>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</si>
  <si>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</si>
  <si>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</si>
  <si>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</si>
  <si>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</si>
  <si>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</si>
  <si>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</si>
  <si>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</si>
  <si>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</si>
  <si>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</si>
  <si>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</si>
  <si>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</si>
  <si>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</si>
  <si>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</si>
  <si>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</si>
  <si>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</si>
  <si>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</si>
  <si>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</si>
  <si>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</si>
  <si>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</si>
  <si>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</si>
  <si>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</si>
  <si>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</si>
  <si>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</si>
  <si>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</si>
  <si>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</si>
  <si>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</si>
  <si>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</si>
  <si>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</si>
  <si>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</si>
  <si>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</si>
  <si>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</si>
  <si>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</si>
  <si>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</si>
  <si>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</si>
  <si>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</si>
  <si>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</si>
  <si>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</si>
  <si>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</si>
  <si>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</si>
  <si>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</si>
  <si>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</si>
  <si>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</si>
  <si>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</si>
  <si>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</si>
  <si>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</si>
  <si>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</si>
  <si>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</si>
  <si>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</si>
  <si>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</si>
  <si>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</si>
  <si>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</si>
  <si>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</si>
  <si>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</si>
  <si>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</si>
  <si>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</si>
  <si>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</si>
  <si>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</si>
  <si>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</si>
  <si>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</si>
  <si>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</si>
  <si>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</si>
  <si>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</si>
  <si>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</si>
  <si>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</si>
  <si>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</si>
  <si>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</si>
  <si>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</si>
  <si>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</si>
  <si>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</si>
  <si>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</si>
  <si>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</si>
  <si>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</si>
  <si>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</si>
  <si>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</si>
  <si>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</si>
  <si>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</si>
  <si>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</si>
  <si>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</si>
  <si>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</si>
  <si>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</si>
  <si>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</si>
  <si>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</si>
  <si>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</si>
  <si>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</si>
  <si>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</si>
  <si>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</si>
  <si>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</si>
  <si>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</si>
  <si>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</si>
  <si>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</si>
  <si>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</si>
  <si>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</si>
  <si>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</si>
  <si>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</si>
  <si>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</si>
  <si>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</si>
  <si>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</si>
  <si>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</si>
  <si>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</si>
  <si>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</si>
  <si>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</si>
  <si>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</si>
  <si>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</si>
  <si>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</si>
  <si>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</si>
  <si>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</si>
  <si>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</si>
  <si>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</si>
  <si>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</si>
  <si>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</si>
  <si>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</si>
  <si>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</si>
  <si>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</si>
  <si>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</si>
  <si>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</si>
  <si>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</si>
  <si>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</si>
  <si>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</si>
  <si>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</si>
  <si>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</si>
  <si>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</si>
  <si>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</si>
  <si>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</si>
  <si>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</si>
  <si>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</si>
  <si>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</si>
  <si>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</si>
  <si>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</si>
  <si>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</si>
  <si>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</si>
  <si>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</si>
  <si>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</si>
  <si>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</si>
  <si>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</si>
  <si>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</si>
  <si>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</si>
  <si>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</si>
  <si>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</si>
  <si>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</si>
  <si>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</si>
  <si>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</si>
  <si>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</si>
  <si>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</si>
  <si>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</si>
  <si>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</si>
  <si>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</si>
  <si>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</si>
  <si>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</si>
  <si>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</si>
  <si>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</si>
  <si>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</si>
  <si>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</si>
  <si>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</si>
  <si>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</si>
  <si>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</si>
  <si>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</si>
  <si>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</si>
  <si>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</si>
  <si>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</si>
  <si>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</si>
  <si>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</si>
  <si>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</si>
  <si>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</si>
  <si>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</si>
  <si>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</si>
  <si>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</si>
  <si>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</si>
  <si>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</si>
  <si>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</si>
  <si>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</si>
  <si>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</si>
  <si>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</si>
  <si>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</si>
  <si>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</si>
  <si>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</si>
  <si>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</si>
  <si>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</si>
  <si>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</si>
  <si>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</si>
  <si>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</si>
  <si>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</si>
  <si>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</si>
  <si>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</si>
  <si>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</si>
  <si>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</si>
  <si>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</si>
  <si>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</si>
  <si>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</si>
  <si>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</si>
  <si>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</si>
  <si>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</si>
  <si>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</si>
  <si>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</si>
  <si>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</si>
  <si>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</si>
  <si>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</si>
  <si>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</si>
  <si>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</si>
  <si>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</si>
  <si>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</si>
  <si>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</si>
  <si>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</si>
  <si>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</si>
  <si>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</si>
  <si>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</si>
  <si>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</si>
  <si>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</si>
  <si>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</si>
  <si>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</si>
  <si>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</si>
  <si>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</si>
  <si>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</si>
  <si>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</si>
  <si>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</si>
  <si>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</si>
  <si>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</si>
  <si>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</si>
  <si>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</si>
  <si>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</si>
  <si>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</si>
  <si>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</si>
  <si>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</si>
  <si>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</si>
  <si>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</si>
  <si>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</si>
  <si>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</si>
  <si>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</si>
  <si>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</si>
  <si>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</si>
  <si>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</si>
  <si>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</si>
  <si>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</si>
  <si>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</si>
  <si>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</si>
  <si>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</si>
  <si>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</si>
  <si>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</si>
  <si>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</si>
  <si>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</si>
  <si>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</si>
  <si>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</si>
  <si>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</si>
  <si>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</si>
  <si>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</si>
  <si>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</si>
  <si>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</si>
  <si>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</si>
  <si>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</si>
  <si>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</si>
  <si>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</si>
  <si>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</si>
  <si>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</si>
  <si>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</si>
  <si>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</si>
  <si>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</si>
  <si>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</si>
  <si>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</si>
  <si>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</si>
  <si>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</si>
  <si>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</si>
  <si>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</si>
  <si>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</si>
  <si>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</si>
  <si>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</si>
  <si>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</si>
  <si>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</si>
  <si>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</si>
  <si>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</si>
  <si>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</si>
  <si>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</si>
  <si>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</si>
  <si>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</si>
  <si>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</si>
  <si>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</si>
  <si>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</si>
  <si>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</si>
  <si>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</si>
  <si>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</si>
  <si>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</si>
  <si>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</si>
  <si>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</si>
  <si>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</si>
  <si>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</si>
  <si>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</si>
  <si>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</si>
  <si>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</si>
  <si>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</si>
  <si>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</si>
  <si>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</si>
  <si>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</si>
  <si>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</si>
  <si>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</si>
  <si>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</si>
  <si>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</si>
  <si>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</si>
  <si>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</si>
  <si>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</si>
  <si>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</si>
  <si>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</si>
  <si>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</si>
  <si>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</si>
  <si>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</si>
  <si>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</si>
  <si>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</si>
  <si>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</si>
  <si>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</si>
  <si>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</si>
  <si>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</si>
  <si>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</si>
  <si>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</si>
  <si>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</si>
  <si>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</si>
  <si>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</si>
  <si>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</si>
  <si>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</si>
  <si>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</si>
  <si>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</si>
  <si>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</si>
  <si>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</si>
  <si>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</si>
  <si>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</si>
  <si>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</si>
  <si>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</si>
  <si>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</si>
  <si>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</si>
  <si>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</si>
  <si>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</si>
  <si>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</si>
  <si>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</si>
  <si>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</si>
  <si>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</si>
  <si>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</si>
  <si>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</si>
  <si>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</si>
  <si>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</si>
  <si>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</si>
  <si>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</si>
  <si>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</si>
  <si>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</si>
  <si>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</si>
  <si>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</si>
  <si>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</si>
  <si>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</si>
  <si>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</si>
  <si>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</si>
  <si>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</si>
  <si>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</si>
  <si>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</si>
  <si>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</si>
  <si>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</si>
  <si>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</si>
  <si>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</si>
  <si>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</si>
  <si>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</si>
  <si>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</si>
  <si>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</si>
  <si>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</si>
  <si>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</si>
  <si>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</si>
  <si>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</si>
  <si>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</si>
  <si>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</si>
  <si>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</si>
  <si>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</si>
  <si>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</si>
  <si>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</si>
  <si>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</si>
  <si>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</si>
  <si>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</si>
  <si>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</si>
  <si>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</si>
  <si>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</si>
  <si>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</si>
  <si>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</si>
  <si>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</si>
  <si>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</si>
  <si>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</si>
  <si>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</si>
  <si>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</si>
  <si>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</si>
  <si>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</si>
  <si>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</si>
  <si>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</si>
  <si>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</si>
  <si>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</si>
  <si>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</si>
  <si>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</si>
  <si>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</si>
  <si>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</si>
  <si>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</si>
  <si>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</si>
  <si>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</si>
  <si>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</si>
  <si>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</si>
  <si>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</si>
  <si>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</si>
  <si>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</si>
  <si>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</si>
  <si>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</si>
  <si>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</si>
  <si>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</si>
  <si>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</si>
  <si>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</si>
  <si>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</si>
  <si>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</si>
  <si>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</si>
  <si>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</si>
  <si>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</si>
  <si>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</si>
  <si>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</si>
  <si>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</si>
  <si>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</si>
  <si>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</si>
  <si>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</si>
  <si>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</si>
  <si>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</si>
  <si>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</si>
  <si>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</si>
  <si>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</si>
  <si>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</si>
  <si>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</si>
  <si>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</si>
  <si>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</si>
  <si>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</si>
  <si>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</si>
  <si>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</si>
  <si>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</si>
  <si>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</si>
  <si>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</si>
  <si>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</si>
  <si>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</si>
  <si>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</si>
  <si>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</si>
  <si>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</si>
  <si>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</si>
  <si>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</si>
  <si>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</si>
  <si>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</si>
  <si>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</si>
  <si>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</si>
  <si>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</si>
  <si>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</si>
  <si>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</si>
  <si>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</si>
  <si>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</si>
  <si>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</si>
  <si>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</si>
  <si>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</si>
  <si>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</si>
  <si>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</si>
  <si>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</si>
  <si>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</si>
  <si>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</si>
  <si>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</si>
  <si>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</si>
  <si>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</si>
  <si>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</si>
  <si>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</si>
  <si>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</si>
  <si>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</si>
  <si>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</si>
  <si>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</si>
  <si>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</si>
  <si>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</si>
  <si>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</si>
  <si>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</si>
  <si>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</si>
  <si>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</si>
  <si>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</si>
  <si>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</si>
  <si>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</si>
  <si>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</si>
  <si>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</si>
  <si>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</si>
  <si>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</si>
  <si>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</si>
  <si>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</si>
  <si>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</si>
  <si>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</si>
  <si>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</si>
  <si>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</si>
  <si>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</si>
  <si>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</si>
  <si>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</si>
  <si>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</si>
  <si>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</si>
  <si>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</si>
  <si>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</si>
  <si>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</si>
  <si>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</si>
  <si>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</si>
  <si>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</si>
  <si>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</si>
  <si>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</si>
  <si>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</si>
  <si>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</si>
  <si>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</si>
  <si>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</si>
  <si>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</si>
  <si>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</si>
  <si>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</si>
  <si>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</si>
  <si>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</si>
  <si>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</si>
  <si>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</si>
  <si>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</si>
  <si>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</si>
  <si>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</si>
  <si>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</si>
  <si>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</si>
  <si>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</si>
  <si>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</si>
  <si>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</si>
  <si>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</si>
  <si>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</si>
  <si>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</si>
  <si>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</si>
  <si>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</si>
  <si>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</si>
  <si>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</si>
  <si>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</si>
  <si>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</si>
  <si>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</si>
  <si>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</si>
  <si>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</si>
  <si>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</si>
  <si>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</si>
  <si>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</si>
  <si>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</si>
  <si>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</si>
  <si>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</si>
  <si>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</si>
  <si>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</si>
  <si>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</si>
  <si>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</si>
  <si>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</si>
  <si>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</si>
  <si>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</si>
  <si>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</si>
  <si>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</si>
  <si>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</si>
  <si>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</si>
  <si>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</si>
  <si>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</si>
  <si>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</si>
  <si>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</si>
  <si>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</si>
  <si>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</si>
  <si>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</si>
  <si>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</si>
  <si>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</si>
  <si>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</si>
  <si>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</si>
  <si>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</si>
  <si>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</si>
  <si>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</si>
  <si>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</si>
  <si>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</si>
  <si>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</si>
  <si>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</si>
  <si>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</si>
  <si>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</si>
  <si>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</si>
  <si>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</si>
  <si>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</si>
  <si>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</si>
  <si>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</si>
  <si>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</si>
  <si>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</si>
  <si>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</si>
  <si>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</si>
  <si>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</si>
  <si>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</si>
  <si>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</si>
  <si>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</si>
  <si>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</si>
  <si>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</si>
  <si>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</si>
  <si>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</si>
  <si>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</si>
  <si>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</si>
  <si>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</si>
  <si>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</si>
  <si>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</si>
  <si>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</si>
  <si>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</si>
  <si>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</si>
  <si>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</si>
  <si>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</si>
  <si>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</si>
  <si>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</si>
  <si>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</si>
  <si>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</si>
  <si>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</si>
  <si>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</si>
  <si>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</si>
  <si>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</si>
  <si>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</si>
  <si>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</si>
  <si>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</si>
  <si>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</si>
  <si>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</si>
  <si>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</si>
  <si>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</si>
  <si>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</si>
  <si>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</si>
  <si>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</si>
  <si>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</si>
  <si>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</si>
  <si>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</si>
  <si>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</si>
  <si>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</si>
  <si>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</si>
  <si>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</si>
  <si>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</si>
  <si>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</si>
  <si>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</si>
  <si>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</si>
  <si>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</si>
  <si>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</si>
  <si>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</si>
  <si>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</si>
  <si>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</si>
  <si>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</si>
  <si>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</si>
  <si>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</si>
  <si>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</si>
  <si>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</si>
  <si>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</si>
  <si>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</si>
  <si>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</si>
  <si>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</si>
  <si>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</si>
  <si>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</si>
  <si>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</si>
  <si>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</si>
  <si>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</si>
  <si>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</si>
  <si>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</si>
  <si>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</si>
  <si>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</si>
  <si>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</si>
  <si>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</si>
  <si>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</si>
  <si>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</si>
  <si>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</si>
  <si>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</si>
  <si>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</si>
  <si>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</si>
  <si>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</si>
  <si>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</si>
  <si>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</si>
  <si>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</si>
  <si>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</si>
  <si>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</si>
  <si>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</si>
  <si>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</si>
  <si>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</si>
  <si>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</si>
  <si>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</si>
  <si>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</si>
  <si>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</si>
  <si>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</si>
  <si>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</si>
  <si>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</si>
  <si>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</si>
  <si>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</si>
  <si>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</si>
  <si>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</si>
  <si>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</si>
  <si>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</si>
  <si>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</si>
  <si>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</si>
  <si>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</si>
  <si>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</si>
  <si>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</si>
  <si>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</si>
  <si>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</si>
  <si>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</si>
  <si>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</si>
  <si>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</si>
  <si>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</si>
  <si>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</si>
  <si>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</si>
  <si>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</si>
  <si>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</si>
  <si>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</si>
  <si>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</si>
  <si>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</si>
  <si>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</si>
  <si>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</si>
  <si>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</si>
  <si>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</si>
  <si>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</si>
  <si>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</si>
  <si>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</si>
  <si>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</si>
  <si>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</si>
  <si>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</si>
  <si>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</si>
  <si>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</si>
  <si>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</si>
  <si>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</si>
  <si>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</si>
  <si>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</si>
  <si>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</si>
  <si>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</si>
  <si>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</si>
  <si>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</si>
  <si>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</si>
  <si>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</si>
  <si>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</si>
  <si>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</si>
  <si>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</si>
  <si>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</si>
  <si>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</si>
  <si>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</si>
  <si>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</si>
  <si>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</si>
  <si>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</si>
  <si>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</si>
  <si>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</si>
  <si>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</si>
  <si>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</si>
  <si>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</si>
  <si>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</si>
  <si>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</si>
  <si>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</si>
  <si>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</si>
  <si>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</si>
  <si>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</si>
  <si>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</si>
  <si>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</si>
  <si>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</si>
  <si>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</si>
  <si>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</si>
  <si>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</si>
  <si>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</si>
  <si>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</si>
  <si>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</si>
  <si>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</si>
  <si>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</si>
  <si>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</si>
  <si>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</si>
  <si>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</si>
  <si>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</si>
  <si>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</si>
  <si>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</si>
  <si>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</si>
  <si>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</si>
  <si>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</si>
  <si>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</si>
  <si>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</si>
  <si>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</si>
  <si>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</si>
  <si>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</si>
  <si>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</si>
  <si>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</si>
  <si>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</si>
  <si>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</si>
  <si>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</si>
  <si>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</si>
  <si>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</si>
  <si>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</si>
  <si>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</si>
  <si>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</si>
  <si>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</si>
  <si>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</si>
  <si>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</si>
  <si>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</si>
  <si>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</si>
  <si>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</si>
  <si>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</si>
  <si>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</si>
  <si>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</si>
  <si>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</si>
  <si>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</si>
  <si>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</si>
  <si>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</si>
  <si>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</si>
  <si>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</si>
  <si>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</si>
  <si>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</si>
  <si>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</si>
  <si>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</si>
  <si>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</si>
  <si>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</si>
  <si>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</si>
  <si>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</si>
  <si>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</si>
  <si>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</si>
  <si>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</si>
  <si>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</si>
  <si>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</si>
  <si>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</si>
  <si>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</si>
  <si>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</si>
  <si>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</si>
  <si>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</si>
  <si>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</si>
  <si>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</si>
  <si>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</si>
  <si>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</si>
  <si>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</si>
  <si>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</si>
  <si>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</si>
  <si>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</si>
  <si>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</si>
  <si>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</si>
  <si>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</si>
  <si>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</si>
  <si>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</si>
  <si>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</si>
  <si>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</si>
  <si>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</si>
  <si>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</si>
  <si>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</si>
  <si>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</si>
  <si>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</si>
  <si>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</si>
  <si>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</si>
  <si>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</si>
  <si>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</si>
  <si>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</si>
  <si>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</si>
  <si>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</si>
  <si>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</si>
  <si>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</si>
  <si>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</si>
  <si>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</si>
  <si>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</si>
  <si>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</si>
  <si>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</si>
  <si>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</si>
  <si>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</si>
  <si>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</si>
  <si>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</si>
  <si>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</si>
  <si>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</si>
  <si>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</si>
  <si>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</si>
  <si>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</si>
  <si>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</si>
  <si>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</si>
  <si>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</si>
  <si>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</si>
  <si>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</si>
  <si>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</si>
  <si>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</si>
  <si>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</si>
  <si>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</si>
  <si>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</si>
  <si>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</si>
  <si>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</si>
  <si>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</si>
  <si>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</si>
  <si>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</si>
  <si>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</si>
  <si>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</si>
  <si>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</si>
  <si>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</si>
  <si>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</si>
  <si>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</si>
  <si>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</si>
  <si>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</si>
  <si>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</si>
  <si>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</si>
  <si>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</si>
  <si>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</si>
  <si>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</si>
  <si>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</si>
  <si>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</si>
  <si>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</si>
  <si>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</si>
  <si>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</si>
  <si>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</si>
  <si>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</si>
  <si>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</si>
  <si>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</si>
  <si>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</si>
  <si>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</si>
  <si>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</si>
  <si>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</si>
  <si>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</si>
  <si>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</si>
  <si>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</si>
  <si>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</si>
  <si>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</si>
  <si>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</si>
  <si>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</si>
  <si>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</si>
  <si>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</si>
  <si>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</si>
  <si>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</si>
  <si>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</si>
  <si>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</si>
  <si>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</si>
  <si>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</si>
  <si>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</si>
  <si>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</si>
  <si>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</si>
  <si>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</si>
  <si>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</si>
  <si>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</si>
  <si>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</si>
  <si>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</si>
  <si>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</si>
  <si>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</si>
  <si>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</si>
  <si>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</si>
  <si>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</si>
  <si>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</si>
  <si>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</si>
  <si>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</si>
  <si>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</si>
  <si>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</si>
  <si>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</si>
  <si>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</si>
  <si>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</si>
  <si>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</si>
  <si>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</si>
  <si>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</si>
  <si>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</si>
  <si>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</si>
  <si>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</si>
  <si>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</si>
  <si>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</si>
  <si>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</si>
  <si>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</si>
  <si>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</si>
  <si>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</si>
  <si>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</si>
  <si>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</si>
  <si>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</si>
  <si>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</si>
  <si>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</si>
  <si>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</si>
  <si>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</si>
  <si>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</si>
  <si>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</si>
  <si>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</si>
  <si>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</si>
  <si>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</si>
  <si>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</si>
  <si>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</si>
  <si>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</si>
  <si>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</si>
  <si>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</si>
  <si>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</si>
  <si>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</si>
  <si>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</si>
  <si>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</si>
  <si>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</si>
  <si>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</si>
  <si>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</si>
  <si>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</si>
  <si>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</si>
  <si>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</si>
  <si>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</si>
  <si>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</si>
  <si>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</si>
  <si>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</si>
  <si>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</si>
  <si>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</si>
  <si>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</si>
  <si>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</si>
  <si>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</si>
  <si>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</si>
  <si>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</si>
  <si>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</si>
  <si>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</si>
  <si>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</si>
  <si>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</si>
  <si>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</si>
  <si>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</si>
  <si>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</si>
  <si>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</si>
  <si>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</si>
  <si>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</si>
  <si>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</si>
  <si>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</si>
  <si>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</si>
  <si>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</si>
  <si>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</si>
  <si>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</si>
  <si>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</si>
  <si>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</si>
  <si>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</si>
  <si>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</si>
  <si>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</si>
  <si>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</si>
  <si>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</si>
  <si>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</si>
  <si>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</si>
  <si>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</si>
  <si>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</si>
  <si>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</si>
  <si>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</si>
  <si>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</si>
  <si>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</si>
  <si>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</si>
  <si>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</si>
  <si>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</si>
  <si>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</si>
  <si>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</si>
  <si>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</si>
  <si>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</si>
  <si>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</si>
  <si>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</si>
  <si>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</si>
  <si>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</si>
  <si>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</si>
  <si>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</si>
  <si>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</si>
  <si>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</si>
  <si>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</si>
  <si>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</si>
  <si>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</si>
  <si>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</si>
  <si>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</si>
  <si>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</si>
  <si>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</si>
  <si>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</si>
  <si>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</si>
  <si>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</si>
  <si>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</si>
  <si>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</si>
  <si>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</si>
  <si>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</si>
  <si>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</si>
  <si>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</si>
  <si>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</si>
  <si>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</si>
  <si>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</si>
  <si>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</si>
  <si>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</si>
  <si>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</si>
  <si>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</si>
  <si>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</si>
  <si>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</si>
  <si>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</si>
  <si>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</si>
  <si>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</si>
  <si>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</si>
  <si>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</si>
  <si>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</si>
  <si>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</si>
  <si>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</si>
  <si>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</si>
  <si>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</si>
  <si>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</si>
  <si>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</si>
  <si>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</si>
  <si>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</si>
  <si>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</si>
  <si>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</si>
  <si>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</si>
  <si>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</si>
  <si>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</si>
  <si>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</si>
  <si>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</si>
  <si>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</si>
  <si>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</si>
  <si>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</si>
  <si>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</si>
  <si>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</si>
  <si>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</si>
  <si>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</si>
  <si>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</si>
  <si>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</si>
  <si>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</si>
  <si>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</si>
  <si>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</si>
  <si>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</si>
  <si>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</si>
  <si>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</si>
  <si>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</si>
  <si>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</si>
  <si>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</si>
  <si>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</si>
  <si>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</si>
  <si>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</si>
  <si>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</si>
  <si>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</si>
  <si>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</si>
  <si>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</si>
  <si>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</si>
  <si>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</si>
  <si>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</si>
  <si>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</si>
  <si>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</si>
  <si>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</si>
  <si>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</si>
  <si>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</si>
  <si>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</si>
  <si>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</si>
  <si>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</si>
  <si>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</si>
  <si>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</si>
  <si>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</si>
  <si>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</si>
  <si>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</si>
  <si>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</si>
  <si>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</si>
  <si>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</si>
  <si>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</si>
  <si>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</si>
  <si>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</si>
  <si>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</si>
  <si>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</si>
  <si>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</si>
  <si>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</si>
  <si>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</si>
  <si>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</si>
  <si>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</si>
  <si>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</si>
  <si>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</si>
  <si>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</si>
  <si>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</si>
  <si>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</si>
  <si>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</si>
  <si>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</si>
  <si>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</si>
  <si>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</si>
  <si>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</si>
  <si>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</si>
  <si>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</si>
  <si>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</si>
  <si>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</si>
  <si>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</si>
  <si>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</si>
  <si>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</si>
  <si>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</si>
  <si>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</si>
  <si>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</si>
  <si>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</si>
  <si>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</si>
  <si>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</si>
  <si>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</si>
  <si>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</si>
  <si>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</si>
  <si>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</si>
  <si>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</si>
  <si>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</si>
  <si>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</si>
  <si>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</si>
  <si>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</si>
  <si>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</si>
  <si>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</si>
  <si>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</si>
  <si>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</si>
  <si>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</si>
  <si>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</si>
  <si>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</si>
  <si>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</si>
  <si>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</si>
  <si>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</si>
  <si>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</si>
  <si>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</si>
  <si>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</si>
  <si>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</si>
  <si>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</si>
  <si>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</si>
  <si>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</si>
  <si>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</si>
  <si>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</si>
  <si>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</si>
  <si>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</si>
  <si>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</si>
  <si>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</si>
  <si>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</si>
  <si>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</si>
  <si>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</si>
  <si>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</si>
  <si>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</si>
  <si>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</si>
  <si>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</si>
  <si>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</si>
  <si>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</si>
  <si>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</si>
  <si>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</si>
  <si>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</si>
  <si>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</si>
  <si>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</si>
  <si>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</si>
  <si>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</si>
  <si>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</si>
  <si>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</si>
  <si>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</si>
  <si>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</si>
  <si>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</si>
  <si>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</si>
  <si>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</si>
  <si>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</si>
  <si>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</si>
  <si>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</si>
  <si>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</si>
  <si>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</si>
  <si>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</si>
  <si>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</si>
  <si>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</si>
  <si>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</si>
  <si>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</si>
  <si>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</si>
  <si>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</si>
  <si>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</si>
  <si>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</si>
  <si>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</si>
  <si>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</si>
  <si>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</si>
  <si>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</si>
  <si>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</si>
  <si>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</si>
  <si>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</si>
  <si>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</si>
  <si>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</si>
  <si>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</si>
  <si>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</si>
  <si>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</si>
  <si>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</si>
  <si>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</si>
  <si>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</si>
  <si>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</si>
  <si>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</si>
  <si>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</si>
  <si>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</si>
  <si>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</si>
  <si>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</si>
  <si>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</si>
  <si>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</si>
  <si>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</si>
  <si>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</si>
  <si>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</si>
  <si>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</si>
  <si>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</si>
  <si>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</si>
  <si>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</si>
  <si>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</si>
  <si>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</si>
  <si>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</si>
  <si>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</si>
  <si>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</si>
  <si>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</si>
  <si>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</si>
  <si>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</si>
  <si>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</si>
  <si>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</si>
  <si>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</si>
  <si>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</si>
  <si>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</si>
  <si>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</si>
  <si>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</si>
  <si>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</si>
  <si>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</si>
  <si>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</si>
  <si>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</si>
  <si>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</si>
  <si>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</si>
  <si>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</si>
  <si>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</si>
  <si>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</si>
  <si>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</si>
  <si>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</si>
  <si>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</si>
  <si>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</si>
  <si>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</si>
  <si>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</si>
  <si>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</si>
  <si>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</si>
  <si>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</si>
  <si>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</si>
  <si>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</si>
  <si>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</si>
  <si>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</si>
  <si>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</si>
  <si>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</si>
  <si>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</si>
  <si>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</si>
  <si>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</si>
  <si>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</si>
  <si>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</si>
  <si>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</si>
  <si>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</si>
  <si>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</si>
  <si>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</si>
  <si>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</si>
  <si>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</si>
  <si>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</si>
  <si>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</si>
  <si>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</si>
  <si>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</si>
  <si>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</si>
  <si>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</si>
  <si>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</si>
  <si>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</si>
  <si>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</si>
  <si>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</si>
  <si>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</si>
  <si>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</si>
  <si>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</si>
  <si>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</si>
  <si>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</si>
  <si>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</si>
  <si>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</si>
  <si>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</si>
  <si>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</si>
  <si>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</si>
  <si>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</si>
  <si>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</si>
  <si>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</si>
  <si>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</si>
  <si>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</si>
  <si>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</si>
  <si>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</si>
  <si>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</si>
  <si>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</si>
  <si>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</si>
  <si>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</si>
  <si>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</si>
  <si>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</si>
  <si>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</si>
  <si>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</si>
  <si>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</si>
  <si>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</si>
  <si>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</si>
  <si>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</si>
  <si>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</si>
  <si>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</si>
  <si>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</si>
  <si>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</si>
  <si>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</si>
  <si>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</si>
  <si>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</si>
  <si>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</si>
  <si>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</si>
  <si>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</si>
  <si>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</si>
  <si>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</si>
  <si>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</si>
  <si>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</si>
  <si>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</si>
  <si>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</si>
  <si>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</si>
  <si>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</si>
  <si>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</si>
  <si>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</si>
  <si>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</si>
  <si>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</si>
  <si>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</si>
  <si>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</si>
  <si>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</si>
  <si>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</si>
  <si>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</si>
  <si>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</si>
  <si>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</si>
  <si>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</si>
  <si>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</si>
  <si>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</si>
  <si>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</si>
  <si>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</si>
  <si>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</si>
  <si>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</si>
  <si>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</si>
  <si>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</si>
  <si>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</si>
  <si>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</si>
  <si>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</si>
  <si>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</si>
  <si>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</si>
  <si>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</si>
  <si>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</si>
  <si>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</si>
  <si>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</si>
  <si>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</si>
  <si>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</si>
  <si>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</si>
  <si>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</si>
  <si>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</si>
  <si>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</si>
  <si>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</si>
  <si>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</si>
  <si>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</si>
  <si>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</si>
  <si>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</si>
  <si>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</si>
  <si>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</si>
  <si>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</si>
  <si>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</si>
  <si>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</si>
  <si>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</si>
  <si>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</si>
  <si>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</si>
  <si>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</si>
  <si>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</si>
  <si>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</si>
  <si>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</si>
  <si>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</si>
  <si>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</si>
  <si>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</si>
  <si>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</si>
  <si>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</si>
  <si>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</si>
  <si>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</si>
  <si>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</si>
  <si>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</si>
  <si>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</si>
  <si>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</si>
  <si>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</si>
  <si>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</si>
  <si>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</si>
  <si>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</si>
  <si>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</si>
  <si>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</si>
  <si>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</si>
  <si>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</si>
  <si>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</si>
  <si>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</si>
  <si>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</si>
  <si>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</si>
  <si>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</si>
  <si>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</si>
  <si>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</si>
  <si>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</si>
  <si>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</si>
  <si>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</si>
  <si>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</si>
  <si>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</si>
  <si>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</si>
  <si>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</si>
  <si>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</si>
  <si>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</si>
  <si>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</si>
  <si>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</si>
  <si>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</si>
  <si>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</si>
  <si>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</si>
  <si>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</si>
  <si>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</si>
  <si>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</si>
  <si>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</si>
  <si>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</si>
  <si>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</si>
  <si>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</si>
  <si>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</si>
  <si>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</si>
  <si>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</si>
  <si>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</si>
  <si>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</si>
  <si>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</si>
  <si>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</si>
  <si>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</si>
  <si>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</si>
  <si>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</si>
  <si>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</si>
  <si>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</si>
  <si>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</si>
  <si>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</si>
  <si>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</si>
  <si>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</si>
  <si>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</si>
  <si>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</si>
  <si>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</si>
  <si>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</si>
  <si>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</si>
  <si>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</si>
  <si>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</si>
  <si>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</si>
  <si>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</si>
  <si>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</si>
  <si>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</si>
  <si>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</si>
  <si>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</si>
  <si>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</si>
  <si>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</si>
  <si>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</si>
  <si>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</si>
  <si>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</si>
  <si>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</si>
  <si>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</si>
  <si>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</si>
  <si>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</si>
  <si>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</si>
  <si>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</si>
  <si>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</si>
  <si>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</si>
  <si>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</si>
  <si>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</si>
  <si>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</si>
  <si>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</si>
  <si>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</si>
  <si>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</si>
  <si>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</si>
  <si>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</si>
  <si>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</si>
  <si>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</si>
  <si>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</si>
  <si>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</si>
  <si>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</si>
  <si>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</si>
  <si>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</si>
  <si>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</si>
  <si>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</si>
  <si>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</si>
  <si>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</si>
  <si>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</si>
  <si>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</si>
  <si>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</si>
  <si>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</si>
  <si>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</si>
  <si>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</si>
  <si>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</si>
  <si>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</si>
  <si>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</si>
  <si>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</si>
  <si>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</si>
  <si>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</si>
  <si>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</si>
  <si>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</si>
  <si>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</si>
  <si>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</si>
  <si>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</si>
  <si>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</si>
  <si>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</si>
  <si>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</si>
  <si>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</si>
  <si>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</si>
  <si>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</si>
  <si>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</si>
  <si>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</si>
  <si>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</si>
  <si>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</si>
  <si>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</si>
  <si>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</si>
  <si>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</si>
  <si>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</si>
  <si>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</si>
  <si>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</si>
  <si>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</si>
  <si>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</si>
  <si>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</si>
  <si>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</si>
  <si>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</si>
  <si>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</si>
  <si>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</si>
  <si>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</si>
  <si>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</si>
  <si>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</si>
  <si>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</si>
  <si>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</si>
  <si>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</si>
  <si>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</si>
  <si>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</si>
  <si>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</si>
  <si>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</si>
  <si>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</si>
  <si>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</si>
  <si>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</si>
  <si>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</si>
  <si>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</si>
  <si>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</si>
  <si>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</si>
  <si>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</si>
  <si>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</si>
  <si>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</si>
  <si>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</si>
  <si>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</si>
  <si>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</si>
  <si>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</si>
  <si>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</si>
  <si>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</si>
  <si>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</si>
  <si>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</si>
  <si>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</si>
  <si>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</si>
  <si>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</si>
  <si>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</si>
  <si>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</si>
  <si>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</si>
  <si>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</si>
  <si>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</si>
  <si>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</si>
  <si>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</si>
  <si>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</si>
  <si>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</si>
  <si>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</si>
  <si>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</si>
  <si>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</si>
  <si>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</si>
  <si>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</si>
  <si>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</si>
  <si>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</si>
  <si>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</si>
  <si>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</si>
  <si>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</si>
  <si>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</si>
  <si>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</si>
  <si>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</si>
  <si>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</si>
  <si>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</si>
  <si>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</si>
  <si>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</si>
  <si>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</si>
  <si>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</si>
  <si>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</si>
  <si>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</si>
  <si>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</si>
  <si>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</si>
  <si>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</si>
  <si>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</si>
  <si>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</si>
  <si>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</si>
  <si>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</si>
  <si>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</si>
  <si>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</si>
  <si>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</si>
  <si>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</si>
  <si>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</si>
  <si>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</si>
  <si>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</si>
  <si>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</si>
  <si>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</si>
  <si>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</si>
  <si>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</si>
  <si>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</si>
  <si>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</si>
  <si>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</si>
  <si>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</si>
  <si>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</si>
  <si>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</si>
  <si>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</si>
  <si>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</si>
  <si>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</si>
  <si>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</si>
  <si>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</si>
  <si>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</si>
  <si>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</si>
  <si>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</si>
  <si>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</si>
  <si>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</si>
  <si>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</si>
  <si>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</si>
  <si>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</si>
  <si>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</si>
  <si>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</si>
  <si>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</si>
  <si>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</si>
  <si>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</si>
  <si>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</si>
  <si>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</si>
  <si>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</si>
  <si>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</si>
  <si>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</si>
  <si>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</si>
  <si>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</si>
  <si>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</si>
  <si>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</si>
  <si>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</si>
  <si>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</si>
  <si>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</si>
  <si>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</si>
  <si>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</si>
  <si>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</si>
  <si>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</si>
  <si>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</si>
  <si>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</si>
  <si>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</si>
  <si>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</si>
  <si>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</si>
  <si>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</si>
  <si>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</si>
  <si>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</si>
  <si>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</si>
  <si>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</si>
  <si>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</si>
  <si>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</si>
  <si>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</si>
  <si>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</si>
  <si>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</si>
  <si>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</si>
  <si>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</si>
  <si>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</si>
  <si>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</si>
  <si>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</si>
  <si>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</si>
  <si>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</si>
  <si>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</si>
  <si>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</si>
  <si>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</si>
  <si>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</si>
  <si>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</si>
  <si>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</si>
  <si>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</si>
  <si>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</si>
  <si>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</si>
  <si>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</si>
  <si>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</si>
  <si>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</si>
  <si>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</si>
  <si>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</si>
  <si>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</si>
  <si>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</si>
  <si>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</si>
  <si>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</si>
  <si>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</si>
  <si>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</si>
  <si>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</si>
  <si>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</si>
  <si>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</si>
  <si>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</si>
  <si>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</si>
  <si>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</si>
  <si>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</si>
  <si>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</si>
  <si>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</si>
  <si>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</si>
  <si>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</si>
  <si>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</si>
  <si>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</si>
  <si>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</si>
  <si>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</si>
  <si>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</si>
  <si>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</si>
  <si>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</si>
  <si>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</si>
  <si>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</si>
  <si>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</si>
  <si>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</si>
  <si>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</si>
  <si>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</si>
  <si>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</si>
  <si>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</si>
  <si>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</si>
  <si>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</si>
  <si>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</si>
  <si>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</si>
  <si>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</si>
  <si>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</si>
  <si>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</si>
  <si>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</si>
  <si>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</si>
  <si>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</si>
  <si>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</si>
  <si>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</si>
  <si>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</si>
  <si>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</si>
  <si>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</si>
  <si>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</si>
  <si>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</si>
  <si>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</si>
  <si>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</si>
  <si>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</si>
  <si>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</si>
  <si>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</si>
  <si>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</si>
  <si>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</si>
  <si>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</si>
  <si>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</si>
  <si>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</si>
  <si>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</si>
  <si>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</si>
  <si>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</si>
  <si>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</si>
  <si>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</si>
  <si>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</si>
  <si>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</si>
  <si>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</si>
  <si>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</si>
  <si>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</si>
  <si>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</si>
  <si>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</si>
  <si>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</si>
  <si>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</si>
  <si>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</si>
  <si>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</si>
  <si>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</si>
  <si>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</si>
  <si>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</si>
  <si>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</si>
  <si>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</si>
  <si>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</si>
  <si>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</si>
  <si>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</si>
  <si>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</si>
  <si>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</si>
  <si>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</si>
  <si>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</si>
  <si>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</si>
  <si>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</si>
  <si>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</si>
  <si>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</si>
  <si>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</si>
  <si>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</si>
  <si>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</si>
  <si>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</si>
  <si>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</si>
  <si>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</si>
  <si>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</si>
  <si>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</si>
  <si>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</si>
  <si>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</si>
  <si>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</si>
  <si>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</si>
  <si>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</si>
  <si>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</si>
  <si>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</si>
  <si>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</si>
  <si>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</si>
  <si>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</si>
  <si>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</si>
  <si>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</si>
  <si>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</si>
  <si>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</si>
  <si>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</si>
  <si>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</si>
  <si>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</si>
  <si>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</si>
  <si>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</si>
  <si>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</si>
  <si>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</si>
  <si>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</si>
  <si>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</si>
  <si>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</si>
  <si>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</si>
  <si>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</si>
  <si>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</si>
  <si>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</si>
  <si>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</si>
  <si>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</si>
  <si>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</si>
  <si>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</si>
  <si>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</si>
  <si>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</si>
  <si>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</si>
  <si>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</si>
  <si>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</si>
  <si>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</si>
  <si>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</si>
  <si>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</si>
  <si>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</si>
  <si>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</si>
  <si>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</si>
  <si>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</si>
  <si>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</si>
  <si>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</si>
  <si>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</si>
  <si>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</si>
  <si>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</si>
  <si>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</si>
  <si>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</si>
  <si>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</si>
  <si>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</si>
  <si>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</si>
  <si>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</si>
  <si>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</si>
  <si>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</si>
  <si>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</si>
  <si>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</si>
  <si>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</si>
  <si>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</si>
  <si>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</si>
  <si>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</si>
  <si>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</si>
  <si>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</si>
  <si>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</si>
  <si>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</si>
  <si>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</si>
  <si>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</si>
  <si>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</si>
  <si>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</si>
  <si>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</si>
  <si>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</si>
  <si>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</si>
  <si>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</si>
  <si>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</si>
  <si>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</si>
  <si>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</si>
  <si>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</si>
  <si>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</si>
  <si>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</si>
  <si>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</si>
  <si>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</si>
  <si>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</si>
  <si>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</si>
  <si>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</si>
  <si>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</si>
  <si>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</si>
  <si>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</si>
  <si>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</si>
  <si>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</si>
  <si>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</si>
  <si>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</si>
  <si>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</si>
  <si>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</si>
  <si>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</si>
  <si>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</si>
  <si>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</si>
  <si>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</si>
  <si>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</si>
  <si>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</si>
  <si>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</si>
  <si>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</si>
  <si>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</si>
  <si>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</si>
  <si>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</si>
  <si>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</si>
  <si>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</si>
  <si>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</si>
  <si>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</si>
  <si>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</si>
  <si>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</si>
  <si>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</si>
  <si>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</si>
  <si>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</si>
  <si>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</si>
  <si>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</si>
  <si>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</si>
  <si>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</si>
  <si>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</si>
  <si>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</si>
  <si>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</si>
  <si>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</si>
  <si>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</si>
  <si>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</si>
  <si>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</si>
  <si>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</si>
  <si>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</si>
  <si>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</si>
  <si>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</si>
  <si>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</si>
  <si>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</si>
  <si>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</si>
  <si>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</si>
  <si>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</si>
  <si>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</si>
  <si>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</si>
  <si>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</si>
  <si>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</si>
  <si>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</si>
  <si>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</si>
  <si>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</si>
  <si>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</si>
  <si>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</si>
  <si>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</si>
  <si>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</si>
  <si>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</si>
  <si>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</si>
  <si>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</si>
  <si>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</si>
  <si>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</si>
  <si>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</si>
  <si>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</si>
  <si>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</si>
  <si>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</si>
  <si>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</si>
  <si>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</si>
  <si>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</si>
  <si>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</si>
  <si>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</si>
  <si>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</si>
  <si>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</si>
  <si>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</si>
  <si>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</si>
  <si>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</si>
  <si>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</si>
  <si>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</si>
  <si>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</si>
  <si>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</si>
  <si>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</si>
  <si>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</si>
  <si>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</si>
  <si>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</si>
  <si>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</si>
  <si>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</si>
  <si>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</si>
  <si>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</si>
  <si>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</si>
  <si>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</si>
  <si>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</si>
  <si>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</si>
  <si>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</si>
  <si>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</si>
  <si>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</si>
  <si>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</si>
  <si>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</si>
  <si>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</si>
  <si>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</si>
  <si>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</si>
  <si>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</si>
  <si>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</si>
  <si>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</si>
  <si>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</si>
  <si>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</si>
  <si>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</si>
  <si>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</si>
  <si>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</si>
  <si>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</si>
  <si>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</si>
  <si>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</si>
  <si>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</si>
  <si>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</si>
  <si>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</si>
  <si>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</si>
  <si>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</si>
  <si>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</si>
  <si>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</si>
  <si>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</si>
  <si>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</si>
  <si>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</si>
  <si>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</si>
  <si>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</si>
  <si>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</si>
  <si>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</si>
  <si>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</si>
  <si>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</si>
  <si>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</si>
  <si>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</si>
  <si>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</si>
  <si>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</si>
  <si>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</si>
  <si>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</si>
  <si>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</si>
  <si>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</si>
  <si>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</si>
  <si>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</si>
  <si>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</si>
  <si>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</si>
  <si>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</si>
  <si>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</si>
  <si>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</si>
  <si>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</si>
  <si>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</si>
  <si>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</si>
  <si>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</si>
  <si>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</si>
  <si>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</si>
  <si>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</si>
  <si>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</si>
  <si>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</si>
  <si>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</si>
  <si>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</si>
  <si>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</si>
  <si>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</si>
  <si>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</si>
  <si>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</si>
  <si>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</si>
  <si>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</si>
  <si>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</si>
  <si>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</si>
  <si>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</si>
  <si>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</si>
  <si>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</si>
  <si>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</si>
  <si>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</si>
  <si>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</si>
  <si>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</si>
  <si>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</si>
  <si>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</si>
  <si>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</si>
  <si>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</si>
  <si>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</si>
  <si>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</si>
  <si>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</si>
  <si>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</si>
  <si>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</si>
  <si>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</si>
  <si>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</si>
  <si>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</si>
  <si>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</si>
  <si>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</si>
  <si>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</si>
  <si>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</si>
  <si>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</si>
  <si>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</si>
  <si>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</si>
  <si>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</si>
  <si>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</si>
  <si>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</si>
  <si>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</si>
  <si>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</si>
  <si>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</si>
  <si>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</si>
  <si>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</si>
  <si>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</si>
  <si>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</si>
  <si>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</si>
  <si>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</si>
  <si>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</si>
  <si>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</si>
  <si>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</si>
  <si>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</si>
  <si>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</si>
  <si>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</si>
  <si>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</si>
  <si>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</si>
  <si>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</si>
  <si>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</si>
  <si>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</si>
  <si>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</si>
  <si>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</si>
  <si>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</si>
  <si>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</si>
  <si>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</si>
  <si>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</si>
  <si>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</si>
  <si>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</si>
  <si>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</si>
  <si>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</si>
  <si>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</si>
  <si>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</si>
  <si>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</si>
  <si>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</si>
  <si>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</si>
  <si>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</si>
  <si>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</si>
  <si>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</si>
  <si>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</si>
  <si>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</si>
  <si>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</si>
  <si>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</si>
  <si>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</si>
  <si>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</si>
  <si>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</si>
  <si>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</si>
  <si>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</si>
  <si>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</si>
  <si>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</si>
  <si>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</si>
  <si>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</si>
  <si>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</si>
  <si>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</si>
  <si>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</si>
  <si>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</si>
  <si>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</si>
  <si>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</si>
  <si>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</si>
  <si>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</si>
  <si>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</si>
  <si>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</si>
  <si>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</si>
  <si>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</si>
  <si>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</si>
  <si>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</si>
  <si>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</si>
  <si>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</si>
  <si>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</si>
  <si>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</si>
  <si>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</si>
  <si>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</si>
  <si>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</si>
  <si>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</si>
  <si>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</si>
  <si>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</si>
  <si>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</si>
  <si>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</si>
  <si>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</si>
  <si>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</si>
  <si>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</si>
  <si>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</si>
  <si>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</si>
  <si>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</si>
  <si>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</si>
  <si>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</si>
  <si>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</si>
  <si>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</si>
  <si>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</si>
  <si>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</si>
  <si>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</si>
  <si>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</si>
  <si>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</si>
  <si>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</si>
  <si>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</si>
  <si>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</si>
  <si>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</si>
  <si>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</si>
  <si>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</si>
  <si>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</si>
  <si>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</si>
  <si>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</si>
  <si>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</si>
  <si>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</si>
  <si>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</si>
  <si>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</si>
  <si>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</si>
  <si>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</si>
  <si>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</si>
  <si>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</si>
  <si>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</si>
  <si>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</si>
  <si>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</si>
  <si>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</si>
  <si>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</si>
  <si>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</si>
  <si>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</si>
  <si>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</si>
  <si>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</si>
  <si>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</si>
  <si>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</si>
  <si>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</si>
  <si>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</si>
  <si>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</si>
  <si>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</si>
  <si>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</si>
  <si>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</si>
  <si>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</si>
  <si>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</si>
  <si>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</si>
  <si>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</si>
  <si>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</si>
  <si>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</si>
  <si>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</si>
  <si>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</si>
  <si>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</si>
  <si>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</si>
  <si>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</si>
  <si>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</si>
  <si>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</si>
  <si>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</si>
  <si>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</si>
  <si>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</si>
  <si>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</si>
  <si>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</si>
  <si>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</si>
  <si>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</si>
  <si>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</si>
  <si>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</si>
  <si>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</si>
  <si>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</si>
  <si>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</si>
  <si>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</si>
  <si>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</si>
  <si>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</si>
  <si>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</si>
  <si>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</si>
  <si>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</si>
  <si>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</si>
  <si>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</si>
  <si>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</si>
  <si>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</si>
  <si>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</si>
  <si>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</si>
  <si>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</si>
  <si>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</si>
  <si>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</si>
  <si>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</si>
  <si>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</si>
  <si>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</si>
  <si>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</si>
  <si>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</si>
  <si>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</si>
  <si>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</si>
  <si>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</si>
  <si>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</si>
  <si>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</si>
  <si>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</si>
  <si>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</si>
  <si>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</si>
  <si>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</si>
  <si>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</si>
  <si>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</si>
  <si>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</si>
  <si>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</si>
  <si>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</si>
  <si>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</si>
  <si>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</si>
  <si>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</si>
  <si>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</si>
  <si>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</si>
  <si>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</si>
  <si>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</si>
  <si>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</si>
  <si>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</si>
  <si>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</si>
  <si>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</si>
  <si>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</si>
  <si>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</si>
  <si>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</si>
  <si>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</si>
  <si>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</si>
  <si>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</si>
  <si>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</si>
  <si>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</si>
  <si>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</si>
  <si>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</si>
  <si>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</si>
  <si>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</si>
  <si>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</si>
  <si>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</si>
  <si>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</si>
  <si>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</si>
  <si>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</si>
  <si>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</si>
  <si>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</si>
  <si>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</si>
  <si>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</si>
  <si>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</si>
  <si>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</si>
  <si>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</si>
  <si>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</si>
  <si>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</si>
  <si>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</si>
  <si>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</si>
  <si>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</si>
  <si>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</si>
  <si>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</si>
  <si>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</si>
  <si>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</si>
  <si>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</si>
  <si>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</si>
  <si>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</si>
  <si>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</si>
  <si>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</si>
  <si>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</si>
  <si>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</si>
  <si>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</si>
  <si>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</si>
  <si>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</si>
  <si>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</si>
  <si>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</si>
  <si>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</si>
  <si>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</si>
  <si>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</si>
  <si>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</si>
  <si>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</si>
  <si>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</si>
  <si>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</si>
  <si>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</si>
  <si>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</si>
  <si>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</si>
  <si>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</si>
  <si>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</si>
  <si>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</si>
  <si>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</si>
  <si>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</si>
  <si>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</si>
  <si>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</si>
  <si>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</si>
  <si>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</si>
  <si>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</si>
  <si>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</si>
  <si>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</si>
  <si>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</si>
  <si>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</si>
  <si>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</si>
  <si>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</si>
  <si>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</si>
  <si>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</si>
  <si>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</si>
  <si>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</si>
  <si>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</si>
  <si>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</si>
  <si>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</si>
  <si>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</si>
  <si>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</si>
  <si>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</si>
  <si>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</si>
  <si>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</si>
  <si>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</si>
  <si>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</si>
  <si>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</si>
  <si>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</si>
  <si>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</si>
  <si>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</si>
  <si>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</si>
  <si>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</si>
  <si>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</si>
  <si>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</si>
  <si>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</si>
  <si>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</si>
  <si>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</si>
  <si>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</si>
  <si>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</si>
  <si>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</si>
  <si>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</si>
  <si>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</si>
  <si>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</si>
  <si>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</si>
  <si>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</si>
  <si>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</si>
  <si>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</si>
  <si>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</si>
  <si>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</si>
  <si>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</si>
  <si>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</si>
  <si>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</si>
  <si>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</si>
  <si>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</si>
  <si>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</si>
  <si>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</si>
  <si>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</si>
  <si>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</si>
  <si>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</si>
  <si>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</si>
  <si>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</si>
  <si>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</si>
  <si>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</si>
  <si>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</si>
  <si>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</si>
  <si>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</si>
  <si>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</si>
  <si>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</si>
  <si>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</si>
  <si>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</si>
  <si>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</si>
  <si>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</si>
  <si>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</si>
  <si>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</si>
  <si>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</si>
  <si>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</si>
  <si>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</si>
  <si>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</si>
  <si>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</si>
  <si>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</si>
  <si>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</si>
  <si>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</si>
  <si>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</si>
  <si>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</si>
  <si>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</si>
  <si>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</si>
  <si>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</si>
  <si>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</si>
  <si>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</si>
  <si>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</si>
  <si>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</si>
  <si>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</si>
  <si>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</si>
  <si>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</si>
  <si>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</si>
  <si>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</si>
  <si>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</si>
  <si>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</si>
  <si>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</si>
  <si>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</si>
  <si>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</si>
  <si>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</si>
  <si>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</si>
  <si>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</si>
  <si>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</si>
  <si>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</si>
  <si>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</si>
  <si>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</si>
  <si>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</si>
  <si>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</si>
  <si>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</si>
  <si>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</si>
  <si>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</si>
  <si>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</si>
  <si>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</si>
  <si>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</si>
  <si>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</si>
  <si>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</si>
  <si>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</si>
  <si>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</si>
  <si>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</si>
  <si>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</si>
  <si>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</si>
  <si>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</si>
  <si>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</si>
  <si>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</si>
  <si>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</si>
  <si>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</si>
  <si>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</si>
  <si>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</si>
  <si>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</si>
  <si>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</si>
  <si>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</si>
  <si>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</si>
  <si>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</si>
  <si>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</si>
  <si>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</si>
  <si>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</si>
  <si>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</si>
  <si>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</si>
  <si>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</si>
  <si>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</si>
  <si>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</si>
  <si>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</si>
  <si>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</si>
  <si>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</si>
  <si>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</si>
  <si>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</si>
  <si>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</si>
  <si>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</si>
  <si>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</si>
  <si>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</si>
  <si>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</si>
  <si>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</si>
  <si>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</si>
  <si>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</si>
  <si>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</si>
  <si>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</si>
  <si>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</si>
  <si>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</si>
  <si>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</si>
  <si>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</si>
  <si>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</si>
  <si>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</si>
  <si>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</si>
  <si>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</si>
  <si>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</si>
  <si>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</si>
  <si>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</si>
  <si>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</si>
  <si>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</si>
  <si>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</si>
  <si>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</si>
  <si>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</si>
  <si>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</si>
  <si>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</si>
  <si>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</si>
  <si>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</si>
  <si>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</si>
  <si>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</si>
  <si>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</si>
  <si>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</si>
  <si>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</si>
  <si>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</si>
  <si>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</si>
  <si>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</si>
  <si>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</si>
  <si>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</si>
  <si>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</si>
  <si>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</si>
  <si>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</si>
  <si>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</si>
  <si>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</si>
  <si>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</si>
  <si>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</si>
  <si>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</si>
  <si>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</si>
  <si>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</si>
  <si>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</si>
  <si>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</si>
  <si>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</si>
  <si>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</si>
  <si>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</si>
  <si>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</si>
  <si>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</si>
  <si>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</si>
  <si>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</si>
  <si>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</si>
  <si>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</si>
  <si>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</si>
  <si>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</si>
  <si>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</si>
  <si>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</si>
  <si>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</si>
  <si>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</si>
  <si>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</si>
  <si>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</si>
  <si>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</si>
  <si>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</si>
  <si>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</si>
  <si>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</si>
  <si>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</si>
  <si>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</si>
  <si>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</si>
  <si>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</si>
  <si>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</si>
  <si>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</si>
  <si>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</si>
  <si>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</si>
  <si>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</si>
  <si>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</si>
  <si>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</si>
  <si>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</si>
  <si>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</si>
  <si>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</si>
  <si>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</si>
  <si>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</si>
  <si>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</si>
  <si>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</si>
  <si>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</si>
  <si>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</si>
  <si>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</si>
  <si>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</si>
  <si>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</si>
  <si>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</si>
  <si>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</si>
  <si>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</si>
  <si>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</si>
  <si>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</si>
  <si>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</si>
  <si>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</si>
  <si>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</si>
  <si>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</si>
  <si>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</si>
  <si>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</si>
  <si>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</si>
  <si>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</si>
  <si>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</si>
  <si>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</si>
  <si>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</si>
  <si>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</si>
  <si>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</si>
  <si>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</si>
  <si>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</si>
  <si>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</si>
  <si>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</si>
  <si>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</si>
  <si>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</si>
  <si>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</si>
  <si>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</si>
  <si>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</si>
  <si>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P100</t>
  </si>
  <si>
    <t>#MC</t>
  </si>
  <si>
    <t>All experiments run on Cheaha, A100, 80GB gpu</t>
  </si>
  <si>
    <t>CPU+GPU</t>
  </si>
  <si>
    <t>NA</t>
  </si>
  <si>
    <t>cpuchunk</t>
  </si>
  <si>
    <t>Column7</t>
  </si>
  <si>
    <t>Column8</t>
  </si>
  <si>
    <t>k</t>
  </si>
  <si>
    <t>g</t>
  </si>
  <si>
    <t>FastQC</t>
  </si>
  <si>
    <t>Dataset</t>
  </si>
  <si>
    <t>G2AIMD (pingpong)</t>
  </si>
  <si>
    <t>gpu-layered</t>
  </si>
  <si>
    <t>https://networkrepository.com/fb-pages-artist.php</t>
  </si>
  <si>
    <t>FB-Pages</t>
  </si>
  <si>
    <t>Parallel</t>
  </si>
  <si>
    <t>min_size</t>
  </si>
  <si>
    <t>gamma</t>
  </si>
  <si>
    <t>X</t>
  </si>
  <si>
    <t>avg_degree</t>
  </si>
  <si>
    <t>selected</t>
  </si>
  <si>
    <t>query</t>
  </si>
  <si>
    <t>gpu-hybrid-copy</t>
  </si>
  <si>
    <t>gpu-hybrid-drop</t>
  </si>
  <si>
    <t>ratio_G2L</t>
  </si>
  <si>
    <t>183.09 </t>
  </si>
  <si>
    <t>180.02 </t>
  </si>
  <si>
    <t>182.85 </t>
  </si>
  <si>
    <t>476.47 </t>
  </si>
  <si>
    <t>479.54 </t>
  </si>
  <si>
    <t># top level tasks</t>
  </si>
  <si>
    <t>|V|</t>
  </si>
  <si>
    <t>|E|</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</si>
  <si>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</si>
  <si>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</si>
  <si>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</si>
  <si>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</si>
  <si>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</si>
  <si>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</si>
  <si>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</si>
  <si>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</si>
  <si>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</si>
  <si>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</si>
  <si>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</si>
  <si>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</si>
  <si>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</si>
  <si>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</si>
  <si>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</si>
  <si>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</si>
  <si>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</si>
  <si>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</si>
  <si>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</si>
  <si>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</si>
  <si>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</si>
  <si>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</si>
  <si>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</si>
  <si>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same as GPU</t>
  </si>
  <si>
    <t>same as CPU</t>
  </si>
  <si>
    <t>worse than GPU</t>
  </si>
  <si>
    <t>too small</t>
  </si>
  <si>
    <t>worse than CPU</t>
  </si>
  <si>
    <t xml:space="preserve">selection values: </t>
  </si>
  <si>
    <t>2: paper reporting</t>
  </si>
  <si>
    <t>1: including for SM</t>
  </si>
  <si>
    <t>0: removed</t>
  </si>
  <si>
    <t>ratio_G2HC</t>
  </si>
  <si>
    <t>ratio_HC2CG</t>
  </si>
  <si>
    <t>G2AIMD-OOM-Fixed</t>
  </si>
  <si>
    <t>G2AIMD (OOM fixed)</t>
  </si>
  <si>
    <t>CPU+GPU (1)</t>
  </si>
  <si>
    <t>CPU+GPU(10)</t>
  </si>
  <si>
    <t>ratio_HL2CG</t>
  </si>
  <si>
    <t>STMatch</t>
  </si>
  <si>
    <t>EGSM</t>
  </si>
  <si>
    <t>GAMMA</t>
  </si>
  <si>
    <t>Quick</t>
  </si>
  <si>
    <t>MC selection</t>
  </si>
  <si>
    <t>paper reporting</t>
  </si>
  <si>
    <t>d_avg</t>
  </si>
  <si>
    <t>G</t>
  </si>
  <si>
    <r>
      <t>G</t>
    </r>
    <r>
      <rPr>
        <b/>
        <vertAlign val="superscript"/>
        <sz val="10"/>
        <color rgb="FF000000"/>
        <rFont val="Times New Roman"/>
        <family val="1"/>
      </rPr>
      <t>2</t>
    </r>
    <r>
      <rPr>
        <b/>
        <sz val="10"/>
        <color rgb="FF000000"/>
        <rFont val="Times New Roman"/>
        <family val="1"/>
      </rPr>
      <t>-AIMD</t>
    </r>
  </si>
  <si>
    <t>CPU-Only</t>
  </si>
  <si>
    <t>GPU-Layered</t>
  </si>
  <si>
    <t>GPU-Hybrid</t>
  </si>
  <si>
    <r>
      <t>Gain</t>
    </r>
    <r>
      <rPr>
        <b/>
        <vertAlign val="superscript"/>
        <sz val="10"/>
        <color rgb="FF000000"/>
        <rFont val="Times New Roman"/>
        <family val="1"/>
      </rPr>
      <t>CG2C</t>
    </r>
  </si>
  <si>
    <r>
      <t>Gain</t>
    </r>
    <r>
      <rPr>
        <b/>
        <vertAlign val="superscript"/>
        <sz val="10"/>
        <color rgb="FF000000"/>
        <rFont val="Times New Roman"/>
        <family val="1"/>
      </rPr>
      <t>CG2GH</t>
    </r>
  </si>
  <si>
    <r>
      <t>Gain</t>
    </r>
    <r>
      <rPr>
        <b/>
        <vertAlign val="superscript"/>
        <sz val="10"/>
        <color rgb="FF000000"/>
        <rFont val="Times New Roman"/>
        <family val="1"/>
      </rPr>
      <t>GH2G</t>
    </r>
  </si>
  <si>
    <t>P1</t>
  </si>
  <si>
    <t>P2</t>
  </si>
  <si>
    <t>P3</t>
  </si>
  <si>
    <t>P4</t>
  </si>
  <si>
    <t>P5</t>
  </si>
  <si>
    <t>Query</t>
  </si>
  <si>
    <t>Maxmial Clique</t>
  </si>
  <si>
    <t>Subgraph Matching</t>
  </si>
  <si>
    <r>
      <t>d</t>
    </r>
    <r>
      <rPr>
        <b/>
        <i/>
        <vertAlign val="subscript"/>
        <sz val="12"/>
        <color rgb="FF000000"/>
        <rFont val="Times New Roman"/>
        <family val="1"/>
      </rPr>
      <t>max</t>
    </r>
  </si>
  <si>
    <r>
      <t>Gain</t>
    </r>
    <r>
      <rPr>
        <b/>
        <vertAlign val="superscript"/>
        <sz val="10"/>
        <color rgb="FF000000"/>
        <rFont val="Times New Roman"/>
        <family val="1"/>
      </rPr>
      <t>GL2G</t>
    </r>
  </si>
  <si>
    <r>
      <t>Gain</t>
    </r>
    <r>
      <rPr>
        <b/>
        <vertAlign val="superscript"/>
        <sz val="10"/>
        <color rgb="FF000000"/>
        <rFont val="Times New Roman"/>
        <family val="1"/>
      </rPr>
      <t>CG2GL</t>
    </r>
  </si>
  <si>
    <t>MQC</t>
  </si>
  <si>
    <t xml:space="preserve"> 1,000 </t>
  </si>
  <si>
    <t xml:space="preserve"> 2,000 </t>
  </si>
  <si>
    <t xml:space="preserve"> 5,000 </t>
  </si>
  <si>
    <t xml:space="preserve"> 10,000 </t>
  </si>
  <si>
    <t xml:space="preserve"> 20,000 </t>
  </si>
  <si>
    <t xml:space="preserve"> 1,000 5</t>
  </si>
  <si>
    <t xml:space="preserve"> 2,000 6</t>
  </si>
  <si>
    <t xml:space="preserve"> 5,000 7</t>
  </si>
  <si>
    <t xml:space="preserve"> 10,000 8</t>
  </si>
  <si>
    <t xml:space="preserve"> 20,000 9</t>
  </si>
  <si>
    <t>Column10</t>
  </si>
  <si>
    <t>1</t>
  </si>
  <si>
    <t>10</t>
  </si>
  <si>
    <t>100</t>
  </si>
  <si>
    <t>200</t>
  </si>
  <si>
    <t>500</t>
  </si>
  <si>
    <t>1000</t>
  </si>
  <si>
    <t>Column12</t>
  </si>
  <si>
    <t>10000</t>
  </si>
  <si>
    <t>Column18</t>
  </si>
  <si>
    <t xml:space="preserve"> 100,000 </t>
  </si>
  <si>
    <t xml:space="preserve"> 500,000 </t>
  </si>
  <si>
    <t xml:space="preserve"> 1,000,000 </t>
  </si>
  <si>
    <t>web-wikipedia_link_en_en13-all</t>
  </si>
  <si>
    <t>t1</t>
  </si>
  <si>
    <t>t10</t>
  </si>
  <si>
    <t>t10000</t>
  </si>
  <si>
    <t xml:space="preserve"> c1,000</t>
  </si>
  <si>
    <t>c5000</t>
  </si>
  <si>
    <t>c10000</t>
  </si>
  <si>
    <t>eta 2000</t>
  </si>
  <si>
    <t>eta 5000</t>
  </si>
  <si>
    <t>eta 10000</t>
  </si>
  <si>
    <t>eta 1000</t>
  </si>
  <si>
    <t>c=2 for eta experiments</t>
  </si>
  <si>
    <t xml:space="preserve">  </t>
  </si>
  <si>
    <t xml:space="preserve">cpuchunk </t>
  </si>
  <si>
    <t>eta</t>
  </si>
  <si>
    <t>1M</t>
  </si>
  <si>
    <t>5000</t>
  </si>
  <si>
    <t>50000</t>
  </si>
  <si>
    <t>we are using 5000 as default value for MC</t>
  </si>
  <si>
    <t>ratio_C2CG</t>
  </si>
  <si>
    <t>GPU to Host Transfer Size</t>
  </si>
  <si>
    <t>1002</t>
  </si>
  <si>
    <t xml:space="preserve"> </t>
  </si>
  <si>
    <t>100_GH</t>
  </si>
  <si>
    <t>Quick2</t>
  </si>
  <si>
    <t>FastQC3</t>
  </si>
  <si>
    <t>ratio_G2GL</t>
  </si>
  <si>
    <t>G2AIMD (FIXED)</t>
  </si>
  <si>
    <t>ratio_GL2CG</t>
  </si>
  <si>
    <t xml:space="preserve">G2AIMD </t>
  </si>
  <si>
    <t>50</t>
  </si>
  <si>
    <t>tau (ms) (cpuchunk=200, gpuchunk=100k)</t>
  </si>
  <si>
    <t>t1002</t>
  </si>
  <si>
    <t>gpu chunk (cpuchunk=200, tau=100)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</si>
</sst>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67" formatCode="_(* #,##0.0_);_(* \(#,##0.0\);_(* &quot;-&quot;??_);_(@_)"/>
  </numFmts>
  <fonts count="82"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sz val="18"/>
      <color theme="1" tint="0.499984740745262"/>
      <name val="Monaco"/>
      <family val="2"/>
    </font>
    <font>
      <sz val="22"/>
      <color theme="1"/>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
      <sz val="18"/>
      <color theme="0" tint="-0.34998626667073579"/>
      <name val="Monaco"/>
      <family val="2"/>
    </font>
    <font>
      <sz val="20"/>
      <color rgb="FFC00000"/>
      <name val="Aptos Narrow"/>
      <family val="2"/>
      <scheme val="minor"/>
    </font>
    <font>
      <b/>
      <sz val="10"/>
      <color rgb="FF000000"/>
      <name val="Times New Roman"/>
      <family val="1"/>
    </font>
    <font>
      <b/>
      <vertAlign val="superscript"/>
      <sz val="10"/>
      <color rgb="FF000000"/>
      <name val="Times New Roman"/>
      <family val="1"/>
    </font>
    <font>
      <i/>
      <sz val="12"/>
      <color rgb="FF000000"/>
      <name val="Times New Roman"/>
      <family val="1"/>
    </font>
    <font>
      <sz val="12"/>
      <color rgb="FF000000"/>
      <name val="Times New Roman"/>
      <family val="1"/>
    </font>
    <font>
      <i/>
      <sz val="12"/>
      <color theme="1"/>
      <name val="Times New Roman"/>
      <family val="1"/>
    </font>
    <font>
      <b/>
      <i/>
      <sz val="11"/>
      <color rgb="FF000000"/>
      <name val="Times New Roman"/>
      <family val="1"/>
    </font>
    <font>
      <b/>
      <i/>
      <sz val="12"/>
      <color rgb="FF000000"/>
      <name val="Times New Roman"/>
      <family val="1"/>
    </font>
    <font>
      <b/>
      <i/>
      <vertAlign val="subscript"/>
      <sz val="12"/>
      <color rgb="FF000000"/>
      <name val="Times New Roman"/>
      <family val="1"/>
    </font>
    <font>
      <sz val="10"/>
      <color theme="1"/>
      <name val="Times New Roman"/>
      <family val="1"/>
    </font>
    <font>
      <b/>
      <sz val="10"/>
      <color theme="0"/>
      <name val="Times New Roman"/>
      <family val="1"/>
    </font>
    <font>
      <sz val="10"/>
      <name val="Times New Roman"/>
      <family val="1"/>
    </font>
    <font>
      <b/>
      <sz val="10"/>
      <color theme="1"/>
      <name val="Times New Roman"/>
      <family val="1"/>
    </font>
    <font>
      <sz val="12"/>
      <color rgb="FFFF0000"/>
      <name val="Times New Roman"/>
      <family val="1"/>
    </font>
    <font>
      <b/>
      <sz val="12"/>
      <color theme="0"/>
      <name val="Aptos Narrow"/>
      <family val="2"/>
      <scheme val="minor"/>
    </font>
    <font>
      <b/>
      <sz val="18"/>
      <color theme="0"/>
      <name val="Aptos Narrow"/>
      <family val="2"/>
      <scheme val="minor"/>
    </font>
    <font>
      <i/>
      <sz val="11"/>
      <color rgb="FF000000"/>
      <name val="Times New Roman"/>
      <family val="1"/>
    </font>
    <font>
      <sz val="18"/>
      <color theme="0"/>
      <name val="Aptos Narrow"/>
      <family val="2"/>
      <scheme val="minor"/>
    </font>
    <font>
      <sz val="24"/>
      <name val="Aptos"/>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
      <patternFill patternType="solid">
        <fgColor theme="0" tint="-0.14999847407452621"/>
        <bgColor theme="0" tint="-0.14999847407452621"/>
      </patternFill>
    </fill>
  </fills>
  <borders count="31">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
      <left/>
      <right/>
      <top style="medium">
        <color rgb="FF000000"/>
      </top>
      <bottom style="thin">
        <color rgb="FF000000"/>
      </bottom>
      <diagonal/>
    </border>
    <border>
      <left/>
      <right/>
      <top style="thin">
        <color rgb="FF000000"/>
      </top>
      <bottom/>
      <diagonal/>
    </border>
    <border>
      <left/>
      <right/>
      <top style="thin">
        <color indexed="64"/>
      </top>
      <bottom/>
      <diagonal/>
    </border>
    <border>
      <left/>
      <right style="thin">
        <color theme="4"/>
      </right>
      <top style="thin">
        <color rgb="FF156082"/>
      </top>
      <bottom/>
      <diagonal/>
    </border>
    <border>
      <left/>
      <right style="thin">
        <color theme="4"/>
      </right>
      <top style="thin">
        <color theme="4"/>
      </top>
      <bottom/>
      <diagonal/>
    </border>
    <border>
      <left/>
      <right/>
      <top/>
      <bottom style="thin">
        <color theme="1"/>
      </bottom>
      <diagonal/>
    </border>
    <border>
      <left/>
      <right/>
      <top/>
      <bottom style="medium">
        <color rgb="FF000000"/>
      </bottom>
      <diagonal/>
    </border>
  </borders>
  <cellStyleXfs count="2">
    <xf numFmtId="0" fontId="0" fillId="0" borderId="0"/>
    <xf numFmtId="43" fontId="1" fillId="0" borderId="0" applyFont="0" applyFill="0" applyBorder="0" applyAlignment="0" applyProtection="0"/>
  </cellStyleXfs>
  <cellXfs count="311">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applyAlignment="1">
      <alignment horizontal="center"/>
    </xf>
    <xf numFmtId="164" fontId="33" fillId="0" borderId="0" xfId="0" applyNumberFormat="1" applyFont="1"/>
    <xf numFmtId="0" fontId="35" fillId="0" borderId="0" xfId="0" applyFont="1"/>
    <xf numFmtId="164" fontId="35" fillId="0" borderId="0" xfId="0" applyNumberFormat="1" applyFont="1"/>
    <xf numFmtId="0" fontId="36" fillId="0" borderId="0" xfId="0" applyFont="1"/>
    <xf numFmtId="0" fontId="20" fillId="0" borderId="0" xfId="0" applyFont="1"/>
    <xf numFmtId="0" fontId="37" fillId="0" borderId="0" xfId="0" applyFont="1"/>
    <xf numFmtId="0" fontId="37" fillId="0" borderId="0" xfId="0" applyFont="1" applyAlignment="1">
      <alignment horizontal="center"/>
    </xf>
    <xf numFmtId="1" fontId="38" fillId="0" borderId="0" xfId="0" applyNumberFormat="1" applyFont="1"/>
    <xf numFmtId="1" fontId="39" fillId="0" borderId="0" xfId="0" applyNumberFormat="1" applyFont="1"/>
    <xf numFmtId="2" fontId="23" fillId="0" borderId="0" xfId="0" applyNumberFormat="1" applyFont="1"/>
    <xf numFmtId="0" fontId="40" fillId="4" borderId="1" xfId="0" applyFont="1" applyFill="1" applyBorder="1"/>
    <xf numFmtId="0" fontId="40" fillId="4" borderId="0" xfId="0" applyFont="1" applyFill="1"/>
    <xf numFmtId="0" fontId="40" fillId="4" borderId="8" xfId="0" applyFont="1" applyFill="1" applyBorder="1"/>
    <xf numFmtId="0" fontId="0" fillId="6" borderId="0" xfId="0" applyFill="1"/>
    <xf numFmtId="3" fontId="42" fillId="0" borderId="0" xfId="0" applyNumberFormat="1" applyFont="1"/>
    <xf numFmtId="0" fontId="0" fillId="0" borderId="9" xfId="0" applyBorder="1"/>
    <xf numFmtId="164" fontId="44" fillId="0" borderId="0" xfId="0" applyNumberFormat="1" applyFont="1"/>
    <xf numFmtId="0" fontId="18" fillId="0" borderId="12" xfId="0" applyFont="1" applyBorder="1"/>
    <xf numFmtId="166" fontId="27" fillId="0" borderId="0" xfId="0" applyNumberFormat="1" applyFont="1"/>
    <xf numFmtId="0" fontId="45" fillId="0" borderId="0" xfId="0" applyFont="1"/>
    <xf numFmtId="164" fontId="45" fillId="0" borderId="0" xfId="0" applyNumberFormat="1" applyFont="1"/>
    <xf numFmtId="4" fontId="19" fillId="0" borderId="0" xfId="0" applyNumberFormat="1" applyFont="1"/>
    <xf numFmtId="164" fontId="36" fillId="0" borderId="0" xfId="0" applyNumberFormat="1" applyFont="1"/>
    <xf numFmtId="0" fontId="35" fillId="0" borderId="1" xfId="0" applyFont="1" applyBorder="1"/>
    <xf numFmtId="0" fontId="31" fillId="0" borderId="0" xfId="0" applyFont="1"/>
    <xf numFmtId="0" fontId="46" fillId="0" borderId="0" xfId="0" applyFont="1"/>
    <xf numFmtId="165" fontId="18" fillId="0" borderId="0" xfId="1" applyNumberFormat="1" applyFont="1" applyFill="1" applyBorder="1"/>
    <xf numFmtId="164" fontId="27" fillId="2" borderId="0" xfId="0" applyNumberFormat="1" applyFont="1" applyFill="1"/>
    <xf numFmtId="164" fontId="48" fillId="0" borderId="0" xfId="0" applyNumberFormat="1" applyFont="1"/>
    <xf numFmtId="0" fontId="49" fillId="0" borderId="0" xfId="0" applyFont="1"/>
    <xf numFmtId="0" fontId="36" fillId="0" borderId="1" xfId="0" applyFont="1" applyBorder="1"/>
    <xf numFmtId="1" fontId="34" fillId="0" borderId="0" xfId="0" applyNumberFormat="1" applyFont="1"/>
    <xf numFmtId="1" fontId="50"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1" fillId="0" borderId="0" xfId="1" applyNumberFormat="1" applyFont="1"/>
    <xf numFmtId="164" fontId="31" fillId="0" borderId="0" xfId="0" applyNumberFormat="1" applyFont="1"/>
    <xf numFmtId="164" fontId="51" fillId="0" borderId="0" xfId="0" applyNumberFormat="1" applyFont="1"/>
    <xf numFmtId="0" fontId="53" fillId="0" borderId="0" xfId="0" applyFont="1"/>
    <xf numFmtId="2" fontId="36" fillId="0" borderId="0" xfId="0" applyNumberFormat="1" applyFont="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4" fillId="0" borderId="0" xfId="0" applyFont="1" applyAlignment="1">
      <alignment vertical="center"/>
    </xf>
    <xf numFmtId="2" fontId="55" fillId="3" borderId="0" xfId="0" applyNumberFormat="1" applyFont="1" applyFill="1"/>
    <xf numFmtId="2" fontId="55" fillId="3" borderId="0" xfId="0" applyNumberFormat="1" applyFont="1" applyFill="1" applyAlignment="1">
      <alignment horizontal="center"/>
    </xf>
    <xf numFmtId="0" fontId="56" fillId="8" borderId="22" xfId="0" applyFont="1" applyFill="1" applyBorder="1"/>
    <xf numFmtId="164" fontId="28" fillId="0" borderId="0" xfId="0" applyNumberFormat="1" applyFont="1"/>
    <xf numFmtId="164" fontId="28" fillId="2" borderId="0" xfId="0" applyNumberFormat="1" applyFont="1" applyFill="1"/>
    <xf numFmtId="164" fontId="47" fillId="0" borderId="0" xfId="0" applyNumberFormat="1" applyFont="1"/>
    <xf numFmtId="0" fontId="52" fillId="9" borderId="0" xfId="0" applyFont="1" applyFill="1"/>
    <xf numFmtId="0" fontId="23" fillId="0" borderId="1" xfId="0" applyFont="1" applyBorder="1"/>
    <xf numFmtId="3" fontId="23" fillId="0" borderId="1" xfId="0" applyNumberFormat="1" applyFont="1" applyBorder="1"/>
    <xf numFmtId="0" fontId="23" fillId="0" borderId="23" xfId="0" applyFont="1" applyBorder="1"/>
    <xf numFmtId="164" fontId="58" fillId="0" borderId="0" xfId="0" applyNumberFormat="1" applyFont="1"/>
    <xf numFmtId="0" fontId="60"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59" fillId="0" borderId="0" xfId="0" applyFont="1"/>
    <xf numFmtId="0" fontId="60"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17" xfId="0" applyBorder="1"/>
    <xf numFmtId="164" fontId="57" fillId="2" borderId="16" xfId="0" applyNumberFormat="1" applyFont="1" applyFill="1" applyBorder="1"/>
    <xf numFmtId="164" fontId="57" fillId="0" borderId="0" xfId="0" applyNumberFormat="1" applyFont="1"/>
    <xf numFmtId="164" fontId="58" fillId="0" borderId="17" xfId="0" applyNumberFormat="1" applyFont="1" applyBorder="1"/>
    <xf numFmtId="164" fontId="57" fillId="2" borderId="0" xfId="0" applyNumberFormat="1" applyFont="1" applyFill="1"/>
    <xf numFmtId="164" fontId="58" fillId="2" borderId="0" xfId="0" applyNumberFormat="1" applyFont="1" applyFill="1"/>
    <xf numFmtId="164" fontId="57" fillId="2" borderId="19" xfId="0" applyNumberFormat="1" applyFont="1" applyFill="1" applyBorder="1"/>
    <xf numFmtId="164" fontId="58" fillId="0" borderId="19" xfId="0" applyNumberFormat="1" applyFont="1" applyBorder="1"/>
    <xf numFmtId="164" fontId="58" fillId="0" borderId="20" xfId="0" applyNumberFormat="1" applyFont="1" applyBorder="1"/>
    <xf numFmtId="0" fontId="60" fillId="0" borderId="16" xfId="0" applyFont="1" applyBorder="1"/>
    <xf numFmtId="164" fontId="58" fillId="0" borderId="16" xfId="0" applyNumberFormat="1" applyFont="1" applyBorder="1"/>
    <xf numFmtId="164" fontId="58" fillId="2" borderId="17" xfId="0" applyNumberFormat="1" applyFont="1" applyFill="1" applyBorder="1"/>
    <xf numFmtId="164" fontId="58" fillId="2" borderId="16" xfId="0" applyNumberFormat="1" applyFont="1" applyFill="1" applyBorder="1"/>
    <xf numFmtId="164" fontId="58" fillId="0" borderId="18" xfId="0" applyNumberFormat="1" applyFont="1" applyBorder="1"/>
    <xf numFmtId="164" fontId="58" fillId="2" borderId="19" xfId="0" applyNumberFormat="1" applyFont="1" applyFill="1" applyBorder="1"/>
    <xf numFmtId="0" fontId="4" fillId="0" borderId="13" xfId="0" applyFont="1" applyBorder="1"/>
    <xf numFmtId="164" fontId="20" fillId="0" borderId="0" xfId="0" applyNumberFormat="1" applyFont="1" applyAlignment="1">
      <alignment horizontal="center"/>
    </xf>
    <xf numFmtId="164" fontId="23" fillId="0" borderId="0" xfId="0" applyNumberFormat="1" applyFont="1" applyAlignment="1">
      <alignment horizontal="center"/>
    </xf>
    <xf numFmtId="164" fontId="27" fillId="0" borderId="19" xfId="0" applyNumberFormat="1" applyFont="1" applyBorder="1"/>
    <xf numFmtId="164" fontId="17" fillId="0" borderId="0" xfId="0" applyNumberFormat="1" applyFont="1"/>
    <xf numFmtId="1" fontId="41" fillId="5" borderId="0" xfId="1" applyNumberFormat="1" applyFont="1" applyFill="1" applyAlignment="1">
      <alignment horizontal="center"/>
    </xf>
    <xf numFmtId="0" fontId="61" fillId="0" borderId="0" xfId="0" applyFont="1"/>
    <xf numFmtId="2" fontId="10" fillId="7" borderId="0" xfId="0" applyNumberFormat="1" applyFont="1" applyFill="1"/>
    <xf numFmtId="164" fontId="22" fillId="7" borderId="0" xfId="0" applyNumberFormat="1" applyFont="1" applyFill="1" applyAlignment="1">
      <alignment horizontal="center"/>
    </xf>
    <xf numFmtId="2" fontId="31" fillId="0" borderId="0" xfId="0" applyNumberFormat="1" applyFont="1"/>
    <xf numFmtId="2" fontId="63" fillId="0" borderId="0" xfId="0" applyNumberFormat="1" applyFont="1"/>
    <xf numFmtId="0" fontId="4" fillId="0" borderId="0" xfId="0" applyFont="1" applyAlignment="1">
      <alignment horizontal="center"/>
    </xf>
    <xf numFmtId="164" fontId="27" fillId="0" borderId="13" xfId="0" applyNumberFormat="1" applyFont="1" applyBorder="1"/>
    <xf numFmtId="164" fontId="57" fillId="0" borderId="16" xfId="0" applyNumberFormat="1" applyFont="1" applyBorder="1"/>
    <xf numFmtId="164" fontId="57" fillId="0" borderId="18" xfId="0" applyNumberFormat="1" applyFont="1" applyBorder="1"/>
    <xf numFmtId="164" fontId="57" fillId="0" borderId="19" xfId="0" applyNumberFormat="1" applyFont="1" applyBorder="1"/>
    <xf numFmtId="0" fontId="66" fillId="0" borderId="25" xfId="0" applyFont="1" applyBorder="1" applyAlignment="1">
      <alignment horizontal="left" wrapText="1" readingOrder="1"/>
    </xf>
    <xf numFmtId="0" fontId="66" fillId="0" borderId="0" xfId="0" applyFont="1" applyAlignment="1">
      <alignment horizontal="left" wrapText="1" readingOrder="1"/>
    </xf>
    <xf numFmtId="2" fontId="67" fillId="0" borderId="0" xfId="0" applyNumberFormat="1" applyFont="1" applyAlignment="1">
      <alignment horizontal="center" wrapText="1" readingOrder="1"/>
    </xf>
    <xf numFmtId="164" fontId="67" fillId="0" borderId="0" xfId="0" applyNumberFormat="1" applyFont="1" applyAlignment="1">
      <alignment horizontal="center" wrapText="1" readingOrder="1"/>
    </xf>
    <xf numFmtId="1" fontId="67" fillId="0" borderId="0" xfId="0" applyNumberFormat="1" applyFont="1" applyAlignment="1">
      <alignment horizontal="center" wrapText="1" readingOrder="1"/>
    </xf>
    <xf numFmtId="0" fontId="66" fillId="0" borderId="19" xfId="0" applyFont="1" applyBorder="1" applyAlignment="1">
      <alignment horizontal="left" wrapText="1" readingOrder="1"/>
    </xf>
    <xf numFmtId="164" fontId="67" fillId="0" borderId="19" xfId="0" applyNumberFormat="1" applyFont="1" applyBorder="1" applyAlignment="1">
      <alignment horizontal="center" wrapText="1" readingOrder="1"/>
    </xf>
    <xf numFmtId="0" fontId="64" fillId="0" borderId="24" xfId="0" applyFont="1" applyBorder="1" applyAlignment="1">
      <alignment horizontal="center" vertical="center" wrapText="1" readingOrder="1"/>
    </xf>
    <xf numFmtId="0" fontId="69" fillId="0" borderId="24" xfId="0" applyFont="1" applyBorder="1" applyAlignment="1">
      <alignment horizontal="center" vertical="center" wrapText="1" readingOrder="1"/>
    </xf>
    <xf numFmtId="0" fontId="70" fillId="0" borderId="24" xfId="0" applyFont="1" applyBorder="1" applyAlignment="1">
      <alignment horizontal="center" vertical="center" wrapText="1" readingOrder="1"/>
    </xf>
    <xf numFmtId="164" fontId="66" fillId="0" borderId="0" xfId="0" applyNumberFormat="1" applyFont="1" applyAlignment="1">
      <alignment horizontal="left" wrapText="1" readingOrder="1"/>
    </xf>
    <xf numFmtId="164" fontId="66" fillId="0" borderId="19" xfId="0" applyNumberFormat="1" applyFont="1" applyBorder="1" applyAlignment="1">
      <alignment horizontal="left" wrapText="1" readingOrder="1"/>
    </xf>
    <xf numFmtId="1" fontId="67" fillId="0" borderId="19" xfId="0" applyNumberFormat="1" applyFont="1" applyBorder="1" applyAlignment="1">
      <alignment horizontal="center" wrapText="1" readingOrder="1"/>
    </xf>
    <xf numFmtId="2" fontId="67" fillId="0" borderId="19" xfId="0" applyNumberFormat="1" applyFont="1" applyBorder="1" applyAlignment="1">
      <alignment horizontal="center" wrapText="1" readingOrder="1"/>
    </xf>
    <xf numFmtId="0" fontId="67" fillId="0" borderId="0" xfId="0" applyFont="1" applyAlignment="1">
      <alignment horizontal="center" wrapText="1" readingOrder="1"/>
    </xf>
    <xf numFmtId="0" fontId="67" fillId="0" borderId="19" xfId="0" applyFont="1" applyBorder="1" applyAlignment="1">
      <alignment horizontal="center" wrapText="1" readingOrder="1"/>
    </xf>
    <xf numFmtId="3" fontId="67" fillId="0" borderId="0" xfId="0" applyNumberFormat="1" applyFont="1" applyAlignment="1">
      <alignment horizontal="center" wrapText="1" readingOrder="1"/>
    </xf>
    <xf numFmtId="164" fontId="67" fillId="0" borderId="21" xfId="0" applyNumberFormat="1" applyFont="1" applyBorder="1" applyAlignment="1">
      <alignment horizontal="center" wrapText="1" readingOrder="1"/>
    </xf>
    <xf numFmtId="164" fontId="67" fillId="0" borderId="0" xfId="0" applyNumberFormat="1" applyFont="1" applyAlignment="1">
      <alignment horizontal="left" readingOrder="1"/>
    </xf>
    <xf numFmtId="0" fontId="72" fillId="0" borderId="0" xfId="0" applyFont="1"/>
    <xf numFmtId="0" fontId="73" fillId="4" borderId="1" xfId="0" applyFont="1" applyFill="1" applyBorder="1"/>
    <xf numFmtId="0" fontId="74" fillId="0" borderId="1" xfId="0" applyFont="1" applyBorder="1"/>
    <xf numFmtId="3" fontId="74" fillId="0" borderId="1" xfId="0" applyNumberFormat="1" applyFont="1" applyBorder="1"/>
    <xf numFmtId="0" fontId="75" fillId="0" borderId="0" xfId="0" applyFont="1"/>
    <xf numFmtId="165" fontId="72" fillId="0" borderId="0" xfId="1" applyNumberFormat="1" applyFont="1"/>
    <xf numFmtId="0" fontId="74" fillId="0" borderId="0" xfId="0" applyFont="1"/>
    <xf numFmtId="164" fontId="76" fillId="0" borderId="0" xfId="0" applyNumberFormat="1" applyFont="1" applyAlignment="1">
      <alignment horizontal="center" wrapText="1" readingOrder="1"/>
    </xf>
    <xf numFmtId="164" fontId="67" fillId="0" borderId="25" xfId="0" applyNumberFormat="1" applyFont="1" applyBorder="1" applyAlignment="1">
      <alignment horizontal="center" wrapText="1" readingOrder="1"/>
    </xf>
    <xf numFmtId="164" fontId="67" fillId="0" borderId="26" xfId="0" applyNumberFormat="1" applyFont="1" applyBorder="1" applyAlignment="1">
      <alignment horizontal="center" wrapText="1" readingOrder="1"/>
    </xf>
    <xf numFmtId="0" fontId="31" fillId="0" borderId="0" xfId="0" applyFont="1" applyAlignment="1">
      <alignment horizontal="center"/>
    </xf>
    <xf numFmtId="0" fontId="32"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0" fontId="68" fillId="0" borderId="25" xfId="0" applyFont="1" applyBorder="1" applyAlignment="1">
      <alignment horizontal="left" vertical="center"/>
    </xf>
    <xf numFmtId="0" fontId="68" fillId="0" borderId="0" xfId="0" applyFont="1" applyAlignment="1">
      <alignment horizontal="left" vertical="center"/>
    </xf>
    <xf numFmtId="0" fontId="68" fillId="0" borderId="21" xfId="0" applyFont="1" applyBorder="1" applyAlignment="1">
      <alignment horizontal="left" vertical="center"/>
    </xf>
    <xf numFmtId="0" fontId="68" fillId="0" borderId="26" xfId="0" applyFont="1" applyBorder="1" applyAlignment="1">
      <alignment horizontal="left" vertical="center"/>
    </xf>
    <xf numFmtId="0" fontId="68" fillId="0" borderId="19" xfId="0" applyFont="1" applyBorder="1" applyAlignment="1">
      <alignment horizontal="left" vertical="center"/>
    </xf>
    <xf numFmtId="0" fontId="77" fillId="4" borderId="1" xfId="0" applyFont="1" applyFill="1" applyBorder="1"/>
    <xf numFmtId="164" fontId="20" fillId="2" borderId="0" xfId="0" applyNumberFormat="1" applyFont="1" applyFill="1" applyBorder="1"/>
    <xf numFmtId="164" fontId="4" fillId="0" borderId="0" xfId="0" applyNumberFormat="1" applyFont="1" applyFill="1"/>
    <xf numFmtId="164" fontId="20" fillId="0" borderId="0" xfId="0" applyNumberFormat="1" applyFont="1" applyFill="1" applyBorder="1"/>
    <xf numFmtId="164" fontId="20" fillId="0" borderId="0" xfId="0" applyNumberFormat="1" applyFont="1" applyFill="1"/>
    <xf numFmtId="0" fontId="79" fillId="0" borderId="25" xfId="0" applyFont="1" applyBorder="1" applyAlignment="1">
      <alignment horizontal="left" wrapText="1" readingOrder="1"/>
    </xf>
    <xf numFmtId="0" fontId="79" fillId="0" borderId="0" xfId="0" applyFont="1" applyAlignment="1">
      <alignment horizontal="left" wrapText="1" readingOrder="1"/>
    </xf>
    <xf numFmtId="0" fontId="79" fillId="0" borderId="30" xfId="0" applyFont="1" applyBorder="1" applyAlignment="1">
      <alignment horizontal="left" wrapText="1" readingOrder="1"/>
    </xf>
    <xf numFmtId="165" fontId="26" fillId="0" borderId="0" xfId="1" applyNumberFormat="1" applyFont="1" applyFill="1"/>
    <xf numFmtId="0" fontId="15" fillId="0" borderId="2" xfId="0" applyFont="1" applyFill="1" applyBorder="1"/>
    <xf numFmtId="164" fontId="57" fillId="0" borderId="16" xfId="0" applyNumberFormat="1" applyFont="1" applyFill="1" applyBorder="1"/>
    <xf numFmtId="164" fontId="57" fillId="0" borderId="0" xfId="0" applyNumberFormat="1" applyFont="1" applyFill="1"/>
    <xf numFmtId="164" fontId="58" fillId="0" borderId="0" xfId="0" applyNumberFormat="1" applyFont="1" applyFill="1"/>
    <xf numFmtId="164" fontId="58" fillId="0" borderId="17" xfId="0" applyNumberFormat="1" applyFont="1" applyFill="1" applyBorder="1"/>
    <xf numFmtId="164" fontId="20" fillId="0" borderId="0" xfId="0" applyNumberFormat="1" applyFont="1" applyFill="1" applyAlignment="1">
      <alignment horizontal="center"/>
    </xf>
    <xf numFmtId="164" fontId="58" fillId="0" borderId="16" xfId="0" applyNumberFormat="1" applyFont="1" applyFill="1" applyBorder="1"/>
    <xf numFmtId="0" fontId="0" fillId="0" borderId="0" xfId="0" applyFill="1"/>
    <xf numFmtId="164" fontId="20" fillId="0" borderId="5" xfId="0" applyNumberFormat="1" applyFont="1" applyFill="1" applyBorder="1"/>
    <xf numFmtId="164" fontId="6" fillId="0" borderId="0" xfId="0" applyNumberFormat="1" applyFont="1" applyFill="1"/>
    <xf numFmtId="164" fontId="15" fillId="0" borderId="0" xfId="0" applyNumberFormat="1" applyFont="1" applyFill="1"/>
    <xf numFmtId="1" fontId="9" fillId="0" borderId="0" xfId="0" applyNumberFormat="1" applyFont="1" applyFill="1"/>
    <xf numFmtId="3" fontId="23" fillId="0" borderId="1" xfId="0" applyNumberFormat="1" applyFont="1" applyFill="1" applyBorder="1"/>
    <xf numFmtId="0" fontId="15" fillId="6" borderId="2" xfId="0" applyFont="1" applyFill="1" applyBorder="1"/>
    <xf numFmtId="0" fontId="23" fillId="6" borderId="1" xfId="0" applyFont="1" applyFill="1" applyBorder="1"/>
    <xf numFmtId="164" fontId="57" fillId="6" borderId="16" xfId="0" applyNumberFormat="1" applyFont="1" applyFill="1" applyBorder="1"/>
    <xf numFmtId="164" fontId="57" fillId="6" borderId="0" xfId="0" applyNumberFormat="1" applyFont="1" applyFill="1"/>
    <xf numFmtId="164" fontId="58" fillId="6" borderId="0" xfId="0" applyNumberFormat="1" applyFont="1" applyFill="1"/>
    <xf numFmtId="164" fontId="58" fillId="6" borderId="17" xfId="0" applyNumberFormat="1" applyFont="1" applyFill="1" applyBorder="1"/>
    <xf numFmtId="164" fontId="20" fillId="6" borderId="0" xfId="0" applyNumberFormat="1" applyFont="1" applyFill="1" applyAlignment="1">
      <alignment horizontal="center"/>
    </xf>
    <xf numFmtId="164" fontId="58" fillId="6" borderId="16" xfId="0" applyNumberFormat="1" applyFont="1" applyFill="1" applyBorder="1"/>
    <xf numFmtId="164" fontId="4" fillId="6" borderId="0" xfId="0" applyNumberFormat="1" applyFont="1" applyFill="1"/>
    <xf numFmtId="164" fontId="20" fillId="6" borderId="0" xfId="0" applyNumberFormat="1" applyFont="1" applyFill="1" applyBorder="1"/>
    <xf numFmtId="164" fontId="20" fillId="6" borderId="0" xfId="0" applyNumberFormat="1" applyFont="1" applyFill="1"/>
    <xf numFmtId="164" fontId="20" fillId="6" borderId="5" xfId="0" applyNumberFormat="1" applyFont="1" applyFill="1" applyBorder="1"/>
    <xf numFmtId="164" fontId="6" fillId="6" borderId="0" xfId="0" applyNumberFormat="1" applyFont="1" applyFill="1"/>
    <xf numFmtId="164" fontId="15" fillId="6" borderId="0" xfId="0" applyNumberFormat="1" applyFont="1" applyFill="1"/>
    <xf numFmtId="1" fontId="9" fillId="6" borderId="0" xfId="0" applyNumberFormat="1" applyFont="1" applyFill="1"/>
    <xf numFmtId="3" fontId="23" fillId="6" borderId="1" xfId="0" applyNumberFormat="1" applyFont="1" applyFill="1" applyBorder="1"/>
    <xf numFmtId="164" fontId="27" fillId="0" borderId="1" xfId="0" applyNumberFormat="1" applyFont="1" applyBorder="1"/>
    <xf numFmtId="164" fontId="28" fillId="0" borderId="0" xfId="0" applyNumberFormat="1" applyFont="1" applyFill="1"/>
    <xf numFmtId="164" fontId="27" fillId="0" borderId="0" xfId="0" applyNumberFormat="1" applyFont="1" applyFill="1"/>
    <xf numFmtId="164" fontId="36" fillId="2" borderId="1" xfId="0" applyNumberFormat="1" applyFont="1" applyFill="1" applyBorder="1"/>
    <xf numFmtId="164" fontId="36" fillId="0" borderId="1" xfId="0" applyNumberFormat="1" applyFont="1" applyBorder="1"/>
    <xf numFmtId="0" fontId="31" fillId="10" borderId="0" xfId="0" applyFont="1" applyFill="1"/>
    <xf numFmtId="0" fontId="30" fillId="10" borderId="0" xfId="0" applyFont="1" applyFill="1"/>
    <xf numFmtId="0" fontId="46" fillId="10" borderId="0" xfId="0" applyFont="1" applyFill="1"/>
    <xf numFmtId="0" fontId="31" fillId="10" borderId="29" xfId="0" applyFont="1" applyFill="1" applyBorder="1"/>
    <xf numFmtId="164" fontId="57" fillId="2" borderId="0" xfId="0" applyNumberFormat="1" applyFont="1" applyFill="1" applyBorder="1"/>
    <xf numFmtId="0" fontId="54" fillId="0" borderId="0" xfId="0" applyFont="1"/>
    <xf numFmtId="0" fontId="18" fillId="3" borderId="10" xfId="0" applyFont="1" applyFill="1" applyBorder="1"/>
    <xf numFmtId="0" fontId="18" fillId="3" borderId="9" xfId="0" applyFont="1" applyFill="1" applyBorder="1"/>
    <xf numFmtId="0" fontId="18" fillId="3" borderId="11" xfId="0" applyFont="1" applyFill="1" applyBorder="1" applyAlignment="1">
      <alignment vertical="center"/>
    </xf>
    <xf numFmtId="164" fontId="58" fillId="0" borderId="15" xfId="0" applyNumberFormat="1" applyFont="1" applyFill="1" applyBorder="1"/>
    <xf numFmtId="164" fontId="58" fillId="2" borderId="13" xfId="0" applyNumberFormat="1" applyFont="1" applyFill="1" applyBorder="1"/>
    <xf numFmtId="164" fontId="58" fillId="0" borderId="13" xfId="0" applyNumberFormat="1" applyFont="1" applyFill="1" applyBorder="1"/>
    <xf numFmtId="164" fontId="22" fillId="0" borderId="13" xfId="0" applyNumberFormat="1" applyFont="1" applyFill="1" applyBorder="1"/>
    <xf numFmtId="164" fontId="22" fillId="0" borderId="14" xfId="0" applyNumberFormat="1" applyFont="1" applyFill="1" applyBorder="1"/>
    <xf numFmtId="164" fontId="58" fillId="0" borderId="0" xfId="0" applyNumberFormat="1" applyFont="1" applyFill="1" applyBorder="1"/>
    <xf numFmtId="164" fontId="22" fillId="0" borderId="0" xfId="0" applyNumberFormat="1" applyFont="1" applyFill="1" applyBorder="1"/>
    <xf numFmtId="164" fontId="22" fillId="2" borderId="17" xfId="0" applyNumberFormat="1" applyFont="1" applyFill="1" applyBorder="1"/>
    <xf numFmtId="164" fontId="58" fillId="2" borderId="0" xfId="0" applyNumberFormat="1" applyFont="1" applyFill="1" applyBorder="1"/>
    <xf numFmtId="164" fontId="22" fillId="0" borderId="17" xfId="0" applyNumberFormat="1" applyFont="1" applyFill="1" applyBorder="1"/>
    <xf numFmtId="164" fontId="22" fillId="2" borderId="0" xfId="0" applyNumberFormat="1" applyFont="1" applyFill="1" applyBorder="1"/>
    <xf numFmtId="164" fontId="58" fillId="0" borderId="18" xfId="0" applyNumberFormat="1" applyFont="1" applyFill="1" applyBorder="1"/>
    <xf numFmtId="164" fontId="58" fillId="0" borderId="19" xfId="0" applyNumberFormat="1" applyFont="1" applyFill="1" applyBorder="1"/>
    <xf numFmtId="164" fontId="22" fillId="0" borderId="19" xfId="0" applyNumberFormat="1" applyFont="1" applyFill="1" applyBorder="1"/>
    <xf numFmtId="164" fontId="22" fillId="0" borderId="20" xfId="0" applyNumberFormat="1" applyFont="1" applyFill="1" applyBorder="1"/>
    <xf numFmtId="0" fontId="80" fillId="0" borderId="0" xfId="0" applyFont="1" applyBorder="1" applyAlignment="1">
      <alignment horizontal="center"/>
    </xf>
    <xf numFmtId="0" fontId="80" fillId="0" borderId="0" xfId="0" applyFont="1" applyAlignment="1">
      <alignment horizontal="center" vertical="center"/>
    </xf>
    <xf numFmtId="164" fontId="81" fillId="0" borderId="13" xfId="0" applyNumberFormat="1" applyFont="1" applyFill="1" applyBorder="1"/>
    <xf numFmtId="164" fontId="81" fillId="0" borderId="0" xfId="0" applyNumberFormat="1" applyFont="1" applyFill="1" applyBorder="1"/>
    <xf numFmtId="164" fontId="81" fillId="2" borderId="0" xfId="0" applyNumberFormat="1" applyFont="1" applyFill="1" applyBorder="1"/>
    <xf numFmtId="164" fontId="81" fillId="2" borderId="19" xfId="0" applyNumberFormat="1" applyFont="1" applyFill="1" applyBorder="1"/>
    <xf numFmtId="167" fontId="27" fillId="0" borderId="1" xfId="1" applyNumberFormat="1" applyFont="1" applyBorder="1"/>
    <xf numFmtId="164" fontId="27" fillId="2" borderId="1" xfId="0" applyNumberFormat="1" applyFont="1" applyFill="1" applyBorder="1"/>
    <xf numFmtId="164" fontId="45" fillId="0" borderId="1" xfId="0" applyNumberFormat="1" applyFont="1" applyBorder="1"/>
    <xf numFmtId="2" fontId="43" fillId="0" borderId="1" xfId="0" applyNumberFormat="1" applyFont="1" applyBorder="1"/>
    <xf numFmtId="2" fontId="43" fillId="0" borderId="28" xfId="0" applyNumberFormat="1" applyFont="1" applyBorder="1"/>
    <xf numFmtId="2" fontId="36" fillId="0" borderId="28" xfId="0" applyNumberFormat="1" applyFont="1" applyBorder="1"/>
    <xf numFmtId="164" fontId="37" fillId="2" borderId="1" xfId="0" applyNumberFormat="1" applyFont="1" applyFill="1" applyBorder="1"/>
    <xf numFmtId="0" fontId="78" fillId="4" borderId="1" xfId="0" applyFont="1" applyFill="1" applyBorder="1"/>
    <xf numFmtId="0" fontId="56" fillId="8" borderId="27" xfId="0" applyFont="1" applyFill="1" applyBorder="1"/>
    <xf numFmtId="164" fontId="27" fillId="0" borderId="29" xfId="0" applyNumberFormat="1" applyFont="1" applyFill="1" applyBorder="1"/>
    <xf numFmtId="0" fontId="22" fillId="0" borderId="0" xfId="0" applyFont="1"/>
    <xf numFmtId="164" fontId="36" fillId="0" borderId="1" xfId="0" applyNumberFormat="1" applyFont="1" applyFill="1" applyBorder="1"/>
    <xf numFmtId="0" fontId="0" fillId="0" borderId="10" xfId="0" applyBorder="1"/>
    <xf numFmtId="0" fontId="0" fillId="0" borderId="11" xfId="0" applyBorder="1"/>
    <xf numFmtId="0" fontId="52" fillId="0" borderId="10" xfId="0" applyFont="1" applyBorder="1"/>
    <xf numFmtId="164" fontId="47" fillId="0" borderId="0" xfId="0" applyNumberFormat="1" applyFont="1" applyFill="1"/>
    <xf numFmtId="164" fontId="47" fillId="2" borderId="0" xfId="0" applyNumberFormat="1" applyFont="1" applyFill="1"/>
    <xf numFmtId="164" fontId="62" fillId="3" borderId="1" xfId="0" applyNumberFormat="1" applyFont="1" applyFill="1" applyBorder="1"/>
    <xf numFmtId="164" fontId="4" fillId="0" borderId="0" xfId="0" applyNumberFormat="1" applyFont="1" applyAlignment="1">
      <alignment horizontal="center"/>
    </xf>
    <xf numFmtId="164" fontId="32" fillId="0" borderId="0" xfId="0" applyNumberFormat="1" applyFont="1" applyAlignment="1">
      <alignment horizontal="center"/>
    </xf>
    <xf numFmtId="164" fontId="26" fillId="0" borderId="0" xfId="0" applyNumberFormat="1" applyFont="1"/>
    <xf numFmtId="0" fontId="54" fillId="0" borderId="0" xfId="0" applyFont="1" applyAlignment="1">
      <alignment horizontal="center"/>
    </xf>
    <xf numFmtId="164" fontId="27" fillId="2" borderId="29" xfId="0" applyNumberFormat="1" applyFont="1" applyFill="1" applyBorder="1"/>
    <xf numFmtId="0" fontId="54" fillId="0" borderId="9" xfId="0" applyFont="1" applyBorder="1"/>
    <xf numFmtId="0" fontId="54" fillId="0" borderId="10" xfId="0" applyFont="1" applyBorder="1"/>
    <xf numFmtId="0" fontId="54" fillId="0" borderId="11" xfId="0" applyFont="1" applyBorder="1"/>
  </cellXfs>
  <cellStyles count="2">
    <cellStyle name="Comma" xfId="1" builtinId="3"/>
    <cellStyle name="Normal" xfId="0" builtinId="0"/>
  </cellStyles>
  <dxfs count="211">
    <dxf>
      <font>
        <b val="0"/>
        <i val="0"/>
        <strike val="0"/>
        <condense val="0"/>
        <extend val="0"/>
        <outline val="0"/>
        <shadow val="0"/>
        <u val="none"/>
        <vertAlign val="baseline"/>
        <sz val="17"/>
        <color auto="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8"/>
        <color theme="0" tint="-0.34998626667073579"/>
        <name val="Monaco"/>
        <family val="2"/>
        <scheme val="none"/>
      </font>
      <numFmt numFmtId="164" formatCode="0.0"/>
      <fill>
        <patternFill patternType="solid">
          <fgColor indexed="64"/>
          <bgColor theme="0" tint="-0.14999847407452621"/>
        </patternFill>
      </fill>
      <border diagonalUp="0" diagonalDown="0">
        <left/>
        <right/>
        <top style="thin">
          <color theme="4"/>
        </top>
        <bottom/>
      </border>
    </dxf>
    <dxf>
      <font>
        <b val="0"/>
        <i val="0"/>
        <strike val="0"/>
        <condense val="0"/>
        <extend val="0"/>
        <outline val="0"/>
        <shadow val="0"/>
        <u val="none"/>
        <vertAlign val="baseline"/>
        <sz val="20"/>
        <color auto="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16"/>
        <color theme="1"/>
        <name val="Aptos Narrow"/>
        <family val="2"/>
        <scheme val="minor"/>
      </font>
      <numFmt numFmtId="164" formatCode="0.0"/>
      <alignment horizontal="center" vertical="bottom" textRotation="0" wrapText="0" indent="0" justifyLastLine="0" shrinkToFit="0" readingOrder="0"/>
    </dxf>
    <dxf>
      <numFmt numFmtId="164" formatCode="0.0"/>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20"/>
        <color theme="1"/>
        <name val="Aptos Narrow"/>
        <family val="2"/>
        <scheme val="minor"/>
      </font>
      <numFmt numFmtId="164" formatCode="0.0"/>
    </dxf>
    <dxf>
      <font>
        <b val="0"/>
        <i val="0"/>
        <strike val="0"/>
        <condense val="0"/>
        <extend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dxf>
    <dxf>
      <font>
        <b/>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auto="1"/>
        <name val="Monaco"/>
        <family val="2"/>
        <scheme val="none"/>
      </font>
      <numFmt numFmtId="164" formatCode="0.0"/>
      <fill>
        <patternFill patternType="none">
          <fgColor indexed="64"/>
          <bgColor indexed="65"/>
        </patternFill>
      </fill>
      <border diagonalUp="0" diagonalDown="0" outline="0">
        <left/>
        <right/>
        <top style="thin">
          <color theme="4"/>
        </top>
        <bottom/>
      </border>
    </dxf>
    <dxf>
      <font>
        <b val="0"/>
        <i val="0"/>
        <strike val="0"/>
        <condense val="0"/>
        <extend val="0"/>
        <outline val="0"/>
        <shadow val="0"/>
        <u val="none"/>
        <vertAlign val="baseline"/>
        <sz val="18"/>
        <color theme="1" tint="0.499984740745262"/>
        <name val="Monaco"/>
        <family val="2"/>
        <scheme val="none"/>
      </font>
      <numFmt numFmtId="2" formatCode="0.00"/>
      <border diagonalUp="0" diagonalDown="0" outline="0">
        <left/>
        <right/>
        <top style="thin">
          <color theme="4"/>
        </top>
        <bottom/>
      </border>
    </dxf>
    <dxf>
      <font>
        <b val="0"/>
        <i val="0"/>
        <strike val="0"/>
        <condense val="0"/>
        <extend val="0"/>
        <outline val="0"/>
        <shadow val="0"/>
        <u val="none"/>
        <vertAlign val="baseline"/>
        <sz val="18"/>
        <color theme="0" tint="-0.34998626667073579"/>
        <name val="Monaco"/>
        <family val="2"/>
        <scheme val="none"/>
      </font>
      <numFmt numFmtId="164" formatCode="0.0"/>
      <fill>
        <patternFill patternType="solid">
          <fgColor indexed="64"/>
          <bgColor theme="0" tint="-0.14999847407452621"/>
        </patternFill>
      </fill>
      <border diagonalUp="0" diagonalDown="0" outline="0">
        <left/>
        <right/>
        <top style="thin">
          <color theme="4"/>
        </top>
        <bottom/>
      </border>
    </dxf>
    <dxf>
      <font>
        <b val="0"/>
        <i val="0"/>
        <strike val="0"/>
        <condense val="0"/>
        <extend val="0"/>
        <outline val="0"/>
        <shadow val="0"/>
        <u val="none"/>
        <vertAlign val="baseline"/>
        <sz val="18"/>
        <color theme="0" tint="-0.34998626667073579"/>
        <name val="Monaco"/>
        <family val="2"/>
        <scheme val="none"/>
      </font>
      <numFmt numFmtId="164" formatCode="0.0"/>
      <fill>
        <patternFill patternType="solid">
          <fgColor indexed="64"/>
          <bgColor theme="0" tint="-0.14999847407452621"/>
        </patternFill>
      </fill>
      <border diagonalUp="0" diagonalDown="0" outline="0">
        <left/>
        <right/>
        <top style="thin">
          <color theme="4"/>
        </top>
        <bottom/>
      </border>
    </dxf>
    <dxf>
      <font>
        <b val="0"/>
        <i val="0"/>
        <strike val="0"/>
        <condense val="0"/>
        <extend val="0"/>
        <outline val="0"/>
        <shadow val="0"/>
        <u val="none"/>
        <vertAlign val="baseline"/>
        <sz val="18"/>
        <color theme="1"/>
        <name val="Monaco"/>
        <family val="2"/>
        <scheme val="none"/>
      </font>
      <numFmt numFmtId="164" formatCode="0.0"/>
      <border diagonalUp="0" diagonalDown="0" outline="0">
        <left/>
        <right/>
        <top style="thin">
          <color theme="4"/>
        </top>
        <bottom/>
      </border>
    </dxf>
    <dxf>
      <font>
        <b val="0"/>
        <i val="0"/>
        <strike val="0"/>
        <condense val="0"/>
        <extend val="0"/>
        <outline val="0"/>
        <shadow val="0"/>
        <u val="none"/>
        <vertAlign val="baseline"/>
        <sz val="20"/>
        <color auto="1"/>
        <name val="Monaco"/>
        <family val="2"/>
        <scheme val="none"/>
      </font>
      <numFmt numFmtId="164" formatCode="0.0"/>
    </dxf>
    <dxf>
      <font>
        <b val="0"/>
        <i val="0"/>
        <strike val="0"/>
        <condense val="0"/>
        <extend val="0"/>
        <outline val="0"/>
        <shadow val="0"/>
        <u val="none"/>
        <vertAlign val="baseline"/>
        <sz val="18"/>
        <color theme="1"/>
        <name val="Monaco"/>
        <family val="2"/>
        <scheme val="none"/>
      </font>
      <numFmt numFmtId="164" formatCode="0.0"/>
      <fill>
        <patternFill patternType="solid">
          <fgColor indexed="64"/>
          <bgColor rgb="FF87CEFA"/>
        </patternFill>
      </fill>
      <border diagonalUp="0" diagonalDown="0" outline="0">
        <left/>
        <right/>
        <top style="thin">
          <color theme="4"/>
        </top>
        <bottom/>
      </border>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8"/>
        <color theme="1" tint="0.499984740745262"/>
        <name val="Monaco"/>
        <family val="2"/>
        <scheme val="none"/>
      </font>
      <numFmt numFmtId="2" formatCode="0.00"/>
      <border diagonalUp="0" diagonalDown="0">
        <left/>
        <right style="thin">
          <color theme="4"/>
        </right>
        <top style="thin">
          <color theme="4"/>
        </top>
        <bottom/>
        <vertical/>
        <horizontal/>
      </border>
    </dxf>
    <dxf>
      <font>
        <b val="0"/>
        <i val="0"/>
        <strike val="0"/>
        <condense val="0"/>
        <extend val="0"/>
        <outline val="0"/>
        <shadow val="0"/>
        <u val="none"/>
        <vertAlign val="baseline"/>
        <sz val="18"/>
        <color theme="1" tint="0.499984740745262"/>
        <name val="Monaco"/>
        <family val="2"/>
        <scheme val="none"/>
      </font>
      <numFmt numFmtId="2" formatCode="0.00"/>
      <border diagonalUp="0" diagonalDown="0">
        <left/>
        <right/>
        <top style="thin">
          <color theme="4"/>
        </top>
        <bottom/>
        <vertical/>
        <horizontal/>
      </border>
    </dxf>
    <dxf>
      <font>
        <b val="0"/>
        <i val="0"/>
        <strike val="0"/>
        <condense val="0"/>
        <extend val="0"/>
        <outline val="0"/>
        <shadow val="0"/>
        <u val="none"/>
        <vertAlign val="baseline"/>
        <sz val="17"/>
        <color theme="1"/>
        <name val="Monaco"/>
        <family val="2"/>
        <scheme val="none"/>
      </font>
      <numFmt numFmtId="164" formatCode="0.0"/>
      <border diagonalUp="0" diagonalDown="0">
        <left/>
        <right/>
        <top style="thin">
          <color theme="4"/>
        </top>
        <bottom/>
        <vertical/>
        <horizontal/>
      </border>
    </dxf>
    <dxf>
      <font>
        <b val="0"/>
        <i val="0"/>
        <strike val="0"/>
        <condense val="0"/>
        <extend val="0"/>
        <outline val="0"/>
        <shadow val="0"/>
        <u val="none"/>
        <vertAlign val="baseline"/>
        <sz val="18"/>
        <color theme="1"/>
        <name val="Monaco"/>
        <family val="2"/>
        <scheme val="none"/>
      </font>
      <numFmt numFmtId="164" formatCode="0.0"/>
      <border diagonalUp="0" diagonalDown="0">
        <left/>
        <right/>
        <top style="thin">
          <color theme="4"/>
        </top>
        <bottom/>
        <vertical/>
        <horizontal/>
      </border>
    </dxf>
    <dxf>
      <font>
        <b val="0"/>
        <i val="0"/>
        <strike val="0"/>
        <condense val="0"/>
        <extend val="0"/>
        <outline val="0"/>
        <shadow val="0"/>
        <u val="none"/>
        <vertAlign val="baseline"/>
        <sz val="17"/>
        <color auto="1"/>
        <name val="Monaco"/>
        <family val="2"/>
        <scheme val="none"/>
      </font>
      <numFmt numFmtId="167" formatCode="_(* #,##0.0_);_(* \(#,##0.0\);_(* &quot;-&quot;??_);_(@_)"/>
      <border diagonalUp="0" diagonalDown="0">
        <left/>
        <right/>
        <top style="thin">
          <color theme="4"/>
        </top>
        <bottom/>
        <vertical/>
        <horizontal/>
      </border>
    </dxf>
    <dxf>
      <font>
        <b val="0"/>
        <i val="0"/>
        <strike val="0"/>
        <condense val="0"/>
        <extend val="0"/>
        <outline val="0"/>
        <shadow val="0"/>
        <u val="none"/>
        <vertAlign val="baseline"/>
        <sz val="18"/>
        <color theme="1"/>
        <name val="Monaco"/>
        <family val="2"/>
        <scheme val="none"/>
      </font>
      <border diagonalUp="0" diagonalDown="0">
        <left/>
        <right/>
        <top style="thin">
          <color theme="4"/>
        </top>
        <bottom/>
        <vertical/>
        <horizontal/>
      </border>
    </dxf>
    <dxf>
      <font>
        <b val="0"/>
        <i val="0"/>
        <strike val="0"/>
        <condense val="0"/>
        <extend val="0"/>
        <outline val="0"/>
        <shadow val="0"/>
        <u val="none"/>
        <vertAlign val="baseline"/>
        <sz val="18"/>
        <color auto="1"/>
        <name val="Monaco"/>
        <family val="2"/>
        <scheme val="none"/>
      </font>
      <border diagonalUp="0" diagonalDown="0">
        <left/>
        <right/>
        <top style="thin">
          <color theme="4"/>
        </top>
        <bottom/>
        <vertical/>
        <horizontal/>
      </border>
    </dxf>
    <dxf>
      <font>
        <b val="0"/>
        <i val="0"/>
        <strike val="0"/>
        <condense val="0"/>
        <extend val="0"/>
        <outline val="0"/>
        <shadow val="0"/>
        <u val="none"/>
        <vertAlign val="baseline"/>
        <sz val="18"/>
        <color theme="1"/>
        <name val="Monaco"/>
        <family val="2"/>
        <scheme val="none"/>
      </font>
      <border diagonalUp="0" diagonalDown="0">
        <left/>
        <right/>
        <top style="thin">
          <color theme="4"/>
        </top>
        <bottom/>
        <vertical/>
        <horizontal/>
      </border>
    </dxf>
    <dxf>
      <font>
        <b val="0"/>
        <i val="0"/>
        <strike val="0"/>
        <condense val="0"/>
        <extend val="0"/>
        <outline val="0"/>
        <shadow val="0"/>
        <u val="none"/>
        <vertAlign val="baseline"/>
        <sz val="18"/>
        <color theme="1"/>
        <name val="Monaco"/>
        <family val="2"/>
        <scheme val="none"/>
      </font>
      <border diagonalUp="0" diagonalDown="0">
        <left/>
        <right/>
        <top style="thin">
          <color theme="4"/>
        </top>
        <bottom/>
        <vertical/>
        <horizontal/>
      </border>
    </dxf>
    <dxf>
      <border outline="0">
        <left style="thin">
          <color theme="4"/>
        </left>
      </border>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medium">
          <color indexed="64"/>
        </left>
        <right/>
        <top/>
        <bottom/>
      </border>
    </dxf>
    <dxf>
      <font>
        <b val="0"/>
        <i val="0"/>
        <strike val="0"/>
        <condense val="0"/>
        <extend val="0"/>
        <outline val="0"/>
        <shadow val="0"/>
        <u val="none"/>
        <vertAlign val="baseline"/>
        <sz val="18"/>
        <color theme="0" tint="-0.34998626667073579"/>
        <name val="Aptos Narrow"/>
        <scheme val="minor"/>
      </font>
      <numFmt numFmtId="2" formatCode="0.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auto="1"/>
        <name val="Aptos"/>
        <scheme val="none"/>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17"/>
        <color auto="1"/>
        <name val="Monaco"/>
        <family val="2"/>
        <scheme val="none"/>
      </font>
      <numFmt numFmtId="164" formatCode="0.0"/>
      <fill>
        <patternFill patternType="none">
          <fgColor indexed="64"/>
          <bgColor indexed="65"/>
        </patternFill>
      </fill>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i val="0"/>
        <strike val="0"/>
        <condense val="0"/>
        <extend val="0"/>
        <outline val="0"/>
        <shadow val="0"/>
        <u val="none"/>
        <vertAlign val="baseline"/>
        <sz val="17"/>
        <color auto="1"/>
        <name val="Monaco"/>
        <family val="2"/>
        <scheme val="none"/>
      </font>
      <numFmt numFmtId="164" formatCode="0.0"/>
    </dxf>
    <dxf>
      <font>
        <b/>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i val="0"/>
        <strike val="0"/>
        <condense val="0"/>
        <extend val="0"/>
        <outline val="0"/>
        <shadow val="0"/>
        <u val="none"/>
        <vertAlign val="baseline"/>
        <sz val="17"/>
        <color auto="1"/>
        <name val="Monaco"/>
        <family val="2"/>
        <scheme val="none"/>
      </font>
      <numFmt numFmtId="164" formatCode="0.0"/>
    </dxf>
    <dxf>
      <font>
        <b/>
        <i val="0"/>
        <strike val="0"/>
        <condense val="0"/>
        <extend val="0"/>
        <outline val="0"/>
        <shadow val="0"/>
        <u val="none"/>
        <vertAlign val="baseline"/>
        <sz val="17"/>
        <color auto="1"/>
        <name val="Monaco"/>
        <family val="2"/>
        <scheme val="none"/>
      </font>
      <numFmt numFmtId="164" formatCode="0.0"/>
    </dxf>
    <dxf>
      <font>
        <b/>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17"/>
        <color auto="1"/>
        <name val="Monaco"/>
        <family val="2"/>
        <scheme val="none"/>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dxf>
    <dxf>
      <font>
        <b/>
        <i val="0"/>
        <strike val="0"/>
        <condense val="0"/>
        <extend val="0"/>
        <outline val="0"/>
        <shadow val="0"/>
        <u val="none"/>
        <vertAlign val="baseline"/>
        <sz val="20"/>
        <color theme="1"/>
        <name val="Aptos Narrow"/>
        <scheme val="minor"/>
      </font>
      <numFmt numFmtId="165" formatCode="_(* #,##0_);_(* \(#,##0\);_(* &quot;-&quot;??_);_(@_)"/>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family val="2"/>
        <scheme val="minor"/>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dxf>
    <dxf>
      <font>
        <b val="0"/>
        <i val="0"/>
        <strike val="0"/>
        <condense val="0"/>
        <extend val="0"/>
        <outline val="0"/>
        <shadow val="0"/>
        <u val="none"/>
        <vertAlign val="baseline"/>
        <sz val="18"/>
        <color theme="1"/>
        <name val="Aptos Narrow"/>
        <family val="2"/>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16"/>
        <color theme="1"/>
        <name val="Aptos Narrow"/>
        <family val="2"/>
        <scheme val="minor"/>
      </font>
      <numFmt numFmtId="164" formatCode="0.0"/>
      <fill>
        <patternFill patternType="solid">
          <fgColor indexed="64"/>
          <bgColor rgb="FF87CEFA"/>
        </patternFill>
      </fill>
    </dxf>
    <dxf>
      <font>
        <b val="0"/>
        <i val="0"/>
        <strike val="0"/>
        <condense val="0"/>
        <extend val="0"/>
        <outline val="0"/>
        <shadow val="0"/>
        <u val="none"/>
        <vertAlign val="baseline"/>
        <sz val="16"/>
        <color theme="1"/>
        <name val="Aptos Narrow"/>
        <family val="2"/>
        <scheme val="minor"/>
      </font>
      <numFmt numFmtId="164" formatCode="0.0"/>
      <fill>
        <patternFill patternType="none">
          <fgColor indexed="64"/>
          <bgColor indexed="65"/>
        </patternFill>
      </fill>
    </dxf>
    <dxf>
      <font>
        <b val="0"/>
        <i val="0"/>
        <strike val="0"/>
        <condense val="0"/>
        <extend val="0"/>
        <outline val="0"/>
        <shadow val="0"/>
        <u val="none"/>
        <vertAlign val="baseline"/>
        <sz val="20"/>
        <color theme="1"/>
        <name val="Aptos"/>
        <scheme val="none"/>
      </font>
      <numFmt numFmtId="164" formatCode="0.0"/>
      <border diagonalUp="0" diagonalDown="0">
        <left/>
        <right style="medium">
          <color indexed="64"/>
        </right>
        <top/>
        <bottom/>
        <vertical/>
        <horizontal/>
      </border>
    </dxf>
    <dxf>
      <font>
        <b val="0"/>
        <i val="0"/>
        <strike val="0"/>
        <condense val="0"/>
        <extend val="0"/>
        <outline val="0"/>
        <shadow val="0"/>
        <u val="none"/>
        <vertAlign val="baseline"/>
        <sz val="20"/>
        <color theme="1"/>
        <name val="Aptos"/>
        <scheme val="none"/>
      </font>
      <numFmt numFmtId="164" formatCode="0.0"/>
      <fill>
        <patternFill patternType="solid">
          <fgColor indexed="64"/>
          <bgColor rgb="FF87CEFA"/>
        </patternFill>
      </fill>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theme="1"/>
        <name val="Aptos"/>
        <scheme val="none"/>
      </font>
      <numFmt numFmtId="164" formatCode="0.0"/>
      <border diagonalUp="0" diagonalDown="0">
        <left style="medium">
          <color indexed="64"/>
        </left>
        <right/>
        <top/>
        <bottom/>
        <vertical/>
        <horizontal/>
      </border>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18"/>
        <color theme="1"/>
        <name val="Aptos Narrow"/>
        <family val="2"/>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theme="1"/>
        <name val="Aptos"/>
        <scheme val="none"/>
      </font>
      <numFmt numFmtId="164" formatCode="0.0"/>
      <border diagonalUp="0" diagonalDown="0">
        <left/>
        <right style="medium">
          <color indexed="64"/>
        </right>
        <top/>
        <bottom/>
        <vertical/>
        <horizontal/>
      </border>
    </dxf>
    <dxf>
      <font>
        <b val="0"/>
        <i val="0"/>
        <strike val="0"/>
        <condense val="0"/>
        <extend val="0"/>
        <outline val="0"/>
        <shadow val="0"/>
        <u val="none"/>
        <vertAlign val="baseline"/>
        <sz val="20"/>
        <color theme="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dxf>
    <dxf>
      <font>
        <b val="0"/>
        <i val="0"/>
        <strike val="0"/>
        <condense val="0"/>
        <extend val="0"/>
        <outline val="0"/>
        <shadow val="0"/>
        <u val="none"/>
        <vertAlign val="baseline"/>
        <sz val="20"/>
        <color auto="1"/>
        <name val="Aptos"/>
        <scheme val="none"/>
      </font>
      <numFmt numFmtId="164" formatCode="0.0"/>
      <border diagonalUp="0" diagonalDown="0">
        <left style="medium">
          <color indexed="64"/>
        </left>
        <right/>
        <top/>
        <bottom/>
        <vertical/>
        <horizontal/>
      </border>
    </dxf>
    <dxf>
      <font>
        <b val="0"/>
        <i val="0"/>
        <strike val="0"/>
        <condense val="0"/>
        <extend val="0"/>
        <outline val="0"/>
        <shadow val="0"/>
        <u val="none"/>
        <vertAlign val="baseline"/>
        <sz val="18"/>
        <color auto="1"/>
        <name val="Aptos Narrow"/>
        <family val="2"/>
        <scheme val="minor"/>
      </font>
      <border diagonalUp="0" diagonalDown="0">
        <left/>
        <right/>
        <top style="thin">
          <color theme="4"/>
        </top>
        <bottom/>
        <vertical/>
        <horizontal/>
      </border>
    </dxf>
    <dxf>
      <font>
        <b val="0"/>
        <i val="0"/>
        <strike val="0"/>
        <condense val="0"/>
        <extend val="0"/>
        <outline val="0"/>
        <shadow val="0"/>
        <u val="none"/>
        <vertAlign val="baseline"/>
        <sz val="16"/>
        <color auto="1"/>
        <name val="Aptos Narrow"/>
        <family val="2"/>
        <scheme val="minor"/>
      </font>
      <border diagonalUp="0" diagonalDown="0">
        <left style="thin">
          <color theme="4"/>
        </left>
        <right/>
        <top style="thin">
          <color theme="4"/>
        </top>
        <bottom/>
        <vertical/>
        <horizontal/>
      </border>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i val="0"/>
        <strike val="0"/>
        <condense val="0"/>
        <extend val="0"/>
        <outline val="0"/>
        <shadow val="0"/>
        <u val="none"/>
        <vertAlign val="baseline"/>
        <sz val="10"/>
        <color theme="1"/>
        <name val="Times New Roman"/>
        <family val="1"/>
        <scheme val="none"/>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b val="0"/>
        <i val="0"/>
        <strike val="0"/>
        <condense val="0"/>
        <extend val="0"/>
        <outline val="0"/>
        <shadow val="0"/>
        <u val="none"/>
        <vertAlign val="baseline"/>
        <sz val="18"/>
        <color theme="0" tint="-0.34998626667073579"/>
        <name val="Aptos Narrow"/>
        <scheme val="minor"/>
      </font>
      <numFmt numFmtId="168"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2" formatCode="0.00"/>
      <fill>
        <patternFill patternType="solid">
          <fgColor indexed="64"/>
          <bgColor rgb="FF87CEFA"/>
        </patternFill>
      </fill>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strike val="0"/>
        <outline val="0"/>
        <shadow val="0"/>
        <u val="none"/>
        <vertAlign val="baseline"/>
        <sz val="16"/>
        <color rgb="FFC00000"/>
        <name val="Aptos Narrow"/>
        <scheme val="minor"/>
      </font>
      <numFmt numFmtId="164" formatCode="0.0"/>
    </dxf>
    <dxf>
      <font>
        <b val="0"/>
        <i val="0"/>
        <strike val="0"/>
        <condense val="0"/>
        <extend val="0"/>
        <outline val="0"/>
        <shadow val="0"/>
        <u val="none"/>
        <vertAlign val="baseline"/>
        <sz val="14"/>
        <color theme="0" tint="-0.249977111117893"/>
        <name val="Aptos Narrow"/>
        <scheme val="min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AC55" totalsRowShown="0" headerRowDxfId="210" dataDxfId="209">
  <autoFilter ref="D5:AC55" xr:uid="{C2D1855A-F6DE-F647-932C-7E457E008762}">
    <filterColumn colId="24">
      <filters>
        <filter val="2"/>
      </filters>
    </filterColumn>
  </autoFilter>
  <sortState xmlns:xlrd2="http://schemas.microsoft.com/office/spreadsheetml/2017/richdata2" ref="D6:AC25">
    <sortCondition descending="1" ref="F5:F55"/>
  </sortState>
  <tableColumns count="26">
    <tableColumn id="1" xr3:uid="{DCD9EDEC-8AF2-E44B-9035-1BD484B62FE1}" name="Sr. No." dataDxfId="208"/>
    <tableColumn id="20" xr3:uid="{467ED1CC-CCE6-BA41-BF9A-B6406E3E5896}" name="Dataset"/>
    <tableColumn id="2" xr3:uid="{571D0713-F0AE-744B-82A9-0647E85B70E4}" name="V" dataDxfId="207"/>
    <tableColumn id="3" xr3:uid="{ABD0A75D-6045-B043-A337-828FF3957B09}" name="E" dataDxfId="206"/>
    <tableColumn id="16" xr3:uid="{DB68AF15-4883-A048-BD25-976C5665D354}" name="avg_degree" dataDxfId="205">
      <calculatedColumnFormula>Table2123242526[[#This Row],[E]]/Table2123242526[[#This Row],[V]]</calculatedColumnFormula>
    </tableColumn>
    <tableColumn id="4" xr3:uid="{EDC46D59-3A43-FB4C-A363-665D3D09EB05}" name="d_max" dataDxfId="204"/>
    <tableColumn id="5" xr3:uid="{551C0AA0-56D8-3A41-B323-883BB3F745E7}" name="#MC" dataDxfId="203"/>
    <tableColumn id="7" xr3:uid="{B1AD054C-B3AC-5A48-A81E-0F6DBF143140}" name="G2AIMD (OOM fixed)" dataDxfId="202"/>
    <tableColumn id="13" xr3:uid="{17828130-93AE-BE4F-B56D-398C6624F065}" name="G2AIMD (pingpong)" dataDxfId="201"/>
    <tableColumn id="11" xr3:uid="{C7BED3EB-3028-664A-84CC-DEF09092CD49}" name="gpu-layered" dataDxfId="200"/>
    <tableColumn id="19" xr3:uid="{8CC5E279-42F6-0C43-A0B6-56B8DF7232A8}" name="gpu-hybrid-drop" dataDxfId="199"/>
    <tableColumn id="12" xr3:uid="{1DC67553-F60B-924D-B26A-702DAE3E2FF5}" name="gpu-hybrid-copy" dataDxfId="198"/>
    <tableColumn id="22" xr3:uid="{27638D44-5B8B-8F45-8E46-FBF02105E8B2}" name="CPU Only" dataDxfId="197"/>
    <tableColumn id="21" xr3:uid="{9AE0CEAA-7210-CA4B-833F-DD12A7829372}" name="500" dataDxfId="66"/>
    <tableColumn id="24" xr3:uid="{5BFFF21A-8883-FB4C-BAF3-39F191B5FB3F}" name="1000" dataDxfId="61"/>
    <tableColumn id="25" xr3:uid="{3B13851B-8503-974B-A26F-1B4E2F6ECC4F}" name="5000" dataDxfId="60"/>
    <tableColumn id="23" xr3:uid="{6F3CDE0B-A57E-414D-A7A7-2B26F6D051D0}" name="10000" dataDxfId="62"/>
    <tableColumn id="26" xr3:uid="{DAC7C15B-AC7C-0043-A31A-756BBADD4B71}" name="50000" dataDxfId="59"/>
    <tableColumn id="6" xr3:uid="{0EF7B805-A81A-8940-BA19-BE4CF8ED9743}" name="1M" dataDxfId="58"/>
    <tableColumn id="18" xr3:uid="{5F152D57-9049-4C4D-820F-CF7ED3FC1AB9}" name="ratio_G2HC" dataDxfId="196">
      <calculatedColumnFormula>Table2123242526[[#This Row],[G2AIMD (OOM fixed)]]/Table2123242526[[#This Row],[gpu-hybrid-copy]]</calculatedColumnFormula>
    </tableColumn>
    <tableColumn id="17" xr3:uid="{A982461B-5C18-B24B-81EC-EA70D205666C}" name="ratio_G2L" dataDxfId="195">
      <calculatedColumnFormula>Table2123242526[[#This Row],[G2AIMD (pingpong)]]/Table2123242526[[#This Row],[gpu-layered]]</calculatedColumnFormula>
    </tableColumn>
    <tableColumn id="8" xr3:uid="{D21CD819-32CC-D84C-A64E-F3C22D69ECB4}" name="ratio_HC2CG" dataDxfId="57">
      <calculatedColumnFormula>Table2123242526[[#This Row],[gpu-hybrid-copy]]/Table2123242526[[#This Row],[5000]]</calculatedColumnFormula>
    </tableColumn>
    <tableColumn id="10" xr3:uid="{7C22635A-6F19-0A4E-969C-BB2F24A517F2}" name="ratio_CP2CG" dataDxfId="194">
      <calculatedColumnFormula>Table2123242526[[#This Row],[CPU Only]]/Table2123242526[[#This Row],[1M]]</calculatedColumnFormula>
    </tableColumn>
    <tableColumn id="14" xr3:uid="{95929B9E-5DA5-0E43-9465-9B1D5425C82D}" name="ratio_C2CG" dataDxfId="56">
      <calculatedColumnFormula>Table2123242526[[#This Row],[CPU Only]]/Table2123242526[[#This Row],[5000]]</calculatedColumnFormula>
    </tableColumn>
    <tableColumn id="15" xr3:uid="{17D0CDA3-5847-894F-A062-711FB2BC3839}" name="selected" dataDxfId="193" dataCellStyle="Comma"/>
    <tableColumn id="9" xr3:uid="{46255FCB-1EC0-D248-B678-F09A3FC1F276}" name="Column3" dataDxfId="19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9BB21E7-FE51-2944-A510-D4EED41B96F6}" name="Table9" displayName="Table9" ref="B5:AD25" totalsRowShown="0" dataDxfId="36" tableBorderDxfId="48">
  <autoFilter ref="B5:AD25" xr:uid="{59BB21E7-FE51-2944-A510-D4EED41B96F6}"/>
  <tableColumns count="29">
    <tableColumn id="1" xr3:uid="{A4F2C649-EF35-9248-AD3C-0E7B8339861A}" name="MC selection" dataDxfId="47"/>
    <tableColumn id="2" xr3:uid="{2D888376-589B-4840-A0F1-582BCFC8FABC}" name="paper reporting" dataDxfId="46"/>
    <tableColumn id="3" xr3:uid="{FA35F1E7-745A-8F42-B0A4-561B0B39EECF}" name="dataset" dataDxfId="45"/>
    <tableColumn id="4" xr3:uid="{45624072-A3EF-F84F-8012-897F48480C0E}" name="query" dataDxfId="44"/>
    <tableColumn id="5" xr3:uid="{6FF28DF1-1D55-F741-9FB7-2E2332433DFD}" name="G2AIMD-OOM-Fixed" dataDxfId="43" dataCellStyle="Comma"/>
    <tableColumn id="6" xr3:uid="{C9C9FE2A-D62A-8F4F-8B63-BBD81C9A4E6A}" name="G2AIMD (pingpong)" dataDxfId="42"/>
    <tableColumn id="7" xr3:uid="{2880D4F1-2619-5F48-AD17-E08FD8101206}" name="gpu-layered"/>
    <tableColumn id="8" xr3:uid="{CCDEE28F-4F20-7D4F-82CA-2A3BE327FFEF}" name="gpu-hybrid-copy"/>
    <tableColumn id="9" xr3:uid="{6B4E7497-0B6C-F744-A85D-A1366A5938DB}" name="CPU Only" dataDxfId="41"/>
    <tableColumn id="10" xr3:uid="{9FCAE65C-8784-2443-A994-26662DDC9319}" name="CPU+GPU (1)" dataDxfId="28"/>
    <tableColumn id="11" xr3:uid="{CD471775-C860-4047-8A17-DE4BB0D9ECC4}" name="CPU+GPU(10)" dataDxfId="32"/>
    <tableColumn id="12" xr3:uid="{C21887F6-90E8-7844-8DB5-E812B04EFA7F}" name="ratio_G2L" dataDxfId="31">
      <calculatedColumnFormula>Table9[[#This Row],[G2AIMD-OOM-Fixed]]/Table9[[#This Row],[gpu-layered]]</calculatedColumnFormula>
    </tableColumn>
    <tableColumn id="13" xr3:uid="{FEF9CCF7-8B70-EF43-932C-5F0AC7097059}" name="ratio_HL2CG" dataDxfId="30">
      <calculatedColumnFormula>Table9[[#This Row],[gpu-layered]]/Table9[[#This Row],[CPU+GPU (1)]]</calculatedColumnFormula>
    </tableColumn>
    <tableColumn id="22" xr3:uid="{8E2E9EAD-9677-E246-A1A1-6083950BD38C}" name="ratio_C2CG" dataDxfId="7">
      <calculatedColumnFormula>IFERROR(Table9[[#This Row],[CPU Only]]/Table9[[#This Row],[gpu-layered]], "—")</calculatedColumnFormula>
    </tableColumn>
    <tableColumn id="14" xr3:uid="{364F6244-13C8-CE41-BAEA-E8F1631D972E}" name="STMatch" dataDxfId="29"/>
    <tableColumn id="15" xr3:uid="{1B7186A4-F3C0-9346-8C58-11C91F61092D}" name="EGSM" dataDxfId="40"/>
    <tableColumn id="16" xr3:uid="{9F82A51F-F5EF-674E-A756-553097CE6A0F}" name="GAMMA" dataDxfId="39"/>
    <tableColumn id="17" xr3:uid="{8128BE97-5070-9149-BCD3-3898C70A57AC}" name="100" dataDxfId="38"/>
    <tableColumn id="18" xr3:uid="{09352404-0F9D-4246-9B0B-DE52F206EFD6}" name="500" dataDxfId="37"/>
    <tableColumn id="19" xr3:uid="{AB8ADEAC-3959-DD43-9E27-4A7A6848631D}" name="1000" dataDxfId="35"/>
    <tableColumn id="20" xr3:uid="{73B374F8-8131-7047-B57A-DEE462F4BEEF}" name="5000" dataDxfId="33"/>
    <tableColumn id="23" xr3:uid="{3033DE06-6B85-CD41-AFE7-4CEC835A3C8B}" name="10000" dataDxfId="8"/>
    <tableColumn id="21" xr3:uid="{52427F5F-6FBE-8946-8AEC-4AC26F5B92C3}" name="1M" dataDxfId="34"/>
    <tableColumn id="24" xr3:uid="{0932C645-CA60-5E47-8789-88B7EA55D22B}" name="Column1" dataDxfId="6"/>
    <tableColumn id="25" xr3:uid="{A6C14288-7E88-2D41-A678-370AC782C479}" name="1" dataDxfId="5"/>
    <tableColumn id="26" xr3:uid="{09543EE8-EEAD-4D44-B99B-B8FF8AE8C365}" name="10" dataDxfId="4"/>
    <tableColumn id="27" xr3:uid="{2EE72B1D-3471-2B49-9C4D-8D385B0CEE75}" name="50" dataDxfId="3"/>
    <tableColumn id="28" xr3:uid="{F1CB2E7B-00DB-684B-964C-451D05F2BEDD}" name="1002" dataDxfId="2"/>
    <tableColumn id="29" xr3:uid="{4CCA922A-C503-9A44-8D5A-9765DCCEF8A8}" name="200" dataDxfId="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743064-F0C1-234A-96C4-4EC30C99115D}" name="Table6" displayName="Table6" ref="B5:T16" totalsRowShown="0" headerRowDxfId="27">
  <autoFilter ref="B5:T16" xr:uid="{44743064-F0C1-234A-96C4-4EC30C99115D}"/>
  <sortState xmlns:xlrd2="http://schemas.microsoft.com/office/spreadsheetml/2017/richdata2" ref="B6:Q16">
    <sortCondition descending="1" ref="C5:C16"/>
  </sortState>
  <tableColumns count="19">
    <tableColumn id="1" xr3:uid="{E24CEAED-9EF2-EA47-84A6-93EC9865BB93}" name="Dataset" dataDxfId="26"/>
    <tableColumn id="2" xr3:uid="{F350152C-BF49-774B-A11E-7D16D302264E}" name="|V|" dataDxfId="25" dataCellStyle="Comma"/>
    <tableColumn id="3" xr3:uid="{117CD190-0C7E-094E-8339-C14BC5D43091}" name="|E|" dataDxfId="24" dataCellStyle="Comma"/>
    <tableColumn id="4" xr3:uid="{5DCD1BC2-2950-F640-BE37-750694E36A16}" name="min_size" dataDxfId="23"/>
    <tableColumn id="5" xr3:uid="{A270A083-5919-A44C-8EF2-F9A71EF44391}" name="gamma" dataDxfId="22"/>
    <tableColumn id="6" xr3:uid="{C408A203-DFAB-6E4E-9E40-1BB55DE17468}" name="# top level tasks" dataDxfId="21"/>
    <tableColumn id="7" xr3:uid="{F30BBF50-5FAB-9E43-8296-72C8834EB884}" name="G2AIMD (FIXED)" dataDxfId="20"/>
    <tableColumn id="8" xr3:uid="{8566C163-FBAF-1849-8BC9-EEDCB4A10DEA}" name="G2AIMD " dataDxfId="19"/>
    <tableColumn id="9" xr3:uid="{BBAF9FA3-BCC5-1749-A13E-4E1A8D5BDF3E}" name="gpu-layered" dataDxfId="18"/>
    <tableColumn id="10" xr3:uid="{17AFCD64-D9E1-004C-854F-898BFF21A162}" name="gpu-hybrid-drop" dataDxfId="17"/>
    <tableColumn id="11" xr3:uid="{E8186A19-9F67-9F48-B8D9-C1AB6AE47163}" name="gpu-hybrid-copy" dataDxfId="16"/>
    <tableColumn id="12" xr3:uid="{84AD4606-6F20-2F41-9AA4-C085195B036C}" name="CPU Only" dataDxfId="15"/>
    <tableColumn id="13" xr3:uid="{6C2AA327-83F3-F248-8EA0-9475B98BE44D}" name="CPU+GPU" dataDxfId="14"/>
    <tableColumn id="14" xr3:uid="{73E1878C-16A1-484E-98D1-3D9CD1488F1F}" name="Column1"/>
    <tableColumn id="15" xr3:uid="{45AC8CC6-8173-C74E-96B6-0AD78B66CE9B}" name="ratio_G2GL" dataDxfId="10">
      <calculatedColumnFormula>IFERROR(Table6[[#This Row],[G2AIMD (FIXED)]]/Table6[[#This Row],[gpu-layered]], "—")</calculatedColumnFormula>
    </tableColumn>
    <tableColumn id="16" xr3:uid="{45157007-43FD-E949-BDBC-779A12A48B54}" name="ratio_GL2CG" dataDxfId="9">
      <calculatedColumnFormula>Table6[[#This Row],[gpu-layered]]/Table6[[#This Row],[CPU+GPU]]</calculatedColumnFormula>
    </tableColumn>
    <tableColumn id="17" xr3:uid="{E193B8D3-F80D-B641-BC1D-A9D133C277DD}" name="ratio_C2CG" dataDxfId="11">
      <calculatedColumnFormula>IFERROR(Table6[[#This Row],[CPU Only]]/Table6[[#This Row],[CPU+GPU]], "—")</calculatedColumnFormula>
    </tableColumn>
    <tableColumn id="18" xr3:uid="{0013055C-E055-5B42-B72F-C724935E9030}" name="Quick2" dataDxfId="12"/>
    <tableColumn id="19" xr3:uid="{837ADC2D-D3B7-684B-8DFF-05E2C6CF949F}" name="FastQC3" dataDxfId="1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86754B9-45E9-8641-8419-5F250AD04658}" name="Table8" displayName="Table8" ref="B22:AA33" totalsRowShown="0" headerRowDxfId="77" dataDxfId="78">
  <autoFilter ref="B22:AA33" xr:uid="{B86754B9-45E9-8641-8419-5F250AD04658}"/>
  <sortState xmlns:xlrd2="http://schemas.microsoft.com/office/spreadsheetml/2017/richdata2" ref="B23:L33">
    <sortCondition descending="1" ref="C22:C33"/>
  </sortState>
  <tableColumns count="26">
    <tableColumn id="1" xr3:uid="{5C2B4228-34B9-5143-9A39-313FBFF4AFE1}" name="Dataset" dataDxfId="83"/>
    <tableColumn id="2" xr3:uid="{FC5C3A8B-BE03-F84B-B49E-AE985796BF2C}" name="|V|" dataDxfId="82" dataCellStyle="Comma"/>
    <tableColumn id="3" xr3:uid="{6F4FF87E-559C-6049-996A-865FF42AE2DF}" name="|E|" dataDxfId="81" dataCellStyle="Comma"/>
    <tableColumn id="4" xr3:uid="{4CFA3786-CB1E-EB41-B262-560AB5B1962F}" name="min_size" dataDxfId="80"/>
    <tableColumn id="5" xr3:uid="{F83E7FAC-C4D1-A34D-8BEC-185D7AD478CB}" name="gamma" dataDxfId="79"/>
    <tableColumn id="6" xr3:uid="{78626670-C848-2547-AAB6-8CEB818CF80E}" name="c=2" dataDxfId="76"/>
    <tableColumn id="7" xr3:uid="{D67795B5-2007-3C4B-BCD1-DB8B6A286070}" name="c=3" dataDxfId="75"/>
    <tableColumn id="8" xr3:uid="{AD920B06-412E-1340-9A77-CE387128F22E}" name="c=4" dataDxfId="74"/>
    <tableColumn id="9" xr3:uid="{2926F53C-FB3F-BF45-A42E-2AA54881FD8B}" name="c=5" dataDxfId="73"/>
    <tableColumn id="10" xr3:uid="{E02852F3-F682-074E-8876-26948F886839}" name="c=10" dataDxfId="72"/>
    <tableColumn id="11" xr3:uid="{9CACA8C4-9866-5A47-BF51-FA013ACB94B0}" name="  " dataDxfId="71"/>
    <tableColumn id="12" xr3:uid="{A0733C2B-4A6D-E241-A3AE-0C1D3F040190}" name="eta 1000" dataDxfId="70"/>
    <tableColumn id="13" xr3:uid="{46047C33-6980-3448-90E9-D3179B3B8213}" name="eta 2000" dataDxfId="69"/>
    <tableColumn id="14" xr3:uid="{ED725D10-7EF4-7D42-9E56-6E517E9CE6BE}" name="eta 5000" dataDxfId="68"/>
    <tableColumn id="15" xr3:uid="{7F0A3CB7-92FC-4F4D-9192-5FEAE7FCAAFF}" name="eta 10000" dataDxfId="67"/>
    <tableColumn id="16" xr3:uid="{DBC76257-BF5A-934D-87BF-FF3C8B24B9BF}" name="1" dataDxfId="0"/>
    <tableColumn id="17" xr3:uid="{ABD1A920-CD4C-B945-AB61-D4190FB484FE}" name="10" dataDxfId="65"/>
    <tableColumn id="18" xr3:uid="{012D63B7-4207-5644-A689-2BDE4FC1C4A9}" name="100" dataDxfId="64"/>
    <tableColumn id="19" xr3:uid="{94061D74-E18D-334F-BFED-90D585F017C9}" name="200" dataDxfId="63"/>
    <tableColumn id="20" xr3:uid="{64F382BD-55E1-2C4A-A13D-DE7F81ED1BA8}" name=" " dataDxfId="55"/>
    <tableColumn id="21" xr3:uid="{F1340478-77FC-6246-A757-40DC09A6EBF1}" name="100_GH" dataDxfId="54"/>
    <tableColumn id="22" xr3:uid="{B4EC78EB-5892-0841-B11A-9A4A3B052198}" name="500" dataDxfId="53"/>
    <tableColumn id="23" xr3:uid="{DEC7ECF9-E898-4C44-B9D6-BE8A993D49A9}" name="1000" dataDxfId="52"/>
    <tableColumn id="24" xr3:uid="{0768D6F7-6D37-5347-AE0A-F657D27205C3}" name="5000" dataDxfId="51"/>
    <tableColumn id="25" xr3:uid="{B085330A-E2C0-EF44-87D7-F41D0C59034E}" name="10000" dataDxfId="50"/>
    <tableColumn id="26" xr3:uid="{164685D2-C9F1-8746-9D67-72541BE3878A}" name="1M" dataDxfId="49"/>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DAF365-B81C-5743-802C-3198C98650A1}" name="Table3" displayName="Table3" ref="A5:AH55" totalsRowShown="0" headerRowDxfId="84" dataDxfId="85" headerRowCellStyle="Comma">
  <autoFilter ref="A5:AH55" xr:uid="{41DAF365-B81C-5743-802C-3198C98650A1}">
    <filterColumn colId="0">
      <filters>
        <filter val="1"/>
      </filters>
    </filterColumn>
  </autoFilter>
  <tableColumns count="34">
    <tableColumn id="1" xr3:uid="{BE39B97E-60C2-1449-920B-78D6B622D852}" name="Column1" dataDxfId="118">
      <calculatedColumnFormula>COUNTIF($B$66:$B$85, Table3[[#This Row],[Column2]])</calculatedColumnFormula>
    </tableColumn>
    <tableColumn id="2" xr3:uid="{7C925CAD-6497-674A-80D5-7FA62273B5F8}" name="Column2" dataDxfId="117"/>
    <tableColumn id="3" xr3:uid="{3C53C92E-3E83-D44D-A811-3950FE4B0533}" name=" 1,000 " dataDxfId="116"/>
    <tableColumn id="4" xr3:uid="{AAA64303-7956-8943-A6EB-1B975D22FB8D}" name=" 2,000 " dataDxfId="115"/>
    <tableColumn id="5" xr3:uid="{74A18219-F770-304E-9AC2-D9A9E419F445}" name=" 5,000 " dataDxfId="114"/>
    <tableColumn id="6" xr3:uid="{C9D19C97-E0AD-4A42-830F-96400D284A03}" name=" 10,000 " dataDxfId="113"/>
    <tableColumn id="7" xr3:uid="{67C69154-0E0B-AC42-BB7D-89DD230DB18D}" name=" 20,000 " dataDxfId="112"/>
    <tableColumn id="8" xr3:uid="{E26756C6-E258-BC4F-A89D-E7045E7AC6A2}" name="Column3" dataDxfId="111"/>
    <tableColumn id="9" xr3:uid="{D78C53CE-C893-8345-B2BE-A1EDA397929A}" name="g2-aimd" dataDxfId="110"/>
    <tableColumn id="10" xr3:uid="{4D26126A-B5EE-8346-A230-B776587AD747}" name="Column4" dataDxfId="109"/>
    <tableColumn id="11" xr3:uid="{E12E841C-A7F3-7A4E-8B3B-E8D606116DBC}" name=" 1,000 5" dataDxfId="108"/>
    <tableColumn id="12" xr3:uid="{EE0DFCA4-DDAE-AC49-9AE2-D49324120FED}" name=" 2,000 6" dataDxfId="107"/>
    <tableColumn id="13" xr3:uid="{24FFD12F-BB98-3345-A895-8AE4A40275D8}" name=" 5,000 7" dataDxfId="106"/>
    <tableColumn id="14" xr3:uid="{9B3ED98F-DA00-7840-AA33-E33AE7528D9F}" name=" 10,000 8" dataDxfId="105"/>
    <tableColumn id="15" xr3:uid="{7B701AD5-E9E9-CD4C-A574-9FC90A2F49D3}" name=" 20,000 9" dataDxfId="104"/>
    <tableColumn id="16" xr3:uid="{36BC3B92-D134-734E-8110-E1E40F218BA8}" name="Column10"/>
    <tableColumn id="18" xr3:uid="{51B6EDBA-038F-EA44-8E78-04DDF69A559A}" name="1" dataDxfId="103"/>
    <tableColumn id="19" xr3:uid="{B707ECBB-3A32-534B-929E-0EF72E825437}" name="10" dataDxfId="102"/>
    <tableColumn id="20" xr3:uid="{2B024F83-0560-964D-B376-E4B9E945F1D9}" name="100" dataDxfId="101"/>
    <tableColumn id="21" xr3:uid="{87BA1C71-9D3B-8B44-BCB0-BA9AA8AE4441}" name="200" dataDxfId="100"/>
    <tableColumn id="22" xr3:uid="{12171F1C-7ACC-4D45-A3DE-D1C4DB91A21F}" name="500" dataDxfId="99"/>
    <tableColumn id="23" xr3:uid="{A463AB37-9DE8-F64F-8BF6-3DFCF90AAC58}" name="1000" dataDxfId="98"/>
    <tableColumn id="24" xr3:uid="{73A9F9AD-9D56-6448-B33A-B39131A5B8C7}" name="Column12" dataDxfId="97"/>
    <tableColumn id="25" xr3:uid="{930B5839-2595-4142-81D1-42ABE377D88F}" name="t1" dataDxfId="96"/>
    <tableColumn id="26" xr3:uid="{ECC05564-5B79-5A4D-88E0-96CEAD2E00A9}" name="t10" dataDxfId="95"/>
    <tableColumn id="29" xr3:uid="{58363BFC-4807-9540-9B31-D2169B8EB687}" name="t1002" dataDxfId="94"/>
    <tableColumn id="30" xr3:uid="{41DBF622-12AB-6349-B88D-FC300DDFC898}" name="t10000" dataDxfId="93"/>
    <tableColumn id="31" xr3:uid="{C941B4E1-ACCC-6440-B5F5-6BE1622B3B4B}" name="Column18" dataDxfId="92"/>
    <tableColumn id="32" xr3:uid="{D953F6DB-B7CC-D44B-9C67-2F75838C258D}" name=" c1,000" dataDxfId="91"/>
    <tableColumn id="33" xr3:uid="{1380C9EB-FD21-684A-B49D-94C0156BC737}" name="c5000" dataDxfId="90"/>
    <tableColumn id="34" xr3:uid="{15E0DA07-FE73-0149-B1EA-42F0A9396260}" name="c10000" dataDxfId="89"/>
    <tableColumn id="35" xr3:uid="{3C984E82-2519-3E4C-B20D-9AEE3A617198}" name=" 100,000 " dataDxfId="88"/>
    <tableColumn id="36" xr3:uid="{6B2DC432-3A8F-4D4F-9F66-334F54C7B380}" name=" 500,000 " dataDxfId="87"/>
    <tableColumn id="37" xr3:uid="{87D76BE4-0812-8745-A41E-3890C8279C57}" name=" 1,000,000 " dataDxfId="86"/>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191" dataDxfId="190">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189"/>
    <tableColumn id="2" xr3:uid="{99F57411-E357-6146-AD2F-944EA3B99F22}" name="V" dataDxfId="188"/>
    <tableColumn id="3" xr3:uid="{5DA3F50F-6683-4740-8275-FC8B2AEBA335}" name="E" dataDxfId="187"/>
    <tableColumn id="4" xr3:uid="{927D83F2-F8F5-B542-B08E-3F1134B07F82}" name="d_max" dataDxfId="186"/>
    <tableColumn id="5" xr3:uid="{8E95BA4C-9028-0E4D-9185-262920783C20}" name="Column3" dataDxfId="185"/>
    <tableColumn id="13" xr3:uid="{318AFBDF-EF22-1E4A-85CD-495CB3CF3C71}" name="AIMD" dataDxfId="184"/>
    <tableColumn id="8" xr3:uid="{5C230B4E-7E1D-A645-B48D-91815A51AEE6}" name="Column4" dataDxfId="183"/>
    <tableColumn id="18" xr3:uid="{9C400945-3C78-F840-9780-8447CB0FA306}" name="Ours-One-warp" dataDxfId="182"/>
    <tableColumn id="21" xr3:uid="{D30286C1-C814-674F-AAC3-2D0BB6091E4C}" name="Ours" dataDxfId="181"/>
    <tableColumn id="9" xr3:uid="{165FB5C8-A66B-6B4F-855C-F795F8373EC6}" name="Column5" dataDxfId="180"/>
    <tableColumn id="10" xr3:uid="{BDEF5DE0-0613-924A-A15D-0D8027906427}" name="Imp. One Warp" dataDxfId="179">
      <calculatedColumnFormula>IFERROR(Table21232425[[#This Row],[AIMD]]/Table21232425[[#This Row],[Ours-One-warp]], "NONE")</calculatedColumnFormula>
    </tableColumn>
    <tableColumn id="11" xr3:uid="{F9DF35F2-8695-BF48-8954-6D40FC01ED76}" name="Impr. Ours" dataDxfId="178">
      <calculatedColumnFormula>IFERROR(Table21232425[[#This Row],[AIMD]]/Table21232425[[#This Row],[Ours]], "NONE")</calculatedColumnFormula>
    </tableColumn>
    <tableColumn id="12" xr3:uid="{757CB4BA-7334-0E43-BB3B-4096363E8DCD}" name="Column54" dataDxfId="177"/>
    <tableColumn id="22" xr3:uid="{BDD89152-D598-A741-AB88-00948177B5F5}" name="Column14" dataDxfId="176"/>
    <tableColumn id="6" xr3:uid="{552442CE-C2A8-A144-A063-3B1AE4C1A620}" name="P100" dataDxfId="175"/>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174" dataDxfId="173">
  <autoFilter ref="C5:N68" xr:uid="{C2D1855A-F6DE-F647-932C-7E457E008762}"/>
  <sortState xmlns:xlrd2="http://schemas.microsoft.com/office/spreadsheetml/2017/richdata2" ref="C6:N68">
    <sortCondition ref="E5:E68"/>
  </sortState>
  <tableColumns count="12">
    <tableColumn id="7" xr3:uid="{BF239966-238E-AA44-B939-6E5FDC5F71B0}" name="Column2" dataDxfId="172"/>
    <tableColumn id="1" xr3:uid="{07A3267A-F3CC-4549-8CF2-689C95F4D970}" name="Column1" dataDxfId="171"/>
    <tableColumn id="2" xr3:uid="{5888CD12-EF96-DC47-B986-D3BEE536C817}" name="V" dataDxfId="170"/>
    <tableColumn id="3" xr3:uid="{E88B6B80-2EC0-B643-8B7D-095946923F1D}" name="E" dataDxfId="169"/>
    <tableColumn id="4" xr3:uid="{87770781-C48A-7241-901E-9BB9E192477A}" name="d_max" dataDxfId="168"/>
    <tableColumn id="5" xr3:uid="{0F006EB6-C45E-2342-94F3-1EEE253AEDDF}" name="Column3" dataDxfId="167"/>
    <tableColumn id="6" xr3:uid="{45ACA3DD-1024-154B-99F8-E8731884AA56}" name="degen" dataDxfId="166"/>
    <tableColumn id="9" xr3:uid="{C8F5D7A0-26AC-5B4B-A5BF-ECBA904E8B5F}" name="L1+IP" dataDxfId="165"/>
    <tableColumn id="10" xr3:uid="{148621AF-82D1-754C-8A17-F205D10E7546}" name="L1+IPX" dataDxfId="164"/>
    <tableColumn id="11" xr3:uid="{CF2EDA69-7981-DA4B-BC59-275E2B7DD8FF}" name="L2+IP" dataDxfId="163"/>
    <tableColumn id="12" xr3:uid="{A44BD5E2-6546-F946-9DAB-F0E75D944E17}" name="L2+IPX" dataDxfId="162"/>
    <tableColumn id="13" xr3:uid="{41C9E2A0-948C-0449-9519-4FD1DD7303F3}" name="Column6" dataDxfId="161"/>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60" dataDxfId="159">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58"/>
    <tableColumn id="2" xr3:uid="{4CA00932-10CB-7242-9605-49C2DA3903A7}" name="V" dataDxfId="157"/>
    <tableColumn id="3" xr3:uid="{21570761-C185-8A43-A5B5-40064CE0EB46}" name="E" dataDxfId="156"/>
    <tableColumn id="4" xr3:uid="{DE0EE7AB-FF9F-9444-A3CE-ED0CE1C6F973}" name="d_max" dataDxfId="155"/>
    <tableColumn id="5" xr3:uid="{E5AC7CCD-B087-B94F-B6E3-D6BB8C84612A}" name="#MC" dataDxfId="154"/>
    <tableColumn id="13" xr3:uid="{D63975A4-7A47-B14E-B1F3-45D05D7759C5}" name="k" dataDxfId="153"/>
    <tableColumn id="8" xr3:uid="{A05DC304-EB27-FB42-A647-BE3A4AC04A40}" name="g" dataDxfId="152"/>
    <tableColumn id="11" xr3:uid="{B6F311BE-FEB9-1E41-80C7-77BC3AE1CC38}" name="Column4" dataDxfId="151"/>
    <tableColumn id="12" xr3:uid="{5F3B423D-E39D-A54A-8E40-5B0FF4A51DB7}" name="Column5" dataDxfId="150"/>
    <tableColumn id="22" xr3:uid="{B28C92C6-3B5F-3D4F-AE63-FA7C5A773801}" name="Column6" dataDxfId="149"/>
    <tableColumn id="6" xr3:uid="{0808855D-658E-A045-8C1C-56022CE500C1}" name="Column7" dataDxfId="148"/>
    <tableColumn id="7" xr3:uid="{23D665A5-EE7E-5B4E-9964-48FA5C9F438F}" name="Column8" dataDxfId="147"/>
    <tableColumn id="9" xr3:uid="{1B24FDF3-D187-D64C-A634-DA395DE6E3A6}" name="Column3" dataDxfId="146"/>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8AC441-AC44-8B43-83DA-EF205259FE56}" name="Table2" displayName="Table2" ref="A51:F62" totalsRowShown="0" headerRowDxfId="145" dataDxfId="144">
  <autoFilter ref="A51:F62" xr:uid="{0B8AC441-AC44-8B43-83DA-EF205259FE56}"/>
  <sortState xmlns:xlrd2="http://schemas.microsoft.com/office/spreadsheetml/2017/richdata2" ref="A52:E62">
    <sortCondition descending="1" ref="B51:B62"/>
  </sortState>
  <tableColumns count="6">
    <tableColumn id="1" xr3:uid="{4CA61299-46BF-534C-BE03-9A0B1F843956}" name="Dataset" dataDxfId="143"/>
    <tableColumn id="2" xr3:uid="{7F68E2B0-E008-2648-9315-D9A8C6A4E17D}" name="|V|" dataDxfId="142" dataCellStyle="Comma"/>
    <tableColumn id="3" xr3:uid="{72B2E210-44A5-7441-8630-9E09438D3AD4}" name="|E|" dataDxfId="141" dataCellStyle="Comma"/>
    <tableColumn id="4" xr3:uid="{5D250CD1-21A7-354E-BB43-8CF140702FA7}" name="d_max" dataDxfId="140"/>
    <tableColumn id="5" xr3:uid="{A96777FA-2203-7D43-B4B1-59F155983911}" name="min_size" dataDxfId="139"/>
    <tableColumn id="6" xr3:uid="{BEB64594-79B9-FE40-9EBD-E429E0C46F2E}" name="gamma" dataDxfId="138"/>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137" dataDxfId="136">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135"/>
    <tableColumn id="2" xr3:uid="{B6BA1FB8-7E1D-C042-AA80-EB33EEF07489}" name="Column2" dataDxfId="134"/>
    <tableColumn id="3" xr3:uid="{3D672021-12CF-7E44-B929-F19CA72D60EC}" name="Column3" dataDxfId="133"/>
    <tableColumn id="4" xr3:uid="{E67ACF71-76CE-354C-BC0B-A74B8388BAB6}" name="Column4" dataDxfId="132"/>
    <tableColumn id="5" xr3:uid="{7230C838-1B3B-0B48-95A0-052BC39D44C0}" name="Column5" dataDxfId="131"/>
    <tableColumn id="6" xr3:uid="{AE57CC59-63EA-7B49-A644-2CB81B9D0778}" name="Avg" dataDxfId="130">
      <calculatedColumnFormula>G2/F2</calculatedColumnFormula>
    </tableColumn>
    <tableColumn id="7" xr3:uid="{6EEE6663-215D-4A4B-BD28-E520BA613AB9}" name="DS" dataDxfId="129"/>
    <tableColumn id="8" xr3:uid="{B4275871-ABC6-FF4E-BBC0-2DFB27420938}" name="Column6" dataDxfId="128">
      <calculatedColumnFormula>"http://konect.cc/files/download.tsv."&amp;I2&amp;".tar.bz2"</calculatedColumnFormula>
    </tableColumn>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127" dataDxfId="126" tableBorderDxfId="125">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124"/>
    <tableColumn id="2" xr3:uid="{6CAE8E08-8011-8645-8C1D-572AD42A255C}" name="V" dataDxfId="123"/>
    <tableColumn id="3" xr3:uid="{061E8B13-2CA6-A441-9C80-F42E2F090D03}" name="E" dataDxfId="122"/>
    <tableColumn id="4" xr3:uid="{20CDF773-C4D3-974A-9358-6905826D00BD}" name="avg_degree" dataDxfId="121">
      <calculatedColumnFormula>Table4[[#This Row],[E]]/Table4[[#This Row],[V]]</calculatedColumnFormula>
    </tableColumn>
    <tableColumn id="5" xr3:uid="{941262D5-9BF7-A44F-9261-04A432C92C2E}" name="d_max" dataDxfId="120"/>
    <tableColumn id="6" xr3:uid="{E90FCA38-7D9E-0248-B762-0A09964B4AB4}" name="selected" dataDxfId="119"/>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6C54E5-FF11-CE42-88CD-46E9C1CD7915}">
  <we:reference id="WA200005502" version="1.0.0.11" store="Omex" storeType="OMEX"/>
  <we:alternateReferences>
    <we:reference id="WA200005502" version="1.0.0.11" store="WA200005502"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D1:AQ126"/>
  <sheetViews>
    <sheetView topLeftCell="L1" zoomScale="75" workbookViewId="0">
      <selection activeCell="S1" sqref="S1:S1048576"/>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7" style="9" bestFit="1" customWidth="1"/>
    <col min="12" max="12" width="26.6640625" customWidth="1"/>
    <col min="13" max="13" width="19.5" customWidth="1"/>
    <col min="14" max="14" width="22.5" customWidth="1"/>
    <col min="15" max="15" width="22.33203125" bestFit="1" customWidth="1"/>
    <col min="16" max="16" width="15.83203125" customWidth="1"/>
    <col min="17" max="17" width="15.1640625" customWidth="1"/>
    <col min="18" max="22" width="15.1640625" style="9" customWidth="1"/>
    <col min="23" max="23" width="18" customWidth="1"/>
    <col min="24" max="24" width="22.33203125" customWidth="1"/>
    <col min="25" max="25" width="20.83203125" style="9" customWidth="1"/>
    <col min="26" max="26" width="17.33203125" style="9" hidden="1" customWidth="1"/>
    <col min="27" max="27" width="24.5" bestFit="1" customWidth="1"/>
    <col min="28" max="28" width="18.83203125" style="9" bestFit="1" customWidth="1"/>
    <col min="29" max="29" width="18.83203125" customWidth="1"/>
    <col min="30" max="30" width="14.6640625" style="42" bestFit="1" customWidth="1"/>
    <col min="31" max="31" width="13.83203125" customWidth="1"/>
    <col min="32" max="32" width="25" bestFit="1" customWidth="1"/>
    <col min="33" max="34" width="25" customWidth="1"/>
    <col min="36" max="36" width="15.1640625" bestFit="1" customWidth="1"/>
    <col min="40" max="40" width="18.33203125" bestFit="1" customWidth="1"/>
    <col min="42" max="42" width="12.6640625" bestFit="1" customWidth="1"/>
  </cols>
  <sheetData>
    <row r="1" spans="4:37" ht="24" x14ac:dyDescent="0.3">
      <c r="D1" s="9" t="s">
        <v>3932</v>
      </c>
      <c r="M1" s="9"/>
      <c r="N1" s="9"/>
      <c r="O1" s="9"/>
      <c r="Q1" s="9"/>
      <c r="V1" s="42"/>
      <c r="W1" s="121"/>
      <c r="X1" s="121"/>
      <c r="Y1" s="80"/>
      <c r="Z1" s="80"/>
      <c r="AB1"/>
      <c r="AD1"/>
    </row>
    <row r="2" spans="4:37" ht="24" x14ac:dyDescent="0.3">
      <c r="M2" s="9"/>
      <c r="N2" s="9"/>
      <c r="O2" s="9"/>
      <c r="Q2" s="9"/>
      <c r="S2" s="9" t="s">
        <v>4071</v>
      </c>
      <c r="V2" s="42"/>
      <c r="W2" s="122" t="s">
        <v>3964</v>
      </c>
      <c r="X2" s="121" t="s">
        <v>3965</v>
      </c>
      <c r="Y2" s="65" t="s">
        <v>3967</v>
      </c>
      <c r="Z2" s="80" t="s">
        <v>3968</v>
      </c>
      <c r="AA2" s="121" t="s">
        <v>3966</v>
      </c>
      <c r="AB2" s="65" t="s">
        <v>3969</v>
      </c>
      <c r="AD2"/>
    </row>
    <row r="3" spans="4:37" ht="23" thickBot="1" x14ac:dyDescent="0.35">
      <c r="M3" s="9"/>
      <c r="N3" s="9"/>
      <c r="O3" s="9"/>
      <c r="Q3" s="9"/>
      <c r="V3" s="42"/>
      <c r="W3" s="42"/>
      <c r="X3" s="42"/>
      <c r="Y3"/>
      <c r="Z3"/>
      <c r="AB3"/>
      <c r="AD3"/>
    </row>
    <row r="4" spans="4:37" ht="28" thickBot="1" x14ac:dyDescent="0.4">
      <c r="L4" s="120"/>
      <c r="M4" s="120"/>
      <c r="N4" s="120"/>
      <c r="O4" s="120"/>
      <c r="P4" s="37"/>
      <c r="Q4" s="262"/>
      <c r="R4" s="261"/>
      <c r="S4" s="261"/>
      <c r="T4" s="261" t="s">
        <v>3933</v>
      </c>
      <c r="U4" s="261"/>
      <c r="V4" s="263"/>
      <c r="W4" s="55"/>
      <c r="X4" s="55"/>
      <c r="Y4" s="93"/>
      <c r="Z4" s="93"/>
      <c r="AA4" s="93"/>
      <c r="AB4" s="93"/>
      <c r="AD4"/>
    </row>
    <row r="5" spans="4:37" ht="25" thickBot="1" x14ac:dyDescent="0.35">
      <c r="D5" s="13" t="s">
        <v>3981</v>
      </c>
      <c r="E5" s="13" t="s">
        <v>3941</v>
      </c>
      <c r="F5" s="12" t="s">
        <v>13</v>
      </c>
      <c r="G5" s="12" t="s">
        <v>14</v>
      </c>
      <c r="H5" s="13" t="s">
        <v>3950</v>
      </c>
      <c r="I5" s="12" t="s">
        <v>15</v>
      </c>
      <c r="J5" s="13" t="s">
        <v>3931</v>
      </c>
      <c r="K5" s="13" t="s">
        <v>3999</v>
      </c>
      <c r="L5" s="13" t="s">
        <v>3942</v>
      </c>
      <c r="M5" s="117" t="s">
        <v>3943</v>
      </c>
      <c r="N5" s="118" t="s">
        <v>3954</v>
      </c>
      <c r="O5" s="119" t="s">
        <v>3953</v>
      </c>
      <c r="P5" s="13" t="s">
        <v>3929</v>
      </c>
      <c r="Q5" s="279" t="s">
        <v>4045</v>
      </c>
      <c r="R5" s="279" t="s">
        <v>4046</v>
      </c>
      <c r="S5" s="279" t="s">
        <v>4069</v>
      </c>
      <c r="T5" s="279" t="s">
        <v>4048</v>
      </c>
      <c r="U5" s="279" t="s">
        <v>4070</v>
      </c>
      <c r="V5" s="280" t="s">
        <v>4068</v>
      </c>
      <c r="W5" s="13" t="s">
        <v>3996</v>
      </c>
      <c r="X5" s="65" t="s">
        <v>3955</v>
      </c>
      <c r="Y5" s="13" t="s">
        <v>3997</v>
      </c>
      <c r="Z5" s="13" t="s">
        <v>3970</v>
      </c>
      <c r="AA5" s="13" t="s">
        <v>4072</v>
      </c>
      <c r="AB5" s="13" t="s">
        <v>3951</v>
      </c>
      <c r="AC5" s="12" t="s">
        <v>21</v>
      </c>
      <c r="AD5"/>
    </row>
    <row r="6" spans="4:37" ht="32" x14ac:dyDescent="0.4">
      <c r="D6" s="9">
        <v>15</v>
      </c>
      <c r="E6" s="9" t="s">
        <v>3913</v>
      </c>
      <c r="F6" s="38">
        <v>58655849</v>
      </c>
      <c r="G6" s="38">
        <v>522642066</v>
      </c>
      <c r="H6" s="38">
        <f>Table2123242526[[#This Row],[E]]/Table2123242526[[#This Row],[V]]</f>
        <v>8.9103145706747853</v>
      </c>
      <c r="I6" s="38">
        <v>278489</v>
      </c>
      <c r="J6" s="39">
        <v>1117416174</v>
      </c>
      <c r="K6" s="10">
        <v>72.141434000000004</v>
      </c>
      <c r="L6" s="41">
        <v>60.576824999999999</v>
      </c>
      <c r="M6" s="133">
        <v>32.451304999999998</v>
      </c>
      <c r="N6" s="170">
        <v>48.09</v>
      </c>
      <c r="O6" s="148">
        <v>27.86</v>
      </c>
      <c r="P6" s="56">
        <v>144.30504400000001</v>
      </c>
      <c r="Q6" s="264">
        <v>19.510000000000002</v>
      </c>
      <c r="R6" s="265">
        <v>19.239999999999998</v>
      </c>
      <c r="S6" s="281">
        <v>19.39</v>
      </c>
      <c r="T6" s="266">
        <v>19.47</v>
      </c>
      <c r="U6" s="267">
        <v>30.88738</v>
      </c>
      <c r="V6" s="268">
        <v>30.343237999999999</v>
      </c>
      <c r="W6" s="123">
        <f>Table2123242526[[#This Row],[G2AIMD (OOM fixed)]]/Table2123242526[[#This Row],[gpu-hybrid-copy]]</f>
        <v>2.5894269203158653</v>
      </c>
      <c r="X6" s="123">
        <f>Table2123242526[[#This Row],[G2AIMD (pingpong)]]/Table2123242526[[#This Row],[gpu-layered]]</f>
        <v>1.8666991974590854</v>
      </c>
      <c r="Y6" s="124">
        <f>Table2123242526[[#This Row],[gpu-hybrid-copy]]/Table2123242526[[#This Row],[5000]]</f>
        <v>1.4368231046931408</v>
      </c>
      <c r="Z6" s="124">
        <f>Table2123242526[[#This Row],[CPU Only]]/Table2123242526[[#This Row],[1M]]</f>
        <v>4.7557562577863317</v>
      </c>
      <c r="AA6" s="53">
        <f>Table2123242526[[#This Row],[CPU Only]]/Table2123242526[[#This Row],[5000]]</f>
        <v>7.4422405363589483</v>
      </c>
      <c r="AB6" s="163">
        <v>2</v>
      </c>
      <c r="AC6" s="162" t="s">
        <v>3987</v>
      </c>
      <c r="AD6"/>
      <c r="AG6" s="35"/>
      <c r="AI6" s="2"/>
      <c r="AK6" s="2"/>
    </row>
    <row r="7" spans="4:37" ht="32" x14ac:dyDescent="0.4">
      <c r="D7" s="9">
        <v>4</v>
      </c>
      <c r="E7" s="9" t="s">
        <v>3915</v>
      </c>
      <c r="F7" s="38">
        <v>25921548</v>
      </c>
      <c r="G7" s="38">
        <v>1086367222</v>
      </c>
      <c r="H7" s="38">
        <f>Table2123242526[[#This Row],[E]]/Table2123242526[[#This Row],[V]]</f>
        <v>41.909812716431901</v>
      </c>
      <c r="I7" s="38">
        <v>4271341</v>
      </c>
      <c r="J7" s="39">
        <v>568730123</v>
      </c>
      <c r="K7" s="10">
        <v>151.533287</v>
      </c>
      <c r="L7" s="41">
        <v>150.722433</v>
      </c>
      <c r="M7" s="133">
        <v>222.62359000000001</v>
      </c>
      <c r="N7" s="63">
        <v>147.85674399999999</v>
      </c>
      <c r="O7" s="148">
        <v>147.67106799999999</v>
      </c>
      <c r="P7" s="56">
        <v>227.71192199999999</v>
      </c>
      <c r="Q7" s="227">
        <v>113.455056</v>
      </c>
      <c r="R7" s="269">
        <v>111.977164</v>
      </c>
      <c r="S7" s="282">
        <v>117.886426</v>
      </c>
      <c r="T7" s="269">
        <v>118.011191</v>
      </c>
      <c r="U7" s="270">
        <v>99.896929</v>
      </c>
      <c r="V7" s="271">
        <v>99.29</v>
      </c>
      <c r="W7" s="123">
        <f>Table2123242526[[#This Row],[G2AIMD (OOM fixed)]]/Table2123242526[[#This Row],[gpu-hybrid-copy]]</f>
        <v>1.0261542023925772</v>
      </c>
      <c r="X7" s="123">
        <f>Table2123242526[[#This Row],[G2AIMD (pingpong)]]/Table2123242526[[#This Row],[gpu-layered]]</f>
        <v>0.67702813075649348</v>
      </c>
      <c r="Y7" s="124">
        <f>Table2123242526[[#This Row],[gpu-hybrid-copy]]/Table2123242526[[#This Row],[5000]]</f>
        <v>1.2526553990193916</v>
      </c>
      <c r="Z7" s="124">
        <f>Table2123242526[[#This Row],[CPU Only]]/Table2123242526[[#This Row],[1M]]</f>
        <v>2.293402376875818</v>
      </c>
      <c r="AA7" s="53">
        <f>Table2123242526[[#This Row],[CPU Only]]/Table2123242526[[#This Row],[5000]]</f>
        <v>1.9316212199019418</v>
      </c>
      <c r="AB7" s="163">
        <v>2</v>
      </c>
      <c r="AC7" s="34"/>
      <c r="AD7"/>
      <c r="AE7" s="164" t="s">
        <v>3992</v>
      </c>
      <c r="AG7" s="35"/>
      <c r="AI7" s="2"/>
      <c r="AK7" s="2"/>
    </row>
    <row r="8" spans="4:37" ht="32" x14ac:dyDescent="0.4">
      <c r="D8" s="9">
        <v>6</v>
      </c>
      <c r="E8" s="11" t="s">
        <v>1455</v>
      </c>
      <c r="F8" s="38">
        <v>8833229</v>
      </c>
      <c r="G8" s="38">
        <v>105882456</v>
      </c>
      <c r="H8" s="38">
        <f>Table2123242526[[#This Row],[E]]/Table2123242526[[#This Row],[V]]</f>
        <v>11.986834712425093</v>
      </c>
      <c r="I8" s="38">
        <v>2126384</v>
      </c>
      <c r="J8" s="39">
        <v>2115046340</v>
      </c>
      <c r="K8" s="10">
        <v>112.67521000000001</v>
      </c>
      <c r="L8" s="41">
        <v>105.59741699999999</v>
      </c>
      <c r="M8" s="133">
        <v>90.007458</v>
      </c>
      <c r="N8" s="63">
        <v>80.489999999999995</v>
      </c>
      <c r="O8" s="148">
        <v>60.69</v>
      </c>
      <c r="P8" s="57">
        <v>306.40025200000002</v>
      </c>
      <c r="Q8" s="227">
        <v>49.28</v>
      </c>
      <c r="R8" s="269">
        <v>49.1</v>
      </c>
      <c r="S8" s="282">
        <v>48.31</v>
      </c>
      <c r="T8" s="269">
        <v>48.9</v>
      </c>
      <c r="U8" s="270">
        <v>46.755004999999997</v>
      </c>
      <c r="V8" s="271">
        <v>46.25</v>
      </c>
      <c r="W8" s="123">
        <f>Table2123242526[[#This Row],[G2AIMD (OOM fixed)]]/Table2123242526[[#This Row],[gpu-hybrid-copy]]</f>
        <v>1.8565696160817271</v>
      </c>
      <c r="X8" s="123">
        <f>Table2123242526[[#This Row],[G2AIMD (pingpong)]]/Table2123242526[[#This Row],[gpu-layered]]</f>
        <v>1.173207413545664</v>
      </c>
      <c r="Y8" s="124">
        <f>Table2123242526[[#This Row],[gpu-hybrid-copy]]/Table2123242526[[#This Row],[5000]]</f>
        <v>1.2562616435520595</v>
      </c>
      <c r="Z8" s="124">
        <f>Table2123242526[[#This Row],[CPU Only]]/Table2123242526[[#This Row],[1M]]</f>
        <v>6.6248703135135143</v>
      </c>
      <c r="AA8" s="53">
        <f>Table2123242526[[#This Row],[CPU Only]]/Table2123242526[[#This Row],[5000]]</f>
        <v>6.3423773959842684</v>
      </c>
      <c r="AB8" s="163">
        <v>2</v>
      </c>
      <c r="AC8" s="34"/>
      <c r="AD8"/>
      <c r="AE8" s="164" t="s">
        <v>3993</v>
      </c>
      <c r="AG8" s="35"/>
      <c r="AI8" s="2"/>
      <c r="AK8" s="2"/>
    </row>
    <row r="9" spans="4:37" ht="32" x14ac:dyDescent="0.4">
      <c r="D9" s="9">
        <v>25</v>
      </c>
      <c r="E9" s="11" t="s">
        <v>1391</v>
      </c>
      <c r="F9" s="38">
        <v>8482737</v>
      </c>
      <c r="G9" s="38">
        <v>23585644</v>
      </c>
      <c r="H9" s="38">
        <f>Table2123242526[[#This Row],[E]]/Table2123242526[[#This Row],[V]]</f>
        <v>2.7804285338564663</v>
      </c>
      <c r="I9" s="38">
        <v>8421430</v>
      </c>
      <c r="J9" s="39">
        <v>12043741</v>
      </c>
      <c r="K9" s="10">
        <v>9.2547449999999998</v>
      </c>
      <c r="L9" s="41">
        <v>7.652196</v>
      </c>
      <c r="M9" s="133">
        <v>8.1007510000000007</v>
      </c>
      <c r="N9" s="63">
        <v>7.9706739999999998</v>
      </c>
      <c r="O9" s="148">
        <v>7.2945060000000002</v>
      </c>
      <c r="P9" s="56">
        <v>0.89532500000000004</v>
      </c>
      <c r="Q9" s="227">
        <v>0.93136799999999997</v>
      </c>
      <c r="R9" s="269">
        <v>0.92402200000000001</v>
      </c>
      <c r="S9" s="282">
        <v>0.94292100000000001</v>
      </c>
      <c r="T9" s="269">
        <v>0.92742800000000003</v>
      </c>
      <c r="U9" s="270">
        <v>0.873803</v>
      </c>
      <c r="V9" s="271">
        <v>0.82320000000000004</v>
      </c>
      <c r="W9" s="123">
        <f>Table2123242526[[#This Row],[G2AIMD (OOM fixed)]]/Table2123242526[[#This Row],[gpu-hybrid-copy]]</f>
        <v>1.2687281359423106</v>
      </c>
      <c r="X9" s="123">
        <f>Table2123242526[[#This Row],[G2AIMD (pingpong)]]/Table2123242526[[#This Row],[gpu-layered]]</f>
        <v>0.9446279733817271</v>
      </c>
      <c r="Y9" s="124">
        <f>Table2123242526[[#This Row],[gpu-hybrid-copy]]/Table2123242526[[#This Row],[5000]]</f>
        <v>7.7360733295790425</v>
      </c>
      <c r="Z9" s="124">
        <f>Table2123242526[[#This Row],[CPU Only]]/Table2123242526[[#This Row],[1M]]</f>
        <v>1.0876154033041787</v>
      </c>
      <c r="AA9" s="53">
        <f>Table2123242526[[#This Row],[CPU Only]]/Table2123242526[[#This Row],[5000]]</f>
        <v>0.94952281262163007</v>
      </c>
      <c r="AB9" s="163">
        <v>2</v>
      </c>
      <c r="AC9" s="34"/>
      <c r="AD9"/>
      <c r="AE9" s="164" t="s">
        <v>3994</v>
      </c>
      <c r="AG9" s="35"/>
      <c r="AI9" s="2"/>
      <c r="AK9" s="2"/>
    </row>
    <row r="10" spans="4:37" ht="32" x14ac:dyDescent="0.4">
      <c r="D10" s="9">
        <v>20</v>
      </c>
      <c r="E10" s="11" t="s">
        <v>1423</v>
      </c>
      <c r="F10" s="38">
        <v>7570051</v>
      </c>
      <c r="G10" s="38">
        <v>43881980</v>
      </c>
      <c r="H10" s="38">
        <f>Table2123242526[[#This Row],[E]]/Table2123242526[[#This Row],[V]]</f>
        <v>5.7967878948239582</v>
      </c>
      <c r="I10" s="38">
        <v>5669991</v>
      </c>
      <c r="J10" s="39">
        <v>41148109</v>
      </c>
      <c r="K10" s="10">
        <v>14.093127000000001</v>
      </c>
      <c r="L10" s="41">
        <v>12.697224</v>
      </c>
      <c r="M10" s="133">
        <v>13.289847</v>
      </c>
      <c r="N10" s="63">
        <v>12.918736000000001</v>
      </c>
      <c r="O10" s="148">
        <v>12.232373000000001</v>
      </c>
      <c r="P10" s="56">
        <v>4.7210000000000001</v>
      </c>
      <c r="Q10" s="227">
        <v>2.39</v>
      </c>
      <c r="R10" s="269">
        <v>2.77</v>
      </c>
      <c r="S10" s="282">
        <v>2.7</v>
      </c>
      <c r="T10" s="272">
        <v>2.23</v>
      </c>
      <c r="U10" s="270">
        <v>2.3150789999999999</v>
      </c>
      <c r="V10" s="273">
        <v>2.4319999999999999</v>
      </c>
      <c r="W10" s="123">
        <f>Table2123242526[[#This Row],[G2AIMD (OOM fixed)]]/Table2123242526[[#This Row],[gpu-hybrid-copy]]</f>
        <v>1.1521171730129551</v>
      </c>
      <c r="X10" s="123">
        <f>Table2123242526[[#This Row],[G2AIMD (pingpong)]]/Table2123242526[[#This Row],[gpu-layered]]</f>
        <v>0.95540783878098823</v>
      </c>
      <c r="Y10" s="124">
        <f>Table2123242526[[#This Row],[gpu-hybrid-copy]]/Table2123242526[[#This Row],[5000]]</f>
        <v>4.5305085185185181</v>
      </c>
      <c r="Z10" s="124">
        <f>Table2123242526[[#This Row],[CPU Only]]/Table2123242526[[#This Row],[1M]]</f>
        <v>1.9412006578947369</v>
      </c>
      <c r="AA10" s="53">
        <f>Table2123242526[[#This Row],[CPU Only]]/Table2123242526[[#This Row],[5000]]</f>
        <v>1.7485185185185184</v>
      </c>
      <c r="AB10" s="163">
        <v>2</v>
      </c>
      <c r="AC10" s="34"/>
      <c r="AD10"/>
      <c r="AE10" s="164" t="s">
        <v>3995</v>
      </c>
      <c r="AG10" s="35"/>
      <c r="AI10" s="2"/>
      <c r="AK10" s="2"/>
    </row>
    <row r="11" spans="4:37" ht="32" x14ac:dyDescent="0.4">
      <c r="D11" s="9">
        <v>13</v>
      </c>
      <c r="E11" s="11" t="s">
        <v>1450</v>
      </c>
      <c r="F11" s="38">
        <v>5867547</v>
      </c>
      <c r="G11" s="38">
        <v>61171040</v>
      </c>
      <c r="H11" s="38">
        <f>Table2123242526[[#This Row],[E]]/Table2123242526[[#This Row],[V]]</f>
        <v>10.425317428220003</v>
      </c>
      <c r="I11" s="38">
        <v>959344</v>
      </c>
      <c r="J11" s="39">
        <v>994503898</v>
      </c>
      <c r="K11" s="10">
        <v>47.766303000000001</v>
      </c>
      <c r="L11" s="41">
        <v>57.130594000000002</v>
      </c>
      <c r="M11" s="133">
        <v>35.560279000000001</v>
      </c>
      <c r="N11" s="63">
        <v>36.26</v>
      </c>
      <c r="O11" s="148">
        <v>28.21</v>
      </c>
      <c r="P11" s="56">
        <v>123.493318</v>
      </c>
      <c r="Q11" s="227">
        <v>19.329999999999998</v>
      </c>
      <c r="R11" s="269">
        <v>19.100000000000001</v>
      </c>
      <c r="S11" s="282">
        <v>19.309999999999999</v>
      </c>
      <c r="T11" s="272">
        <v>18.940000000000001</v>
      </c>
      <c r="U11" s="270">
        <v>20.122519</v>
      </c>
      <c r="V11" s="273">
        <v>20.2</v>
      </c>
      <c r="W11" s="123">
        <f>Table2123242526[[#This Row],[G2AIMD (OOM fixed)]]/Table2123242526[[#This Row],[gpu-hybrid-copy]]</f>
        <v>1.6932400921658985</v>
      </c>
      <c r="X11" s="123">
        <f>Table2123242526[[#This Row],[G2AIMD (pingpong)]]/Table2123242526[[#This Row],[gpu-layered]]</f>
        <v>1.6065845265162291</v>
      </c>
      <c r="Y11" s="124">
        <f>Table2123242526[[#This Row],[gpu-hybrid-copy]]/Table2123242526[[#This Row],[5000]]</f>
        <v>1.4609010875194202</v>
      </c>
      <c r="Z11" s="124">
        <f>Table2123242526[[#This Row],[CPU Only]]/Table2123242526[[#This Row],[1M]]</f>
        <v>6.113530594059406</v>
      </c>
      <c r="AA11" s="53">
        <f>Table2123242526[[#This Row],[CPU Only]]/Table2123242526[[#This Row],[5000]]</f>
        <v>6.3953038839979293</v>
      </c>
      <c r="AB11" s="163">
        <v>2</v>
      </c>
      <c r="AC11" s="34"/>
      <c r="AD11"/>
      <c r="AG11" s="35"/>
      <c r="AI11" s="2"/>
      <c r="AK11" s="2"/>
    </row>
    <row r="12" spans="4:37" ht="32" x14ac:dyDescent="0.4">
      <c r="D12" s="9">
        <v>12</v>
      </c>
      <c r="E12" s="11" t="s">
        <v>1456</v>
      </c>
      <c r="F12" s="38">
        <v>5829441</v>
      </c>
      <c r="G12" s="38">
        <v>110439216</v>
      </c>
      <c r="H12" s="38">
        <f>Table2123242526[[#This Row],[E]]/Table2123242526[[#This Row],[V]]</f>
        <v>18.945078267367318</v>
      </c>
      <c r="I12" s="38">
        <v>818185</v>
      </c>
      <c r="J12" s="39">
        <v>1508704249</v>
      </c>
      <c r="K12" s="10">
        <v>79.435288</v>
      </c>
      <c r="L12" s="41">
        <v>84.078997999999999</v>
      </c>
      <c r="M12" s="133">
        <v>52.55547</v>
      </c>
      <c r="N12" s="63">
        <v>73.75</v>
      </c>
      <c r="O12" s="148">
        <v>46.29</v>
      </c>
      <c r="P12" s="56">
        <v>245.51799</v>
      </c>
      <c r="Q12" s="227">
        <v>33.6</v>
      </c>
      <c r="R12" s="269">
        <v>33.65</v>
      </c>
      <c r="S12" s="282">
        <v>33.72</v>
      </c>
      <c r="T12" s="272">
        <v>33.24</v>
      </c>
      <c r="U12" s="270">
        <v>37.410254999999999</v>
      </c>
      <c r="V12" s="273">
        <v>38</v>
      </c>
      <c r="W12" s="123">
        <f>Table2123242526[[#This Row],[G2AIMD (OOM fixed)]]/Table2123242526[[#This Row],[gpu-hybrid-copy]]</f>
        <v>1.7160356016418232</v>
      </c>
      <c r="X12" s="123">
        <f>Table2123242526[[#This Row],[G2AIMD (pingpong)]]/Table2123242526[[#This Row],[gpu-layered]]</f>
        <v>1.5998144056175314</v>
      </c>
      <c r="Y12" s="124">
        <f>Table2123242526[[#This Row],[gpu-hybrid-copy]]/Table2123242526[[#This Row],[5000]]</f>
        <v>1.3727758007117439</v>
      </c>
      <c r="Z12" s="124">
        <f>Table2123242526[[#This Row],[CPU Only]]/Table2123242526[[#This Row],[1M]]</f>
        <v>6.4609997368421048</v>
      </c>
      <c r="AA12" s="53">
        <f>Table2123242526[[#This Row],[CPU Only]]/Table2123242526[[#This Row],[5000]]</f>
        <v>7.281079181494662</v>
      </c>
      <c r="AB12" s="163">
        <v>2</v>
      </c>
      <c r="AC12" s="34"/>
      <c r="AD12"/>
      <c r="AG12" s="35"/>
      <c r="AI12" s="2"/>
      <c r="AK12" s="2"/>
    </row>
    <row r="13" spans="4:37" ht="32" x14ac:dyDescent="0.4">
      <c r="D13" s="9">
        <v>29</v>
      </c>
      <c r="E13" s="11" t="s">
        <v>1440</v>
      </c>
      <c r="F13" s="38">
        <v>5812931</v>
      </c>
      <c r="G13" s="38">
        <v>54238524</v>
      </c>
      <c r="H13" s="38">
        <f>Table2123242526[[#This Row],[E]]/Table2123242526[[#This Row],[V]]</f>
        <v>9.3306670937604448</v>
      </c>
      <c r="I13" s="38">
        <v>3504033</v>
      </c>
      <c r="J13" s="39">
        <v>72022415</v>
      </c>
      <c r="K13" s="10">
        <v>6.0030999999999999</v>
      </c>
      <c r="L13" s="41">
        <v>5.1042110000000003</v>
      </c>
      <c r="M13" s="133">
        <v>6.1971189999999998</v>
      </c>
      <c r="N13" s="63">
        <v>5.4931109999999999</v>
      </c>
      <c r="O13" s="148">
        <v>4.798845</v>
      </c>
      <c r="P13" s="56">
        <v>9.5797369999999997</v>
      </c>
      <c r="Q13" s="227">
        <v>2.2400000000000002</v>
      </c>
      <c r="R13" s="269">
        <v>2.36</v>
      </c>
      <c r="S13" s="282">
        <v>2.2999999999999998</v>
      </c>
      <c r="T13" s="272">
        <v>2.23</v>
      </c>
      <c r="U13" s="270">
        <v>3.0204589999999998</v>
      </c>
      <c r="V13" s="273">
        <v>3.0204589999999998</v>
      </c>
      <c r="W13" s="123">
        <f>Table2123242526[[#This Row],[G2AIMD (OOM fixed)]]/Table2123242526[[#This Row],[gpu-hybrid-copy]]</f>
        <v>1.25094684241729</v>
      </c>
      <c r="X13" s="123">
        <f>Table2123242526[[#This Row],[G2AIMD (pingpong)]]/Table2123242526[[#This Row],[gpu-layered]]</f>
        <v>0.82364256681209458</v>
      </c>
      <c r="Y13" s="124">
        <f>Table2123242526[[#This Row],[gpu-hybrid-copy]]/Table2123242526[[#This Row],[5000]]</f>
        <v>2.0864543478260873</v>
      </c>
      <c r="Z13" s="124">
        <f>Table2123242526[[#This Row],[CPU Only]]/Table2123242526[[#This Row],[1M]]</f>
        <v>3.1716163007013174</v>
      </c>
      <c r="AA13" s="53">
        <f>Table2123242526[[#This Row],[CPU Only]]/Table2123242526[[#This Row],[5000]]</f>
        <v>4.1651030434782612</v>
      </c>
      <c r="AB13" s="163">
        <v>2</v>
      </c>
      <c r="AC13" s="34"/>
      <c r="AD13"/>
      <c r="AG13" s="35"/>
      <c r="AI13" s="2"/>
      <c r="AK13" s="2"/>
    </row>
    <row r="14" spans="4:37" ht="32" x14ac:dyDescent="0.4">
      <c r="D14" s="9">
        <v>1</v>
      </c>
      <c r="E14" s="9" t="s">
        <v>1443</v>
      </c>
      <c r="F14" s="38">
        <v>3924218</v>
      </c>
      <c r="G14" s="38">
        <v>152878772</v>
      </c>
      <c r="H14" s="38">
        <f>Table2123242526[[#This Row],[E]]/Table2123242526[[#This Row],[V]]</f>
        <v>38.957767381934438</v>
      </c>
      <c r="I14" s="38">
        <v>254555</v>
      </c>
      <c r="J14" s="39">
        <v>36008128</v>
      </c>
      <c r="K14" s="10">
        <v>483.37426900000003</v>
      </c>
      <c r="L14" s="41">
        <v>486.47726599999999</v>
      </c>
      <c r="M14" s="133">
        <v>483.67</v>
      </c>
      <c r="N14" s="63">
        <v>482.00630699999999</v>
      </c>
      <c r="O14" s="148">
        <v>481.87422600000002</v>
      </c>
      <c r="P14" s="57">
        <v>450.831255</v>
      </c>
      <c r="Q14" s="227">
        <v>120.88848</v>
      </c>
      <c r="R14" s="269">
        <v>120.295664</v>
      </c>
      <c r="S14" s="282">
        <v>127.740718</v>
      </c>
      <c r="T14" s="269">
        <v>129.27168800000001</v>
      </c>
      <c r="U14" s="270">
        <v>112.903085</v>
      </c>
      <c r="V14" s="271">
        <v>112.34</v>
      </c>
      <c r="W14" s="123">
        <f>Table2123242526[[#This Row],[G2AIMD (OOM fixed)]]/Table2123242526[[#This Row],[gpu-hybrid-copy]]</f>
        <v>1.0031129347017618</v>
      </c>
      <c r="X14" s="123">
        <f>Table2123242526[[#This Row],[G2AIMD (pingpong)]]/Table2123242526[[#This Row],[gpu-layered]]</f>
        <v>1.0058040937002501</v>
      </c>
      <c r="Y14" s="124">
        <f>Table2123242526[[#This Row],[gpu-hybrid-copy]]/Table2123242526[[#This Row],[5000]]</f>
        <v>3.7722836816996757</v>
      </c>
      <c r="Z14" s="124">
        <f>Table2123242526[[#This Row],[CPU Only]]/Table2123242526[[#This Row],[1M]]</f>
        <v>4.0130964482820008</v>
      </c>
      <c r="AA14" s="53">
        <f>Table2123242526[[#This Row],[CPU Only]]/Table2123242526[[#This Row],[5000]]</f>
        <v>3.5292682087476601</v>
      </c>
      <c r="AB14" s="163">
        <v>2</v>
      </c>
      <c r="AC14" s="34"/>
      <c r="AD14"/>
      <c r="AG14" s="35"/>
      <c r="AI14" s="2"/>
      <c r="AK14" s="2"/>
    </row>
    <row r="15" spans="4:37" ht="32" x14ac:dyDescent="0.4">
      <c r="D15" s="9">
        <v>5</v>
      </c>
      <c r="E15" s="9" t="s">
        <v>10</v>
      </c>
      <c r="F15" s="38">
        <v>3603726</v>
      </c>
      <c r="G15" s="38">
        <v>155093964</v>
      </c>
      <c r="H15" s="38">
        <f>Table2123242526[[#This Row],[E]]/Table2123242526[[#This Row],[V]]</f>
        <v>43.037113254448315</v>
      </c>
      <c r="I15" s="38">
        <v>434234</v>
      </c>
      <c r="J15" s="39">
        <v>1237624958</v>
      </c>
      <c r="K15" s="10">
        <v>147.66339600000001</v>
      </c>
      <c r="L15" s="41">
        <v>107.39003200000001</v>
      </c>
      <c r="M15" s="133">
        <v>94.61</v>
      </c>
      <c r="N15" s="63">
        <v>181.27</v>
      </c>
      <c r="O15" s="148">
        <v>74.099999999999994</v>
      </c>
      <c r="P15" s="57">
        <v>196.60153800000001</v>
      </c>
      <c r="Q15" s="227">
        <v>58.65</v>
      </c>
      <c r="R15" s="269">
        <v>58.23</v>
      </c>
      <c r="S15" s="283">
        <v>58.12</v>
      </c>
      <c r="T15" s="269">
        <v>67.39</v>
      </c>
      <c r="U15" s="270">
        <v>68.88</v>
      </c>
      <c r="V15" s="273">
        <v>68.88</v>
      </c>
      <c r="W15" s="123">
        <f>Table2123242526[[#This Row],[G2AIMD (OOM fixed)]]/Table2123242526[[#This Row],[gpu-hybrid-copy]]</f>
        <v>1.9927583805668019</v>
      </c>
      <c r="X15" s="123">
        <f>Table2123242526[[#This Row],[G2AIMD (pingpong)]]/Table2123242526[[#This Row],[gpu-layered]]</f>
        <v>1.1350811964908574</v>
      </c>
      <c r="Y15" s="124">
        <f>Table2123242526[[#This Row],[gpu-hybrid-copy]]/Table2123242526[[#This Row],[5000]]</f>
        <v>1.2749483826565726</v>
      </c>
      <c r="Z15" s="124">
        <f>Table2123242526[[#This Row],[CPU Only]]/Table2123242526[[#This Row],[1M]]</f>
        <v>2.8542615853658537</v>
      </c>
      <c r="AA15" s="53">
        <f>Table2123242526[[#This Row],[CPU Only]]/Table2123242526[[#This Row],[5000]]</f>
        <v>3.3826830350997938</v>
      </c>
      <c r="AB15" s="163">
        <v>2</v>
      </c>
      <c r="AC15" s="34"/>
      <c r="AD15"/>
      <c r="AG15" s="35"/>
      <c r="AI15" s="2"/>
      <c r="AK15" s="2"/>
    </row>
    <row r="16" spans="4:37" ht="32" x14ac:dyDescent="0.4">
      <c r="D16" s="9">
        <v>37</v>
      </c>
      <c r="E16" s="11" t="s">
        <v>1409</v>
      </c>
      <c r="F16" s="38">
        <v>3411795</v>
      </c>
      <c r="G16" s="38">
        <v>26854686</v>
      </c>
      <c r="H16" s="38">
        <f>Table2123242526[[#This Row],[E]]/Table2123242526[[#This Row],[V]]</f>
        <v>7.8711311787490166</v>
      </c>
      <c r="I16" s="38">
        <v>2487058</v>
      </c>
      <c r="J16" s="39">
        <v>8209611</v>
      </c>
      <c r="K16" s="10">
        <v>4.6714419999999999</v>
      </c>
      <c r="L16" s="41">
        <v>4.5660360000000004</v>
      </c>
      <c r="M16" s="133">
        <v>3.4434170000000002</v>
      </c>
      <c r="N16" s="63">
        <v>3.286502</v>
      </c>
      <c r="O16" s="148">
        <v>2.5527690000000001</v>
      </c>
      <c r="P16" s="56">
        <v>0.94574000000000003</v>
      </c>
      <c r="Q16" s="227">
        <v>0.90323900000000001</v>
      </c>
      <c r="R16" s="269">
        <v>0.97987000000000002</v>
      </c>
      <c r="S16" s="282">
        <v>0.97836800000000002</v>
      </c>
      <c r="T16" s="269">
        <v>0.93959599999999999</v>
      </c>
      <c r="U16" s="274">
        <v>0.85847099999999998</v>
      </c>
      <c r="V16" s="273">
        <v>0.89</v>
      </c>
      <c r="W16" s="123">
        <f>Table2123242526[[#This Row],[G2AIMD (OOM fixed)]]/Table2123242526[[#This Row],[gpu-hybrid-copy]]</f>
        <v>1.8299509277964436</v>
      </c>
      <c r="X16" s="123">
        <f>Table2123242526[[#This Row],[G2AIMD (pingpong)]]/Table2123242526[[#This Row],[gpu-layered]]</f>
        <v>1.3260188934421826</v>
      </c>
      <c r="Y16" s="124">
        <f>Table2123242526[[#This Row],[gpu-hybrid-copy]]/Table2123242526[[#This Row],[5000]]</f>
        <v>2.6092114623536338</v>
      </c>
      <c r="Z16" s="124">
        <f>Table2123242526[[#This Row],[CPU Only]]/Table2123242526[[#This Row],[1M]]</f>
        <v>1.0626292134831461</v>
      </c>
      <c r="AA16" s="53">
        <f>Table2123242526[[#This Row],[CPU Only]]/Table2123242526[[#This Row],[5000]]</f>
        <v>0.966650585464774</v>
      </c>
      <c r="AB16" s="163">
        <v>2</v>
      </c>
      <c r="AC16" s="34"/>
      <c r="AD16"/>
      <c r="AG16" s="35"/>
      <c r="AI16" s="2"/>
      <c r="AK16" s="2"/>
    </row>
    <row r="17" spans="4:43" ht="32" x14ac:dyDescent="0.4">
      <c r="D17" s="9">
        <v>8</v>
      </c>
      <c r="E17" s="9" t="s">
        <v>1442</v>
      </c>
      <c r="F17" s="38">
        <v>3370462</v>
      </c>
      <c r="G17" s="38">
        <v>143901836</v>
      </c>
      <c r="H17" s="38">
        <f>Table2123242526[[#This Row],[E]]/Table2123242526[[#This Row],[V]]</f>
        <v>42.694988402183441</v>
      </c>
      <c r="I17" s="38">
        <v>282591</v>
      </c>
      <c r="J17" s="39">
        <v>563203047</v>
      </c>
      <c r="K17" s="10">
        <v>156.71956700000001</v>
      </c>
      <c r="L17" s="41">
        <v>127.82051300000001</v>
      </c>
      <c r="M17" s="133">
        <v>85.97</v>
      </c>
      <c r="N17" s="63">
        <v>86.97</v>
      </c>
      <c r="O17" s="148">
        <v>73.61</v>
      </c>
      <c r="P17" s="58">
        <v>200.62130099999999</v>
      </c>
      <c r="Q17" s="227">
        <v>43.28</v>
      </c>
      <c r="R17" s="269">
        <v>42.97</v>
      </c>
      <c r="S17" s="283">
        <v>42.94</v>
      </c>
      <c r="T17" s="269">
        <v>43.46</v>
      </c>
      <c r="U17" s="270">
        <v>47.39</v>
      </c>
      <c r="V17" s="273">
        <v>47.39</v>
      </c>
      <c r="W17" s="123">
        <f>Table2123242526[[#This Row],[G2AIMD (OOM fixed)]]/Table2123242526[[#This Row],[gpu-hybrid-copy]]</f>
        <v>2.1290526694742562</v>
      </c>
      <c r="X17" s="123">
        <f>Table2123242526[[#This Row],[G2AIMD (pingpong)]]/Table2123242526[[#This Row],[gpu-layered]]</f>
        <v>1.4868036873327906</v>
      </c>
      <c r="Y17" s="124">
        <f>Table2123242526[[#This Row],[gpu-hybrid-copy]]/Table2123242526[[#This Row],[5000]]</f>
        <v>1.7142524452724732</v>
      </c>
      <c r="Z17" s="124">
        <f>Table2123242526[[#This Row],[CPU Only]]/Table2123242526[[#This Row],[1M]]</f>
        <v>4.2334100232116478</v>
      </c>
      <c r="AA17" s="53">
        <f>Table2123242526[[#This Row],[CPU Only]]/Table2123242526[[#This Row],[5000]]</f>
        <v>4.6721309035863996</v>
      </c>
      <c r="AB17" s="163">
        <v>2</v>
      </c>
      <c r="AC17" s="34"/>
      <c r="AD17"/>
      <c r="AG17" s="35"/>
      <c r="AI17" s="2"/>
      <c r="AK17" s="2"/>
    </row>
    <row r="18" spans="4:43" ht="32" x14ac:dyDescent="0.4">
      <c r="D18" s="9">
        <v>3</v>
      </c>
      <c r="E18" s="9" t="s">
        <v>1451</v>
      </c>
      <c r="F18" s="38">
        <v>3333397</v>
      </c>
      <c r="G18" s="38">
        <v>200923810</v>
      </c>
      <c r="H18" s="38">
        <f>Table2123242526[[#This Row],[E]]/Table2123242526[[#This Row],[V]]</f>
        <v>60.275991728557983</v>
      </c>
      <c r="I18" s="38">
        <v>399358</v>
      </c>
      <c r="J18" s="39">
        <v>1902943357</v>
      </c>
      <c r="K18" s="10">
        <v>281.423633</v>
      </c>
      <c r="L18" s="41">
        <v>224.11627300000001</v>
      </c>
      <c r="M18" s="133">
        <v>237.14</v>
      </c>
      <c r="N18" s="63">
        <v>289.92</v>
      </c>
      <c r="O18" s="148">
        <v>199.82</v>
      </c>
      <c r="P18" s="56">
        <v>834.23</v>
      </c>
      <c r="Q18" s="155">
        <v>159.88</v>
      </c>
      <c r="R18" s="269">
        <v>160.33000000000001</v>
      </c>
      <c r="S18" s="282">
        <v>160.49</v>
      </c>
      <c r="T18" s="269">
        <v>164.78</v>
      </c>
      <c r="U18" s="270">
        <v>179.01</v>
      </c>
      <c r="V18" s="273">
        <v>180.56</v>
      </c>
      <c r="W18" s="123">
        <f>Table2123242526[[#This Row],[G2AIMD (OOM fixed)]]/Table2123242526[[#This Row],[gpu-hybrid-copy]]</f>
        <v>1.4083857121409269</v>
      </c>
      <c r="X18" s="123">
        <f>Table2123242526[[#This Row],[G2AIMD (pingpong)]]/Table2123242526[[#This Row],[gpu-layered]]</f>
        <v>0.94508000759045296</v>
      </c>
      <c r="Y18" s="124">
        <f>Table2123242526[[#This Row],[gpu-hybrid-copy]]/Table2123242526[[#This Row],[5000]]</f>
        <v>1.2450619976322512</v>
      </c>
      <c r="Z18" s="124">
        <f>Table2123242526[[#This Row],[CPU Only]]/Table2123242526[[#This Row],[1M]]</f>
        <v>4.6202370403190072</v>
      </c>
      <c r="AA18" s="53">
        <f>Table2123242526[[#This Row],[CPU Only]]/Table2123242526[[#This Row],[5000]]</f>
        <v>5.1980185681350859</v>
      </c>
      <c r="AB18" s="163">
        <v>2</v>
      </c>
      <c r="AC18" s="34"/>
      <c r="AD18"/>
      <c r="AG18" s="35"/>
      <c r="AI18" s="2"/>
      <c r="AK18" s="2"/>
    </row>
    <row r="19" spans="4:43" ht="32" x14ac:dyDescent="0.4">
      <c r="D19" s="9">
        <v>2</v>
      </c>
      <c r="E19" s="9" t="s">
        <v>1452</v>
      </c>
      <c r="F19" s="38">
        <v>3175009</v>
      </c>
      <c r="G19" s="38">
        <v>206621674</v>
      </c>
      <c r="H19" s="38">
        <f>Table2123242526[[#This Row],[E]]/Table2123242526[[#This Row],[V]]</f>
        <v>65.077508126748612</v>
      </c>
      <c r="I19" s="38">
        <v>369566</v>
      </c>
      <c r="J19" s="39">
        <v>67547002</v>
      </c>
      <c r="K19" s="10">
        <v>434.10890000000001</v>
      </c>
      <c r="L19" s="40">
        <v>433.71</v>
      </c>
      <c r="M19" s="133">
        <v>493.98</v>
      </c>
      <c r="N19" s="103">
        <v>408.37694099999999</v>
      </c>
      <c r="O19" s="133">
        <v>409.93960600000003</v>
      </c>
      <c r="P19" s="57">
        <v>346.19295299999999</v>
      </c>
      <c r="Q19" s="227">
        <v>157.95615900000001</v>
      </c>
      <c r="R19" s="269">
        <v>158.02330000000001</v>
      </c>
      <c r="S19" s="282">
        <v>158.12229300000001</v>
      </c>
      <c r="T19" s="269">
        <v>158.25116299999999</v>
      </c>
      <c r="U19" s="270">
        <v>102.65375299999999</v>
      </c>
      <c r="V19" s="271">
        <v>102.3</v>
      </c>
      <c r="W19" s="123">
        <f>Table2123242526[[#This Row],[G2AIMD (OOM fixed)]]/Table2123242526[[#This Row],[gpu-hybrid-copy]]</f>
        <v>1.0589581822450207</v>
      </c>
      <c r="X19" s="123">
        <f>Table2123242526[[#This Row],[G2AIMD (pingpong)]]/Table2123242526[[#This Row],[gpu-layered]]</f>
        <v>0.87799101178185346</v>
      </c>
      <c r="Y19" s="124">
        <f>Table2123242526[[#This Row],[gpu-hybrid-copy]]/Table2123242526[[#This Row],[5000]]</f>
        <v>2.5925478199332717</v>
      </c>
      <c r="Z19" s="124">
        <f>Table2123242526[[#This Row],[CPU Only]]/Table2123242526[[#This Row],[1M]]</f>
        <v>3.3840953372434019</v>
      </c>
      <c r="AA19" s="53">
        <f>Table2123242526[[#This Row],[CPU Only]]/Table2123242526[[#This Row],[5000]]</f>
        <v>2.1894000297605092</v>
      </c>
      <c r="AB19" s="163">
        <v>2</v>
      </c>
      <c r="AC19" s="34"/>
      <c r="AD19"/>
      <c r="AG19" s="35"/>
      <c r="AI19" s="2"/>
      <c r="AK19" s="2"/>
    </row>
    <row r="20" spans="4:43" ht="32" x14ac:dyDescent="0.4">
      <c r="D20" s="9">
        <v>7</v>
      </c>
      <c r="E20" s="11" t="s">
        <v>6</v>
      </c>
      <c r="F20" s="38">
        <v>3072441</v>
      </c>
      <c r="G20" s="38">
        <v>234369798</v>
      </c>
      <c r="H20" s="38">
        <f>Table2123242526[[#This Row],[E]]/Table2123242526[[#This Row],[V]]</f>
        <v>76.281301414738309</v>
      </c>
      <c r="I20" s="38">
        <v>33313</v>
      </c>
      <c r="J20" s="39">
        <v>2270456447</v>
      </c>
      <c r="K20" s="10">
        <v>111.967101</v>
      </c>
      <c r="L20" s="41">
        <v>85.151685000000001</v>
      </c>
      <c r="M20" s="133">
        <v>88.42</v>
      </c>
      <c r="N20" s="63">
        <v>97.4</v>
      </c>
      <c r="O20" s="148">
        <v>56.98</v>
      </c>
      <c r="P20" s="56">
        <v>281.76346699999999</v>
      </c>
      <c r="Q20" s="227">
        <v>45.25</v>
      </c>
      <c r="R20" s="269">
        <v>44.74</v>
      </c>
      <c r="S20" s="283">
        <v>44.69</v>
      </c>
      <c r="T20" s="269">
        <v>44.99</v>
      </c>
      <c r="U20" s="270">
        <v>51.644970999999998</v>
      </c>
      <c r="V20" s="273">
        <v>51.232100000000003</v>
      </c>
      <c r="W20" s="123">
        <f>Table2123242526[[#This Row],[G2AIMD (OOM fixed)]]/Table2123242526[[#This Row],[gpu-hybrid-copy]]</f>
        <v>1.9650245875745878</v>
      </c>
      <c r="X20" s="123">
        <f>Table2123242526[[#This Row],[G2AIMD (pingpong)]]/Table2123242526[[#This Row],[gpu-layered]]</f>
        <v>0.96303647364849576</v>
      </c>
      <c r="Y20" s="124">
        <f>Table2123242526[[#This Row],[gpu-hybrid-copy]]/Table2123242526[[#This Row],[5000]]</f>
        <v>1.2750055940926381</v>
      </c>
      <c r="Z20" s="124">
        <f>Table2123242526[[#This Row],[CPU Only]]/Table2123242526[[#This Row],[1M]]</f>
        <v>5.4997446327595387</v>
      </c>
      <c r="AA20" s="53">
        <f>Table2123242526[[#This Row],[CPU Only]]/Table2123242526[[#This Row],[5000]]</f>
        <v>6.3048437458044306</v>
      </c>
      <c r="AB20" s="163">
        <v>2</v>
      </c>
      <c r="AC20" s="34"/>
      <c r="AD20"/>
      <c r="AG20" s="35"/>
      <c r="AI20" s="2"/>
      <c r="AK20" s="2"/>
    </row>
    <row r="21" spans="4:43" ht="32" x14ac:dyDescent="0.4">
      <c r="D21" s="9">
        <v>33</v>
      </c>
      <c r="E21" s="11" t="s">
        <v>1404</v>
      </c>
      <c r="F21" s="38">
        <v>2939627</v>
      </c>
      <c r="G21" s="38">
        <v>20974994</v>
      </c>
      <c r="H21" s="38">
        <f>Table2123242526[[#This Row],[E]]/Table2123242526[[#This Row],[V]]</f>
        <v>7.1352569560695969</v>
      </c>
      <c r="I21" s="38">
        <v>916719</v>
      </c>
      <c r="J21" s="39">
        <v>49558992</v>
      </c>
      <c r="K21" s="10">
        <v>5.0862049999999996</v>
      </c>
      <c r="L21" s="41">
        <v>3.7311160000000001</v>
      </c>
      <c r="M21" s="133">
        <v>4.4346589999999999</v>
      </c>
      <c r="N21" s="63">
        <v>4.0436699999999997</v>
      </c>
      <c r="O21" s="148">
        <v>3.2633320000000001</v>
      </c>
      <c r="P21" s="56">
        <v>5.7104470000000003</v>
      </c>
      <c r="Q21" s="227">
        <v>1.52</v>
      </c>
      <c r="R21" s="272">
        <v>1.5</v>
      </c>
      <c r="S21" s="282">
        <v>1.51</v>
      </c>
      <c r="T21" s="269">
        <v>1.59</v>
      </c>
      <c r="U21" s="270">
        <v>2.0374910000000002</v>
      </c>
      <c r="V21" s="273">
        <v>2.8349319999999998</v>
      </c>
      <c r="W21" s="123">
        <f>Table2123242526[[#This Row],[G2AIMD (OOM fixed)]]/Table2123242526[[#This Row],[gpu-hybrid-copy]]</f>
        <v>1.5585925673514063</v>
      </c>
      <c r="X21" s="123">
        <f>Table2123242526[[#This Row],[G2AIMD (pingpong)]]/Table2123242526[[#This Row],[gpu-layered]]</f>
        <v>0.84135352909885519</v>
      </c>
      <c r="Y21" s="124">
        <f>Table2123242526[[#This Row],[gpu-hybrid-copy]]/Table2123242526[[#This Row],[5000]]</f>
        <v>2.1611470198675495</v>
      </c>
      <c r="Z21" s="124">
        <f>Table2123242526[[#This Row],[CPU Only]]/Table2123242526[[#This Row],[1M]]</f>
        <v>2.0143153345477072</v>
      </c>
      <c r="AA21" s="53">
        <f>Table2123242526[[#This Row],[CPU Only]]/Table2123242526[[#This Row],[5000]]</f>
        <v>3.7817529801324503</v>
      </c>
      <c r="AB21" s="163">
        <v>2</v>
      </c>
      <c r="AC21" s="34"/>
      <c r="AD21"/>
      <c r="AG21" s="35"/>
      <c r="AI21" s="2"/>
      <c r="AK21" s="2"/>
    </row>
    <row r="22" spans="4:43" ht="32" x14ac:dyDescent="0.4">
      <c r="D22" s="9">
        <v>17</v>
      </c>
      <c r="E22" s="9" t="s">
        <v>1422</v>
      </c>
      <c r="F22" s="38">
        <v>2622756</v>
      </c>
      <c r="G22" s="38">
        <v>94934908</v>
      </c>
      <c r="H22" s="38">
        <f>Table2123242526[[#This Row],[E]]/Table2123242526[[#This Row],[V]]</f>
        <v>36.196622179112353</v>
      </c>
      <c r="I22" s="38">
        <v>900354</v>
      </c>
      <c r="J22" s="39">
        <v>104704438</v>
      </c>
      <c r="K22" s="10">
        <v>25.453268000000001</v>
      </c>
      <c r="L22" s="41">
        <v>23.738012000000001</v>
      </c>
      <c r="M22" s="133">
        <v>27.673922000000001</v>
      </c>
      <c r="N22" s="63">
        <v>23.892412</v>
      </c>
      <c r="O22" s="148">
        <v>23.282133000000002</v>
      </c>
      <c r="P22" s="56">
        <v>31.811346</v>
      </c>
      <c r="Q22" s="227">
        <v>14.218878</v>
      </c>
      <c r="R22" s="272">
        <v>14.195524000000001</v>
      </c>
      <c r="S22" s="282">
        <v>14.234284000000001</v>
      </c>
      <c r="T22" s="269">
        <v>14.278406</v>
      </c>
      <c r="U22" s="270">
        <v>17.874461</v>
      </c>
      <c r="V22" s="273">
        <v>17.364298000000002</v>
      </c>
      <c r="W22" s="123">
        <f>Table2123242526[[#This Row],[G2AIMD (OOM fixed)]]/Table2123242526[[#This Row],[gpu-hybrid-copy]]</f>
        <v>1.0932532685042216</v>
      </c>
      <c r="X22" s="123">
        <f>Table2123242526[[#This Row],[G2AIMD (pingpong)]]/Table2123242526[[#This Row],[gpu-layered]]</f>
        <v>0.85777548986370633</v>
      </c>
      <c r="Y22" s="124">
        <f>Table2123242526[[#This Row],[gpu-hybrid-copy]]/Table2123242526[[#This Row],[5000]]</f>
        <v>1.6356378023650504</v>
      </c>
      <c r="Z22" s="124">
        <f>Table2123242526[[#This Row],[CPU Only]]/Table2123242526[[#This Row],[1M]]</f>
        <v>1.8319972393931501</v>
      </c>
      <c r="AA22" s="53">
        <f>Table2123242526[[#This Row],[CPU Only]]/Table2123242526[[#This Row],[5000]]</f>
        <v>2.2348399118634981</v>
      </c>
      <c r="AB22" s="163">
        <v>2</v>
      </c>
      <c r="AC22" s="34"/>
      <c r="AD22"/>
      <c r="AG22" s="35"/>
      <c r="AI22" s="2"/>
      <c r="AK22" s="2"/>
    </row>
    <row r="23" spans="4:43" ht="32" x14ac:dyDescent="0.4">
      <c r="D23" s="9">
        <v>40</v>
      </c>
      <c r="E23" s="9" t="s">
        <v>11</v>
      </c>
      <c r="F23" s="38">
        <v>2394385</v>
      </c>
      <c r="G23" s="38">
        <v>9319130</v>
      </c>
      <c r="H23" s="38">
        <f>Table2123242526[[#This Row],[E]]/Table2123242526[[#This Row],[V]]</f>
        <v>3.8920766710449657</v>
      </c>
      <c r="I23" s="38">
        <v>100029</v>
      </c>
      <c r="J23" s="39">
        <v>86333306</v>
      </c>
      <c r="K23" s="10">
        <v>3.699408</v>
      </c>
      <c r="L23" s="41">
        <v>3.3782510000000001</v>
      </c>
      <c r="M23" s="133">
        <v>5.0047879999999996</v>
      </c>
      <c r="N23" s="63">
        <v>2.555885</v>
      </c>
      <c r="O23" s="148">
        <v>1.745098</v>
      </c>
      <c r="P23" s="56">
        <v>11.48353</v>
      </c>
      <c r="Q23" s="155">
        <v>1.87</v>
      </c>
      <c r="R23" s="269">
        <v>1.89</v>
      </c>
      <c r="S23" s="282">
        <v>1.95</v>
      </c>
      <c r="T23" s="269">
        <v>1.88</v>
      </c>
      <c r="U23" s="270">
        <v>2.5116809999999998</v>
      </c>
      <c r="V23" s="273">
        <v>2.437643</v>
      </c>
      <c r="W23" s="123">
        <f>Table2123242526[[#This Row],[G2AIMD (OOM fixed)]]/Table2123242526[[#This Row],[gpu-hybrid-copy]]</f>
        <v>2.1198855307839444</v>
      </c>
      <c r="X23" s="123">
        <f>Table2123242526[[#This Row],[G2AIMD (pingpong)]]/Table2123242526[[#This Row],[gpu-layered]]</f>
        <v>0.67500381634546769</v>
      </c>
      <c r="Y23" s="124">
        <f>Table2123242526[[#This Row],[gpu-hybrid-copy]]/Table2123242526[[#This Row],[5000]]</f>
        <v>0.89492205128205127</v>
      </c>
      <c r="Z23" s="124">
        <f>Table2123242526[[#This Row],[CPU Only]]/Table2123242526[[#This Row],[1M]]</f>
        <v>4.7109154211670861</v>
      </c>
      <c r="AA23" s="53">
        <f>Table2123242526[[#This Row],[CPU Only]]/Table2123242526[[#This Row],[5000]]</f>
        <v>5.888989743589744</v>
      </c>
      <c r="AB23" s="163">
        <v>2</v>
      </c>
      <c r="AC23" s="162"/>
      <c r="AD23"/>
      <c r="AG23" s="35"/>
      <c r="AI23" s="2"/>
      <c r="AK23" s="2"/>
    </row>
    <row r="24" spans="4:43" ht="32" x14ac:dyDescent="0.4">
      <c r="D24" s="9">
        <v>14</v>
      </c>
      <c r="E24" s="9" t="s">
        <v>1445</v>
      </c>
      <c r="F24" s="38">
        <v>2148791</v>
      </c>
      <c r="G24" s="38">
        <v>155750262</v>
      </c>
      <c r="H24" s="38">
        <f>Table2123242526[[#This Row],[E]]/Table2123242526[[#This Row],[V]]</f>
        <v>72.482741225181968</v>
      </c>
      <c r="I24" s="38">
        <v>286585</v>
      </c>
      <c r="J24" s="39">
        <v>147929073</v>
      </c>
      <c r="K24" s="10">
        <v>33.908831999999997</v>
      </c>
      <c r="L24" s="41">
        <v>33.766888999999999</v>
      </c>
      <c r="M24" s="133">
        <v>38.217008999999997</v>
      </c>
      <c r="N24" s="63">
        <v>32.214925999999998</v>
      </c>
      <c r="O24" s="148">
        <v>31.713341</v>
      </c>
      <c r="P24" s="56">
        <v>110.60061399999999</v>
      </c>
      <c r="Q24" s="227">
        <v>19.911408000000002</v>
      </c>
      <c r="R24" s="269">
        <v>19.687598000000001</v>
      </c>
      <c r="S24" s="283">
        <v>19.661923999999999</v>
      </c>
      <c r="T24" s="269">
        <v>19.720393000000001</v>
      </c>
      <c r="U24" s="270">
        <v>23.840702</v>
      </c>
      <c r="V24" s="273">
        <v>24.343900000000001</v>
      </c>
      <c r="W24" s="123">
        <f>Table2123242526[[#This Row],[G2AIMD (OOM fixed)]]/Table2123242526[[#This Row],[gpu-hybrid-copy]]</f>
        <v>1.0692292559147267</v>
      </c>
      <c r="X24" s="123">
        <f>Table2123242526[[#This Row],[G2AIMD (pingpong)]]/Table2123242526[[#This Row],[gpu-layered]]</f>
        <v>0.88355655985532522</v>
      </c>
      <c r="Y24" s="124">
        <f>Table2123242526[[#This Row],[gpu-hybrid-copy]]/Table2123242526[[#This Row],[5000]]</f>
        <v>1.6129317252980939</v>
      </c>
      <c r="Z24" s="124">
        <f>Table2123242526[[#This Row],[CPU Only]]/Table2123242526[[#This Row],[1M]]</f>
        <v>4.543257818180324</v>
      </c>
      <c r="AA24" s="53">
        <f>Table2123242526[[#This Row],[CPU Only]]/Table2123242526[[#This Row],[5000]]</f>
        <v>5.625116545054289</v>
      </c>
      <c r="AB24" s="163">
        <v>2</v>
      </c>
      <c r="AC24" s="34"/>
      <c r="AD24"/>
      <c r="AG24" s="35"/>
      <c r="AI24" s="2"/>
      <c r="AK24" s="2"/>
    </row>
    <row r="25" spans="4:43" ht="33" thickBot="1" x14ac:dyDescent="0.45">
      <c r="D25" s="9">
        <v>45</v>
      </c>
      <c r="E25" s="9" t="s">
        <v>3917</v>
      </c>
      <c r="F25" s="38">
        <v>1791489</v>
      </c>
      <c r="G25" s="38">
        <v>50888414</v>
      </c>
      <c r="H25" s="38">
        <f>Table2123242526[[#This Row],[E]]/Table2123242526[[#This Row],[V]]</f>
        <v>28.405652504704186</v>
      </c>
      <c r="I25" s="38">
        <v>238342</v>
      </c>
      <c r="J25" s="39">
        <v>27229873</v>
      </c>
      <c r="K25" s="10">
        <v>3.0097049999999999</v>
      </c>
      <c r="L25" s="41">
        <v>1.3038989999999999</v>
      </c>
      <c r="M25" s="133">
        <v>3.3173910000000002</v>
      </c>
      <c r="N25" s="63">
        <v>1.8473649999999999</v>
      </c>
      <c r="O25" s="148">
        <v>1.1303939999999999</v>
      </c>
      <c r="P25" s="56">
        <v>4.5417589999999999</v>
      </c>
      <c r="Q25" s="275">
        <v>0.93</v>
      </c>
      <c r="R25" s="276">
        <v>1.19</v>
      </c>
      <c r="S25" s="284">
        <v>0.91</v>
      </c>
      <c r="T25" s="276">
        <v>0.95</v>
      </c>
      <c r="U25" s="277">
        <v>1.3929849999999999</v>
      </c>
      <c r="V25" s="278">
        <v>1.39</v>
      </c>
      <c r="W25" s="123">
        <f>Table2123242526[[#This Row],[G2AIMD (OOM fixed)]]/Table2123242526[[#This Row],[gpu-hybrid-copy]]</f>
        <v>2.6625274019501166</v>
      </c>
      <c r="X25" s="123">
        <f>Table2123242526[[#This Row],[G2AIMD (pingpong)]]/Table2123242526[[#This Row],[gpu-layered]]</f>
        <v>0.39304953802551457</v>
      </c>
      <c r="Y25" s="124">
        <f>Table2123242526[[#This Row],[gpu-hybrid-copy]]/Table2123242526[[#This Row],[5000]]</f>
        <v>1.2421912087912086</v>
      </c>
      <c r="Z25" s="124">
        <f>Table2123242526[[#This Row],[CPU Only]]/Table2123242526[[#This Row],[1M]]</f>
        <v>3.2674525179856118</v>
      </c>
      <c r="AA25" s="53">
        <f>Table2123242526[[#This Row],[CPU Only]]/Table2123242526[[#This Row],[5000]]</f>
        <v>4.9909439560439557</v>
      </c>
      <c r="AB25" s="163">
        <v>2</v>
      </c>
      <c r="AC25" s="34"/>
      <c r="AD25"/>
      <c r="AG25" s="35"/>
      <c r="AI25" s="2"/>
      <c r="AK25" s="2"/>
    </row>
    <row r="26" spans="4:43" ht="27" hidden="1" x14ac:dyDescent="0.35">
      <c r="D26" s="9">
        <v>9</v>
      </c>
      <c r="E26" s="11" t="s">
        <v>3</v>
      </c>
      <c r="F26" s="38">
        <v>2212663</v>
      </c>
      <c r="G26" s="38">
        <v>58330960</v>
      </c>
      <c r="H26" s="38">
        <f>Table2123242526[[#This Row],[E]]/Table2123242526[[#This Row],[V]]</f>
        <v>26.362333532038093</v>
      </c>
      <c r="I26" s="38">
        <v>137021</v>
      </c>
      <c r="J26" s="39">
        <v>1569924556</v>
      </c>
      <c r="K26" s="10">
        <v>66.642407000000006</v>
      </c>
      <c r="L26" s="41">
        <v>68.285578000000001</v>
      </c>
      <c r="M26" s="133">
        <v>68.683041000000003</v>
      </c>
      <c r="N26" s="63">
        <v>75.48</v>
      </c>
      <c r="O26" s="148">
        <v>49.67</v>
      </c>
      <c r="P26" s="56">
        <v>223.255968</v>
      </c>
      <c r="Q26" s="148"/>
      <c r="R26" s="148"/>
      <c r="S26" s="148"/>
      <c r="T26" s="148"/>
      <c r="U26" s="148"/>
      <c r="V26" s="56">
        <v>33.600096000000001</v>
      </c>
      <c r="W26" s="123">
        <f>Table2123242526[[#This Row],[G2AIMD (OOM fixed)]]/Table2123242526[[#This Row],[gpu-hybrid-copy]]</f>
        <v>1.341703382323334</v>
      </c>
      <c r="X26" s="123">
        <f>Table2123242526[[#This Row],[G2AIMD (pingpong)]]/Table2123242526[[#This Row],[gpu-layered]]</f>
        <v>0.99421308383826512</v>
      </c>
      <c r="Y26" s="124" t="e">
        <f>Table2123242526[[#This Row],[gpu-hybrid-copy]]/Table2123242526[[#This Row],[5000]]</f>
        <v>#DIV/0!</v>
      </c>
      <c r="Z26" s="124">
        <f>Table2123242526[[#This Row],[CPU Only]]/Table2123242526[[#This Row],[1M]]</f>
        <v>6.6445038728460775</v>
      </c>
      <c r="AA26" s="53" t="e">
        <f>Table2123242526[[#This Row],[CPU Only]]/Table2123242526[[#This Row],[5000]]</f>
        <v>#DIV/0!</v>
      </c>
      <c r="AB26" s="163">
        <v>1</v>
      </c>
      <c r="AC26" s="34"/>
      <c r="AD26"/>
      <c r="AG26" s="35"/>
      <c r="AI26" s="2"/>
      <c r="AK26" s="2"/>
    </row>
    <row r="27" spans="4:43" ht="27" hidden="1" x14ac:dyDescent="0.35">
      <c r="D27" s="9">
        <v>16</v>
      </c>
      <c r="E27" s="11" t="s">
        <v>7</v>
      </c>
      <c r="F27" s="38">
        <v>2584164</v>
      </c>
      <c r="G27" s="38">
        <v>56367036</v>
      </c>
      <c r="H27" s="38">
        <f>Table2123242526[[#This Row],[E]]/Table2123242526[[#This Row],[V]]</f>
        <v>21.812484037390817</v>
      </c>
      <c r="I27" s="38">
        <v>44065</v>
      </c>
      <c r="J27" s="39">
        <v>918563917</v>
      </c>
      <c r="K27" s="165">
        <v>21.516248999999998</v>
      </c>
      <c r="L27" s="166">
        <v>71.662347999999994</v>
      </c>
      <c r="M27" s="133">
        <v>35.93</v>
      </c>
      <c r="N27" s="63">
        <v>47.26</v>
      </c>
      <c r="O27" s="148">
        <v>26.33</v>
      </c>
      <c r="P27" s="56">
        <v>129.14542800000001</v>
      </c>
      <c r="Q27" s="148"/>
      <c r="R27" s="148"/>
      <c r="S27" s="148"/>
      <c r="T27" s="148"/>
      <c r="U27" s="148"/>
      <c r="V27" s="56">
        <v>21.417175</v>
      </c>
      <c r="W27" s="123">
        <f>Table2123242526[[#This Row],[G2AIMD (OOM fixed)]]/Table2123242526[[#This Row],[gpu-hybrid-copy]]</f>
        <v>0.8171761868590961</v>
      </c>
      <c r="X27" s="123">
        <f>Table2123242526[[#This Row],[G2AIMD (pingpong)]]/Table2123242526[[#This Row],[gpu-layered]]</f>
        <v>1.9944989702198719</v>
      </c>
      <c r="Y27" s="124" t="e">
        <f>Table2123242526[[#This Row],[gpu-hybrid-copy]]/Table2123242526[[#This Row],[5000]]</f>
        <v>#DIV/0!</v>
      </c>
      <c r="Z27" s="124">
        <f>Table2123242526[[#This Row],[CPU Only]]/Table2123242526[[#This Row],[1M]]</f>
        <v>6.0299935915917953</v>
      </c>
      <c r="AA27" s="53" t="e">
        <f>Table2123242526[[#This Row],[CPU Only]]/Table2123242526[[#This Row],[5000]]</f>
        <v>#DIV/0!</v>
      </c>
      <c r="AB27" s="163">
        <v>1</v>
      </c>
      <c r="AC27" s="34"/>
      <c r="AD27"/>
      <c r="AG27" s="35"/>
      <c r="AI27" s="2"/>
      <c r="AK27" s="2"/>
    </row>
    <row r="28" spans="4:43" ht="27" hidden="1" x14ac:dyDescent="0.35">
      <c r="D28" s="9">
        <v>19</v>
      </c>
      <c r="E28" s="9" t="s">
        <v>1405</v>
      </c>
      <c r="F28" s="38">
        <v>2093449</v>
      </c>
      <c r="G28" s="38">
        <v>52098498</v>
      </c>
      <c r="H28" s="38">
        <f>Table2123242526[[#This Row],[E]]/Table2123242526[[#This Row],[V]]</f>
        <v>24.886442421095524</v>
      </c>
      <c r="I28" s="38">
        <v>1140084</v>
      </c>
      <c r="J28" s="39">
        <v>7254227</v>
      </c>
      <c r="K28" s="10">
        <v>19.112002</v>
      </c>
      <c r="L28" s="41">
        <v>17.421547</v>
      </c>
      <c r="M28" s="133">
        <v>17.906261000000001</v>
      </c>
      <c r="N28" s="63">
        <v>17.917183000000001</v>
      </c>
      <c r="O28" s="148">
        <v>17.184013</v>
      </c>
      <c r="P28" s="56">
        <v>23.765003</v>
      </c>
      <c r="Q28" s="148"/>
      <c r="R28" s="148"/>
      <c r="S28" s="148"/>
      <c r="T28" s="148"/>
      <c r="U28" s="148"/>
      <c r="V28" s="56">
        <v>14.029244</v>
      </c>
      <c r="W28" s="123">
        <f>Table2123242526[[#This Row],[G2AIMD (OOM fixed)]]/Table2123242526[[#This Row],[gpu-hybrid-copy]]</f>
        <v>1.1121966679145319</v>
      </c>
      <c r="X28" s="123">
        <f>Table2123242526[[#This Row],[G2AIMD (pingpong)]]/Table2123242526[[#This Row],[gpu-layered]]</f>
        <v>0.97293047387168097</v>
      </c>
      <c r="Y28" s="124" t="e">
        <f>Table2123242526[[#This Row],[gpu-hybrid-copy]]/Table2123242526[[#This Row],[5000]]</f>
        <v>#DIV/0!</v>
      </c>
      <c r="Z28" s="124">
        <f>Table2123242526[[#This Row],[CPU Only]]/Table2123242526[[#This Row],[1M]]</f>
        <v>1.6939617701424252</v>
      </c>
      <c r="AA28" s="53" t="e">
        <f>Table2123242526[[#This Row],[CPU Only]]/Table2123242526[[#This Row],[5000]]</f>
        <v>#DIV/0!</v>
      </c>
      <c r="AB28" s="163">
        <v>1</v>
      </c>
      <c r="AC28" s="34"/>
      <c r="AD28"/>
      <c r="AG28" s="35"/>
      <c r="AI28" s="2"/>
      <c r="AK28" s="2"/>
    </row>
    <row r="29" spans="4:43" ht="27" hidden="1" x14ac:dyDescent="0.35">
      <c r="D29" s="9">
        <v>36</v>
      </c>
      <c r="E29" s="11" t="s">
        <v>1425</v>
      </c>
      <c r="F29" s="38">
        <v>5005932</v>
      </c>
      <c r="G29" s="38">
        <v>33083838</v>
      </c>
      <c r="H29" s="38">
        <f>Table2123242526[[#This Row],[E]]/Table2123242526[[#This Row],[V]]</f>
        <v>6.6089267692809255</v>
      </c>
      <c r="I29" s="38">
        <v>1208022</v>
      </c>
      <c r="J29" s="39">
        <v>48080344</v>
      </c>
      <c r="K29" s="10">
        <v>4.7709869999999999</v>
      </c>
      <c r="L29" s="41">
        <v>3.2148729999999999</v>
      </c>
      <c r="M29" s="133">
        <v>5.147691</v>
      </c>
      <c r="N29" s="63">
        <v>3.6741229999999998</v>
      </c>
      <c r="O29" s="148">
        <v>2.9203489999999999</v>
      </c>
      <c r="P29" s="56">
        <v>5.9442469999999998</v>
      </c>
      <c r="Q29" s="148"/>
      <c r="R29" s="148"/>
      <c r="S29" s="148"/>
      <c r="T29" s="148"/>
      <c r="U29" s="148"/>
      <c r="V29" s="56">
        <v>2.8253370000000002</v>
      </c>
      <c r="W29" s="123">
        <f>Table2123242526[[#This Row],[G2AIMD (OOM fixed)]]/Table2123242526[[#This Row],[gpu-hybrid-copy]]</f>
        <v>1.6337043962896216</v>
      </c>
      <c r="X29" s="123">
        <f>Table2123242526[[#This Row],[G2AIMD (pingpong)]]/Table2123242526[[#This Row],[gpu-layered]]</f>
        <v>0.62452719092890385</v>
      </c>
      <c r="Y29" s="124" t="e">
        <f>Table2123242526[[#This Row],[gpu-hybrid-copy]]/Table2123242526[[#This Row],[5000]]</f>
        <v>#DIV/0!</v>
      </c>
      <c r="Z29" s="124">
        <f>Table2123242526[[#This Row],[CPU Only]]/Table2123242526[[#This Row],[1M]]</f>
        <v>2.103907250710269</v>
      </c>
      <c r="AA29" s="53" t="e">
        <f>Table2123242526[[#This Row],[CPU Only]]/Table2123242526[[#This Row],[5000]]</f>
        <v>#DIV/0!</v>
      </c>
      <c r="AB29" s="163">
        <v>1</v>
      </c>
      <c r="AC29" s="34"/>
      <c r="AD29"/>
      <c r="AG29" s="35"/>
      <c r="AI29" s="2"/>
      <c r="AK29" s="2"/>
      <c r="AO29" s="2"/>
      <c r="AQ29" s="2"/>
    </row>
    <row r="30" spans="4:43" ht="27" hidden="1" x14ac:dyDescent="0.35">
      <c r="D30" s="9">
        <v>41</v>
      </c>
      <c r="E30" s="11" t="s">
        <v>1408</v>
      </c>
      <c r="F30" s="38">
        <v>4063587</v>
      </c>
      <c r="G30" s="38">
        <v>17652554</v>
      </c>
      <c r="H30" s="38">
        <f>Table2123242526[[#This Row],[E]]/Table2123242526[[#This Row],[V]]</f>
        <v>4.344081718934528</v>
      </c>
      <c r="I30" s="38">
        <v>4059644</v>
      </c>
      <c r="J30" s="39">
        <v>8823479</v>
      </c>
      <c r="K30" s="10">
        <v>3.4007879999999999</v>
      </c>
      <c r="L30" s="41">
        <v>1.682345</v>
      </c>
      <c r="M30" s="133">
        <v>2.3784320000000001</v>
      </c>
      <c r="N30" s="63">
        <v>2.263528</v>
      </c>
      <c r="O30" s="148">
        <v>1.5082530000000001</v>
      </c>
      <c r="P30" s="56">
        <v>0.16831399999999999</v>
      </c>
      <c r="Q30" s="148"/>
      <c r="R30" s="148"/>
      <c r="S30" s="148"/>
      <c r="T30" s="148"/>
      <c r="U30" s="148"/>
      <c r="V30" s="56">
        <v>0.108086</v>
      </c>
      <c r="W30" s="123">
        <f>Table2123242526[[#This Row],[G2AIMD (OOM fixed)]]/Table2123242526[[#This Row],[gpu-hybrid-copy]]</f>
        <v>2.2547861665118516</v>
      </c>
      <c r="X30" s="123">
        <f>Table2123242526[[#This Row],[G2AIMD (pingpong)]]/Table2123242526[[#This Row],[gpu-layered]]</f>
        <v>0.7073336551139574</v>
      </c>
      <c r="Y30" s="124" t="e">
        <f>Table2123242526[[#This Row],[gpu-hybrid-copy]]/Table2123242526[[#This Row],[5000]]</f>
        <v>#DIV/0!</v>
      </c>
      <c r="Z30" s="124">
        <f>Table2123242526[[#This Row],[CPU Only]]/Table2123242526[[#This Row],[1M]]</f>
        <v>1.5572229520937031</v>
      </c>
      <c r="AA30" s="53" t="e">
        <f>Table2123242526[[#This Row],[CPU Only]]/Table2123242526[[#This Row],[5000]]</f>
        <v>#DIV/0!</v>
      </c>
      <c r="AB30" s="163">
        <v>1</v>
      </c>
      <c r="AC30" s="34"/>
      <c r="AD30"/>
      <c r="AG30" s="35"/>
      <c r="AI30" s="2"/>
      <c r="AK30" s="2"/>
      <c r="AO30" s="2"/>
      <c r="AQ30" s="2"/>
    </row>
    <row r="31" spans="4:43" ht="27" hidden="1" x14ac:dyDescent="0.35">
      <c r="D31" s="9">
        <v>22</v>
      </c>
      <c r="E31" s="9" t="s">
        <v>1438</v>
      </c>
      <c r="F31" s="38">
        <v>7891015</v>
      </c>
      <c r="G31" s="38">
        <v>127830770</v>
      </c>
      <c r="H31" s="38">
        <f>Table2123242526[[#This Row],[E]]/Table2123242526[[#This Row],[V]]</f>
        <v>16.199534533897097</v>
      </c>
      <c r="I31" s="38">
        <v>3636005</v>
      </c>
      <c r="J31" s="39">
        <v>52252646</v>
      </c>
      <c r="K31" s="10">
        <v>12.013845999999999</v>
      </c>
      <c r="L31" s="41">
        <v>11.282028</v>
      </c>
      <c r="M31" s="133">
        <v>11.756913000000001</v>
      </c>
      <c r="N31" s="63">
        <v>11.34853</v>
      </c>
      <c r="O31" s="148">
        <v>10.773783</v>
      </c>
      <c r="P31" s="56">
        <v>2.9514300000000002</v>
      </c>
      <c r="Q31" s="148"/>
      <c r="R31" s="148"/>
      <c r="S31" s="148"/>
      <c r="T31" s="148"/>
      <c r="U31" s="148"/>
      <c r="V31" s="56">
        <v>2.0402999999999998</v>
      </c>
      <c r="W31" s="123">
        <f>Table2123242526[[#This Row],[G2AIMD (OOM fixed)]]/Table2123242526[[#This Row],[gpu-hybrid-copy]]</f>
        <v>1.1151000535280875</v>
      </c>
      <c r="X31" s="123">
        <f>Table2123242526[[#This Row],[G2AIMD (pingpong)]]/Table2123242526[[#This Row],[gpu-layered]]</f>
        <v>0.95960801955411246</v>
      </c>
      <c r="Y31" s="124" t="e">
        <f>Table2123242526[[#This Row],[gpu-hybrid-copy]]/Table2123242526[[#This Row],[5000]]</f>
        <v>#DIV/0!</v>
      </c>
      <c r="Z31" s="124">
        <f>Table2123242526[[#This Row],[CPU Only]]/Table2123242526[[#This Row],[1M]]</f>
        <v>1.446566681370387</v>
      </c>
      <c r="AA31" s="53" t="e">
        <f>Table2123242526[[#This Row],[CPU Only]]/Table2123242526[[#This Row],[5000]]</f>
        <v>#DIV/0!</v>
      </c>
      <c r="AB31" s="163">
        <v>1</v>
      </c>
      <c r="AC31" s="34"/>
      <c r="AD31"/>
      <c r="AG31" s="35"/>
      <c r="AI31" s="2"/>
      <c r="AK31" s="2"/>
      <c r="AO31" s="2"/>
      <c r="AQ31" s="2"/>
    </row>
    <row r="32" spans="4:43" ht="27" hidden="1" x14ac:dyDescent="0.35">
      <c r="D32" s="9">
        <v>24</v>
      </c>
      <c r="E32" s="11" t="s">
        <v>2</v>
      </c>
      <c r="F32" s="38">
        <v>4382070</v>
      </c>
      <c r="G32" s="38">
        <v>38996662</v>
      </c>
      <c r="H32" s="38">
        <f>Table2123242526[[#This Row],[E]]/Table2123242526[[#This Row],[V]]</f>
        <v>8.8991417298217517</v>
      </c>
      <c r="I32" s="38">
        <v>699764</v>
      </c>
      <c r="J32" s="39">
        <v>287608260</v>
      </c>
      <c r="K32" s="10">
        <v>8.6943429999999999</v>
      </c>
      <c r="L32" s="41">
        <v>7.5799459999999996</v>
      </c>
      <c r="M32" s="133">
        <v>10.610409000000001</v>
      </c>
      <c r="N32" s="63">
        <v>8.1162390000000002</v>
      </c>
      <c r="O32" s="148">
        <v>7.3064799999999996</v>
      </c>
      <c r="P32" s="56">
        <v>38.782924999999999</v>
      </c>
      <c r="Q32" s="148"/>
      <c r="R32" s="148"/>
      <c r="S32" s="148"/>
      <c r="T32" s="148"/>
      <c r="U32" s="148"/>
      <c r="V32" s="56">
        <v>8.0992370000000005</v>
      </c>
      <c r="W32" s="123">
        <f>Table2123242526[[#This Row],[G2AIMD (OOM fixed)]]/Table2123242526[[#This Row],[gpu-hybrid-copy]]</f>
        <v>1.1899496063768054</v>
      </c>
      <c r="X32" s="123">
        <f>Table2123242526[[#This Row],[G2AIMD (pingpong)]]/Table2123242526[[#This Row],[gpu-layered]]</f>
        <v>0.71438773001116163</v>
      </c>
      <c r="Y32" s="124" t="e">
        <f>Table2123242526[[#This Row],[gpu-hybrid-copy]]/Table2123242526[[#This Row],[5000]]</f>
        <v>#DIV/0!</v>
      </c>
      <c r="Z32" s="124">
        <f>Table2123242526[[#This Row],[CPU Only]]/Table2123242526[[#This Row],[1M]]</f>
        <v>4.7884664938191088</v>
      </c>
      <c r="AA32" s="53" t="e">
        <f>Table2123242526[[#This Row],[CPU Only]]/Table2123242526[[#This Row],[5000]]</f>
        <v>#DIV/0!</v>
      </c>
      <c r="AB32" s="163">
        <v>1</v>
      </c>
      <c r="AC32" s="34"/>
      <c r="AD32"/>
      <c r="AG32" s="35"/>
      <c r="AI32" s="2"/>
      <c r="AK32" s="2"/>
      <c r="AO32" s="2"/>
      <c r="AQ32" s="2"/>
    </row>
    <row r="33" spans="4:43" ht="27" hidden="1" x14ac:dyDescent="0.35">
      <c r="D33" s="9">
        <v>49</v>
      </c>
      <c r="E33" s="22" t="s">
        <v>3919</v>
      </c>
      <c r="F33" s="38">
        <v>2937612</v>
      </c>
      <c r="G33" s="38">
        <v>41919708</v>
      </c>
      <c r="H33" s="38">
        <f>Table2123242526[[#This Row],[E]]/Table2123242526[[#This Row],[V]]</f>
        <v>14.269994812112696</v>
      </c>
      <c r="I33" s="38">
        <v>4356</v>
      </c>
      <c r="J33" s="39">
        <v>27593398</v>
      </c>
      <c r="K33" s="10">
        <v>2.3024089999999999</v>
      </c>
      <c r="L33" s="41">
        <v>0.62366100000000002</v>
      </c>
      <c r="M33" s="133">
        <v>2.3505379999999998</v>
      </c>
      <c r="N33" s="63">
        <v>1.176353</v>
      </c>
      <c r="O33" s="148">
        <v>0.47302</v>
      </c>
      <c r="P33" s="56">
        <v>3.6801520000000001</v>
      </c>
      <c r="Q33" s="148"/>
      <c r="R33" s="148"/>
      <c r="S33" s="148"/>
      <c r="T33" s="148"/>
      <c r="U33" s="148"/>
      <c r="V33" s="56">
        <v>1.075196</v>
      </c>
      <c r="W33" s="123">
        <f>Table2123242526[[#This Row],[G2AIMD (OOM fixed)]]/Table2123242526[[#This Row],[gpu-hybrid-copy]]</f>
        <v>4.867466491903091</v>
      </c>
      <c r="X33" s="123">
        <f>Table2123242526[[#This Row],[G2AIMD (pingpong)]]/Table2123242526[[#This Row],[gpu-layered]]</f>
        <v>0.26532691664631675</v>
      </c>
      <c r="Y33" s="124" t="e">
        <f>Table2123242526[[#This Row],[gpu-hybrid-copy]]/Table2123242526[[#This Row],[5000]]</f>
        <v>#DIV/0!</v>
      </c>
      <c r="Z33" s="124">
        <f>Table2123242526[[#This Row],[CPU Only]]/Table2123242526[[#This Row],[1M]]</f>
        <v>3.4227731501977314</v>
      </c>
      <c r="AA33" s="53" t="e">
        <f>Table2123242526[[#This Row],[CPU Only]]/Table2123242526[[#This Row],[5000]]</f>
        <v>#DIV/0!</v>
      </c>
      <c r="AB33" s="163">
        <v>1</v>
      </c>
      <c r="AC33" s="34"/>
      <c r="AD33"/>
      <c r="AG33" s="35"/>
      <c r="AI33" s="2"/>
      <c r="AK33" s="2"/>
      <c r="AO33" s="2"/>
      <c r="AQ33" s="2"/>
    </row>
    <row r="34" spans="4:43" ht="27" hidden="1" x14ac:dyDescent="0.35">
      <c r="D34" s="9">
        <v>10</v>
      </c>
      <c r="E34" s="9" t="s">
        <v>18</v>
      </c>
      <c r="F34" s="38">
        <v>27665730</v>
      </c>
      <c r="G34" s="38">
        <v>281227494</v>
      </c>
      <c r="H34" s="38">
        <f>Table2123242526[[#This Row],[E]]/Table2123242526[[#This Row],[V]]</f>
        <v>10.165193327629526</v>
      </c>
      <c r="I34" s="38">
        <v>11571953</v>
      </c>
      <c r="J34" s="39">
        <v>134221196</v>
      </c>
      <c r="K34" s="39"/>
      <c r="L34" s="41">
        <v>64.861952000000002</v>
      </c>
      <c r="M34" s="133">
        <v>64.287988999999996</v>
      </c>
      <c r="N34" s="103">
        <v>61.752085000000001</v>
      </c>
      <c r="O34" s="145">
        <v>62.740836999999999</v>
      </c>
      <c r="P34" s="56">
        <v>23.307552999999999</v>
      </c>
      <c r="Q34" s="145"/>
      <c r="R34" s="145"/>
      <c r="S34" s="145"/>
      <c r="T34" s="145"/>
      <c r="U34" s="145"/>
      <c r="V34" s="56">
        <v>23.874721000000001</v>
      </c>
      <c r="W34" s="123">
        <f>Table2123242526[[#This Row],[G2AIMD (OOM fixed)]]/Table2123242526[[#This Row],[gpu-hybrid-copy]]</f>
        <v>0</v>
      </c>
      <c r="X34" s="123">
        <f>Table2123242526[[#This Row],[G2AIMD (pingpong)]]/Table2123242526[[#This Row],[gpu-layered]]</f>
        <v>1.0089279974211047</v>
      </c>
      <c r="Y34" s="124" t="e">
        <f>Table2123242526[[#This Row],[gpu-hybrid-copy]]/Table2123242526[[#This Row],[5000]]</f>
        <v>#DIV/0!</v>
      </c>
      <c r="Z34" s="124">
        <f>Table2123242526[[#This Row],[CPU Only]]/Table2123242526[[#This Row],[1M]]</f>
        <v>0.97624399464186395</v>
      </c>
      <c r="AA34" s="53" t="e">
        <f>Table2123242526[[#This Row],[CPU Only]]/Table2123242526[[#This Row],[5000]]</f>
        <v>#DIV/0!</v>
      </c>
      <c r="AB34" s="163">
        <v>0</v>
      </c>
      <c r="AC34" s="162" t="s">
        <v>3991</v>
      </c>
      <c r="AD34"/>
      <c r="AG34" s="35"/>
      <c r="AI34" s="2"/>
      <c r="AK34" s="2"/>
      <c r="AO34" s="2"/>
      <c r="AQ34" s="2"/>
    </row>
    <row r="35" spans="4:43" ht="27" hidden="1" x14ac:dyDescent="0.35">
      <c r="D35" s="9">
        <v>11</v>
      </c>
      <c r="E35" s="9" t="s">
        <v>1446</v>
      </c>
      <c r="F35" s="38">
        <v>6100692</v>
      </c>
      <c r="G35" s="38">
        <v>199729748</v>
      </c>
      <c r="H35" s="38">
        <f>Table2123242526[[#This Row],[E]]/Table2123242526[[#This Row],[V]]</f>
        <v>32.738867656324892</v>
      </c>
      <c r="I35" s="38">
        <v>2732817</v>
      </c>
      <c r="J35" s="39">
        <v>97362094</v>
      </c>
      <c r="K35" s="39"/>
      <c r="L35" s="41">
        <v>59.816648000000001</v>
      </c>
      <c r="M35" s="133">
        <v>62.560637999999997</v>
      </c>
      <c r="N35" s="103">
        <v>58.869190000000003</v>
      </c>
      <c r="O35" s="145">
        <v>59.539616000000002</v>
      </c>
      <c r="P35" s="56">
        <v>32.213045000000001</v>
      </c>
      <c r="Q35" s="145"/>
      <c r="R35" s="145"/>
      <c r="S35" s="145"/>
      <c r="T35" s="145"/>
      <c r="U35" s="145"/>
      <c r="V35" s="56">
        <v>53.737893</v>
      </c>
      <c r="W35" s="123">
        <f>Table2123242526[[#This Row],[G2AIMD (OOM fixed)]]/Table2123242526[[#This Row],[gpu-hybrid-copy]]</f>
        <v>0</v>
      </c>
      <c r="X35" s="123">
        <f>Table2123242526[[#This Row],[G2AIMD (pingpong)]]/Table2123242526[[#This Row],[gpu-layered]]</f>
        <v>0.95613871457001454</v>
      </c>
      <c r="Y35" s="124" t="e">
        <f>Table2123242526[[#This Row],[gpu-hybrid-copy]]/Table2123242526[[#This Row],[5000]]</f>
        <v>#DIV/0!</v>
      </c>
      <c r="Z35" s="124">
        <f>Table2123242526[[#This Row],[CPU Only]]/Table2123242526[[#This Row],[1M]]</f>
        <v>0.59944748857198404</v>
      </c>
      <c r="AA35" s="53" t="e">
        <f>Table2123242526[[#This Row],[CPU Only]]/Table2123242526[[#This Row],[5000]]</f>
        <v>#DIV/0!</v>
      </c>
      <c r="AB35" s="163">
        <v>0</v>
      </c>
      <c r="AC35" s="162" t="s">
        <v>3991</v>
      </c>
      <c r="AD35"/>
      <c r="AG35" s="35"/>
      <c r="AI35" s="2"/>
      <c r="AK35" s="2"/>
      <c r="AO35" s="2"/>
      <c r="AQ35" s="2"/>
    </row>
    <row r="36" spans="4:43" ht="27" hidden="1" x14ac:dyDescent="0.35">
      <c r="D36" s="9">
        <v>18</v>
      </c>
      <c r="E36" s="11" t="s">
        <v>5</v>
      </c>
      <c r="F36" s="38">
        <v>8730857</v>
      </c>
      <c r="G36" s="38">
        <v>654072972</v>
      </c>
      <c r="H36" s="38">
        <f>Table2123242526[[#This Row],[E]]/Table2123242526[[#This Row],[V]]</f>
        <v>74.915093902007555</v>
      </c>
      <c r="I36" s="38">
        <v>318268</v>
      </c>
      <c r="J36" s="39">
        <v>417032363</v>
      </c>
      <c r="K36" s="39"/>
      <c r="L36" s="41">
        <v>14.054064</v>
      </c>
      <c r="M36" s="133">
        <v>24.320086</v>
      </c>
      <c r="N36" s="63">
        <v>13.929805</v>
      </c>
      <c r="O36" s="147">
        <v>13.848599999999999</v>
      </c>
      <c r="P36" s="56">
        <v>249.501497</v>
      </c>
      <c r="Q36" s="147"/>
      <c r="R36" s="147"/>
      <c r="S36" s="147"/>
      <c r="T36" s="147"/>
      <c r="U36" s="147"/>
      <c r="V36" s="56">
        <v>19.519027000000001</v>
      </c>
      <c r="W36" s="123">
        <f>Table2123242526[[#This Row],[G2AIMD (OOM fixed)]]/Table2123242526[[#This Row],[gpu-hybrid-copy]]</f>
        <v>0</v>
      </c>
      <c r="X36" s="123">
        <f>Table2123242526[[#This Row],[G2AIMD (pingpong)]]/Table2123242526[[#This Row],[gpu-layered]]</f>
        <v>0.57787887756646916</v>
      </c>
      <c r="Y36" s="124" t="e">
        <f>Table2123242526[[#This Row],[gpu-hybrid-copy]]/Table2123242526[[#This Row],[5000]]</f>
        <v>#DIV/0!</v>
      </c>
      <c r="Z36" s="124">
        <f>Table2123242526[[#This Row],[CPU Only]]/Table2123242526[[#This Row],[1M]]</f>
        <v>12.782476144943084</v>
      </c>
      <c r="AA36" s="53" t="e">
        <f>Table2123242526[[#This Row],[CPU Only]]/Table2123242526[[#This Row],[5000]]</f>
        <v>#DIV/0!</v>
      </c>
      <c r="AB36" s="163">
        <v>0</v>
      </c>
      <c r="AC36" s="162" t="s">
        <v>3989</v>
      </c>
      <c r="AD36"/>
      <c r="AG36" s="35"/>
      <c r="AI36" s="2"/>
      <c r="AK36" s="2"/>
      <c r="AO36" s="2"/>
      <c r="AQ36" s="2"/>
    </row>
    <row r="37" spans="4:43" ht="27" hidden="1" x14ac:dyDescent="0.35">
      <c r="D37" s="9">
        <v>21</v>
      </c>
      <c r="E37" s="11" t="s">
        <v>1436</v>
      </c>
      <c r="F37" s="38">
        <v>3790750</v>
      </c>
      <c r="G37" s="38">
        <v>44273578</v>
      </c>
      <c r="H37" s="38">
        <f>Table2123242526[[#This Row],[E]]/Table2123242526[[#This Row],[V]]</f>
        <v>11.679371628305745</v>
      </c>
      <c r="I37" s="38">
        <v>866662</v>
      </c>
      <c r="J37" s="39">
        <v>489911259</v>
      </c>
      <c r="K37" s="39"/>
      <c r="L37" s="41">
        <v>11.255535999999999</v>
      </c>
      <c r="M37" s="133">
        <v>18.346153999999999</v>
      </c>
      <c r="N37" s="103">
        <v>11.006907</v>
      </c>
      <c r="O37" s="145">
        <v>11.876014</v>
      </c>
      <c r="P37" s="56">
        <v>72.252588000000003</v>
      </c>
      <c r="Q37" s="145"/>
      <c r="R37" s="145"/>
      <c r="S37" s="145"/>
      <c r="T37" s="145"/>
      <c r="U37" s="145"/>
      <c r="V37" s="56">
        <v>12.491521000000001</v>
      </c>
      <c r="W37" s="123">
        <f>Table2123242526[[#This Row],[G2AIMD (OOM fixed)]]/Table2123242526[[#This Row],[gpu-hybrid-copy]]</f>
        <v>0</v>
      </c>
      <c r="X37" s="123">
        <f>Table2123242526[[#This Row],[G2AIMD (pingpong)]]/Table2123242526[[#This Row],[gpu-layered]]</f>
        <v>0.61350929464562443</v>
      </c>
      <c r="Y37" s="124" t="e">
        <f>Table2123242526[[#This Row],[gpu-hybrid-copy]]/Table2123242526[[#This Row],[5000]]</f>
        <v>#DIV/0!</v>
      </c>
      <c r="Z37" s="124">
        <f>Table2123242526[[#This Row],[CPU Only]]/Table2123242526[[#This Row],[1M]]</f>
        <v>5.7841305314220746</v>
      </c>
      <c r="AA37" s="53" t="e">
        <f>Table2123242526[[#This Row],[CPU Only]]/Table2123242526[[#This Row],[5000]]</f>
        <v>#DIV/0!</v>
      </c>
      <c r="AB37" s="163">
        <v>0</v>
      </c>
      <c r="AC37" s="162" t="s">
        <v>3989</v>
      </c>
      <c r="AD37"/>
      <c r="AG37" s="35"/>
      <c r="AI37" s="2"/>
      <c r="AK37" s="2"/>
      <c r="AO37" s="2"/>
      <c r="AQ37" s="2"/>
    </row>
    <row r="38" spans="4:43" ht="27" hidden="1" x14ac:dyDescent="0.35">
      <c r="D38" s="9">
        <v>23</v>
      </c>
      <c r="E38" s="9" t="s">
        <v>1414</v>
      </c>
      <c r="F38" s="38">
        <v>3033373</v>
      </c>
      <c r="G38" s="38">
        <v>87691916</v>
      </c>
      <c r="H38" s="38">
        <f>Table2123242526[[#This Row],[E]]/Table2123242526[[#This Row],[V]]</f>
        <v>28.909044815787574</v>
      </c>
      <c r="I38" s="38">
        <v>275166</v>
      </c>
      <c r="J38" s="39">
        <v>118034566</v>
      </c>
      <c r="K38" s="39"/>
      <c r="L38" s="41">
        <v>8.8155560000000008</v>
      </c>
      <c r="M38" s="133">
        <v>11.791601</v>
      </c>
      <c r="N38" s="103">
        <v>8.9545709999999996</v>
      </c>
      <c r="O38" s="145">
        <v>9.1876979999999993</v>
      </c>
      <c r="P38" s="56">
        <v>24.346118000000001</v>
      </c>
      <c r="Q38" s="145"/>
      <c r="R38" s="145"/>
      <c r="S38" s="145"/>
      <c r="T38" s="145"/>
      <c r="U38" s="145"/>
      <c r="V38" s="56">
        <v>9.3502709999999993</v>
      </c>
      <c r="W38" s="123">
        <f>Table2123242526[[#This Row],[G2AIMD (OOM fixed)]]/Table2123242526[[#This Row],[gpu-hybrid-copy]]</f>
        <v>0</v>
      </c>
      <c r="X38" s="123">
        <f>Table2123242526[[#This Row],[G2AIMD (pingpong)]]/Table2123242526[[#This Row],[gpu-layered]]</f>
        <v>0.74761315278561413</v>
      </c>
      <c r="Y38" s="124" t="e">
        <f>Table2123242526[[#This Row],[gpu-hybrid-copy]]/Table2123242526[[#This Row],[5000]]</f>
        <v>#DIV/0!</v>
      </c>
      <c r="Z38" s="124">
        <f>Table2123242526[[#This Row],[CPU Only]]/Table2123242526[[#This Row],[1M]]</f>
        <v>2.603787419637356</v>
      </c>
      <c r="AA38" s="53" t="e">
        <f>Table2123242526[[#This Row],[CPU Only]]/Table2123242526[[#This Row],[5000]]</f>
        <v>#DIV/0!</v>
      </c>
      <c r="AB38" s="163">
        <v>0</v>
      </c>
      <c r="AC38" s="162" t="s">
        <v>3989</v>
      </c>
      <c r="AD38"/>
      <c r="AG38" s="35"/>
      <c r="AI38" s="2"/>
      <c r="AK38" s="2"/>
      <c r="AO38" s="2"/>
      <c r="AQ38" s="2"/>
    </row>
    <row r="39" spans="4:43" ht="27" hidden="1" x14ac:dyDescent="0.35">
      <c r="D39" s="9">
        <v>26</v>
      </c>
      <c r="E39" s="11" t="s">
        <v>1</v>
      </c>
      <c r="F39" s="38">
        <v>18268991</v>
      </c>
      <c r="G39" s="38">
        <v>253780418</v>
      </c>
      <c r="H39" s="38">
        <f>Table2123242526[[#This Row],[E]]/Table2123242526[[#This Row],[V]]</f>
        <v>13.891320982094742</v>
      </c>
      <c r="I39" s="38">
        <v>612308</v>
      </c>
      <c r="J39" s="39">
        <v>240680701</v>
      </c>
      <c r="K39" s="39"/>
      <c r="L39" s="41">
        <v>6.968604</v>
      </c>
      <c r="M39" s="133">
        <v>10.276472</v>
      </c>
      <c r="N39" s="103">
        <v>7.1944559999999997</v>
      </c>
      <c r="O39" s="145">
        <v>7.5622439999999997</v>
      </c>
      <c r="P39" s="56">
        <v>45.206122000000001</v>
      </c>
      <c r="Q39" s="145"/>
      <c r="R39" s="145"/>
      <c r="S39" s="145"/>
      <c r="T39" s="145"/>
      <c r="U39" s="145"/>
      <c r="V39" s="56">
        <v>10.693218999999999</v>
      </c>
      <c r="W39" s="123">
        <f>Table2123242526[[#This Row],[G2AIMD (OOM fixed)]]/Table2123242526[[#This Row],[gpu-hybrid-copy]]</f>
        <v>0</v>
      </c>
      <c r="X39" s="123">
        <f>Table2123242526[[#This Row],[G2AIMD (pingpong)]]/Table2123242526[[#This Row],[gpu-layered]]</f>
        <v>0.67811248841041949</v>
      </c>
      <c r="Y39" s="124" t="e">
        <f>Table2123242526[[#This Row],[gpu-hybrid-copy]]/Table2123242526[[#This Row],[5000]]</f>
        <v>#DIV/0!</v>
      </c>
      <c r="Z39" s="124">
        <f>Table2123242526[[#This Row],[CPU Only]]/Table2123242526[[#This Row],[1M]]</f>
        <v>4.2275503756165476</v>
      </c>
      <c r="AA39" s="53" t="e">
        <f>Table2123242526[[#This Row],[CPU Only]]/Table2123242526[[#This Row],[5000]]</f>
        <v>#DIV/0!</v>
      </c>
      <c r="AB39" s="163">
        <v>0</v>
      </c>
      <c r="AC39" s="162" t="s">
        <v>3989</v>
      </c>
      <c r="AD39"/>
      <c r="AG39" s="35"/>
      <c r="AI39" s="2"/>
      <c r="AK39" s="2"/>
      <c r="AO39" s="2"/>
      <c r="AQ39" s="2"/>
    </row>
    <row r="40" spans="4:43" ht="27" hidden="1" x14ac:dyDescent="0.35">
      <c r="D40" s="9">
        <v>27</v>
      </c>
      <c r="E40" s="11" t="s">
        <v>1431</v>
      </c>
      <c r="F40" s="38">
        <v>4579069</v>
      </c>
      <c r="G40" s="38">
        <v>12530086</v>
      </c>
      <c r="H40" s="38">
        <f>Table2123242526[[#This Row],[E]]/Table2123242526[[#This Row],[V]]</f>
        <v>2.7363828760824527</v>
      </c>
      <c r="I40" s="38">
        <v>4043326</v>
      </c>
      <c r="J40" s="39">
        <v>6015927</v>
      </c>
      <c r="K40" s="39"/>
      <c r="L40" s="41">
        <v>7.7896460000000003</v>
      </c>
      <c r="M40" s="133">
        <v>7.8741620000000001</v>
      </c>
      <c r="N40" s="103">
        <v>7.7192499999999997</v>
      </c>
      <c r="O40" s="145">
        <v>8.6763910000000006</v>
      </c>
      <c r="P40" s="56">
        <v>0.93807399999999996</v>
      </c>
      <c r="Q40" s="145"/>
      <c r="R40" s="145"/>
      <c r="S40" s="145"/>
      <c r="T40" s="145"/>
      <c r="U40" s="145"/>
      <c r="V40" s="56">
        <v>0.93605400000000005</v>
      </c>
      <c r="W40" s="123">
        <f>Table2123242526[[#This Row],[G2AIMD (OOM fixed)]]/Table2123242526[[#This Row],[gpu-hybrid-copy]]</f>
        <v>0</v>
      </c>
      <c r="X40" s="123">
        <f>Table2123242526[[#This Row],[G2AIMD (pingpong)]]/Table2123242526[[#This Row],[gpu-layered]]</f>
        <v>0.9892666673609205</v>
      </c>
      <c r="Y40" s="124" t="e">
        <f>Table2123242526[[#This Row],[gpu-hybrid-copy]]/Table2123242526[[#This Row],[5000]]</f>
        <v>#DIV/0!</v>
      </c>
      <c r="Z40" s="124">
        <f>Table2123242526[[#This Row],[CPU Only]]/Table2123242526[[#This Row],[1M]]</f>
        <v>1.002157995158399</v>
      </c>
      <c r="AA40" s="53" t="e">
        <f>Table2123242526[[#This Row],[CPU Only]]/Table2123242526[[#This Row],[5000]]</f>
        <v>#DIV/0!</v>
      </c>
      <c r="AB40" s="163">
        <v>0</v>
      </c>
      <c r="AC40" s="162" t="s">
        <v>3988</v>
      </c>
      <c r="AD40"/>
      <c r="AG40" s="35"/>
      <c r="AI40" s="2"/>
      <c r="AK40" s="2"/>
      <c r="AO40" s="2"/>
      <c r="AQ40" s="2"/>
    </row>
    <row r="41" spans="4:43" ht="27" hidden="1" x14ac:dyDescent="0.35">
      <c r="D41" s="9">
        <v>28</v>
      </c>
      <c r="E41" s="11" t="s">
        <v>1449</v>
      </c>
      <c r="F41" s="38">
        <v>4799646</v>
      </c>
      <c r="G41" s="38">
        <v>63844012</v>
      </c>
      <c r="H41" s="38">
        <f>Table2123242526[[#This Row],[E]]/Table2123242526[[#This Row],[V]]</f>
        <v>13.301816842325454</v>
      </c>
      <c r="I41" s="38">
        <v>1076572</v>
      </c>
      <c r="J41" s="39">
        <v>157475935</v>
      </c>
      <c r="K41" s="39"/>
      <c r="L41" s="41">
        <v>6.8452809999999999</v>
      </c>
      <c r="M41" s="133">
        <v>9.0390409999999992</v>
      </c>
      <c r="N41" s="103">
        <v>5.80077</v>
      </c>
      <c r="O41" s="145">
        <v>5.8892620000000004</v>
      </c>
      <c r="P41" s="56">
        <v>23.708839000000001</v>
      </c>
      <c r="Q41" s="145"/>
      <c r="R41" s="145"/>
      <c r="S41" s="145"/>
      <c r="T41" s="145"/>
      <c r="U41" s="145"/>
      <c r="V41" s="56">
        <v>7.6292460000000002</v>
      </c>
      <c r="W41" s="123">
        <f>Table2123242526[[#This Row],[G2AIMD (OOM fixed)]]/Table2123242526[[#This Row],[gpu-hybrid-copy]]</f>
        <v>0</v>
      </c>
      <c r="X41" s="123">
        <f>Table2123242526[[#This Row],[G2AIMD (pingpong)]]/Table2123242526[[#This Row],[gpu-layered]]</f>
        <v>0.75730168720332169</v>
      </c>
      <c r="Y41" s="124" t="e">
        <f>Table2123242526[[#This Row],[gpu-hybrid-copy]]/Table2123242526[[#This Row],[5000]]</f>
        <v>#DIV/0!</v>
      </c>
      <c r="Z41" s="124">
        <f>Table2123242526[[#This Row],[CPU Only]]/Table2123242526[[#This Row],[1M]]</f>
        <v>3.1076254455551702</v>
      </c>
      <c r="AA41" s="53" t="e">
        <f>Table2123242526[[#This Row],[CPU Only]]/Table2123242526[[#This Row],[5000]]</f>
        <v>#DIV/0!</v>
      </c>
      <c r="AB41" s="163">
        <v>0</v>
      </c>
      <c r="AC41" s="162" t="s">
        <v>3989</v>
      </c>
      <c r="AD41"/>
      <c r="AG41" s="35"/>
      <c r="AI41" s="2"/>
      <c r="AK41" s="2"/>
      <c r="AO41" s="2"/>
      <c r="AQ41" s="2"/>
    </row>
    <row r="42" spans="4:43" ht="27" hidden="1" x14ac:dyDescent="0.35">
      <c r="D42" s="9">
        <v>30</v>
      </c>
      <c r="E42" s="11" t="s">
        <v>1447</v>
      </c>
      <c r="F42" s="38">
        <v>7489073</v>
      </c>
      <c r="G42" s="38">
        <v>224610814</v>
      </c>
      <c r="H42" s="38">
        <f>Table2123242526[[#This Row],[E]]/Table2123242526[[#This Row],[V]]</f>
        <v>29.991804593171945</v>
      </c>
      <c r="I42" s="38">
        <v>1053720</v>
      </c>
      <c r="J42" s="39">
        <v>148627058</v>
      </c>
      <c r="K42" s="39"/>
      <c r="L42" s="41">
        <v>4.1408459999999998</v>
      </c>
      <c r="M42" s="133">
        <v>7.4756419999999997</v>
      </c>
      <c r="N42" s="103">
        <v>4.434202</v>
      </c>
      <c r="O42" s="145">
        <v>4.7059150000000001</v>
      </c>
      <c r="P42" s="56">
        <v>37.416477</v>
      </c>
      <c r="Q42" s="145"/>
      <c r="R42" s="145"/>
      <c r="S42" s="145"/>
      <c r="T42" s="145"/>
      <c r="U42" s="145"/>
      <c r="V42" s="56">
        <v>5.235112</v>
      </c>
      <c r="W42" s="123">
        <f>Table2123242526[[#This Row],[G2AIMD (OOM fixed)]]/Table2123242526[[#This Row],[gpu-hybrid-copy]]</f>
        <v>0</v>
      </c>
      <c r="X42" s="123">
        <f>Table2123242526[[#This Row],[G2AIMD (pingpong)]]/Table2123242526[[#This Row],[gpu-layered]]</f>
        <v>0.5539117576791398</v>
      </c>
      <c r="Y42" s="124" t="e">
        <f>Table2123242526[[#This Row],[gpu-hybrid-copy]]/Table2123242526[[#This Row],[5000]]</f>
        <v>#DIV/0!</v>
      </c>
      <c r="Z42" s="124">
        <f>Table2123242526[[#This Row],[CPU Only]]/Table2123242526[[#This Row],[1M]]</f>
        <v>7.1472161436087713</v>
      </c>
      <c r="AA42" s="53" t="e">
        <f>Table2123242526[[#This Row],[CPU Only]]/Table2123242526[[#This Row],[5000]]</f>
        <v>#DIV/0!</v>
      </c>
      <c r="AB42" s="163">
        <v>0</v>
      </c>
      <c r="AC42" s="162" t="s">
        <v>3989</v>
      </c>
      <c r="AD42"/>
      <c r="AG42" s="35"/>
      <c r="AI42" s="2"/>
      <c r="AK42" s="2"/>
      <c r="AO42" s="2"/>
      <c r="AQ42" s="2"/>
    </row>
    <row r="43" spans="4:43" ht="27" hidden="1" x14ac:dyDescent="0.35">
      <c r="D43" s="9">
        <v>31</v>
      </c>
      <c r="E43" s="11" t="s">
        <v>4</v>
      </c>
      <c r="F43" s="38">
        <v>1203995</v>
      </c>
      <c r="G43" s="38">
        <v>40033816</v>
      </c>
      <c r="H43" s="38">
        <f>Table2123242526[[#This Row],[E]]/Table2123242526[[#This Row],[V]]</f>
        <v>33.250815825647116</v>
      </c>
      <c r="I43" s="38">
        <v>81090</v>
      </c>
      <c r="J43" s="39">
        <v>148294115</v>
      </c>
      <c r="K43" s="39"/>
      <c r="L43" s="41">
        <v>3.9173870000000002</v>
      </c>
      <c r="M43" s="133">
        <v>6.9773290000000001</v>
      </c>
      <c r="N43" s="103">
        <v>4.4764730000000004</v>
      </c>
      <c r="O43" s="145">
        <v>4.549919</v>
      </c>
      <c r="P43" s="56">
        <v>28.647296999999998</v>
      </c>
      <c r="Q43" s="145"/>
      <c r="R43" s="145"/>
      <c r="S43" s="145"/>
      <c r="T43" s="145"/>
      <c r="U43" s="145"/>
      <c r="V43" s="56">
        <v>7.8326770000000003</v>
      </c>
      <c r="W43" s="123">
        <f>Table2123242526[[#This Row],[G2AIMD (OOM fixed)]]/Table2123242526[[#This Row],[gpu-hybrid-copy]]</f>
        <v>0</v>
      </c>
      <c r="X43" s="123">
        <f>Table2123242526[[#This Row],[G2AIMD (pingpong)]]/Table2123242526[[#This Row],[gpu-layered]]</f>
        <v>0.56144507446904113</v>
      </c>
      <c r="Y43" s="124" t="e">
        <f>Table2123242526[[#This Row],[gpu-hybrid-copy]]/Table2123242526[[#This Row],[5000]]</f>
        <v>#DIV/0!</v>
      </c>
      <c r="Z43" s="124">
        <f>Table2123242526[[#This Row],[CPU Only]]/Table2123242526[[#This Row],[1M]]</f>
        <v>3.6574081887967544</v>
      </c>
      <c r="AA43" s="53" t="e">
        <f>Table2123242526[[#This Row],[CPU Only]]/Table2123242526[[#This Row],[5000]]</f>
        <v>#DIV/0!</v>
      </c>
      <c r="AB43" s="163">
        <v>0</v>
      </c>
      <c r="AC43" s="162" t="s">
        <v>3989</v>
      </c>
      <c r="AD43"/>
      <c r="AG43" s="35"/>
      <c r="AI43" s="2"/>
      <c r="AK43" s="2"/>
      <c r="AO43" s="2"/>
      <c r="AQ43" s="2"/>
    </row>
    <row r="44" spans="4:43" ht="27" hidden="1" x14ac:dyDescent="0.35">
      <c r="D44" s="9">
        <v>32</v>
      </c>
      <c r="E44" s="11" t="s">
        <v>1433</v>
      </c>
      <c r="F44" s="38">
        <v>2646291</v>
      </c>
      <c r="G44" s="38">
        <v>42433496</v>
      </c>
      <c r="H44" s="38">
        <f>Table2123242526[[#This Row],[E]]/Table2123242526[[#This Row],[V]]</f>
        <v>16.035083065316702</v>
      </c>
      <c r="I44" s="38">
        <v>850681</v>
      </c>
      <c r="J44" s="39">
        <v>110149144</v>
      </c>
      <c r="K44" s="39"/>
      <c r="L44" s="41">
        <v>3.8337750000000002</v>
      </c>
      <c r="M44" s="133">
        <v>5.5916920000000001</v>
      </c>
      <c r="N44" s="103">
        <v>4.476839</v>
      </c>
      <c r="O44" s="145">
        <v>4.5438599999999996</v>
      </c>
      <c r="P44" s="56">
        <v>15.348898999999999</v>
      </c>
      <c r="Q44" s="145"/>
      <c r="R44" s="145"/>
      <c r="S44" s="145"/>
      <c r="T44" s="145"/>
      <c r="U44" s="145"/>
      <c r="V44" s="56">
        <v>4.8238430000000001</v>
      </c>
      <c r="W44" s="123">
        <f>Table2123242526[[#This Row],[G2AIMD (OOM fixed)]]/Table2123242526[[#This Row],[gpu-hybrid-copy]]</f>
        <v>0</v>
      </c>
      <c r="X44" s="123">
        <f>Table2123242526[[#This Row],[G2AIMD (pingpong)]]/Table2123242526[[#This Row],[gpu-layered]]</f>
        <v>0.68561984458371461</v>
      </c>
      <c r="Y44" s="124" t="e">
        <f>Table2123242526[[#This Row],[gpu-hybrid-copy]]/Table2123242526[[#This Row],[5000]]</f>
        <v>#DIV/0!</v>
      </c>
      <c r="Z44" s="124">
        <f>Table2123242526[[#This Row],[CPU Only]]/Table2123242526[[#This Row],[1M]]</f>
        <v>3.1818819559425959</v>
      </c>
      <c r="AA44" s="53" t="e">
        <f>Table2123242526[[#This Row],[CPU Only]]/Table2123242526[[#This Row],[5000]]</f>
        <v>#DIV/0!</v>
      </c>
      <c r="AB44" s="163">
        <v>0</v>
      </c>
      <c r="AC44" s="162" t="s">
        <v>3989</v>
      </c>
      <c r="AD44"/>
      <c r="AG44" s="35"/>
      <c r="AI44" s="2"/>
      <c r="AK44" s="2"/>
      <c r="AO44" s="2"/>
      <c r="AQ44" s="2"/>
    </row>
    <row r="45" spans="4:43" ht="27" hidden="1" x14ac:dyDescent="0.35">
      <c r="D45" s="9">
        <v>34</v>
      </c>
      <c r="E45" s="11" t="s">
        <v>1461</v>
      </c>
      <c r="F45" s="38">
        <v>33777768</v>
      </c>
      <c r="G45" s="38">
        <v>274478882</v>
      </c>
      <c r="H45" s="38">
        <f>Table2123242526[[#This Row],[E]]/Table2123242526[[#This Row],[V]]</f>
        <v>8.1260218851642296</v>
      </c>
      <c r="I45" s="38">
        <v>1057783</v>
      </c>
      <c r="J45" s="39">
        <v>152479402</v>
      </c>
      <c r="K45" s="39"/>
      <c r="L45" s="41">
        <v>3.8363990000000001</v>
      </c>
      <c r="M45" s="133">
        <v>5.0061879999999999</v>
      </c>
      <c r="N45" s="103">
        <v>4.2029290000000001</v>
      </c>
      <c r="O45" s="145">
        <v>4.4455710000000002</v>
      </c>
      <c r="P45" s="56">
        <v>18.665141999999999</v>
      </c>
      <c r="Q45" s="145"/>
      <c r="R45" s="145"/>
      <c r="S45" s="145"/>
      <c r="T45" s="145"/>
      <c r="U45" s="145"/>
      <c r="V45" s="56">
        <v>7.6161149999999997</v>
      </c>
      <c r="W45" s="123">
        <f>Table2123242526[[#This Row],[G2AIMD (OOM fixed)]]/Table2123242526[[#This Row],[gpu-hybrid-copy]]</f>
        <v>0</v>
      </c>
      <c r="X45" s="123">
        <f>Table2123242526[[#This Row],[G2AIMD (pingpong)]]/Table2123242526[[#This Row],[gpu-layered]]</f>
        <v>0.76633138827387226</v>
      </c>
      <c r="Y45" s="124" t="e">
        <f>Table2123242526[[#This Row],[gpu-hybrid-copy]]/Table2123242526[[#This Row],[5000]]</f>
        <v>#DIV/0!</v>
      </c>
      <c r="Z45" s="124">
        <f>Table2123242526[[#This Row],[CPU Only]]/Table2123242526[[#This Row],[1M]]</f>
        <v>2.4507431938724666</v>
      </c>
      <c r="AA45" s="53" t="e">
        <f>Table2123242526[[#This Row],[CPU Only]]/Table2123242526[[#This Row],[5000]]</f>
        <v>#DIV/0!</v>
      </c>
      <c r="AB45" s="163">
        <v>0</v>
      </c>
      <c r="AC45" s="162" t="s">
        <v>3989</v>
      </c>
      <c r="AD45"/>
      <c r="AG45" s="35"/>
      <c r="AI45" s="2"/>
      <c r="AK45" s="2"/>
      <c r="AO45" s="2"/>
      <c r="AQ45" s="2"/>
    </row>
    <row r="46" spans="4:43" ht="27" hidden="1" x14ac:dyDescent="0.35">
      <c r="D46" s="9">
        <v>35</v>
      </c>
      <c r="E46" s="11" t="s">
        <v>1448</v>
      </c>
      <c r="F46" s="38">
        <v>5267977</v>
      </c>
      <c r="G46" s="38">
        <v>55363430</v>
      </c>
      <c r="H46" s="38">
        <f>Table2123242526[[#This Row],[E]]/Table2123242526[[#This Row],[V]]</f>
        <v>10.509428951569074</v>
      </c>
      <c r="I46" s="38">
        <v>590528</v>
      </c>
      <c r="J46" s="39">
        <v>99655585</v>
      </c>
      <c r="K46" s="39"/>
      <c r="L46" s="41">
        <v>3.4353509999999998</v>
      </c>
      <c r="M46" s="133">
        <v>4.7656539999999996</v>
      </c>
      <c r="N46" s="103">
        <v>3.8480089999999998</v>
      </c>
      <c r="O46" s="145">
        <v>3.9782419999999998</v>
      </c>
      <c r="P46" s="56">
        <v>16.841013</v>
      </c>
      <c r="Q46" s="145"/>
      <c r="R46" s="145"/>
      <c r="S46" s="145"/>
      <c r="T46" s="145"/>
      <c r="U46" s="145"/>
      <c r="V46" s="56">
        <v>5.4122669999999999</v>
      </c>
      <c r="W46" s="123">
        <f>Table2123242526[[#This Row],[G2AIMD (OOM fixed)]]/Table2123242526[[#This Row],[gpu-hybrid-copy]]</f>
        <v>0</v>
      </c>
      <c r="X46" s="123">
        <f>Table2123242526[[#This Row],[G2AIMD (pingpong)]]/Table2123242526[[#This Row],[gpu-layered]]</f>
        <v>0.72085615111797874</v>
      </c>
      <c r="Y46" s="124" t="e">
        <f>Table2123242526[[#This Row],[gpu-hybrid-copy]]/Table2123242526[[#This Row],[5000]]</f>
        <v>#DIV/0!</v>
      </c>
      <c r="Z46" s="124">
        <f>Table2123242526[[#This Row],[CPU Only]]/Table2123242526[[#This Row],[1M]]</f>
        <v>3.1116375079056522</v>
      </c>
      <c r="AA46" s="53" t="e">
        <f>Table2123242526[[#This Row],[CPU Only]]/Table2123242526[[#This Row],[5000]]</f>
        <v>#DIV/0!</v>
      </c>
      <c r="AB46" s="163">
        <v>0</v>
      </c>
      <c r="AC46" s="162" t="s">
        <v>3989</v>
      </c>
      <c r="AD46"/>
      <c r="AG46" s="35"/>
      <c r="AI46" s="2"/>
      <c r="AK46" s="2"/>
      <c r="AO46" s="2"/>
      <c r="AQ46" s="2"/>
    </row>
    <row r="47" spans="4:43" ht="27" hidden="1" x14ac:dyDescent="0.35">
      <c r="D47" s="9">
        <v>38</v>
      </c>
      <c r="E47" s="9" t="s">
        <v>1434</v>
      </c>
      <c r="F47" s="38">
        <v>7825669</v>
      </c>
      <c r="G47" s="38">
        <v>124492028</v>
      </c>
      <c r="H47" s="38">
        <f>Table2123242526[[#This Row],[E]]/Table2123242526[[#This Row],[V]]</f>
        <v>15.90816427323977</v>
      </c>
      <c r="I47" s="38">
        <v>204282</v>
      </c>
      <c r="J47" s="39">
        <v>74995873</v>
      </c>
      <c r="K47" s="39"/>
      <c r="L47" s="41">
        <v>2.4138410000000001</v>
      </c>
      <c r="M47" s="133">
        <v>5.9023089999999998</v>
      </c>
      <c r="N47" s="103">
        <v>2.9659520000000001</v>
      </c>
      <c r="O47" s="145">
        <v>3.1589119999999999</v>
      </c>
      <c r="P47" s="56">
        <v>11.794521</v>
      </c>
      <c r="Q47" s="145"/>
      <c r="R47" s="145"/>
      <c r="S47" s="145"/>
      <c r="T47" s="145"/>
      <c r="U47" s="145"/>
      <c r="V47" s="56">
        <v>4.758845</v>
      </c>
      <c r="W47" s="123">
        <f>Table2123242526[[#This Row],[G2AIMD (OOM fixed)]]/Table2123242526[[#This Row],[gpu-hybrid-copy]]</f>
        <v>0</v>
      </c>
      <c r="X47" s="123">
        <f>Table2123242526[[#This Row],[G2AIMD (pingpong)]]/Table2123242526[[#This Row],[gpu-layered]]</f>
        <v>0.40896554212935993</v>
      </c>
      <c r="Y47" s="124" t="e">
        <f>Table2123242526[[#This Row],[gpu-hybrid-copy]]/Table2123242526[[#This Row],[5000]]</f>
        <v>#DIV/0!</v>
      </c>
      <c r="Z47" s="124">
        <f>Table2123242526[[#This Row],[CPU Only]]/Table2123242526[[#This Row],[1M]]</f>
        <v>2.4784419328639617</v>
      </c>
      <c r="AA47" s="53" t="e">
        <f>Table2123242526[[#This Row],[CPU Only]]/Table2123242526[[#This Row],[5000]]</f>
        <v>#DIV/0!</v>
      </c>
      <c r="AB47" s="163">
        <v>0</v>
      </c>
      <c r="AC47" s="162" t="s">
        <v>3989</v>
      </c>
      <c r="AD47"/>
      <c r="AG47" s="35"/>
      <c r="AI47" s="2"/>
      <c r="AK47" s="2"/>
      <c r="AO47" s="2"/>
      <c r="AQ47" s="2"/>
    </row>
    <row r="48" spans="4:43" ht="21" hidden="1" customHeight="1" x14ac:dyDescent="0.35">
      <c r="D48" s="9">
        <v>39</v>
      </c>
      <c r="E48" s="11" t="s">
        <v>1411</v>
      </c>
      <c r="F48" s="38">
        <v>3496954</v>
      </c>
      <c r="G48" s="38">
        <v>27305086</v>
      </c>
      <c r="H48" s="38">
        <f>Table2123242526[[#This Row],[E]]/Table2123242526[[#This Row],[V]]</f>
        <v>7.808248550023821</v>
      </c>
      <c r="I48" s="38">
        <v>2187803</v>
      </c>
      <c r="J48" s="39">
        <v>12230903</v>
      </c>
      <c r="K48" s="39"/>
      <c r="L48" s="41">
        <v>1.9853620000000001</v>
      </c>
      <c r="M48" s="133">
        <v>2.7037040000000001</v>
      </c>
      <c r="N48" s="103">
        <v>2.5170659999999998</v>
      </c>
      <c r="O48" s="145">
        <v>2.7061799999999998</v>
      </c>
      <c r="P48" s="56">
        <v>0.65300999999999998</v>
      </c>
      <c r="Q48" s="145"/>
      <c r="R48" s="145"/>
      <c r="S48" s="145"/>
      <c r="T48" s="145"/>
      <c r="U48" s="145"/>
      <c r="V48" s="56">
        <v>0.72130399999999995</v>
      </c>
      <c r="W48" s="123">
        <f>Table2123242526[[#This Row],[G2AIMD (OOM fixed)]]/Table2123242526[[#This Row],[gpu-hybrid-copy]]</f>
        <v>0</v>
      </c>
      <c r="X48" s="123">
        <f>Table2123242526[[#This Row],[G2AIMD (pingpong)]]/Table2123242526[[#This Row],[gpu-layered]]</f>
        <v>0.73431189213020365</v>
      </c>
      <c r="Y48" s="124" t="e">
        <f>Table2123242526[[#This Row],[gpu-hybrid-copy]]/Table2123242526[[#This Row],[5000]]</f>
        <v>#DIV/0!</v>
      </c>
      <c r="Z48" s="124">
        <f>Table2123242526[[#This Row],[CPU Only]]/Table2123242526[[#This Row],[1M]]</f>
        <v>0.90531870057562414</v>
      </c>
      <c r="AA48" s="53" t="e">
        <f>Table2123242526[[#This Row],[CPU Only]]/Table2123242526[[#This Row],[5000]]</f>
        <v>#DIV/0!</v>
      </c>
      <c r="AB48" s="163">
        <v>0</v>
      </c>
      <c r="AC48" s="162" t="s">
        <v>3991</v>
      </c>
      <c r="AD48"/>
      <c r="AG48" s="35"/>
      <c r="AI48" s="2"/>
      <c r="AK48" s="2"/>
      <c r="AO48" s="2"/>
      <c r="AQ48" s="2"/>
    </row>
    <row r="49" spans="4:43" ht="27" hidden="1" x14ac:dyDescent="0.35">
      <c r="D49" s="9">
        <v>42</v>
      </c>
      <c r="E49" s="22" t="s">
        <v>3912</v>
      </c>
      <c r="F49" s="38">
        <v>4033138</v>
      </c>
      <c r="G49" s="38">
        <v>55866126</v>
      </c>
      <c r="H49" s="38">
        <f>Table2123242526[[#This Row],[E]]/Table2123242526[[#This Row],[V]]</f>
        <v>13.851776457934244</v>
      </c>
      <c r="I49" s="38">
        <v>2651</v>
      </c>
      <c r="J49" s="39">
        <v>38413666</v>
      </c>
      <c r="K49" s="39"/>
      <c r="L49" s="41">
        <v>1.571016</v>
      </c>
      <c r="M49" s="133">
        <v>3.8372980000000001</v>
      </c>
      <c r="N49" s="103">
        <v>2.1893090000000002</v>
      </c>
      <c r="O49" s="145">
        <v>2.2822390000000001</v>
      </c>
      <c r="P49" s="56">
        <v>6.711659</v>
      </c>
      <c r="Q49" s="145"/>
      <c r="R49" s="145"/>
      <c r="S49" s="145"/>
      <c r="T49" s="145"/>
      <c r="U49" s="145"/>
      <c r="V49" s="56">
        <v>4.0897119999999996</v>
      </c>
      <c r="W49" s="123">
        <f>Table2123242526[[#This Row],[G2AIMD (OOM fixed)]]/Table2123242526[[#This Row],[gpu-hybrid-copy]]</f>
        <v>0</v>
      </c>
      <c r="X49" s="123">
        <f>Table2123242526[[#This Row],[G2AIMD (pingpong)]]/Table2123242526[[#This Row],[gpu-layered]]</f>
        <v>0.40940682740824402</v>
      </c>
      <c r="Y49" s="124" t="e">
        <f>Table2123242526[[#This Row],[gpu-hybrid-copy]]/Table2123242526[[#This Row],[5000]]</f>
        <v>#DIV/0!</v>
      </c>
      <c r="Z49" s="124">
        <f>Table2123242526[[#This Row],[CPU Only]]/Table2123242526[[#This Row],[1M]]</f>
        <v>1.6411079802196342</v>
      </c>
      <c r="AA49" s="53" t="e">
        <f>Table2123242526[[#This Row],[CPU Only]]/Table2123242526[[#This Row],[5000]]</f>
        <v>#DIV/0!</v>
      </c>
      <c r="AB49" s="163">
        <v>0</v>
      </c>
      <c r="AC49" s="162" t="s">
        <v>3989</v>
      </c>
      <c r="AD49"/>
      <c r="AG49" s="35"/>
      <c r="AI49" s="2"/>
      <c r="AK49" s="2"/>
      <c r="AO49" s="2"/>
      <c r="AQ49" s="2"/>
    </row>
    <row r="50" spans="4:43" ht="27" hidden="1" x14ac:dyDescent="0.35">
      <c r="D50" s="9">
        <v>43</v>
      </c>
      <c r="E50" s="11" t="s">
        <v>1462</v>
      </c>
      <c r="F50" s="38">
        <v>33778221</v>
      </c>
      <c r="G50" s="38">
        <v>203595714</v>
      </c>
      <c r="H50" s="38">
        <f>Table2123242526[[#This Row],[E]]/Table2123242526[[#This Row],[V]]</f>
        <v>6.0274256006555227</v>
      </c>
      <c r="I50" s="38">
        <v>29319</v>
      </c>
      <c r="J50" s="39">
        <v>103359042</v>
      </c>
      <c r="K50" s="39"/>
      <c r="L50" s="41">
        <v>1.6937089999999999</v>
      </c>
      <c r="M50" s="133">
        <v>2.5168569999999999</v>
      </c>
      <c r="N50" s="103">
        <v>2.2523140000000001</v>
      </c>
      <c r="O50" s="145">
        <v>2.4154979999999999</v>
      </c>
      <c r="P50" s="56">
        <v>25.699197000000002</v>
      </c>
      <c r="Q50" s="145"/>
      <c r="R50" s="145"/>
      <c r="S50" s="145"/>
      <c r="T50" s="145"/>
      <c r="U50" s="145"/>
      <c r="V50" s="56">
        <v>7.0814329999999996</v>
      </c>
      <c r="W50" s="123">
        <f>Table2123242526[[#This Row],[G2AIMD (OOM fixed)]]/Table2123242526[[#This Row],[gpu-hybrid-copy]]</f>
        <v>0</v>
      </c>
      <c r="X50" s="123">
        <f>Table2123242526[[#This Row],[G2AIMD (pingpong)]]/Table2123242526[[#This Row],[gpu-layered]]</f>
        <v>0.67294605931127593</v>
      </c>
      <c r="Y50" s="124" t="e">
        <f>Table2123242526[[#This Row],[gpu-hybrid-copy]]/Table2123242526[[#This Row],[5000]]</f>
        <v>#DIV/0!</v>
      </c>
      <c r="Z50" s="124">
        <f>Table2123242526[[#This Row],[CPU Only]]/Table2123242526[[#This Row],[1M]]</f>
        <v>3.6290955517054249</v>
      </c>
      <c r="AA50" s="53" t="e">
        <f>Table2123242526[[#This Row],[CPU Only]]/Table2123242526[[#This Row],[5000]]</f>
        <v>#DIV/0!</v>
      </c>
      <c r="AB50" s="163">
        <v>0</v>
      </c>
      <c r="AC50" s="162" t="s">
        <v>3989</v>
      </c>
      <c r="AD50"/>
      <c r="AG50" s="35"/>
      <c r="AI50" s="2"/>
      <c r="AK50" s="2"/>
      <c r="AO50" s="2"/>
      <c r="AQ50" s="2"/>
    </row>
    <row r="51" spans="4:43" ht="27" hidden="1" x14ac:dyDescent="0.35">
      <c r="D51" s="9">
        <v>44</v>
      </c>
      <c r="E51" s="11" t="s">
        <v>1437</v>
      </c>
      <c r="F51" s="38">
        <v>2981204</v>
      </c>
      <c r="G51" s="38">
        <v>42832752</v>
      </c>
      <c r="H51" s="38">
        <f>Table2123242526[[#This Row],[E]]/Table2123242526[[#This Row],[V]]</f>
        <v>14.367601814568879</v>
      </c>
      <c r="I51" s="38">
        <v>385104</v>
      </c>
      <c r="J51" s="39">
        <v>35290880</v>
      </c>
      <c r="K51" s="39"/>
      <c r="L51" s="41">
        <v>1.446725</v>
      </c>
      <c r="M51" s="133">
        <v>2.3375050000000002</v>
      </c>
      <c r="N51" s="103">
        <v>2.0601349999999998</v>
      </c>
      <c r="O51" s="145">
        <v>2.1516799999999998</v>
      </c>
      <c r="P51" s="56">
        <v>5.6263290000000001</v>
      </c>
      <c r="Q51" s="145"/>
      <c r="R51" s="145"/>
      <c r="S51" s="145"/>
      <c r="T51" s="145"/>
      <c r="U51" s="145"/>
      <c r="V51" s="56">
        <v>2.3065820000000001</v>
      </c>
      <c r="W51" s="123">
        <f>Table2123242526[[#This Row],[G2AIMD (OOM fixed)]]/Table2123242526[[#This Row],[gpu-hybrid-copy]]</f>
        <v>0</v>
      </c>
      <c r="X51" s="123">
        <f>Table2123242526[[#This Row],[G2AIMD (pingpong)]]/Table2123242526[[#This Row],[gpu-layered]]</f>
        <v>0.61891846220649793</v>
      </c>
      <c r="Y51" s="124" t="e">
        <f>Table2123242526[[#This Row],[gpu-hybrid-copy]]/Table2123242526[[#This Row],[5000]]</f>
        <v>#DIV/0!</v>
      </c>
      <c r="Z51" s="124">
        <f>Table2123242526[[#This Row],[CPU Only]]/Table2123242526[[#This Row],[1M]]</f>
        <v>2.4392495042448088</v>
      </c>
      <c r="AA51" s="53" t="e">
        <f>Table2123242526[[#This Row],[CPU Only]]/Table2123242526[[#This Row],[5000]]</f>
        <v>#DIV/0!</v>
      </c>
      <c r="AB51" s="163">
        <v>0</v>
      </c>
      <c r="AC51" s="162" t="s">
        <v>3989</v>
      </c>
      <c r="AD51"/>
      <c r="AG51" s="35"/>
      <c r="AI51" s="2"/>
      <c r="AK51" s="2"/>
      <c r="AO51" s="2"/>
      <c r="AQ51" s="2"/>
    </row>
    <row r="52" spans="4:43" ht="27" hidden="1" x14ac:dyDescent="0.35">
      <c r="D52" s="9">
        <v>46</v>
      </c>
      <c r="E52" s="11" t="s">
        <v>1346</v>
      </c>
      <c r="F52" s="38">
        <v>1696415</v>
      </c>
      <c r="G52" s="38">
        <v>22190596</v>
      </c>
      <c r="H52" s="38">
        <f>Table2123242526[[#This Row],[E]]/Table2123242526[[#This Row],[V]]</f>
        <v>13.080877025963575</v>
      </c>
      <c r="I52" s="38">
        <v>35455</v>
      </c>
      <c r="J52" s="39">
        <v>37322355</v>
      </c>
      <c r="K52" s="39"/>
      <c r="L52" s="41">
        <v>1.300643</v>
      </c>
      <c r="M52" s="133">
        <v>2.3102339999999999</v>
      </c>
      <c r="N52" s="103">
        <v>1.8380110000000001</v>
      </c>
      <c r="O52" s="145">
        <v>1.9767570000000001</v>
      </c>
      <c r="P52" s="56">
        <v>7.0529869999999999</v>
      </c>
      <c r="Q52" s="145"/>
      <c r="R52" s="145"/>
      <c r="S52" s="145"/>
      <c r="T52" s="145"/>
      <c r="U52" s="145"/>
      <c r="V52" s="56">
        <v>2.076346</v>
      </c>
      <c r="W52" s="123">
        <f>Table2123242526[[#This Row],[G2AIMD (OOM fixed)]]/Table2123242526[[#This Row],[gpu-hybrid-copy]]</f>
        <v>0</v>
      </c>
      <c r="X52" s="123">
        <f>Table2123242526[[#This Row],[G2AIMD (pingpong)]]/Table2123242526[[#This Row],[gpu-layered]]</f>
        <v>0.56299188740188222</v>
      </c>
      <c r="Y52" s="124" t="e">
        <f>Table2123242526[[#This Row],[gpu-hybrid-copy]]/Table2123242526[[#This Row],[5000]]</f>
        <v>#DIV/0!</v>
      </c>
      <c r="Z52" s="124">
        <f>Table2123242526[[#This Row],[CPU Only]]/Table2123242526[[#This Row],[1M]]</f>
        <v>3.3968264441475551</v>
      </c>
      <c r="AA52" s="53" t="e">
        <f>Table2123242526[[#This Row],[CPU Only]]/Table2123242526[[#This Row],[5000]]</f>
        <v>#DIV/0!</v>
      </c>
      <c r="AB52" s="163">
        <v>0</v>
      </c>
      <c r="AC52" s="162" t="s">
        <v>3989</v>
      </c>
      <c r="AD52"/>
      <c r="AG52" s="35"/>
      <c r="AI52" s="2"/>
      <c r="AK52" s="2"/>
      <c r="AO52" s="2"/>
      <c r="AQ52" s="2"/>
    </row>
    <row r="53" spans="4:43" ht="27" hidden="1" x14ac:dyDescent="0.35">
      <c r="D53" s="9">
        <v>47</v>
      </c>
      <c r="E53" s="9" t="s">
        <v>1402</v>
      </c>
      <c r="F53" s="38">
        <v>2132864</v>
      </c>
      <c r="G53" s="38">
        <v>17441248</v>
      </c>
      <c r="H53" s="38">
        <f>Table2123242526[[#This Row],[E]]/Table2123242526[[#This Row],[V]]</f>
        <v>8.1773840244853861</v>
      </c>
      <c r="I53" s="38">
        <v>306136</v>
      </c>
      <c r="J53" s="39">
        <v>11329220</v>
      </c>
      <c r="K53" s="39"/>
      <c r="L53" s="41">
        <v>0.99414100000000005</v>
      </c>
      <c r="M53" s="133">
        <v>2.6064050000000001</v>
      </c>
      <c r="N53" s="103">
        <v>1.5811599999999999</v>
      </c>
      <c r="O53" s="145">
        <v>1.686237</v>
      </c>
      <c r="P53" s="56">
        <v>1.8110040000000001</v>
      </c>
      <c r="Q53" s="145"/>
      <c r="R53" s="145"/>
      <c r="S53" s="145"/>
      <c r="T53" s="145"/>
      <c r="U53" s="145"/>
      <c r="V53" s="56">
        <v>1.1210039999999999</v>
      </c>
      <c r="W53" s="123">
        <f>Table2123242526[[#This Row],[G2AIMD (OOM fixed)]]/Table2123242526[[#This Row],[gpu-hybrid-copy]]</f>
        <v>0</v>
      </c>
      <c r="X53" s="123">
        <f>Table2123242526[[#This Row],[G2AIMD (pingpong)]]/Table2123242526[[#This Row],[gpu-layered]]</f>
        <v>0.38142230390135073</v>
      </c>
      <c r="Y53" s="124" t="e">
        <f>Table2123242526[[#This Row],[gpu-hybrid-copy]]/Table2123242526[[#This Row],[5000]]</f>
        <v>#DIV/0!</v>
      </c>
      <c r="Z53" s="124">
        <f>Table2123242526[[#This Row],[CPU Only]]/Table2123242526[[#This Row],[1M]]</f>
        <v>1.6155196591626795</v>
      </c>
      <c r="AA53" s="53" t="e">
        <f>Table2123242526[[#This Row],[CPU Only]]/Table2123242526[[#This Row],[5000]]</f>
        <v>#DIV/0!</v>
      </c>
      <c r="AB53" s="163">
        <v>0</v>
      </c>
      <c r="AC53" s="162" t="s">
        <v>3990</v>
      </c>
      <c r="AD53"/>
      <c r="AG53" s="35"/>
      <c r="AI53" s="2"/>
      <c r="AK53" s="2"/>
      <c r="AO53" s="2"/>
      <c r="AQ53" s="2"/>
    </row>
    <row r="54" spans="4:43" ht="27" hidden="1" x14ac:dyDescent="0.35">
      <c r="D54" s="9">
        <v>48</v>
      </c>
      <c r="E54" s="9" t="s">
        <v>1371</v>
      </c>
      <c r="F54" s="38">
        <v>2140198</v>
      </c>
      <c r="G54" s="38">
        <v>34029892</v>
      </c>
      <c r="H54" s="38">
        <f>Table2123242526[[#This Row],[E]]/Table2123242526[[#This Row],[V]]</f>
        <v>15.900347537938078</v>
      </c>
      <c r="I54" s="38">
        <v>97848</v>
      </c>
      <c r="J54" s="39">
        <v>19365288</v>
      </c>
      <c r="K54" s="39"/>
      <c r="L54" s="41">
        <v>0.85894899999999996</v>
      </c>
      <c r="M54" s="133">
        <v>1.6989259999999999</v>
      </c>
      <c r="N54" s="103">
        <v>1.517344</v>
      </c>
      <c r="O54" s="145">
        <v>1.6427389999999999</v>
      </c>
      <c r="P54" s="56">
        <v>3.3648449999999999</v>
      </c>
      <c r="Q54" s="145"/>
      <c r="R54" s="145"/>
      <c r="S54" s="145"/>
      <c r="T54" s="145"/>
      <c r="U54" s="145"/>
      <c r="V54" s="56">
        <v>1.127974</v>
      </c>
      <c r="W54" s="123">
        <f>Table2123242526[[#This Row],[G2AIMD (OOM fixed)]]/Table2123242526[[#This Row],[gpu-hybrid-copy]]</f>
        <v>0</v>
      </c>
      <c r="X54" s="123">
        <f>Table2123242526[[#This Row],[G2AIMD (pingpong)]]/Table2123242526[[#This Row],[gpu-layered]]</f>
        <v>0.50558352747559343</v>
      </c>
      <c r="Y54" s="124" t="e">
        <f>Table2123242526[[#This Row],[gpu-hybrid-copy]]/Table2123242526[[#This Row],[5000]]</f>
        <v>#DIV/0!</v>
      </c>
      <c r="Z54" s="124">
        <f>Table2123242526[[#This Row],[CPU Only]]/Table2123242526[[#This Row],[1M]]</f>
        <v>2.9830873761274637</v>
      </c>
      <c r="AA54" s="53" t="e">
        <f>Table2123242526[[#This Row],[CPU Only]]/Table2123242526[[#This Row],[5000]]</f>
        <v>#DIV/0!</v>
      </c>
      <c r="AB54" s="163">
        <v>0</v>
      </c>
      <c r="AC54" s="162" t="s">
        <v>3990</v>
      </c>
      <c r="AD54"/>
      <c r="AG54" s="35"/>
      <c r="AI54" s="2"/>
      <c r="AK54" s="2"/>
      <c r="AO54" s="2"/>
      <c r="AQ54" s="2"/>
    </row>
    <row r="55" spans="4:43" ht="28" hidden="1" thickBot="1" x14ac:dyDescent="0.4">
      <c r="D55" s="9">
        <v>50</v>
      </c>
      <c r="E55" s="22" t="s">
        <v>3920</v>
      </c>
      <c r="F55" s="38">
        <v>1632803</v>
      </c>
      <c r="G55" s="38">
        <v>44603928</v>
      </c>
      <c r="H55" s="38">
        <f>Table2123242526[[#This Row],[E]]/Table2123242526[[#This Row],[V]]</f>
        <v>27.31739713854029</v>
      </c>
      <c r="I55" s="38">
        <v>14854</v>
      </c>
      <c r="J55" s="39">
        <v>19376873</v>
      </c>
      <c r="K55" s="39"/>
      <c r="L55" s="41">
        <v>2.154563</v>
      </c>
      <c r="M55" s="150">
        <v>1.326783</v>
      </c>
      <c r="N55" s="161">
        <v>1.138009</v>
      </c>
      <c r="O55" s="149">
        <v>0.36409900000000001</v>
      </c>
      <c r="P55" s="56">
        <v>2.2659929999999999</v>
      </c>
      <c r="Q55" s="259"/>
      <c r="R55" s="259"/>
      <c r="S55" s="259"/>
      <c r="T55" s="259"/>
      <c r="U55" s="259"/>
      <c r="V55" s="56">
        <v>0.96733800000000003</v>
      </c>
      <c r="W55" s="123">
        <f>Table2123242526[[#This Row],[G2AIMD (OOM fixed)]]/Table2123242526[[#This Row],[gpu-hybrid-copy]]</f>
        <v>0</v>
      </c>
      <c r="X55" s="123">
        <f>Table2123242526[[#This Row],[G2AIMD (pingpong)]]/Table2123242526[[#This Row],[gpu-layered]]</f>
        <v>1.6239000650445476</v>
      </c>
      <c r="Y55" s="124" t="e">
        <f>Table2123242526[[#This Row],[gpu-hybrid-copy]]/Table2123242526[[#This Row],[5000]]</f>
        <v>#DIV/0!</v>
      </c>
      <c r="Z55" s="124">
        <f>Table2123242526[[#This Row],[CPU Only]]/Table2123242526[[#This Row],[1M]]</f>
        <v>2.342503861111628</v>
      </c>
      <c r="AA55" s="54" t="e">
        <f>Table2123242526[[#This Row],[CPU Only]]/Table2123242526[[#This Row],[5000]]</f>
        <v>#DIV/0!</v>
      </c>
      <c r="AB55" s="163">
        <v>0</v>
      </c>
      <c r="AC55" s="162" t="s">
        <v>3989</v>
      </c>
      <c r="AD55"/>
      <c r="AG55" s="35"/>
      <c r="AI55" s="2"/>
      <c r="AK55" s="2"/>
      <c r="AO55" s="2"/>
      <c r="AQ55" s="2"/>
    </row>
    <row r="56" spans="4:43" x14ac:dyDescent="0.3">
      <c r="F56" s="11"/>
      <c r="G56" s="11"/>
      <c r="H56" s="11"/>
      <c r="I56" s="11"/>
      <c r="J56" s="10"/>
      <c r="K56" s="10"/>
      <c r="L56" s="19"/>
      <c r="R56" s="10"/>
      <c r="S56" s="10"/>
      <c r="T56" s="10"/>
      <c r="U56" s="10"/>
      <c r="V56" s="10"/>
      <c r="Y56" s="10"/>
      <c r="Z56" s="10"/>
      <c r="AB56" s="10"/>
      <c r="AE56" s="9"/>
      <c r="AF56" s="9"/>
      <c r="AG56" s="9"/>
      <c r="AH56" s="9"/>
      <c r="AJ56" s="15"/>
      <c r="AK56" s="9"/>
    </row>
    <row r="57" spans="4:43" x14ac:dyDescent="0.3">
      <c r="F57" s="11"/>
      <c r="G57" s="11"/>
      <c r="H57" s="11"/>
      <c r="I57" s="11"/>
      <c r="J57" s="10"/>
      <c r="K57" s="10"/>
      <c r="L57" s="19"/>
      <c r="R57" s="10"/>
      <c r="S57" s="10"/>
      <c r="T57" s="10"/>
      <c r="U57" s="10"/>
      <c r="V57" s="10"/>
      <c r="Y57" s="10"/>
      <c r="Z57" s="10"/>
      <c r="AB57" s="10"/>
      <c r="AE57" s="9"/>
      <c r="AF57" s="9"/>
      <c r="AG57" s="9"/>
      <c r="AH57" s="9"/>
      <c r="AJ57" s="15"/>
      <c r="AK57" s="9"/>
    </row>
    <row r="58" spans="4:43" x14ac:dyDescent="0.3">
      <c r="F58" s="11"/>
      <c r="G58" s="11"/>
      <c r="H58" s="11"/>
      <c r="I58" s="11"/>
      <c r="J58" s="10"/>
      <c r="K58" s="10"/>
      <c r="L58" s="19"/>
      <c r="R58" s="10"/>
      <c r="S58" s="10"/>
      <c r="T58" s="10"/>
      <c r="U58" s="10"/>
      <c r="V58" s="10"/>
      <c r="Y58" s="10"/>
      <c r="Z58" s="10"/>
      <c r="AB58" s="10"/>
      <c r="AE58" s="9"/>
      <c r="AF58" s="9"/>
      <c r="AG58" s="9"/>
      <c r="AH58" s="9"/>
      <c r="AJ58" s="15"/>
      <c r="AK58" s="9"/>
    </row>
    <row r="59" spans="4:43" x14ac:dyDescent="0.3">
      <c r="D59" s="11"/>
      <c r="E59" s="11"/>
      <c r="F59" s="11"/>
      <c r="G59" s="11"/>
      <c r="H59" s="11"/>
      <c r="I59" s="10"/>
      <c r="J59" s="20"/>
      <c r="K59" s="20"/>
      <c r="L59" s="9"/>
      <c r="R59" s="20"/>
      <c r="S59" s="20"/>
      <c r="T59" s="20"/>
      <c r="U59" s="20"/>
      <c r="V59" s="20"/>
      <c r="Y59" s="20"/>
      <c r="Z59" s="20"/>
      <c r="AB59" s="20"/>
      <c r="AE59" s="19"/>
      <c r="AF59" s="19"/>
      <c r="AG59" s="19"/>
      <c r="AH59" s="19"/>
      <c r="AJ59" s="9"/>
    </row>
    <row r="60" spans="4:43" x14ac:dyDescent="0.3">
      <c r="D60" s="11"/>
      <c r="E60" s="11"/>
      <c r="F60" s="11"/>
      <c r="G60" s="11"/>
      <c r="H60" s="11"/>
      <c r="I60" s="10"/>
      <c r="J60" s="20"/>
      <c r="K60" s="20"/>
      <c r="L60" s="9"/>
      <c r="R60" s="20"/>
      <c r="S60" s="20"/>
      <c r="T60" s="20"/>
      <c r="U60" s="20"/>
      <c r="V60" s="20"/>
      <c r="Y60" s="20"/>
      <c r="Z60" s="20"/>
      <c r="AB60" s="20"/>
      <c r="AE60" s="19"/>
      <c r="AF60" s="19"/>
      <c r="AG60" s="19"/>
      <c r="AH60" s="19"/>
      <c r="AJ60" s="9"/>
    </row>
    <row r="61" spans="4:43" x14ac:dyDescent="0.3">
      <c r="D61" s="11"/>
      <c r="E61" s="11"/>
      <c r="F61" s="11"/>
      <c r="G61" s="11"/>
      <c r="H61" s="11"/>
      <c r="I61" s="10"/>
      <c r="J61" s="20"/>
      <c r="K61" s="20"/>
      <c r="L61" s="9"/>
      <c r="R61" s="20"/>
      <c r="S61" s="20"/>
      <c r="T61" s="20"/>
      <c r="U61" s="20"/>
      <c r="V61" s="20"/>
      <c r="Y61" s="20"/>
      <c r="Z61" s="20"/>
      <c r="AB61" s="20"/>
      <c r="AE61" s="19"/>
      <c r="AF61" s="19"/>
      <c r="AG61" s="19"/>
      <c r="AH61" s="19"/>
      <c r="AJ61" s="9"/>
    </row>
    <row r="62" spans="4:43" x14ac:dyDescent="0.3">
      <c r="D62" s="11"/>
      <c r="E62" s="11"/>
      <c r="F62" s="11"/>
      <c r="G62" s="11"/>
      <c r="H62" s="11"/>
      <c r="I62" s="10"/>
      <c r="J62" s="20"/>
      <c r="K62" s="20"/>
      <c r="L62" s="9"/>
      <c r="R62" s="20"/>
      <c r="S62" s="20"/>
      <c r="T62" s="20"/>
      <c r="U62" s="20"/>
      <c r="V62" s="20"/>
      <c r="Y62" s="20"/>
      <c r="Z62" s="20"/>
      <c r="AB62" s="20"/>
      <c r="AE62" s="19"/>
      <c r="AF62" s="19"/>
      <c r="AG62" s="19"/>
      <c r="AH62" s="19"/>
      <c r="AJ62" s="9"/>
    </row>
    <row r="63" spans="4:43" x14ac:dyDescent="0.3">
      <c r="D63" s="11"/>
      <c r="E63" s="11"/>
      <c r="F63" s="11"/>
      <c r="G63" s="11"/>
      <c r="H63" s="11"/>
      <c r="I63" s="10"/>
      <c r="J63" s="20"/>
      <c r="K63" s="20"/>
      <c r="L63" s="9"/>
      <c r="R63" s="20"/>
      <c r="S63" s="20"/>
      <c r="T63" s="20"/>
      <c r="U63" s="20"/>
      <c r="V63" s="20"/>
      <c r="Y63" s="20"/>
      <c r="Z63" s="20"/>
      <c r="AB63" s="20"/>
      <c r="AE63" s="19"/>
      <c r="AF63" s="19"/>
      <c r="AG63" s="19"/>
      <c r="AH63" s="19"/>
      <c r="AJ63" s="9"/>
    </row>
    <row r="64" spans="4:43" x14ac:dyDescent="0.3">
      <c r="D64" s="11"/>
      <c r="E64" s="11"/>
      <c r="F64" s="11"/>
      <c r="G64" s="11"/>
      <c r="H64" s="11"/>
      <c r="I64" s="10"/>
      <c r="J64" s="10"/>
      <c r="K64" s="10"/>
      <c r="L64" s="9"/>
      <c r="R64" s="10"/>
      <c r="S64" s="10"/>
      <c r="T64" s="10"/>
      <c r="U64" s="10"/>
      <c r="V64" s="10"/>
      <c r="Y64" s="10"/>
      <c r="Z64" s="10"/>
      <c r="AB64" s="10"/>
      <c r="AE64" s="9"/>
      <c r="AF64" s="9"/>
      <c r="AG64" s="9"/>
      <c r="AH64" s="9"/>
      <c r="AJ64" s="9"/>
    </row>
    <row r="65" spans="4:36" x14ac:dyDescent="0.3">
      <c r="D65" s="11"/>
      <c r="E65" s="11"/>
      <c r="F65" s="11"/>
      <c r="G65" s="11"/>
      <c r="H65" s="11"/>
      <c r="I65" s="10"/>
      <c r="J65" s="10"/>
      <c r="K65" s="10"/>
      <c r="L65" s="9"/>
      <c r="R65" s="10"/>
      <c r="S65" s="10"/>
      <c r="T65" s="10"/>
      <c r="U65" s="10"/>
      <c r="V65" s="10"/>
      <c r="Y65" s="10"/>
      <c r="Z65" s="10"/>
      <c r="AB65" s="10"/>
      <c r="AE65" s="9"/>
      <c r="AF65" s="9"/>
      <c r="AG65" s="9"/>
      <c r="AH65" s="9"/>
      <c r="AJ65" s="9"/>
    </row>
    <row r="66" spans="4:36" x14ac:dyDescent="0.3">
      <c r="D66" s="11"/>
      <c r="E66" s="11"/>
      <c r="F66" s="11"/>
      <c r="G66" s="11"/>
      <c r="H66" s="11"/>
      <c r="I66" s="10"/>
      <c r="J66" s="10"/>
      <c r="K66" s="10"/>
      <c r="L66" s="9"/>
      <c r="R66" s="10"/>
      <c r="S66" s="10"/>
      <c r="T66" s="10"/>
      <c r="U66" s="10"/>
      <c r="V66" s="10"/>
      <c r="Y66" s="10"/>
      <c r="Z66" s="10"/>
      <c r="AB66" s="10"/>
      <c r="AE66" s="9"/>
      <c r="AF66" s="9"/>
      <c r="AG66" s="9"/>
      <c r="AH66" s="9"/>
      <c r="AJ66" s="9"/>
    </row>
    <row r="67" spans="4:36" x14ac:dyDescent="0.3">
      <c r="D67" s="11"/>
      <c r="E67" s="11"/>
      <c r="F67" s="11"/>
      <c r="G67" s="11"/>
      <c r="H67" s="11"/>
      <c r="I67" s="10"/>
      <c r="J67" s="10"/>
      <c r="K67" s="10"/>
      <c r="L67" s="9"/>
      <c r="R67" s="10"/>
      <c r="S67" s="10"/>
      <c r="T67" s="10"/>
      <c r="U67" s="10"/>
      <c r="V67" s="10"/>
      <c r="Y67" s="10"/>
      <c r="Z67" s="10"/>
      <c r="AB67" s="10"/>
      <c r="AE67" s="9"/>
      <c r="AF67" s="9"/>
      <c r="AG67" s="9"/>
      <c r="AH67" s="9"/>
      <c r="AJ67" s="9"/>
    </row>
    <row r="68" spans="4:36" x14ac:dyDescent="0.3">
      <c r="D68" s="11"/>
      <c r="E68" s="11"/>
      <c r="F68" s="11"/>
      <c r="G68" s="11"/>
      <c r="H68" s="11"/>
      <c r="I68" s="10"/>
      <c r="J68" s="10"/>
      <c r="K68" s="10"/>
      <c r="L68" s="9"/>
      <c r="R68" s="10"/>
      <c r="S68" s="10"/>
      <c r="T68" s="10"/>
      <c r="U68" s="10"/>
      <c r="V68" s="10"/>
      <c r="Y68" s="10"/>
      <c r="Z68" s="10"/>
      <c r="AB68" s="10"/>
      <c r="AE68" s="9"/>
      <c r="AF68" s="9"/>
      <c r="AG68" s="9"/>
      <c r="AH68" s="9"/>
      <c r="AJ68" s="9"/>
    </row>
    <row r="69" spans="4:36" x14ac:dyDescent="0.3">
      <c r="D69" s="11"/>
      <c r="E69" s="11"/>
      <c r="F69" s="11"/>
      <c r="G69" s="11"/>
      <c r="H69" s="11"/>
      <c r="I69" s="10"/>
      <c r="J69" s="10"/>
      <c r="K69" s="10"/>
      <c r="L69" s="9"/>
      <c r="R69" s="10"/>
      <c r="S69" s="10"/>
      <c r="T69" s="10"/>
      <c r="U69" s="10"/>
      <c r="V69" s="10"/>
      <c r="Y69" s="10"/>
      <c r="Z69" s="10"/>
      <c r="AB69" s="10"/>
      <c r="AE69" s="9"/>
      <c r="AF69" s="9"/>
      <c r="AG69" s="9"/>
      <c r="AH69" s="9"/>
      <c r="AJ69" s="9"/>
    </row>
    <row r="70" spans="4:36" x14ac:dyDescent="0.3">
      <c r="D70" s="11"/>
      <c r="E70" s="11"/>
      <c r="F70" s="11"/>
      <c r="G70" s="11"/>
      <c r="H70" s="11"/>
      <c r="I70" s="10"/>
      <c r="J70" s="10"/>
      <c r="K70" s="10"/>
      <c r="L70" s="9"/>
      <c r="R70" s="10"/>
      <c r="S70" s="10"/>
      <c r="T70" s="10"/>
      <c r="U70" s="10"/>
      <c r="V70" s="10"/>
      <c r="Y70" s="10"/>
      <c r="Z70" s="10"/>
      <c r="AB70" s="10"/>
      <c r="AE70" s="9"/>
      <c r="AF70" s="9"/>
      <c r="AG70" s="9"/>
      <c r="AH70" s="9"/>
      <c r="AJ70" s="9"/>
    </row>
    <row r="71" spans="4:36" x14ac:dyDescent="0.3">
      <c r="D71" s="11"/>
      <c r="E71" s="11"/>
      <c r="F71" s="11"/>
      <c r="G71" s="11"/>
      <c r="H71" s="11"/>
      <c r="I71" s="10"/>
      <c r="J71" s="10"/>
      <c r="K71" s="10"/>
      <c r="L71" s="9"/>
      <c r="R71" s="10"/>
      <c r="S71" s="10"/>
      <c r="T71" s="10"/>
      <c r="U71" s="10"/>
      <c r="V71" s="10"/>
      <c r="Y71" s="10"/>
      <c r="Z71" s="10"/>
      <c r="AB71" s="10"/>
      <c r="AE71" s="9"/>
      <c r="AF71" s="9"/>
      <c r="AG71" s="9"/>
      <c r="AH71" s="9"/>
      <c r="AJ71" s="9"/>
    </row>
    <row r="72" spans="4:36" x14ac:dyDescent="0.3">
      <c r="D72" s="11"/>
      <c r="E72" s="11"/>
      <c r="F72" s="11"/>
      <c r="G72" s="11"/>
      <c r="H72" s="11"/>
      <c r="I72" s="10"/>
      <c r="J72" s="10"/>
      <c r="K72" s="10"/>
      <c r="L72" s="9"/>
      <c r="R72" s="10"/>
      <c r="S72" s="10"/>
      <c r="T72" s="10"/>
      <c r="U72" s="10"/>
      <c r="V72" s="10"/>
      <c r="Y72" s="10"/>
      <c r="Z72" s="10"/>
      <c r="AB72" s="10"/>
      <c r="AE72" s="9"/>
      <c r="AF72" s="9"/>
      <c r="AG72" s="9"/>
      <c r="AH72" s="9"/>
      <c r="AJ72" s="9"/>
    </row>
    <row r="73" spans="4:36" x14ac:dyDescent="0.3">
      <c r="D73" s="11"/>
      <c r="E73" s="11"/>
      <c r="F73" s="11"/>
      <c r="G73" s="11"/>
      <c r="H73" s="11"/>
      <c r="I73" s="10"/>
      <c r="J73" s="10"/>
      <c r="K73" s="10"/>
      <c r="L73" s="9"/>
      <c r="R73" s="10"/>
      <c r="S73" s="10"/>
      <c r="T73" s="10"/>
      <c r="U73" s="10"/>
      <c r="V73" s="10"/>
      <c r="Y73" s="10"/>
      <c r="Z73" s="10"/>
      <c r="AB73" s="10"/>
      <c r="AE73" s="9"/>
      <c r="AF73" s="9"/>
      <c r="AG73" s="9"/>
      <c r="AH73" s="9"/>
      <c r="AJ73" s="9"/>
    </row>
    <row r="74" spans="4:36" x14ac:dyDescent="0.3">
      <c r="D74" s="11"/>
      <c r="E74" s="11"/>
      <c r="F74" s="11"/>
      <c r="G74" s="11"/>
      <c r="H74" s="11"/>
      <c r="I74" s="10"/>
      <c r="J74" s="10"/>
      <c r="K74" s="10"/>
      <c r="L74" s="9"/>
      <c r="R74" s="10"/>
      <c r="S74" s="10"/>
      <c r="T74" s="10"/>
      <c r="U74" s="10"/>
      <c r="V74" s="10"/>
      <c r="Y74" s="10"/>
      <c r="Z74" s="10"/>
      <c r="AB74" s="10"/>
      <c r="AE74" s="9"/>
      <c r="AF74" s="9"/>
      <c r="AG74" s="9"/>
      <c r="AH74" s="9"/>
      <c r="AJ74" s="9"/>
    </row>
    <row r="75" spans="4:36" x14ac:dyDescent="0.3">
      <c r="D75" s="11"/>
      <c r="E75" s="11"/>
      <c r="F75" s="11"/>
      <c r="G75" s="11"/>
      <c r="H75" s="11"/>
      <c r="I75" s="10"/>
      <c r="J75" s="10"/>
      <c r="K75" s="10"/>
      <c r="L75" s="9"/>
      <c r="R75" s="10"/>
      <c r="S75" s="10"/>
      <c r="T75" s="10"/>
      <c r="U75" s="10"/>
      <c r="V75" s="10"/>
      <c r="Y75" s="10"/>
      <c r="Z75" s="10"/>
      <c r="AB75" s="10"/>
      <c r="AE75" s="9"/>
      <c r="AF75" s="9"/>
      <c r="AG75" s="9"/>
      <c r="AH75" s="9"/>
      <c r="AJ75" s="9"/>
    </row>
    <row r="76" spans="4:36" x14ac:dyDescent="0.3">
      <c r="D76" s="11"/>
      <c r="E76" s="11"/>
      <c r="F76" s="11"/>
      <c r="G76" s="11"/>
      <c r="H76" s="11"/>
      <c r="I76" s="10"/>
      <c r="J76" s="10"/>
      <c r="K76" s="10"/>
      <c r="L76" s="9"/>
      <c r="R76" s="10"/>
      <c r="S76" s="10"/>
      <c r="T76" s="10"/>
      <c r="U76" s="10"/>
      <c r="V76" s="10"/>
      <c r="Y76" s="10"/>
      <c r="Z76" s="10"/>
      <c r="AB76" s="10"/>
      <c r="AE76" s="9"/>
      <c r="AF76" s="9"/>
      <c r="AG76" s="9"/>
      <c r="AH76" s="9"/>
      <c r="AJ76" s="9"/>
    </row>
    <row r="77" spans="4:36" x14ac:dyDescent="0.3">
      <c r="D77" s="11"/>
      <c r="E77" s="11"/>
      <c r="F77" s="11"/>
      <c r="G77" s="11"/>
      <c r="H77" s="11"/>
      <c r="I77" s="10"/>
      <c r="J77" s="10"/>
      <c r="K77" s="10"/>
      <c r="L77" s="9"/>
      <c r="R77" s="10"/>
      <c r="S77" s="10"/>
      <c r="T77" s="10"/>
      <c r="U77" s="10"/>
      <c r="V77" s="10"/>
      <c r="Y77" s="10"/>
      <c r="Z77" s="10"/>
      <c r="AB77" s="10"/>
      <c r="AE77" s="9"/>
      <c r="AF77" s="9"/>
      <c r="AG77" s="9"/>
      <c r="AH77" s="9"/>
      <c r="AJ77" s="9"/>
    </row>
    <row r="78" spans="4:36" x14ac:dyDescent="0.3">
      <c r="D78" s="11"/>
      <c r="E78" s="11"/>
      <c r="F78" s="11"/>
      <c r="G78" s="11"/>
      <c r="H78" s="11"/>
      <c r="I78" s="10"/>
      <c r="J78" s="10"/>
      <c r="K78" s="10"/>
      <c r="L78" s="9"/>
      <c r="R78" s="10"/>
      <c r="S78" s="10"/>
      <c r="T78" s="10"/>
      <c r="U78" s="10"/>
      <c r="V78" s="10"/>
      <c r="Y78" s="10"/>
      <c r="Z78" s="10"/>
      <c r="AB78" s="10"/>
      <c r="AE78" s="9"/>
      <c r="AF78" s="9"/>
      <c r="AG78" s="9"/>
      <c r="AH78" s="9"/>
      <c r="AJ78" s="9"/>
    </row>
    <row r="80" spans="4:36"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D89"/>
  <sheetViews>
    <sheetView topLeftCell="Q3" zoomScale="87" workbookViewId="0">
      <selection activeCell="AB17" sqref="AB17"/>
    </sheetView>
  </sheetViews>
  <sheetFormatPr baseColWidth="10" defaultRowHeight="16" x14ac:dyDescent="0.2"/>
  <cols>
    <col min="2" max="2" width="14" customWidth="1"/>
    <col min="3" max="3" width="15.5" customWidth="1"/>
    <col min="4" max="4" width="51.1640625" bestFit="1" customWidth="1"/>
    <col min="5" max="5" width="11.1640625" bestFit="1" customWidth="1"/>
    <col min="6" max="6" width="30" bestFit="1" customWidth="1"/>
    <col min="7" max="7" width="26.6640625" customWidth="1"/>
    <col min="8" max="8" width="17" bestFit="1" customWidth="1"/>
    <col min="9" max="9" width="21.83203125" bestFit="1" customWidth="1"/>
    <col min="10" max="10" width="26.6640625" customWidth="1"/>
    <col min="11" max="11" width="21" bestFit="1" customWidth="1"/>
    <col min="12" max="12" width="22" bestFit="1" customWidth="1"/>
    <col min="13" max="17" width="18.5" customWidth="1"/>
    <col min="18" max="18" width="15.33203125" customWidth="1"/>
    <col min="19" max="24" width="17.6640625" customWidth="1"/>
    <col min="26" max="26" width="11.5" bestFit="1" customWidth="1"/>
    <col min="27" max="29" width="11" bestFit="1" customWidth="1"/>
    <col min="40" max="40" width="22.83203125" customWidth="1"/>
    <col min="42" max="42" width="23.1640625" bestFit="1" customWidth="1"/>
  </cols>
  <sheetData>
    <row r="1" spans="2:30" ht="26" x14ac:dyDescent="0.35">
      <c r="B1" s="79"/>
      <c r="C1" s="79"/>
      <c r="D1" s="77"/>
      <c r="E1" s="79"/>
      <c r="F1" s="79"/>
      <c r="G1" s="98"/>
      <c r="H1" s="98"/>
      <c r="I1" s="98"/>
      <c r="J1" s="96"/>
      <c r="K1" s="98"/>
      <c r="L1" s="98"/>
      <c r="M1" s="98"/>
      <c r="N1" s="98"/>
      <c r="O1" s="98"/>
      <c r="P1" s="98"/>
      <c r="Q1" s="98"/>
      <c r="R1" s="116"/>
    </row>
    <row r="2" spans="2:30" ht="22" x14ac:dyDescent="0.25">
      <c r="D2" s="62"/>
      <c r="H2" s="2"/>
    </row>
    <row r="3" spans="2:30" ht="30" thickBot="1" x14ac:dyDescent="0.4">
      <c r="D3" s="62"/>
      <c r="G3" s="63"/>
      <c r="H3" s="92"/>
      <c r="I3" s="96"/>
      <c r="J3" s="94"/>
      <c r="R3" s="36"/>
    </row>
    <row r="4" spans="2:30" ht="25" thickBot="1" x14ac:dyDescent="0.35">
      <c r="D4" s="62"/>
      <c r="H4" s="2"/>
      <c r="S4" s="91"/>
      <c r="T4" s="297"/>
      <c r="U4" s="299" t="s">
        <v>4073</v>
      </c>
      <c r="V4" s="297"/>
      <c r="W4" s="297"/>
      <c r="X4" s="298"/>
      <c r="Z4" s="308"/>
      <c r="AA4" s="309"/>
      <c r="AB4" s="309" t="s">
        <v>3935</v>
      </c>
      <c r="AC4" s="309"/>
      <c r="AD4" s="310"/>
    </row>
    <row r="5" spans="2:30" ht="24" x14ac:dyDescent="0.3">
      <c r="B5" s="212" t="s">
        <v>4007</v>
      </c>
      <c r="C5" s="212" t="s">
        <v>4008</v>
      </c>
      <c r="D5" s="292" t="s">
        <v>25</v>
      </c>
      <c r="E5" s="292" t="s">
        <v>3952</v>
      </c>
      <c r="F5" s="292" t="s">
        <v>3998</v>
      </c>
      <c r="G5" s="86" t="s">
        <v>3942</v>
      </c>
      <c r="H5" s="86" t="s">
        <v>3943</v>
      </c>
      <c r="I5" s="86" t="s">
        <v>3953</v>
      </c>
      <c r="J5" s="86" t="s">
        <v>3929</v>
      </c>
      <c r="K5" s="292" t="s">
        <v>4000</v>
      </c>
      <c r="L5" s="292" t="s">
        <v>4001</v>
      </c>
      <c r="M5" s="125" t="s">
        <v>3955</v>
      </c>
      <c r="N5" s="125" t="s">
        <v>4002</v>
      </c>
      <c r="O5" s="125" t="s">
        <v>4072</v>
      </c>
      <c r="P5" s="125" t="s">
        <v>4003</v>
      </c>
      <c r="Q5" s="125" t="s">
        <v>4004</v>
      </c>
      <c r="R5" s="293" t="s">
        <v>4005</v>
      </c>
      <c r="S5" s="295" t="s">
        <v>4043</v>
      </c>
      <c r="T5" s="295" t="s">
        <v>4045</v>
      </c>
      <c r="U5" s="295" t="s">
        <v>4046</v>
      </c>
      <c r="V5" s="295" t="s">
        <v>4069</v>
      </c>
      <c r="W5" s="295" t="s">
        <v>4048</v>
      </c>
      <c r="X5" s="295" t="s">
        <v>4068</v>
      </c>
      <c r="Y5" t="s">
        <v>19</v>
      </c>
      <c r="Z5" s="306" t="s">
        <v>4041</v>
      </c>
      <c r="AA5" s="306" t="s">
        <v>4042</v>
      </c>
      <c r="AB5" s="306" t="s">
        <v>4083</v>
      </c>
      <c r="AC5" s="306" t="s">
        <v>4074</v>
      </c>
      <c r="AD5" s="306" t="s">
        <v>4044</v>
      </c>
    </row>
    <row r="6" spans="2:30" ht="28" x14ac:dyDescent="0.35">
      <c r="B6" s="106">
        <v>1.9650245875745878</v>
      </c>
      <c r="C6" s="106">
        <v>1</v>
      </c>
      <c r="D6" s="99" t="s">
        <v>1391</v>
      </c>
      <c r="E6" s="106">
        <v>2</v>
      </c>
      <c r="F6" s="285">
        <v>0.95930300000000002</v>
      </c>
      <c r="G6" s="254">
        <v>0.945411</v>
      </c>
      <c r="H6" s="286">
        <v>0.71632700000000005</v>
      </c>
      <c r="I6" s="250">
        <v>0.81052778007940951</v>
      </c>
      <c r="J6" s="287">
        <v>22.697265999999999</v>
      </c>
      <c r="K6" s="300">
        <v>1.1100000000000001</v>
      </c>
      <c r="L6" s="254">
        <v>2.37</v>
      </c>
      <c r="M6" s="302">
        <f>Table9[[#This Row],[G2AIMD-OOM-Fixed]]/Table9[[#This Row],[gpu-layered]]</f>
        <v>1.3391970426913964</v>
      </c>
      <c r="N6" s="302">
        <f>Table9[[#This Row],[gpu-layered]]/Table9[[#This Row],[CPU+GPU (1)]]</f>
        <v>0.64533963963963958</v>
      </c>
      <c r="O6" s="302">
        <f>IFERROR(Table9[[#This Row],[CPU Only]]/Table9[[#This Row],[gpu-layered]], "—")</f>
        <v>31.685621231644205</v>
      </c>
      <c r="P6" s="288">
        <v>125.99302299999999</v>
      </c>
      <c r="Q6" s="288">
        <v>11.062585</v>
      </c>
      <c r="R6" s="289" t="s">
        <v>3904</v>
      </c>
      <c r="S6" s="252">
        <v>2.14</v>
      </c>
      <c r="T6" s="252">
        <v>2.2200000000000002</v>
      </c>
      <c r="U6" s="252">
        <v>2.1800000000000002</v>
      </c>
      <c r="V6" s="300">
        <v>1.1100000000000001</v>
      </c>
      <c r="W6" s="300">
        <v>1.18</v>
      </c>
      <c r="X6" s="253">
        <v>1.06</v>
      </c>
      <c r="Y6" s="62"/>
      <c r="Z6" s="103">
        <v>1.1100000000000001</v>
      </c>
      <c r="AA6" s="252">
        <v>2.77</v>
      </c>
      <c r="AB6" s="252">
        <v>7.19</v>
      </c>
      <c r="AC6" s="252">
        <v>6.81</v>
      </c>
      <c r="AD6" s="252">
        <v>15.69</v>
      </c>
    </row>
    <row r="7" spans="2:30" ht="28" x14ac:dyDescent="0.35">
      <c r="B7" s="106">
        <v>1.9650245875745878</v>
      </c>
      <c r="C7" s="106">
        <v>1</v>
      </c>
      <c r="D7" s="99" t="s">
        <v>1391</v>
      </c>
      <c r="E7" s="106">
        <v>5</v>
      </c>
      <c r="F7" s="285">
        <v>3.9744980000000001</v>
      </c>
      <c r="G7" s="254">
        <v>4.0379949999999996</v>
      </c>
      <c r="H7" s="253">
        <v>3.6418330000000001</v>
      </c>
      <c r="I7" s="254">
        <v>3.7088738261185603</v>
      </c>
      <c r="J7" s="287" t="s">
        <v>3949</v>
      </c>
      <c r="K7" s="300">
        <v>4.37</v>
      </c>
      <c r="L7" s="253">
        <v>4.4549209999999997</v>
      </c>
      <c r="M7" s="302">
        <f>Table9[[#This Row],[G2AIMD-OOM-Fixed]]/Table9[[#This Row],[gpu-layered]]</f>
        <v>1.0913454845403401</v>
      </c>
      <c r="N7" s="302">
        <f>Table9[[#This Row],[gpu-layered]]/Table9[[#This Row],[CPU+GPU (1)]]</f>
        <v>0.83337139588100684</v>
      </c>
      <c r="O7" s="302" t="str">
        <f>IFERROR(Table9[[#This Row],[CPU Only]]/Table9[[#This Row],[gpu-layered]], "—")</f>
        <v>—</v>
      </c>
      <c r="P7" s="254" t="s">
        <v>3949</v>
      </c>
      <c r="Q7" s="254">
        <v>52.561739000000003</v>
      </c>
      <c r="R7" s="290" t="s">
        <v>3904</v>
      </c>
      <c r="S7" s="103">
        <v>4.04</v>
      </c>
      <c r="T7" s="252">
        <v>5.4</v>
      </c>
      <c r="U7" s="252">
        <v>5.61</v>
      </c>
      <c r="V7" s="300">
        <v>4.37</v>
      </c>
      <c r="W7" s="300">
        <v>5.6110000000000007</v>
      </c>
      <c r="X7" s="296">
        <v>4.4833990000000004</v>
      </c>
      <c r="Y7" s="62"/>
      <c r="Z7" s="103">
        <v>4.37</v>
      </c>
      <c r="AA7" s="252">
        <v>5.39</v>
      </c>
      <c r="AB7" s="252">
        <v>8.69</v>
      </c>
      <c r="AC7" s="252">
        <v>15.68</v>
      </c>
      <c r="AD7" s="252">
        <v>21.86</v>
      </c>
    </row>
    <row r="8" spans="2:30" ht="28" x14ac:dyDescent="0.35">
      <c r="B8" s="106">
        <v>1.9650245875745878</v>
      </c>
      <c r="C8" s="106">
        <v>1</v>
      </c>
      <c r="D8" s="99" t="s">
        <v>1391</v>
      </c>
      <c r="E8" s="106">
        <v>7</v>
      </c>
      <c r="F8" s="285">
        <v>10.215752</v>
      </c>
      <c r="G8" s="254">
        <v>10.396264</v>
      </c>
      <c r="H8" s="253">
        <v>9.6017799999999998</v>
      </c>
      <c r="I8" s="254">
        <v>10.614105</v>
      </c>
      <c r="J8" s="287" t="s">
        <v>3949</v>
      </c>
      <c r="K8" s="300">
        <v>10.76</v>
      </c>
      <c r="L8" s="254">
        <v>10.692327000000001</v>
      </c>
      <c r="M8" s="302">
        <f>Table9[[#This Row],[G2AIMD-OOM-Fixed]]/Table9[[#This Row],[gpu-layered]]</f>
        <v>1.0639435604648306</v>
      </c>
      <c r="N8" s="302">
        <f>Table9[[#This Row],[gpu-layered]]/Table9[[#This Row],[CPU+GPU (1)]]</f>
        <v>0.89235873605947957</v>
      </c>
      <c r="O8" s="302" t="str">
        <f>IFERROR(Table9[[#This Row],[CPU Only]]/Table9[[#This Row],[gpu-layered]], "—")</f>
        <v>—</v>
      </c>
      <c r="P8" s="254" t="s">
        <v>3949</v>
      </c>
      <c r="Q8" s="254" t="s">
        <v>3904</v>
      </c>
      <c r="R8" s="290" t="s">
        <v>3904</v>
      </c>
      <c r="S8" s="103">
        <v>10.4</v>
      </c>
      <c r="T8" s="252">
        <v>10.55</v>
      </c>
      <c r="U8" s="252">
        <v>10.92</v>
      </c>
      <c r="V8" s="300">
        <v>10.76</v>
      </c>
      <c r="W8" s="300">
        <v>10.92</v>
      </c>
      <c r="X8" s="296">
        <v>10.400954</v>
      </c>
      <c r="Y8" s="62"/>
      <c r="Z8" s="252">
        <v>10.76</v>
      </c>
      <c r="AA8" s="252">
        <v>11.17</v>
      </c>
      <c r="AB8" s="103">
        <v>11.31</v>
      </c>
      <c r="AC8" s="252">
        <v>20.69</v>
      </c>
      <c r="AD8" s="252">
        <v>34.94</v>
      </c>
    </row>
    <row r="9" spans="2:30" ht="28" x14ac:dyDescent="0.35">
      <c r="B9" s="106">
        <v>1.9650245875745878</v>
      </c>
      <c r="C9" s="106">
        <v>1</v>
      </c>
      <c r="D9" s="99" t="s">
        <v>1391</v>
      </c>
      <c r="E9" s="106">
        <v>8</v>
      </c>
      <c r="F9" s="285">
        <v>27.740880000000001</v>
      </c>
      <c r="G9" s="254">
        <v>25.507850000000001</v>
      </c>
      <c r="H9" s="291">
        <v>17.493758</v>
      </c>
      <c r="I9" s="254">
        <v>22.04</v>
      </c>
      <c r="J9" s="287" t="s">
        <v>3949</v>
      </c>
      <c r="K9" s="300">
        <v>19.3</v>
      </c>
      <c r="L9" s="254">
        <v>18.788529</v>
      </c>
      <c r="M9" s="302">
        <f>Table9[[#This Row],[G2AIMD-OOM-Fixed]]/Table9[[#This Row],[gpu-layered]]</f>
        <v>1.5857587603532644</v>
      </c>
      <c r="N9" s="302">
        <f>Table9[[#This Row],[gpu-layered]]/Table9[[#This Row],[CPU+GPU (1)]]</f>
        <v>0.90641233160621759</v>
      </c>
      <c r="O9" s="302" t="str">
        <f>IFERROR(Table9[[#This Row],[CPU Only]]/Table9[[#This Row],[gpu-layered]], "—")</f>
        <v>—</v>
      </c>
      <c r="P9" s="254" t="s">
        <v>3949</v>
      </c>
      <c r="Q9" s="254" t="s">
        <v>3904</v>
      </c>
      <c r="R9" s="290" t="s">
        <v>3904</v>
      </c>
      <c r="S9" s="252">
        <v>20.81</v>
      </c>
      <c r="T9" s="252">
        <v>19.329999999999998</v>
      </c>
      <c r="U9" s="252">
        <v>19.97</v>
      </c>
      <c r="V9" s="300">
        <v>19.3</v>
      </c>
      <c r="W9" s="300">
        <v>19.97</v>
      </c>
      <c r="X9" s="253">
        <v>18.383203999999999</v>
      </c>
      <c r="Y9" s="62"/>
      <c r="Z9" s="103">
        <v>19.3</v>
      </c>
      <c r="AA9" s="252">
        <v>21.18</v>
      </c>
      <c r="AB9" s="252">
        <v>86.9</v>
      </c>
      <c r="AC9" s="252">
        <v>22.22</v>
      </c>
      <c r="AD9" s="252">
        <v>67.73</v>
      </c>
    </row>
    <row r="10" spans="2:30" ht="28" x14ac:dyDescent="0.35">
      <c r="B10" s="106">
        <v>1.9650245875745878</v>
      </c>
      <c r="C10" s="106">
        <v>1</v>
      </c>
      <c r="D10" s="99" t="s">
        <v>1391</v>
      </c>
      <c r="E10" s="106">
        <v>9</v>
      </c>
      <c r="F10" s="285">
        <v>0.67594900000000002</v>
      </c>
      <c r="G10" s="254">
        <v>0.66382099999999999</v>
      </c>
      <c r="H10" s="253">
        <v>0.43043199999999998</v>
      </c>
      <c r="I10" s="254">
        <v>0.48676392664557155</v>
      </c>
      <c r="J10" s="287">
        <v>513.04049199999997</v>
      </c>
      <c r="K10" s="300">
        <v>2.42</v>
      </c>
      <c r="L10" s="254">
        <v>0.433226</v>
      </c>
      <c r="M10" s="302">
        <f>Table9[[#This Row],[G2AIMD-OOM-Fixed]]/Table9[[#This Row],[gpu-layered]]</f>
        <v>1.5703967177161551</v>
      </c>
      <c r="N10" s="302">
        <f>Table9[[#This Row],[gpu-layered]]/Table9[[#This Row],[CPU+GPU (1)]]</f>
        <v>0.17786446280991736</v>
      </c>
      <c r="O10" s="302">
        <f>IFERROR(Table9[[#This Row],[CPU Only]]/Table9[[#This Row],[gpu-layered]], "—")</f>
        <v>1191.9199594825664</v>
      </c>
      <c r="P10" s="254">
        <v>21.219656000000001</v>
      </c>
      <c r="Q10" s="254" t="s">
        <v>3949</v>
      </c>
      <c r="R10" s="290" t="s">
        <v>3904</v>
      </c>
      <c r="S10" s="252">
        <v>2.4900000000000002</v>
      </c>
      <c r="T10" s="252">
        <v>2.5299999999999998</v>
      </c>
      <c r="U10" s="252">
        <v>2.46</v>
      </c>
      <c r="V10" s="300">
        <v>2.42</v>
      </c>
      <c r="W10" s="300">
        <v>2.4609999999999999</v>
      </c>
      <c r="X10" s="253">
        <v>0.43828400000000001</v>
      </c>
      <c r="Y10" s="62"/>
      <c r="Z10" s="103">
        <v>2.42</v>
      </c>
      <c r="AA10" s="252">
        <v>4.26</v>
      </c>
      <c r="AB10" s="252">
        <v>10.210000000000001</v>
      </c>
      <c r="AC10" s="252">
        <v>14.54</v>
      </c>
      <c r="AD10" s="252">
        <v>7.6</v>
      </c>
    </row>
    <row r="11" spans="2:30" ht="28" x14ac:dyDescent="0.35">
      <c r="B11" s="106">
        <v>1.5585925673514063</v>
      </c>
      <c r="C11" s="106">
        <v>2</v>
      </c>
      <c r="D11" s="99" t="s">
        <v>6</v>
      </c>
      <c r="E11" s="106">
        <v>2</v>
      </c>
      <c r="F11" s="285">
        <v>3.1360899999999998</v>
      </c>
      <c r="G11" s="254">
        <v>3.1782780000000002</v>
      </c>
      <c r="H11" s="286">
        <v>3.012359</v>
      </c>
      <c r="I11" s="250">
        <v>3.0907948064231339</v>
      </c>
      <c r="J11" s="287">
        <v>165.95991699999999</v>
      </c>
      <c r="K11" s="300">
        <v>4.0999999999999996</v>
      </c>
      <c r="L11" s="254">
        <v>6.44</v>
      </c>
      <c r="M11" s="302">
        <f>Table9[[#This Row],[G2AIMD-OOM-Fixed]]/Table9[[#This Row],[gpu-layered]]</f>
        <v>1.0410744536092809</v>
      </c>
      <c r="N11" s="302">
        <f>Table9[[#This Row],[gpu-layered]]/Table9[[#This Row],[CPU+GPU (1)]]</f>
        <v>0.7347217073170732</v>
      </c>
      <c r="O11" s="302">
        <f>IFERROR(Table9[[#This Row],[CPU Only]]/Table9[[#This Row],[gpu-layered]], "—")</f>
        <v>55.093007506741394</v>
      </c>
      <c r="P11" s="288">
        <v>106.15593699999999</v>
      </c>
      <c r="Q11" s="288" t="s">
        <v>3904</v>
      </c>
      <c r="R11" s="289" t="s">
        <v>3904</v>
      </c>
      <c r="S11" s="252">
        <v>3.88</v>
      </c>
      <c r="T11" s="252">
        <v>8.9766370000000002</v>
      </c>
      <c r="U11" s="252">
        <v>4.53</v>
      </c>
      <c r="V11" s="300">
        <v>4.0999999999999996</v>
      </c>
      <c r="W11" s="300">
        <v>4.5310000000000006</v>
      </c>
      <c r="X11" s="253">
        <v>3.58</v>
      </c>
      <c r="Y11" s="62"/>
      <c r="Z11" s="103">
        <v>4.0999999999999996</v>
      </c>
      <c r="AA11" s="252">
        <v>7.65</v>
      </c>
      <c r="AB11" s="252">
        <v>15.02</v>
      </c>
      <c r="AC11" s="252">
        <v>18.27</v>
      </c>
      <c r="AD11" s="252">
        <v>29.44</v>
      </c>
    </row>
    <row r="12" spans="2:30" ht="28" x14ac:dyDescent="0.35">
      <c r="B12" s="106">
        <v>1.5585925673514063</v>
      </c>
      <c r="C12" s="106">
        <v>2</v>
      </c>
      <c r="D12" s="99" t="s">
        <v>6</v>
      </c>
      <c r="E12" s="106">
        <v>5</v>
      </c>
      <c r="F12" s="285">
        <v>60.292859999999997</v>
      </c>
      <c r="G12" s="254">
        <v>61.295980999999998</v>
      </c>
      <c r="H12" s="286">
        <v>51.250411</v>
      </c>
      <c r="I12" s="250">
        <v>67.69</v>
      </c>
      <c r="J12" s="287" t="s">
        <v>3949</v>
      </c>
      <c r="K12" s="300">
        <v>52.66</v>
      </c>
      <c r="L12" s="254">
        <v>55.89</v>
      </c>
      <c r="M12" s="302">
        <f>Table9[[#This Row],[G2AIMD-OOM-Fixed]]/Table9[[#This Row],[gpu-layered]]</f>
        <v>1.1764366143327123</v>
      </c>
      <c r="N12" s="302">
        <f>Table9[[#This Row],[gpu-layered]]/Table9[[#This Row],[CPU+GPU (1)]]</f>
        <v>0.97323226357766812</v>
      </c>
      <c r="O12" s="302" t="str">
        <f>IFERROR(Table9[[#This Row],[CPU Only]]/Table9[[#This Row],[gpu-layered]], "—")</f>
        <v>—</v>
      </c>
      <c r="P12" s="288" t="s">
        <v>3949</v>
      </c>
      <c r="Q12" s="288" t="s">
        <v>3949</v>
      </c>
      <c r="R12" s="289" t="s">
        <v>3949</v>
      </c>
      <c r="S12" s="252">
        <v>52.27</v>
      </c>
      <c r="T12" s="252">
        <v>52.59</v>
      </c>
      <c r="U12" s="252">
        <v>52.28</v>
      </c>
      <c r="V12" s="300">
        <v>52.66</v>
      </c>
      <c r="W12" s="300">
        <v>52.279000000000003</v>
      </c>
      <c r="X12" s="253">
        <v>51.49</v>
      </c>
      <c r="Y12" s="62"/>
      <c r="Z12" s="103">
        <v>52.66</v>
      </c>
      <c r="AA12" s="252">
        <v>54.48</v>
      </c>
      <c r="AB12" s="252">
        <v>58.33</v>
      </c>
      <c r="AC12" s="252">
        <v>63.66</v>
      </c>
      <c r="AD12" s="252">
        <v>66.25</v>
      </c>
    </row>
    <row r="13" spans="2:30" ht="28" x14ac:dyDescent="0.35">
      <c r="B13" s="106">
        <v>1.5585925673514063</v>
      </c>
      <c r="C13" s="106">
        <v>2</v>
      </c>
      <c r="D13" s="99" t="s">
        <v>6</v>
      </c>
      <c r="E13" s="106">
        <v>7</v>
      </c>
      <c r="F13" s="285">
        <v>183.11649399999999</v>
      </c>
      <c r="G13" s="254">
        <v>183.39352299999999</v>
      </c>
      <c r="H13" s="286">
        <v>166.99404799999999</v>
      </c>
      <c r="I13" s="250">
        <v>185.81</v>
      </c>
      <c r="J13" s="287" t="s">
        <v>3949</v>
      </c>
      <c r="K13" s="300">
        <v>168.25</v>
      </c>
      <c r="L13" s="254">
        <v>175.75</v>
      </c>
      <c r="M13" s="302">
        <f>Table9[[#This Row],[G2AIMD-OOM-Fixed]]/Table9[[#This Row],[gpu-layered]]</f>
        <v>1.0965450337487477</v>
      </c>
      <c r="N13" s="302">
        <f>Table9[[#This Row],[gpu-layered]]/Table9[[#This Row],[CPU+GPU (1)]]</f>
        <v>0.99253520356612179</v>
      </c>
      <c r="O13" s="302" t="str">
        <f>IFERROR(Table9[[#This Row],[CPU Only]]/Table9[[#This Row],[gpu-layered]], "—")</f>
        <v>—</v>
      </c>
      <c r="P13" s="288" t="s">
        <v>3949</v>
      </c>
      <c r="Q13" s="288" t="s">
        <v>3949</v>
      </c>
      <c r="R13" s="289" t="s">
        <v>3904</v>
      </c>
      <c r="S13" s="103">
        <v>167.99</v>
      </c>
      <c r="T13" s="252">
        <v>168.69</v>
      </c>
      <c r="U13" s="252">
        <v>168.9</v>
      </c>
      <c r="V13" s="300">
        <v>168.25</v>
      </c>
      <c r="W13" s="300">
        <v>168.90100000000001</v>
      </c>
      <c r="X13" s="296">
        <v>169.26</v>
      </c>
      <c r="Y13" s="62"/>
      <c r="Z13" s="103">
        <v>168.25</v>
      </c>
      <c r="AA13" s="252">
        <v>173.86</v>
      </c>
      <c r="AB13" s="252">
        <v>181.19</v>
      </c>
      <c r="AC13" s="252">
        <v>184.57</v>
      </c>
      <c r="AD13" s="252">
        <v>187.42</v>
      </c>
    </row>
    <row r="14" spans="2:30" ht="28" x14ac:dyDescent="0.35">
      <c r="B14" s="106">
        <v>1.5585925673514063</v>
      </c>
      <c r="C14" s="106">
        <v>2</v>
      </c>
      <c r="D14" s="99" t="s">
        <v>6</v>
      </c>
      <c r="E14" s="106">
        <v>8</v>
      </c>
      <c r="F14" s="285">
        <v>199.14040499999999</v>
      </c>
      <c r="G14" s="254">
        <v>193.581177</v>
      </c>
      <c r="H14" s="286">
        <v>171.486345</v>
      </c>
      <c r="I14" s="250">
        <v>219.42</v>
      </c>
      <c r="J14" s="287" t="s">
        <v>3949</v>
      </c>
      <c r="K14" s="300">
        <v>171.47</v>
      </c>
      <c r="L14" s="254">
        <v>178.66</v>
      </c>
      <c r="M14" s="302">
        <f>Table9[[#This Row],[G2AIMD-OOM-Fixed]]/Table9[[#This Row],[gpu-layered]]</f>
        <v>1.1612610030262176</v>
      </c>
      <c r="N14" s="302">
        <f>Table9[[#This Row],[gpu-layered]]/Table9[[#This Row],[CPU+GPU (1)]]</f>
        <v>1.0000953227969906</v>
      </c>
      <c r="O14" s="302" t="str">
        <f>IFERROR(Table9[[#This Row],[CPU Only]]/Table9[[#This Row],[gpu-layered]], "—")</f>
        <v>—</v>
      </c>
      <c r="P14" s="288" t="s">
        <v>3949</v>
      </c>
      <c r="Q14" s="288" t="s">
        <v>3949</v>
      </c>
      <c r="R14" s="289" t="s">
        <v>3904</v>
      </c>
      <c r="S14" s="252">
        <v>171.11</v>
      </c>
      <c r="T14" s="252">
        <v>171.38</v>
      </c>
      <c r="U14" s="252">
        <v>170.75</v>
      </c>
      <c r="V14" s="300">
        <v>171.47</v>
      </c>
      <c r="W14" s="301">
        <v>170.749</v>
      </c>
      <c r="X14" s="296">
        <v>171.52</v>
      </c>
      <c r="Y14" s="62"/>
      <c r="Z14" s="103">
        <v>171.47</v>
      </c>
      <c r="AA14" s="252">
        <v>176.91</v>
      </c>
      <c r="AB14" s="252">
        <v>187.96</v>
      </c>
      <c r="AC14" s="252">
        <v>185.71</v>
      </c>
      <c r="AD14" s="252">
        <v>199.63</v>
      </c>
    </row>
    <row r="15" spans="2:30" ht="28" x14ac:dyDescent="0.35">
      <c r="B15" s="106">
        <v>1.5585925673514063</v>
      </c>
      <c r="C15" s="106">
        <v>2</v>
      </c>
      <c r="D15" s="99" t="s">
        <v>6</v>
      </c>
      <c r="E15" s="106">
        <v>9</v>
      </c>
      <c r="F15" s="285">
        <v>26.360195999999998</v>
      </c>
      <c r="G15" s="254">
        <v>23.283322999999999</v>
      </c>
      <c r="H15" s="286">
        <v>19.142225</v>
      </c>
      <c r="I15" s="250">
        <v>23.32</v>
      </c>
      <c r="J15" s="287" t="s">
        <v>3949</v>
      </c>
      <c r="K15" s="300">
        <v>20.56</v>
      </c>
      <c r="L15" s="254">
        <v>21.38</v>
      </c>
      <c r="M15" s="302">
        <f>Table9[[#This Row],[G2AIMD-OOM-Fixed]]/Table9[[#This Row],[gpu-layered]]</f>
        <v>1.3770706383401092</v>
      </c>
      <c r="N15" s="302">
        <f>Table9[[#This Row],[gpu-layered]]/Table9[[#This Row],[CPU+GPU (1)]]</f>
        <v>0.93104207198443589</v>
      </c>
      <c r="O15" s="302" t="str">
        <f>IFERROR(Table9[[#This Row],[CPU Only]]/Table9[[#This Row],[gpu-layered]], "—")</f>
        <v>—</v>
      </c>
      <c r="P15" s="288" t="s">
        <v>3949</v>
      </c>
      <c r="Q15" s="288" t="s">
        <v>3949</v>
      </c>
      <c r="R15" s="289" t="s">
        <v>3949</v>
      </c>
      <c r="S15" s="252">
        <v>20.04</v>
      </c>
      <c r="T15" s="252">
        <v>20.399999999999999</v>
      </c>
      <c r="U15" s="252">
        <v>20.5</v>
      </c>
      <c r="V15" s="300">
        <v>20.56</v>
      </c>
      <c r="W15" s="300">
        <v>20.501000000000001</v>
      </c>
      <c r="X15" s="253">
        <v>19.720583999999999</v>
      </c>
      <c r="Y15" s="62"/>
      <c r="Z15" s="103">
        <v>20.56</v>
      </c>
      <c r="AA15" s="252">
        <v>22.1</v>
      </c>
      <c r="AB15" s="252">
        <v>24.92</v>
      </c>
      <c r="AC15" s="252">
        <v>32.090000000000003</v>
      </c>
      <c r="AD15" s="252">
        <v>43.48</v>
      </c>
    </row>
    <row r="16" spans="2:30" ht="28" x14ac:dyDescent="0.35">
      <c r="B16" s="106">
        <v>1.2687281359423106</v>
      </c>
      <c r="C16" s="106">
        <v>3</v>
      </c>
      <c r="D16" s="99" t="s">
        <v>1404</v>
      </c>
      <c r="E16" s="106">
        <v>2</v>
      </c>
      <c r="F16" s="285">
        <v>7.6090609999999996</v>
      </c>
      <c r="G16" s="254">
        <v>7.6900639999999996</v>
      </c>
      <c r="H16" s="286">
        <v>7.4755450000000003</v>
      </c>
      <c r="I16" s="286">
        <v>7.4755450000000003</v>
      </c>
      <c r="J16" s="287" t="s">
        <v>3949</v>
      </c>
      <c r="K16" s="300">
        <v>8.2799999999999994</v>
      </c>
      <c r="L16" s="254">
        <v>13.61</v>
      </c>
      <c r="M16" s="302">
        <f>Table9[[#This Row],[G2AIMD-OOM-Fixed]]/Table9[[#This Row],[gpu-layered]]</f>
        <v>1.0178603700465985</v>
      </c>
      <c r="N16" s="302">
        <f>Table9[[#This Row],[gpu-layered]]/Table9[[#This Row],[CPU+GPU (1)]]</f>
        <v>0.9028435990338165</v>
      </c>
      <c r="O16" s="302" t="str">
        <f>IFERROR(Table9[[#This Row],[CPU Only]]/Table9[[#This Row],[gpu-layered]], "—")</f>
        <v>—</v>
      </c>
      <c r="P16" s="288">
        <v>462.53934400000003</v>
      </c>
      <c r="Q16" s="288">
        <v>193.026005</v>
      </c>
      <c r="R16" s="289" t="s">
        <v>3904</v>
      </c>
      <c r="S16" s="252">
        <v>8.4</v>
      </c>
      <c r="T16" s="252">
        <v>8.27</v>
      </c>
      <c r="U16" s="252">
        <v>8.3000000000000007</v>
      </c>
      <c r="V16" s="300">
        <v>8.2799999999999994</v>
      </c>
      <c r="W16" s="300">
        <v>8.3010000000000002</v>
      </c>
      <c r="X16" s="253">
        <v>8.2200000000000006</v>
      </c>
      <c r="Y16" s="62"/>
      <c r="Z16" s="103">
        <v>8.2799999999999994</v>
      </c>
      <c r="AA16" s="252">
        <v>12.69</v>
      </c>
      <c r="AB16" s="252">
        <v>21.41</v>
      </c>
      <c r="AC16" s="252">
        <v>26.87</v>
      </c>
      <c r="AD16" s="252">
        <v>29.02</v>
      </c>
    </row>
    <row r="17" spans="2:30" ht="28" x14ac:dyDescent="0.35">
      <c r="B17" s="106">
        <v>1.2687281359423106</v>
      </c>
      <c r="C17" s="106">
        <v>3</v>
      </c>
      <c r="D17" s="99" t="s">
        <v>1404</v>
      </c>
      <c r="E17" s="106">
        <v>5</v>
      </c>
      <c r="F17" s="285">
        <v>132.91568799999999</v>
      </c>
      <c r="G17" s="254">
        <v>135.67229800000001</v>
      </c>
      <c r="H17" s="250">
        <v>129.41498000000001</v>
      </c>
      <c r="I17" s="286">
        <v>128.891346</v>
      </c>
      <c r="J17" s="287" t="s">
        <v>3949</v>
      </c>
      <c r="K17" s="300">
        <v>129.19</v>
      </c>
      <c r="L17" s="254">
        <v>131.5</v>
      </c>
      <c r="M17" s="302">
        <f>Table9[[#This Row],[G2AIMD-OOM-Fixed]]/Table9[[#This Row],[gpu-layered]]</f>
        <v>1.0270502533787045</v>
      </c>
      <c r="N17" s="302">
        <f>Table9[[#This Row],[gpu-layered]]/Table9[[#This Row],[CPU+GPU (1)]]</f>
        <v>1.0017414660577446</v>
      </c>
      <c r="O17" s="302" t="str">
        <f>IFERROR(Table9[[#This Row],[CPU Only]]/Table9[[#This Row],[gpu-layered]], "—")</f>
        <v>—</v>
      </c>
      <c r="P17" s="288" t="s">
        <v>3949</v>
      </c>
      <c r="Q17" s="288" t="s">
        <v>3904</v>
      </c>
      <c r="R17" s="289" t="s">
        <v>3904</v>
      </c>
      <c r="S17" s="252">
        <v>128.9</v>
      </c>
      <c r="T17" s="252">
        <v>129.57</v>
      </c>
      <c r="U17" s="252">
        <v>129.08000000000001</v>
      </c>
      <c r="V17" s="300">
        <v>129.19</v>
      </c>
      <c r="W17" s="300">
        <v>129.07900000000001</v>
      </c>
      <c r="X17" s="253">
        <v>128.85</v>
      </c>
      <c r="Y17" s="62"/>
      <c r="Z17" s="103">
        <v>129.19</v>
      </c>
      <c r="AA17" s="252">
        <v>129.69999999999999</v>
      </c>
      <c r="AB17" s="252">
        <v>133.49</v>
      </c>
      <c r="AC17" s="252">
        <v>134.75</v>
      </c>
      <c r="AD17" s="252">
        <v>131.55000000000001</v>
      </c>
    </row>
    <row r="18" spans="2:30" ht="28" x14ac:dyDescent="0.35">
      <c r="B18" s="106">
        <v>1.2687281359423106</v>
      </c>
      <c r="C18" s="106">
        <v>3</v>
      </c>
      <c r="D18" s="99" t="s">
        <v>1404</v>
      </c>
      <c r="E18" s="106">
        <v>7</v>
      </c>
      <c r="F18" s="285">
        <v>477.68529999999998</v>
      </c>
      <c r="G18" s="254">
        <v>486.194729</v>
      </c>
      <c r="H18" s="253">
        <v>468.679102</v>
      </c>
      <c r="I18" s="254">
        <v>474.36</v>
      </c>
      <c r="J18" s="287" t="s">
        <v>3949</v>
      </c>
      <c r="K18" s="301">
        <v>466.91</v>
      </c>
      <c r="L18" s="254">
        <v>474.49</v>
      </c>
      <c r="M18" s="302">
        <f>Table9[[#This Row],[G2AIMD-OOM-Fixed]]/Table9[[#This Row],[gpu-layered]]</f>
        <v>1.0192161288215491</v>
      </c>
      <c r="N18" s="302">
        <f>Table9[[#This Row],[gpu-layered]]/Table9[[#This Row],[CPU+GPU (1)]]</f>
        <v>1.0037889571866099</v>
      </c>
      <c r="O18" s="302" t="str">
        <f>IFERROR(Table9[[#This Row],[CPU Only]]/Table9[[#This Row],[gpu-layered]], "—")</f>
        <v>—</v>
      </c>
      <c r="P18" s="254" t="s">
        <v>3949</v>
      </c>
      <c r="Q18" s="254" t="s">
        <v>3904</v>
      </c>
      <c r="R18" s="290" t="s">
        <v>3904</v>
      </c>
      <c r="S18" s="252">
        <v>468.91</v>
      </c>
      <c r="T18" s="252">
        <v>470.04</v>
      </c>
      <c r="U18" s="252">
        <v>470.96</v>
      </c>
      <c r="V18" s="301">
        <v>466.91</v>
      </c>
      <c r="W18" s="300">
        <v>470.96099999999996</v>
      </c>
      <c r="X18" s="296">
        <v>470.28</v>
      </c>
      <c r="Y18" s="62"/>
      <c r="Z18" s="103">
        <v>466.91</v>
      </c>
      <c r="AA18" s="252">
        <v>477.06</v>
      </c>
      <c r="AB18" s="252">
        <v>483.5</v>
      </c>
      <c r="AC18" s="252">
        <v>496.19</v>
      </c>
      <c r="AD18" s="252">
        <v>512.32000000000005</v>
      </c>
    </row>
    <row r="19" spans="2:30" ht="28" x14ac:dyDescent="0.35">
      <c r="B19" s="106">
        <v>1.2687281359423106</v>
      </c>
      <c r="C19" s="106">
        <v>3</v>
      </c>
      <c r="D19" s="99" t="s">
        <v>1404</v>
      </c>
      <c r="E19" s="106">
        <v>8</v>
      </c>
      <c r="F19" s="285">
        <v>529.66008199999999</v>
      </c>
      <c r="G19" s="254" t="s">
        <v>3904</v>
      </c>
      <c r="H19" s="286">
        <v>455.02047299999998</v>
      </c>
      <c r="I19" s="250">
        <v>459.38</v>
      </c>
      <c r="J19" s="287" t="s">
        <v>3949</v>
      </c>
      <c r="K19" s="300">
        <v>443.73</v>
      </c>
      <c r="L19" s="254">
        <v>475.25</v>
      </c>
      <c r="M19" s="302">
        <f>Table9[[#This Row],[G2AIMD-OOM-Fixed]]/Table9[[#This Row],[gpu-layered]]</f>
        <v>1.1640357158171211</v>
      </c>
      <c r="N19" s="302">
        <f>Table9[[#This Row],[gpu-layered]]/Table9[[#This Row],[CPU+GPU (1)]]</f>
        <v>1.0254444662294637</v>
      </c>
      <c r="O19" s="302" t="str">
        <f>IFERROR(Table9[[#This Row],[CPU Only]]/Table9[[#This Row],[gpu-layered]], "—")</f>
        <v>—</v>
      </c>
      <c r="P19" s="288" t="s">
        <v>3949</v>
      </c>
      <c r="Q19" s="288" t="s">
        <v>3904</v>
      </c>
      <c r="R19" s="289" t="s">
        <v>3904</v>
      </c>
      <c r="S19" s="252">
        <v>444.24</v>
      </c>
      <c r="T19" s="252">
        <v>443.95</v>
      </c>
      <c r="U19" s="252">
        <v>443.85</v>
      </c>
      <c r="V19" s="300">
        <v>443.73</v>
      </c>
      <c r="W19" s="300">
        <v>443.85</v>
      </c>
      <c r="X19" s="253">
        <v>443.45</v>
      </c>
      <c r="Y19" s="62"/>
      <c r="Z19" s="103">
        <v>443.73</v>
      </c>
      <c r="AA19" s="252">
        <v>476.9</v>
      </c>
      <c r="AB19" s="252">
        <v>528.67999999999995</v>
      </c>
      <c r="AC19" s="252">
        <v>560.44000000000005</v>
      </c>
      <c r="AD19" s="252">
        <v>728.9</v>
      </c>
    </row>
    <row r="20" spans="2:30" ht="28" x14ac:dyDescent="0.35">
      <c r="B20" s="106">
        <v>1.2687281359423106</v>
      </c>
      <c r="C20" s="106">
        <v>3</v>
      </c>
      <c r="D20" s="99" t="s">
        <v>1404</v>
      </c>
      <c r="E20" s="106">
        <v>9</v>
      </c>
      <c r="F20" s="285">
        <v>6.6379760000000001</v>
      </c>
      <c r="G20" s="254">
        <v>6.7178509999999996</v>
      </c>
      <c r="H20" s="253">
        <v>6.3858839999999999</v>
      </c>
      <c r="I20" s="253">
        <v>6.3858839999999999</v>
      </c>
      <c r="J20" s="287" t="s">
        <v>3949</v>
      </c>
      <c r="K20" s="300">
        <v>7.48</v>
      </c>
      <c r="L20" s="254">
        <v>10.23</v>
      </c>
      <c r="M20" s="302">
        <f>Table9[[#This Row],[G2AIMD-OOM-Fixed]]/Table9[[#This Row],[gpu-layered]]</f>
        <v>1.0394764452345204</v>
      </c>
      <c r="N20" s="302">
        <f>Table9[[#This Row],[gpu-layered]]/Table9[[#This Row],[CPU+GPU (1)]]</f>
        <v>0.85372780748663091</v>
      </c>
      <c r="O20" s="302" t="str">
        <f>IFERROR(Table9[[#This Row],[CPU Only]]/Table9[[#This Row],[gpu-layered]], "—")</f>
        <v>—</v>
      </c>
      <c r="P20" s="254">
        <v>131.83148399999999</v>
      </c>
      <c r="Q20" s="254" t="s">
        <v>3904</v>
      </c>
      <c r="R20" s="290" t="s">
        <v>3904</v>
      </c>
      <c r="S20" s="252">
        <v>12.39</v>
      </c>
      <c r="T20" s="252">
        <v>8.14</v>
      </c>
      <c r="U20" s="252">
        <v>8.5</v>
      </c>
      <c r="V20" s="300">
        <v>7.48</v>
      </c>
      <c r="W20" s="300">
        <v>8.5009999999999994</v>
      </c>
      <c r="X20" s="253">
        <v>7.13</v>
      </c>
      <c r="Y20" s="62"/>
      <c r="Z20" s="103">
        <v>7.48</v>
      </c>
      <c r="AA20" s="252">
        <v>12.26</v>
      </c>
      <c r="AB20" s="252">
        <v>23.41</v>
      </c>
      <c r="AC20" s="252">
        <v>37.94</v>
      </c>
      <c r="AD20" s="252">
        <v>45.95</v>
      </c>
    </row>
    <row r="21" spans="2:30" ht="28" x14ac:dyDescent="0.35">
      <c r="B21" s="106">
        <v>2.6625274019501166</v>
      </c>
      <c r="C21" s="106">
        <v>4</v>
      </c>
      <c r="D21" s="99" t="s">
        <v>3917</v>
      </c>
      <c r="E21" s="106">
        <v>2</v>
      </c>
      <c r="F21" s="285">
        <v>0.74348800000000004</v>
      </c>
      <c r="G21" s="254">
        <v>0.73555000000000004</v>
      </c>
      <c r="H21" s="286">
        <v>0.66657699999999998</v>
      </c>
      <c r="I21" s="250">
        <v>0.70355108204510386</v>
      </c>
      <c r="J21" s="287">
        <v>1016.850639</v>
      </c>
      <c r="K21" s="300">
        <v>1.33</v>
      </c>
      <c r="L21" s="254">
        <v>1.38</v>
      </c>
      <c r="M21" s="302">
        <f>Table9[[#This Row],[G2AIMD-OOM-Fixed]]/Table9[[#This Row],[gpu-layered]]</f>
        <v>1.1153820188815398</v>
      </c>
      <c r="N21" s="302">
        <f>Table9[[#This Row],[gpu-layered]]/Table9[[#This Row],[CPU+GPU (1)]]</f>
        <v>0.50118571428571423</v>
      </c>
      <c r="O21" s="302">
        <f>IFERROR(Table9[[#This Row],[CPU Only]]/Table9[[#This Row],[gpu-layered]], "—")</f>
        <v>1525.4811357127535</v>
      </c>
      <c r="P21" s="288">
        <v>29.697301</v>
      </c>
      <c r="Q21" s="288" t="s">
        <v>3904</v>
      </c>
      <c r="R21" s="289" t="s">
        <v>3904</v>
      </c>
      <c r="S21" s="252">
        <v>1.37</v>
      </c>
      <c r="T21" s="252">
        <v>1.35</v>
      </c>
      <c r="U21" s="103">
        <v>0.99</v>
      </c>
      <c r="V21" s="300">
        <v>1.33</v>
      </c>
      <c r="W21" s="301">
        <v>0.99</v>
      </c>
      <c r="X21" s="296">
        <v>1.06</v>
      </c>
      <c r="Y21" s="62"/>
      <c r="Z21" s="103">
        <v>1.33</v>
      </c>
      <c r="AA21" s="252">
        <v>5.15</v>
      </c>
      <c r="AB21" s="252">
        <v>9.75</v>
      </c>
      <c r="AC21" s="252">
        <v>13.64</v>
      </c>
      <c r="AD21" s="252">
        <v>20.28</v>
      </c>
    </row>
    <row r="22" spans="2:30" ht="28" x14ac:dyDescent="0.35">
      <c r="B22" s="106">
        <v>2.6625274019501166</v>
      </c>
      <c r="C22" s="106">
        <v>4</v>
      </c>
      <c r="D22" s="99" t="s">
        <v>3917</v>
      </c>
      <c r="E22" s="106">
        <v>5</v>
      </c>
      <c r="F22" s="285">
        <v>5.2184530000000002</v>
      </c>
      <c r="G22" s="254">
        <v>5.4046500000000002</v>
      </c>
      <c r="H22" s="253">
        <v>5.0369149999999996</v>
      </c>
      <c r="I22" s="254">
        <v>5.0765194544549637</v>
      </c>
      <c r="J22" s="287" t="s">
        <v>3949</v>
      </c>
      <c r="K22" s="300">
        <v>5.6</v>
      </c>
      <c r="L22" s="254">
        <v>7.52</v>
      </c>
      <c r="M22" s="302">
        <f>Table9[[#This Row],[G2AIMD-OOM-Fixed]]/Table9[[#This Row],[gpu-layered]]</f>
        <v>1.0360415055644181</v>
      </c>
      <c r="N22" s="302">
        <f>Table9[[#This Row],[gpu-layered]]/Table9[[#This Row],[CPU+GPU (1)]]</f>
        <v>0.89944910714285708</v>
      </c>
      <c r="O22" s="302" t="str">
        <f>IFERROR(Table9[[#This Row],[CPU Only]]/Table9[[#This Row],[gpu-layered]], "—")</f>
        <v>—</v>
      </c>
      <c r="P22" s="254" t="s">
        <v>3949</v>
      </c>
      <c r="Q22" s="254" t="s">
        <v>3904</v>
      </c>
      <c r="R22" s="290" t="s">
        <v>3904</v>
      </c>
      <c r="S22" s="103">
        <v>5.45</v>
      </c>
      <c r="T22" s="252">
        <v>5.6</v>
      </c>
      <c r="U22" s="252">
        <v>5.85</v>
      </c>
      <c r="V22" s="300">
        <v>5.6</v>
      </c>
      <c r="W22" s="300">
        <v>5.851</v>
      </c>
      <c r="X22" s="296">
        <v>5.63</v>
      </c>
      <c r="Y22" s="62"/>
      <c r="Z22" s="103">
        <v>5.6</v>
      </c>
      <c r="AA22" s="252">
        <v>7.74</v>
      </c>
      <c r="AB22" s="252">
        <v>12.99</v>
      </c>
      <c r="AC22" s="252">
        <v>22.48</v>
      </c>
      <c r="AD22" s="252">
        <v>29.47</v>
      </c>
    </row>
    <row r="23" spans="2:30" ht="28" x14ac:dyDescent="0.35">
      <c r="B23" s="106">
        <v>2.6625274019501166</v>
      </c>
      <c r="C23" s="106">
        <v>4</v>
      </c>
      <c r="D23" s="99" t="s">
        <v>3917</v>
      </c>
      <c r="E23" s="106">
        <v>7</v>
      </c>
      <c r="F23" s="285">
        <v>14.052868</v>
      </c>
      <c r="G23" s="254">
        <v>14.408884</v>
      </c>
      <c r="H23" s="250">
        <v>15.422058</v>
      </c>
      <c r="I23" s="253">
        <v>13.420144000000001</v>
      </c>
      <c r="J23" s="287" t="s">
        <v>3949</v>
      </c>
      <c r="K23" s="300">
        <v>14.24</v>
      </c>
      <c r="L23" s="254">
        <v>17.25</v>
      </c>
      <c r="M23" s="302">
        <f>Table9[[#This Row],[G2AIMD-OOM-Fixed]]/Table9[[#This Row],[gpu-layered]]</f>
        <v>0.911218723208018</v>
      </c>
      <c r="N23" s="302">
        <f>Table9[[#This Row],[gpu-layered]]/Table9[[#This Row],[CPU+GPU (1)]]</f>
        <v>1.0830096910112359</v>
      </c>
      <c r="O23" s="302" t="str">
        <f>IFERROR(Table9[[#This Row],[CPU Only]]/Table9[[#This Row],[gpu-layered]], "—")</f>
        <v>—</v>
      </c>
      <c r="P23" s="288" t="s">
        <v>3949</v>
      </c>
      <c r="Q23" s="288" t="s">
        <v>3904</v>
      </c>
      <c r="R23" s="289" t="s">
        <v>3904</v>
      </c>
      <c r="S23" s="252">
        <v>14.25</v>
      </c>
      <c r="T23" s="252">
        <v>14.02</v>
      </c>
      <c r="U23" s="103">
        <v>14.01</v>
      </c>
      <c r="V23" s="300">
        <v>14.24</v>
      </c>
      <c r="W23" s="301">
        <v>14.01</v>
      </c>
      <c r="X23" s="296">
        <v>14.28</v>
      </c>
      <c r="Y23" s="62"/>
      <c r="Z23" s="103">
        <v>14.24</v>
      </c>
      <c r="AA23" s="252">
        <v>15.17</v>
      </c>
      <c r="AB23" s="252">
        <v>21.88</v>
      </c>
      <c r="AC23" s="252">
        <v>27.39</v>
      </c>
      <c r="AD23" s="252">
        <v>32.479999999999997</v>
      </c>
    </row>
    <row r="24" spans="2:30" ht="28" x14ac:dyDescent="0.35">
      <c r="B24" s="106">
        <v>2.6625274019501166</v>
      </c>
      <c r="C24" s="106">
        <v>4</v>
      </c>
      <c r="D24" s="99" t="s">
        <v>3917</v>
      </c>
      <c r="E24" s="106">
        <v>8</v>
      </c>
      <c r="F24" s="285">
        <v>27.579222000000001</v>
      </c>
      <c r="G24" s="254">
        <v>23.051181</v>
      </c>
      <c r="H24" s="291">
        <v>15.958356</v>
      </c>
      <c r="I24" s="254">
        <v>22.5</v>
      </c>
      <c r="J24" s="287" t="s">
        <v>3949</v>
      </c>
      <c r="K24" s="300">
        <v>17.61</v>
      </c>
      <c r="L24" s="254">
        <v>27.08</v>
      </c>
      <c r="M24" s="302">
        <f>Table9[[#This Row],[G2AIMD-OOM-Fixed]]/Table9[[#This Row],[gpu-layered]]</f>
        <v>1.7281994461083585</v>
      </c>
      <c r="N24" s="302">
        <f>Table9[[#This Row],[gpu-layered]]/Table9[[#This Row],[CPU+GPU (1)]]</f>
        <v>0.90620988074957409</v>
      </c>
      <c r="O24" s="302" t="str">
        <f>IFERROR(Table9[[#This Row],[CPU Only]]/Table9[[#This Row],[gpu-layered]], "—")</f>
        <v>—</v>
      </c>
      <c r="P24" s="254" t="s">
        <v>3949</v>
      </c>
      <c r="Q24" s="254" t="s">
        <v>3904</v>
      </c>
      <c r="R24" s="290" t="s">
        <v>3904</v>
      </c>
      <c r="S24" s="252">
        <v>17.7</v>
      </c>
      <c r="T24" s="252">
        <v>17.82</v>
      </c>
      <c r="U24" s="252">
        <v>17.59</v>
      </c>
      <c r="V24" s="300">
        <v>17.61</v>
      </c>
      <c r="W24" s="300">
        <v>17.59</v>
      </c>
      <c r="X24" s="253">
        <v>16.989999999999998</v>
      </c>
      <c r="Y24" s="62"/>
      <c r="Z24" s="103">
        <v>17.61</v>
      </c>
      <c r="AA24" s="252">
        <v>18.82</v>
      </c>
      <c r="AB24" s="252">
        <v>22.14</v>
      </c>
      <c r="AC24" s="252">
        <v>31.55</v>
      </c>
      <c r="AD24" s="252">
        <v>33.92</v>
      </c>
    </row>
    <row r="25" spans="2:30" ht="28" x14ac:dyDescent="0.35">
      <c r="B25" s="106">
        <v>2.6625274019501166</v>
      </c>
      <c r="C25" s="106">
        <v>4</v>
      </c>
      <c r="D25" s="99" t="s">
        <v>3917</v>
      </c>
      <c r="E25" s="106">
        <v>9</v>
      </c>
      <c r="F25" s="285">
        <v>1.1241399999999999</v>
      </c>
      <c r="G25" s="254">
        <v>1.1548290000000001</v>
      </c>
      <c r="H25" s="286">
        <v>1.108528</v>
      </c>
      <c r="I25" s="250">
        <v>1.1439698692124307</v>
      </c>
      <c r="J25" s="287">
        <v>36.354160999999998</v>
      </c>
      <c r="K25" s="300">
        <v>1.99</v>
      </c>
      <c r="L25" s="254">
        <v>3.27</v>
      </c>
      <c r="M25" s="302">
        <f>Table9[[#This Row],[G2AIMD-OOM-Fixed]]/Table9[[#This Row],[gpu-layered]]</f>
        <v>1.0140835414170863</v>
      </c>
      <c r="N25" s="302">
        <f>Table9[[#This Row],[gpu-layered]]/Table9[[#This Row],[CPU+GPU (1)]]</f>
        <v>0.55704924623115581</v>
      </c>
      <c r="O25" s="302">
        <f>IFERROR(Table9[[#This Row],[CPU Only]]/Table9[[#This Row],[gpu-layered]], "—")</f>
        <v>32.794986685045394</v>
      </c>
      <c r="P25" s="288">
        <v>48.400663999999999</v>
      </c>
      <c r="Q25" s="288" t="s">
        <v>3904</v>
      </c>
      <c r="R25" s="289" t="s">
        <v>3904</v>
      </c>
      <c r="S25" s="252">
        <v>1.72</v>
      </c>
      <c r="T25" s="103">
        <v>1.44</v>
      </c>
      <c r="U25" s="252">
        <v>1.91</v>
      </c>
      <c r="V25" s="300">
        <v>1.99</v>
      </c>
      <c r="W25" s="300">
        <v>1.909</v>
      </c>
      <c r="X25" s="296">
        <v>1.74</v>
      </c>
      <c r="Y25" s="62"/>
      <c r="Z25" s="307">
        <v>1.99</v>
      </c>
      <c r="AA25" s="252">
        <v>3.2</v>
      </c>
      <c r="AB25" s="252">
        <v>10.01</v>
      </c>
      <c r="AC25" s="252">
        <v>11.23</v>
      </c>
      <c r="AD25" s="252">
        <v>18.100000000000001</v>
      </c>
    </row>
    <row r="26" spans="2:30" ht="22" x14ac:dyDescent="0.25">
      <c r="D26" s="62"/>
      <c r="E26" s="95"/>
      <c r="F26" s="95"/>
      <c r="H26" s="2"/>
    </row>
    <row r="27" spans="2:30" ht="22" x14ac:dyDescent="0.25">
      <c r="D27" s="62"/>
      <c r="E27" s="95"/>
      <c r="F27" s="95"/>
      <c r="H27" s="2"/>
    </row>
    <row r="28" spans="2:30" ht="22" x14ac:dyDescent="0.25">
      <c r="D28" s="62"/>
      <c r="E28" s="95"/>
      <c r="F28" s="95"/>
      <c r="H28" s="2"/>
    </row>
    <row r="29" spans="2:30" ht="22" x14ac:dyDescent="0.25">
      <c r="D29" s="62"/>
      <c r="E29" s="95"/>
      <c r="F29" s="95"/>
      <c r="H29" s="2"/>
    </row>
    <row r="30" spans="2:30" ht="22" x14ac:dyDescent="0.25">
      <c r="D30" s="62"/>
      <c r="E30" s="95"/>
      <c r="F30" s="95"/>
      <c r="H30" s="2"/>
    </row>
    <row r="31" spans="2:30" ht="22" x14ac:dyDescent="0.25">
      <c r="D31" s="62"/>
      <c r="E31" s="95"/>
      <c r="F31" s="95"/>
      <c r="H31" s="2"/>
    </row>
    <row r="32" spans="2:30" ht="22" x14ac:dyDescent="0.25">
      <c r="D32" s="62"/>
      <c r="E32" s="95"/>
      <c r="F32" s="95"/>
      <c r="H32" s="2"/>
    </row>
    <row r="33" spans="4:8" ht="22" x14ac:dyDescent="0.25">
      <c r="D33" s="62"/>
      <c r="E33" s="95"/>
      <c r="F33" s="95"/>
      <c r="H33" s="2"/>
    </row>
    <row r="34" spans="4:8" ht="22" x14ac:dyDescent="0.25">
      <c r="D34" s="62"/>
      <c r="E34" s="95"/>
      <c r="F34" s="95"/>
      <c r="H34" s="2"/>
    </row>
    <row r="35" spans="4:8" ht="22" x14ac:dyDescent="0.25">
      <c r="D35" s="62"/>
      <c r="E35" s="95"/>
      <c r="F35" s="95"/>
      <c r="H35" s="2"/>
    </row>
    <row r="36" spans="4:8" ht="22" x14ac:dyDescent="0.25">
      <c r="D36" s="62"/>
      <c r="E36" s="95"/>
      <c r="F36" s="95"/>
      <c r="H36" s="2"/>
    </row>
    <row r="37" spans="4:8" ht="22" x14ac:dyDescent="0.25">
      <c r="D37" s="62"/>
      <c r="E37" s="95"/>
      <c r="F37" s="95"/>
      <c r="H37" s="2"/>
    </row>
    <row r="38" spans="4:8" ht="22" x14ac:dyDescent="0.25">
      <c r="D38" s="62"/>
      <c r="E38" s="95"/>
      <c r="F38" s="95"/>
      <c r="H38" s="2"/>
    </row>
    <row r="39" spans="4:8" ht="22" x14ac:dyDescent="0.25">
      <c r="D39" s="62"/>
      <c r="E39" s="95"/>
      <c r="F39" s="95"/>
      <c r="H39" s="2"/>
    </row>
    <row r="40" spans="4:8" ht="22" x14ac:dyDescent="0.25">
      <c r="D40" s="62"/>
      <c r="E40" s="95"/>
      <c r="F40" s="95"/>
      <c r="H40" s="2"/>
    </row>
    <row r="41" spans="4:8" ht="22" x14ac:dyDescent="0.25">
      <c r="D41" s="62"/>
      <c r="E41" s="95"/>
      <c r="F41" s="95"/>
      <c r="H41" s="2"/>
    </row>
    <row r="42" spans="4:8" ht="22" x14ac:dyDescent="0.25">
      <c r="D42" s="62"/>
      <c r="E42" s="95"/>
      <c r="F42" s="95"/>
      <c r="H42" s="2"/>
    </row>
    <row r="43" spans="4:8" ht="22" x14ac:dyDescent="0.25">
      <c r="D43" s="62"/>
      <c r="E43" s="95"/>
      <c r="F43" s="95"/>
      <c r="H43" s="2"/>
    </row>
    <row r="44" spans="4:8" ht="22" x14ac:dyDescent="0.25">
      <c r="D44" s="62"/>
      <c r="E44" s="95"/>
      <c r="F44" s="95"/>
      <c r="H44" s="2"/>
    </row>
    <row r="45" spans="4:8" ht="22" x14ac:dyDescent="0.25">
      <c r="D45" s="62"/>
      <c r="E45" s="95"/>
      <c r="F45" s="95"/>
      <c r="H45" s="2"/>
    </row>
    <row r="46" spans="4:8" ht="22" x14ac:dyDescent="0.25">
      <c r="D46" s="62"/>
      <c r="E46" s="95"/>
      <c r="F46" s="95"/>
      <c r="H46" s="2"/>
    </row>
    <row r="47" spans="4:8" ht="22" x14ac:dyDescent="0.25">
      <c r="D47" s="62"/>
      <c r="E47" s="95"/>
      <c r="F47" s="95"/>
      <c r="H47" s="2"/>
    </row>
    <row r="48" spans="4:8" ht="22" x14ac:dyDescent="0.25">
      <c r="D48" s="62"/>
      <c r="E48" s="95"/>
      <c r="F48" s="95"/>
      <c r="H48" s="2"/>
    </row>
    <row r="49" spans="4:8" ht="22" x14ac:dyDescent="0.25">
      <c r="D49" s="62"/>
      <c r="E49" s="95"/>
      <c r="F49" s="95"/>
      <c r="H49" s="2"/>
    </row>
    <row r="50" spans="4:8" ht="22" x14ac:dyDescent="0.25">
      <c r="D50" s="62"/>
      <c r="H50" s="2"/>
    </row>
    <row r="51" spans="4:8" ht="22" x14ac:dyDescent="0.25">
      <c r="D51" s="62"/>
      <c r="H51" s="2"/>
    </row>
    <row r="52" spans="4:8" ht="22" x14ac:dyDescent="0.25">
      <c r="D52" s="62"/>
      <c r="H52" s="2"/>
    </row>
    <row r="53" spans="4:8" ht="22" x14ac:dyDescent="0.25">
      <c r="D53" s="62"/>
      <c r="H53" s="2"/>
    </row>
    <row r="54" spans="4:8" ht="22" x14ac:dyDescent="0.25">
      <c r="D54" s="62"/>
      <c r="H54" s="2"/>
    </row>
    <row r="55" spans="4:8" ht="22" x14ac:dyDescent="0.25">
      <c r="D55" s="62"/>
      <c r="H55" s="2"/>
    </row>
    <row r="56" spans="4:8" ht="22" x14ac:dyDescent="0.25">
      <c r="D56" s="62"/>
      <c r="H56" s="2"/>
    </row>
    <row r="57" spans="4:8" ht="22" x14ac:dyDescent="0.25">
      <c r="D57" s="62"/>
      <c r="H57" s="2"/>
    </row>
    <row r="58" spans="4:8" ht="22" x14ac:dyDescent="0.25">
      <c r="D58" s="62"/>
      <c r="H58" s="2"/>
    </row>
    <row r="59" spans="4:8" ht="22" x14ac:dyDescent="0.25">
      <c r="D59" s="62"/>
      <c r="H59" s="2"/>
    </row>
    <row r="60" spans="4:8" ht="22" x14ac:dyDescent="0.25">
      <c r="D60" s="62"/>
      <c r="H60" s="2"/>
    </row>
    <row r="61" spans="4:8" ht="22" x14ac:dyDescent="0.25">
      <c r="D61" s="62"/>
      <c r="H61" s="2"/>
    </row>
    <row r="62" spans="4:8" ht="22" x14ac:dyDescent="0.25">
      <c r="D62" s="62"/>
      <c r="H62" s="2"/>
    </row>
    <row r="63" spans="4:8" ht="22" x14ac:dyDescent="0.25">
      <c r="D63" s="62"/>
      <c r="H63" s="2"/>
    </row>
    <row r="64" spans="4:8" ht="22" x14ac:dyDescent="0.25">
      <c r="D64" s="62"/>
      <c r="H64" s="2"/>
    </row>
    <row r="65" spans="4:16" ht="22" x14ac:dyDescent="0.25">
      <c r="D65" s="62"/>
      <c r="H65" s="2"/>
    </row>
    <row r="66" spans="4:16" ht="22" x14ac:dyDescent="0.25">
      <c r="D66" s="62"/>
      <c r="H66" s="2"/>
    </row>
    <row r="67" spans="4:16" ht="22" x14ac:dyDescent="0.25">
      <c r="D67" s="62"/>
      <c r="H67" s="2"/>
    </row>
    <row r="68" spans="4:16" ht="22" x14ac:dyDescent="0.25">
      <c r="D68" s="62"/>
      <c r="H68" s="2"/>
    </row>
    <row r="69" spans="4:16" ht="22" x14ac:dyDescent="0.25">
      <c r="D69" s="62"/>
      <c r="H69" s="2"/>
    </row>
    <row r="70" spans="4:16" ht="26" x14ac:dyDescent="0.35">
      <c r="D70" s="62"/>
      <c r="H70" s="2"/>
      <c r="N70" s="253">
        <v>1.06</v>
      </c>
      <c r="O70" s="253"/>
      <c r="P70" s="254">
        <v>2.37</v>
      </c>
    </row>
    <row r="71" spans="4:16" ht="26" x14ac:dyDescent="0.35">
      <c r="D71" s="62"/>
      <c r="H71" s="2"/>
      <c r="N71" s="254">
        <v>4.4833990000000004</v>
      </c>
      <c r="O71" s="254"/>
      <c r="P71" s="253">
        <v>4.4549209999999997</v>
      </c>
    </row>
    <row r="72" spans="4:16" ht="26" x14ac:dyDescent="0.35">
      <c r="D72" s="62"/>
      <c r="H72" s="2"/>
      <c r="N72" s="253">
        <v>10.400954</v>
      </c>
      <c r="O72" s="253"/>
      <c r="P72" s="254">
        <v>10.692327000000001</v>
      </c>
    </row>
    <row r="73" spans="4:16" ht="26" x14ac:dyDescent="0.35">
      <c r="D73" s="62"/>
      <c r="H73" s="2"/>
      <c r="N73" s="253">
        <v>18.383203999999999</v>
      </c>
      <c r="O73" s="253"/>
      <c r="P73" s="254">
        <v>18.788529</v>
      </c>
    </row>
    <row r="74" spans="4:16" ht="26" x14ac:dyDescent="0.35">
      <c r="N74" s="253">
        <v>0.43828400000000001</v>
      </c>
      <c r="O74" s="253"/>
      <c r="P74" s="254">
        <v>0.433226</v>
      </c>
    </row>
    <row r="75" spans="4:16" ht="26" x14ac:dyDescent="0.35">
      <c r="N75" s="253">
        <v>3.58</v>
      </c>
      <c r="O75" s="253"/>
      <c r="P75" s="254">
        <v>6.44</v>
      </c>
    </row>
    <row r="76" spans="4:16" ht="26" x14ac:dyDescent="0.35">
      <c r="N76" s="253">
        <v>51.49</v>
      </c>
      <c r="O76" s="253"/>
      <c r="P76" s="254">
        <v>55.89</v>
      </c>
    </row>
    <row r="77" spans="4:16" ht="26" x14ac:dyDescent="0.35">
      <c r="N77" s="253">
        <v>169.26</v>
      </c>
      <c r="O77" s="253"/>
      <c r="P77" s="254">
        <v>175.75</v>
      </c>
    </row>
    <row r="78" spans="4:16" ht="26" x14ac:dyDescent="0.35">
      <c r="N78" s="253">
        <v>171.52</v>
      </c>
      <c r="O78" s="253"/>
      <c r="P78" s="254">
        <v>178.66</v>
      </c>
    </row>
    <row r="79" spans="4:16" ht="26" x14ac:dyDescent="0.35">
      <c r="N79" s="253">
        <v>19.720583999999999</v>
      </c>
      <c r="O79" s="253"/>
      <c r="P79" s="254">
        <v>21.38</v>
      </c>
    </row>
    <row r="80" spans="4:16" ht="26" x14ac:dyDescent="0.35">
      <c r="N80" s="253">
        <v>8.2200000000000006</v>
      </c>
      <c r="O80" s="253"/>
      <c r="P80" s="254">
        <v>13.61</v>
      </c>
    </row>
    <row r="81" spans="14:16" ht="26" x14ac:dyDescent="0.35">
      <c r="N81" s="253">
        <v>128.85</v>
      </c>
      <c r="O81" s="253"/>
      <c r="P81" s="254">
        <v>131.5</v>
      </c>
    </row>
    <row r="82" spans="14:16" ht="26" x14ac:dyDescent="0.35">
      <c r="N82" s="253">
        <v>470.28</v>
      </c>
      <c r="O82" s="253"/>
      <c r="P82" s="254">
        <v>474.49</v>
      </c>
    </row>
    <row r="83" spans="14:16" ht="26" x14ac:dyDescent="0.35">
      <c r="N83" s="253">
        <v>443.45</v>
      </c>
      <c r="O83" s="253"/>
      <c r="P83" s="254">
        <v>475.25</v>
      </c>
    </row>
    <row r="84" spans="14:16" ht="26" x14ac:dyDescent="0.35">
      <c r="N84" s="253">
        <v>7.13</v>
      </c>
      <c r="O84" s="253"/>
      <c r="P84" s="254">
        <v>10.23</v>
      </c>
    </row>
    <row r="85" spans="14:16" ht="26" x14ac:dyDescent="0.35">
      <c r="N85" s="253">
        <v>1.06</v>
      </c>
      <c r="O85" s="253"/>
      <c r="P85" s="254">
        <v>1.38</v>
      </c>
    </row>
    <row r="86" spans="14:16" ht="26" x14ac:dyDescent="0.35">
      <c r="N86" s="253">
        <v>5.63</v>
      </c>
      <c r="O86" s="253"/>
      <c r="P86" s="254">
        <v>7.52</v>
      </c>
    </row>
    <row r="87" spans="14:16" ht="26" x14ac:dyDescent="0.35">
      <c r="N87" s="253">
        <v>14.28</v>
      </c>
      <c r="O87" s="253"/>
      <c r="P87" s="254">
        <v>17.25</v>
      </c>
    </row>
    <row r="88" spans="14:16" ht="26" x14ac:dyDescent="0.35">
      <c r="N88" s="253">
        <v>16.989999999999998</v>
      </c>
      <c r="O88" s="253"/>
      <c r="P88" s="254">
        <v>27.08</v>
      </c>
    </row>
    <row r="89" spans="14:16" ht="26" x14ac:dyDescent="0.35">
      <c r="N89" s="253">
        <v>1.74</v>
      </c>
      <c r="O89" s="253"/>
      <c r="P89" s="254">
        <v>3.27</v>
      </c>
    </row>
  </sheetData>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Q87"/>
  <sheetViews>
    <sheetView tabSelected="1" zoomScale="75" workbookViewId="0">
      <pane xSplit="2" ySplit="2" topLeftCell="K8" activePane="bottomRight" state="frozen"/>
      <selection pane="topRight" activeCell="C1" sqref="C1"/>
      <selection pane="bottomLeft" activeCell="A3" sqref="A3"/>
      <selection pane="bottomRight" activeCell="Q34" sqref="Q34"/>
    </sheetView>
  </sheetViews>
  <sheetFormatPr baseColWidth="10" defaultRowHeight="16" x14ac:dyDescent="0.2"/>
  <cols>
    <col min="1" max="1" width="16.83203125" bestFit="1" customWidth="1"/>
    <col min="2" max="2" width="34.5" customWidth="1"/>
    <col min="3" max="3" width="18.1640625" bestFit="1" customWidth="1"/>
    <col min="4" max="4" width="23.33203125" bestFit="1" customWidth="1"/>
    <col min="5" max="5" width="15.83203125" customWidth="1"/>
    <col min="6" max="6" width="13.83203125" customWidth="1"/>
    <col min="7" max="7" width="26.5" customWidth="1"/>
    <col min="8" max="8" width="19.6640625" customWidth="1"/>
    <col min="9" max="9" width="18.33203125" bestFit="1" customWidth="1"/>
    <col min="10" max="10" width="24.83203125" bestFit="1" customWidth="1"/>
    <col min="11" max="11" width="26.6640625" customWidth="1"/>
    <col min="12" max="12" width="27" customWidth="1"/>
    <col min="13" max="13" width="17.1640625" customWidth="1"/>
    <col min="14" max="14" width="17.6640625" customWidth="1"/>
    <col min="15" max="15" width="14" customWidth="1"/>
    <col min="16" max="16" width="18" customWidth="1"/>
    <col min="17" max="17" width="16.5" bestFit="1" customWidth="1"/>
    <col min="18" max="18" width="17.5" bestFit="1" customWidth="1"/>
    <col min="19" max="19" width="12.1640625" customWidth="1"/>
    <col min="20" max="20" width="17.33203125" bestFit="1" customWidth="1"/>
    <col min="21" max="21" width="11.1640625" bestFit="1" customWidth="1"/>
    <col min="22" max="22" width="11.6640625" bestFit="1" customWidth="1"/>
    <col min="25" max="25" width="10.6640625" bestFit="1" customWidth="1"/>
    <col min="26" max="27" width="11" bestFit="1" customWidth="1"/>
    <col min="28" max="28" width="11.5" bestFit="1" customWidth="1"/>
    <col min="29" max="29" width="13.33203125" bestFit="1" customWidth="1"/>
    <col min="30" max="30" width="16.5" bestFit="1" customWidth="1"/>
  </cols>
  <sheetData>
    <row r="2" spans="2:43" ht="32" x14ac:dyDescent="0.4">
      <c r="B2" s="115"/>
      <c r="AQ2" s="35">
        <v>5.7128509999999997</v>
      </c>
    </row>
    <row r="3" spans="2:43" ht="27" x14ac:dyDescent="0.35">
      <c r="H3" s="204" t="s">
        <v>3946</v>
      </c>
      <c r="I3" s="204"/>
      <c r="J3" s="204"/>
      <c r="K3" s="204"/>
      <c r="L3" s="204"/>
      <c r="M3" s="204"/>
      <c r="N3" s="204"/>
      <c r="O3" s="75"/>
      <c r="P3" s="75"/>
      <c r="AQ3" s="35">
        <v>18.897711999999999</v>
      </c>
    </row>
    <row r="4" spans="2:43" ht="27" x14ac:dyDescent="0.35">
      <c r="B4" s="100"/>
      <c r="C4" s="112"/>
      <c r="D4" s="112"/>
      <c r="E4" s="100"/>
      <c r="F4" s="100"/>
      <c r="G4" s="100"/>
      <c r="H4" s="100"/>
      <c r="I4" s="100"/>
      <c r="J4" s="100"/>
      <c r="K4" s="100"/>
      <c r="L4" s="100"/>
      <c r="M4" s="100"/>
      <c r="Y4" s="79"/>
      <c r="Z4" s="79"/>
      <c r="AA4" s="80"/>
      <c r="AB4" s="80"/>
      <c r="AC4" s="81"/>
      <c r="AD4" s="81"/>
      <c r="AE4" s="82"/>
      <c r="AQ4" s="35">
        <v>9.4467379999999999</v>
      </c>
    </row>
    <row r="5" spans="2:43" ht="27" x14ac:dyDescent="0.35">
      <c r="B5" s="66" t="s">
        <v>3941</v>
      </c>
      <c r="C5" s="66" t="s">
        <v>3962</v>
      </c>
      <c r="D5" s="66" t="s">
        <v>3963</v>
      </c>
      <c r="E5" s="66" t="s">
        <v>3947</v>
      </c>
      <c r="F5" s="66" t="s">
        <v>3948</v>
      </c>
      <c r="G5" s="66" t="s">
        <v>3961</v>
      </c>
      <c r="H5" s="66" t="s">
        <v>4080</v>
      </c>
      <c r="I5" s="66" t="s">
        <v>4082</v>
      </c>
      <c r="J5" s="66" t="s">
        <v>3943</v>
      </c>
      <c r="K5" s="66" t="s">
        <v>3954</v>
      </c>
      <c r="L5" s="66" t="s">
        <v>3953</v>
      </c>
      <c r="M5" s="66" t="s">
        <v>3929</v>
      </c>
      <c r="N5" s="66" t="s">
        <v>3933</v>
      </c>
      <c r="O5" t="s">
        <v>19</v>
      </c>
      <c r="P5" s="66" t="s">
        <v>4079</v>
      </c>
      <c r="Q5" s="66" t="s">
        <v>4081</v>
      </c>
      <c r="R5" s="66" t="s">
        <v>4072</v>
      </c>
      <c r="S5" s="66" t="s">
        <v>4077</v>
      </c>
      <c r="T5" s="66" t="s">
        <v>4078</v>
      </c>
      <c r="Y5" s="79"/>
      <c r="Z5" s="79"/>
      <c r="AA5" s="80"/>
      <c r="AB5" s="80"/>
      <c r="AC5" s="83"/>
      <c r="AD5" s="83"/>
      <c r="AE5" s="77"/>
      <c r="AQ5" s="35">
        <v>22.320332000000001</v>
      </c>
    </row>
    <row r="6" spans="2:43" ht="27" x14ac:dyDescent="0.35">
      <c r="B6" s="100" t="s">
        <v>3919</v>
      </c>
      <c r="C6" s="112">
        <v>2937612</v>
      </c>
      <c r="D6" s="112">
        <v>41919708</v>
      </c>
      <c r="E6" s="73">
        <v>20</v>
      </c>
      <c r="F6" s="73">
        <v>0.95</v>
      </c>
      <c r="G6" s="100">
        <v>399864</v>
      </c>
      <c r="H6" s="168" t="s">
        <v>3949</v>
      </c>
      <c r="I6" s="104">
        <v>1495.9010000000001</v>
      </c>
      <c r="J6" s="104">
        <v>801.23</v>
      </c>
      <c r="K6" s="104">
        <v>799.76</v>
      </c>
      <c r="L6" s="104">
        <v>802.3</v>
      </c>
      <c r="M6" s="46">
        <v>1708.14</v>
      </c>
      <c r="N6" s="63">
        <v>607.572</v>
      </c>
      <c r="P6" s="303" t="str">
        <f>IFERROR(Table6[[#This Row],[G2AIMD (FIXED)]]/Table6[[#This Row],[gpu-layered]], "—")</f>
        <v>—</v>
      </c>
      <c r="Q6" s="303">
        <f>Table6[[#This Row],[gpu-layered]]/Table6[[#This Row],[CPU+GPU]]</f>
        <v>1.3187408241327776</v>
      </c>
      <c r="R6" s="2">
        <f>IFERROR(Table6[[#This Row],[CPU Only]]/Table6[[#This Row],[CPU+GPU]], "—")</f>
        <v>2.8114198811005116</v>
      </c>
      <c r="S6" s="169" t="s">
        <v>3902</v>
      </c>
      <c r="T6" s="169">
        <v>1625.56</v>
      </c>
      <c r="Y6" s="79"/>
      <c r="Z6" s="79"/>
      <c r="AA6" s="80"/>
      <c r="AB6" s="80"/>
      <c r="AC6" s="83"/>
      <c r="AD6" s="83"/>
      <c r="AE6" s="77"/>
      <c r="AF6" s="71"/>
      <c r="AJ6" s="35"/>
      <c r="AQ6" s="35">
        <v>8.3141999999999994E-2</v>
      </c>
    </row>
    <row r="7" spans="2:43" ht="27" x14ac:dyDescent="0.35">
      <c r="B7" s="100" t="s">
        <v>1531</v>
      </c>
      <c r="C7" s="112">
        <v>2523386</v>
      </c>
      <c r="D7" s="112">
        <v>15837602</v>
      </c>
      <c r="E7" s="73">
        <v>30</v>
      </c>
      <c r="F7" s="73">
        <v>0.95</v>
      </c>
      <c r="G7" s="73">
        <v>41319</v>
      </c>
      <c r="H7" s="167">
        <v>115.79025300000001</v>
      </c>
      <c r="I7" s="46">
        <v>112.85599999999999</v>
      </c>
      <c r="J7" s="63">
        <v>116.97499999999999</v>
      </c>
      <c r="K7" s="63">
        <v>117.23</v>
      </c>
      <c r="L7" s="63">
        <v>117.34</v>
      </c>
      <c r="M7" s="46" t="s">
        <v>3902</v>
      </c>
      <c r="N7" s="63">
        <v>25.363800000000001</v>
      </c>
      <c r="P7" s="303">
        <f>IFERROR(Table6[[#This Row],[G2AIMD (FIXED)]]/Table6[[#This Row],[gpu-layered]], "—")</f>
        <v>0.98987179311818774</v>
      </c>
      <c r="Q7" s="303">
        <f>Table6[[#This Row],[gpu-layered]]/Table6[[#This Row],[CPU+GPU]]</f>
        <v>4.6118878086091195</v>
      </c>
      <c r="R7" s="304" t="str">
        <f>IFERROR(Table6[[#This Row],[CPU Only]]/Table6[[#This Row],[CPU+GPU]], "—")</f>
        <v>—</v>
      </c>
      <c r="S7" s="169" t="s">
        <v>3902</v>
      </c>
      <c r="T7" s="169">
        <v>747.94</v>
      </c>
      <c r="U7" s="203"/>
      <c r="V7" s="203"/>
      <c r="Y7" s="79"/>
      <c r="Z7" s="77"/>
      <c r="AA7" s="80"/>
      <c r="AB7" s="80"/>
      <c r="AC7" s="84"/>
      <c r="AD7" s="83"/>
      <c r="AE7" s="77"/>
      <c r="AF7" s="71"/>
      <c r="AQ7" s="35">
        <v>22.697265999999999</v>
      </c>
    </row>
    <row r="8" spans="2:43" ht="27" x14ac:dyDescent="0.35">
      <c r="B8" s="100" t="s">
        <v>3920</v>
      </c>
      <c r="C8" s="112">
        <v>1632803</v>
      </c>
      <c r="D8" s="112">
        <v>44603928</v>
      </c>
      <c r="E8" s="100">
        <v>20</v>
      </c>
      <c r="F8" s="100">
        <v>0.9</v>
      </c>
      <c r="G8" s="100">
        <v>573021</v>
      </c>
      <c r="H8" s="168">
        <v>546.25209800000005</v>
      </c>
      <c r="I8" s="104">
        <v>582.32100000000003</v>
      </c>
      <c r="J8" s="114">
        <v>239.16300000000001</v>
      </c>
      <c r="K8" s="114">
        <v>239.18899999999999</v>
      </c>
      <c r="L8" s="114">
        <v>240.10900000000001</v>
      </c>
      <c r="M8" s="46">
        <v>362.80500000000001</v>
      </c>
      <c r="N8" s="63">
        <v>209.98699999999999</v>
      </c>
      <c r="P8" s="303">
        <f>IFERROR(Table6[[#This Row],[G2AIMD (FIXED)]]/Table6[[#This Row],[gpu-layered]], "—")</f>
        <v>2.2840159138328255</v>
      </c>
      <c r="Q8" s="303">
        <f>Table6[[#This Row],[gpu-layered]]/Table6[[#This Row],[CPU+GPU]]</f>
        <v>1.1389419345007072</v>
      </c>
      <c r="R8" s="305">
        <f>IFERROR(Table6[[#This Row],[CPU Only]]/Table6[[#This Row],[CPU+GPU]], "—")</f>
        <v>1.7277498130836673</v>
      </c>
      <c r="S8" s="169" t="s">
        <v>3902</v>
      </c>
      <c r="T8" s="169">
        <v>1260.92</v>
      </c>
      <c r="U8" s="66"/>
      <c r="V8" s="66"/>
      <c r="Y8" s="80"/>
      <c r="Z8" s="80"/>
      <c r="AA8" s="80"/>
      <c r="AB8" s="80"/>
      <c r="AC8" s="83"/>
      <c r="AD8" s="83"/>
      <c r="AE8" s="77"/>
      <c r="AF8" s="71"/>
      <c r="AQ8" s="35">
        <v>13.386818999999999</v>
      </c>
    </row>
    <row r="9" spans="2:43" ht="27" x14ac:dyDescent="0.35">
      <c r="B9" s="100" t="s">
        <v>1528</v>
      </c>
      <c r="C9" s="112">
        <v>1402673</v>
      </c>
      <c r="D9" s="112">
        <v>5554838</v>
      </c>
      <c r="E9" s="73">
        <v>20</v>
      </c>
      <c r="F9" s="73">
        <v>0.8</v>
      </c>
      <c r="G9" s="62">
        <v>3785</v>
      </c>
      <c r="H9" s="167">
        <v>35.177663000000003</v>
      </c>
      <c r="I9" s="46">
        <v>34.322899999999997</v>
      </c>
      <c r="J9" s="63">
        <v>39.1892</v>
      </c>
      <c r="K9" s="63">
        <v>38.270000000000003</v>
      </c>
      <c r="L9" s="63">
        <v>38.831299999999999</v>
      </c>
      <c r="M9" s="46">
        <v>1264.97</v>
      </c>
      <c r="N9" s="63">
        <v>24.433499999999999</v>
      </c>
      <c r="P9" s="303">
        <f>IFERROR(Table6[[#This Row],[G2AIMD (FIXED)]]/Table6[[#This Row],[gpu-layered]], "—")</f>
        <v>0.89763667030712546</v>
      </c>
      <c r="Q9" s="303">
        <f>Table6[[#This Row],[gpu-layered]]/Table6[[#This Row],[CPU+GPU]]</f>
        <v>1.6039126608959011</v>
      </c>
      <c r="R9" s="74">
        <f>IFERROR(Table6[[#This Row],[CPU Only]]/Table6[[#This Row],[CPU+GPU]], "—")</f>
        <v>51.771952442343505</v>
      </c>
      <c r="S9" s="169" t="s">
        <v>3902</v>
      </c>
      <c r="T9" s="169" t="s">
        <v>3902</v>
      </c>
      <c r="U9" s="74"/>
      <c r="V9" s="74"/>
      <c r="Y9" s="80"/>
      <c r="Z9" s="80"/>
      <c r="AA9" s="80"/>
      <c r="AB9" s="80"/>
      <c r="AC9" s="80"/>
      <c r="AD9" s="80"/>
      <c r="AE9" s="85"/>
      <c r="AF9" s="72"/>
      <c r="AQ9" s="35">
        <v>290.598725</v>
      </c>
    </row>
    <row r="10" spans="2:43" ht="27" x14ac:dyDescent="0.35">
      <c r="B10" s="101" t="s">
        <v>1509</v>
      </c>
      <c r="C10" s="62">
        <v>154908</v>
      </c>
      <c r="D10" s="62">
        <v>654324</v>
      </c>
      <c r="E10" s="101">
        <v>8</v>
      </c>
      <c r="F10" s="101">
        <v>0.5</v>
      </c>
      <c r="G10" s="62">
        <v>20181</v>
      </c>
      <c r="H10" s="167">
        <v>26.232298</v>
      </c>
      <c r="I10" s="6">
        <v>26.34</v>
      </c>
      <c r="J10" s="63">
        <v>26.390599999999999</v>
      </c>
      <c r="K10" s="63">
        <v>26.387</v>
      </c>
      <c r="L10" s="63">
        <v>26.596</v>
      </c>
      <c r="M10" s="63">
        <v>73.567599999999999</v>
      </c>
      <c r="N10" s="63">
        <v>6.2249999999999996</v>
      </c>
      <c r="P10" s="303">
        <f>IFERROR(Table6[[#This Row],[G2AIMD (FIXED)]]/Table6[[#This Row],[gpu-layered]], "—")</f>
        <v>0.99400157631884078</v>
      </c>
      <c r="Q10" s="303">
        <f>Table6[[#This Row],[gpu-layered]]/Table6[[#This Row],[CPU+GPU]]</f>
        <v>4.2394538152610446</v>
      </c>
      <c r="R10" s="74">
        <f>IFERROR(Table6[[#This Row],[CPU Only]]/Table6[[#This Row],[CPU+GPU]], "—")</f>
        <v>11.818088353413655</v>
      </c>
      <c r="S10" s="169">
        <v>1095.1199999999999</v>
      </c>
      <c r="T10" s="169" t="s">
        <v>3902</v>
      </c>
      <c r="U10" s="74"/>
      <c r="V10" s="74"/>
      <c r="Y10" s="79"/>
      <c r="Z10" s="79"/>
      <c r="AA10" s="80"/>
      <c r="AB10" s="80"/>
      <c r="AC10" s="81"/>
      <c r="AD10" s="81"/>
      <c r="AE10" s="82"/>
      <c r="AQ10" s="35">
        <v>433.325399</v>
      </c>
    </row>
    <row r="11" spans="2:43" ht="27" x14ac:dyDescent="0.35">
      <c r="B11" s="100" t="s">
        <v>1514</v>
      </c>
      <c r="C11" s="112">
        <v>146005</v>
      </c>
      <c r="D11" s="112">
        <v>1313998</v>
      </c>
      <c r="E11" s="73">
        <v>5</v>
      </c>
      <c r="F11" s="73">
        <v>0.8</v>
      </c>
      <c r="G11" s="73">
        <v>94500</v>
      </c>
      <c r="H11" s="167">
        <v>46.760027999999998</v>
      </c>
      <c r="I11" s="46">
        <v>48.034700000000001</v>
      </c>
      <c r="J11" s="63">
        <v>49.295099999999998</v>
      </c>
      <c r="K11" s="63">
        <v>50.829799999999999</v>
      </c>
      <c r="L11" s="63">
        <v>49.511099999999999</v>
      </c>
      <c r="M11" s="46">
        <v>50.255800000000001</v>
      </c>
      <c r="N11" s="63">
        <v>7.4551800000000004</v>
      </c>
      <c r="P11" s="303">
        <f>IFERROR(Table6[[#This Row],[G2AIMD (FIXED)]]/Table6[[#This Row],[gpu-layered]], "—")</f>
        <v>0.94857354990658305</v>
      </c>
      <c r="Q11" s="303">
        <f>Table6[[#This Row],[gpu-layered]]/Table6[[#This Row],[CPU+GPU]]</f>
        <v>6.6121944741776852</v>
      </c>
      <c r="R11" s="74">
        <f>IFERROR(Table6[[#This Row],[CPU Only]]/Table6[[#This Row],[CPU+GPU]], "—")</f>
        <v>6.7410578953157403</v>
      </c>
      <c r="S11" s="169">
        <v>294.916</v>
      </c>
      <c r="T11" s="169">
        <v>301.16000000000003</v>
      </c>
      <c r="U11" s="74"/>
      <c r="V11" s="76"/>
      <c r="Y11" s="79"/>
      <c r="Z11" s="79"/>
      <c r="AA11" s="80"/>
      <c r="AB11" s="80"/>
      <c r="AC11" s="80"/>
      <c r="AD11" s="83"/>
      <c r="AE11" s="78"/>
      <c r="AQ11" s="35" t="s">
        <v>3949</v>
      </c>
    </row>
    <row r="12" spans="2:43" ht="27" x14ac:dyDescent="0.35">
      <c r="B12" s="100" t="s">
        <v>898</v>
      </c>
      <c r="C12" s="112">
        <v>51083</v>
      </c>
      <c r="D12" s="112">
        <v>233146</v>
      </c>
      <c r="E12" s="100">
        <v>6</v>
      </c>
      <c r="F12" s="100">
        <v>0.7</v>
      </c>
      <c r="G12" s="62">
        <v>8421</v>
      </c>
      <c r="H12" s="167">
        <v>29.290645000000001</v>
      </c>
      <c r="I12" s="113">
        <v>30.831440000000001</v>
      </c>
      <c r="J12" s="63">
        <v>28.845099999999999</v>
      </c>
      <c r="K12" s="63">
        <v>29.0578</v>
      </c>
      <c r="L12" s="63">
        <v>28.958400000000001</v>
      </c>
      <c r="M12" s="63">
        <v>2.7285699999999999</v>
      </c>
      <c r="N12" s="63">
        <v>1.5</v>
      </c>
      <c r="P12" s="303">
        <f>IFERROR(Table6[[#This Row],[G2AIMD (FIXED)]]/Table6[[#This Row],[gpu-layered]], "—")</f>
        <v>1.0154461242984079</v>
      </c>
      <c r="Q12" s="303">
        <f>Table6[[#This Row],[gpu-layered]]/Table6[[#This Row],[CPU+GPU]]</f>
        <v>19.230066666666666</v>
      </c>
      <c r="R12" s="2">
        <f>IFERROR(Table6[[#This Row],[CPU Only]]/Table6[[#This Row],[CPU+GPU]], "—")</f>
        <v>1.8190466666666667</v>
      </c>
      <c r="S12" s="169">
        <v>62.515999999999998</v>
      </c>
      <c r="T12" s="169">
        <v>1.24</v>
      </c>
      <c r="Y12" s="79"/>
      <c r="Z12" s="79"/>
      <c r="AA12" s="80"/>
      <c r="AB12" s="80"/>
      <c r="AC12" s="83"/>
      <c r="AD12" s="83"/>
      <c r="AE12" s="78"/>
      <c r="AQ12" s="35" t="s">
        <v>3949</v>
      </c>
    </row>
    <row r="13" spans="2:43" ht="27" x14ac:dyDescent="0.35">
      <c r="B13" s="100" t="s">
        <v>3945</v>
      </c>
      <c r="C13" s="112">
        <v>50515</v>
      </c>
      <c r="D13" s="112">
        <v>1638180</v>
      </c>
      <c r="E13" s="73">
        <v>23</v>
      </c>
      <c r="F13" s="73">
        <v>0.9</v>
      </c>
      <c r="G13" s="73">
        <v>16009</v>
      </c>
      <c r="H13" s="167">
        <v>714.70367299999998</v>
      </c>
      <c r="I13" s="46" t="s">
        <v>3904</v>
      </c>
      <c r="J13" s="63">
        <v>406.31</v>
      </c>
      <c r="K13" s="63">
        <v>572.83000000000004</v>
      </c>
      <c r="L13" s="63">
        <v>400.46</v>
      </c>
      <c r="M13" s="46" t="s">
        <v>3902</v>
      </c>
      <c r="N13" s="63">
        <v>250.13</v>
      </c>
      <c r="P13" s="303">
        <f>IFERROR(Table6[[#This Row],[G2AIMD (FIXED)]]/Table6[[#This Row],[gpu-layered]], "—")</f>
        <v>1.7590107873298713</v>
      </c>
      <c r="Q13" s="303">
        <f>Table6[[#This Row],[gpu-layered]]/Table6[[#This Row],[CPU+GPU]]</f>
        <v>1.6243953144364931</v>
      </c>
      <c r="R13" s="2" t="str">
        <f>IFERROR(Table6[[#This Row],[CPU Only]]/Table6[[#This Row],[CPU+GPU]], "—")</f>
        <v>—</v>
      </c>
      <c r="S13" s="169" t="s">
        <v>3902</v>
      </c>
      <c r="T13" s="169" t="s">
        <v>3902</v>
      </c>
      <c r="Y13" s="79"/>
      <c r="Z13" s="77"/>
      <c r="AA13" s="80"/>
      <c r="AB13" s="80"/>
      <c r="AC13" s="84"/>
      <c r="AD13" s="83"/>
      <c r="AE13" s="78"/>
      <c r="AQ13" s="35" t="s">
        <v>3949</v>
      </c>
    </row>
    <row r="14" spans="2:43" ht="27" x14ac:dyDescent="0.35">
      <c r="B14" s="100" t="s">
        <v>829</v>
      </c>
      <c r="C14" s="112">
        <v>39884</v>
      </c>
      <c r="D14" s="112">
        <v>152908</v>
      </c>
      <c r="E14" s="100">
        <v>7</v>
      </c>
      <c r="F14" s="100">
        <v>0.6</v>
      </c>
      <c r="G14" s="100">
        <v>5294</v>
      </c>
      <c r="H14" s="167">
        <v>41.543633999999997</v>
      </c>
      <c r="I14" s="113">
        <v>42.377000000000002</v>
      </c>
      <c r="J14" s="63">
        <v>40.567500000000003</v>
      </c>
      <c r="K14" s="63">
        <v>40.563899999999997</v>
      </c>
      <c r="L14" s="63">
        <v>40.704999999999998</v>
      </c>
      <c r="M14" s="63">
        <v>5.4308800000000002</v>
      </c>
      <c r="N14" s="63">
        <v>6.69</v>
      </c>
      <c r="P14" s="303">
        <f>IFERROR(Table6[[#This Row],[G2AIMD (FIXED)]]/Table6[[#This Row],[gpu-layered]], "—")</f>
        <v>1.024061970789425</v>
      </c>
      <c r="Q14" s="303">
        <f>Table6[[#This Row],[gpu-layered]]/Table6[[#This Row],[CPU+GPU]]</f>
        <v>6.0639013452914803</v>
      </c>
      <c r="R14" s="2">
        <f>IFERROR(Table6[[#This Row],[CPU Only]]/Table6[[#This Row],[CPU+GPU]], "—")</f>
        <v>0.81179073243647237</v>
      </c>
      <c r="S14" s="169">
        <v>131.35</v>
      </c>
      <c r="T14" s="169">
        <v>381.49</v>
      </c>
      <c r="Y14" s="80"/>
      <c r="Z14" s="80"/>
      <c r="AA14" s="80"/>
      <c r="AB14" s="80"/>
      <c r="AC14" s="83"/>
      <c r="AD14" s="83"/>
      <c r="AE14" s="78"/>
      <c r="AQ14" s="35" t="s">
        <v>3949</v>
      </c>
    </row>
    <row r="15" spans="2:43" ht="27" x14ac:dyDescent="0.35">
      <c r="B15" s="100" t="s">
        <v>593</v>
      </c>
      <c r="C15" s="112">
        <v>5111</v>
      </c>
      <c r="D15" s="112">
        <v>53698</v>
      </c>
      <c r="E15" s="100">
        <v>10</v>
      </c>
      <c r="F15" s="100">
        <v>0.72</v>
      </c>
      <c r="G15" s="100">
        <v>1262</v>
      </c>
      <c r="H15" s="167">
        <v>32.917819999999999</v>
      </c>
      <c r="I15" s="46">
        <v>38.341000000000001</v>
      </c>
      <c r="J15" s="63">
        <v>38.271000000000001</v>
      </c>
      <c r="K15" s="63">
        <v>39.500399999999999</v>
      </c>
      <c r="L15" s="63">
        <v>39.559600000000003</v>
      </c>
      <c r="M15" s="63">
        <v>715.40200000000004</v>
      </c>
      <c r="N15" s="63">
        <v>31.7</v>
      </c>
      <c r="P15" s="303">
        <f>IFERROR(Table6[[#This Row],[G2AIMD (FIXED)]]/Table6[[#This Row],[gpu-layered]], "—")</f>
        <v>0.86012437615949411</v>
      </c>
      <c r="Q15" s="303">
        <f>Table6[[#This Row],[gpu-layered]]/Table6[[#This Row],[CPU+GPU]]</f>
        <v>1.2072870662460569</v>
      </c>
      <c r="R15" s="2">
        <f>IFERROR(Table6[[#This Row],[CPU Only]]/Table6[[#This Row],[CPU+GPU]], "—")</f>
        <v>22.567886435331232</v>
      </c>
      <c r="S15" s="169" t="s">
        <v>3902</v>
      </c>
      <c r="T15" s="169" t="s">
        <v>3902</v>
      </c>
      <c r="AQ15" s="35" t="s">
        <v>3949</v>
      </c>
    </row>
    <row r="16" spans="2:43" ht="27" x14ac:dyDescent="0.35">
      <c r="B16" s="100" t="s">
        <v>595</v>
      </c>
      <c r="C16" s="112">
        <v>2022</v>
      </c>
      <c r="D16" s="112">
        <v>22234</v>
      </c>
      <c r="E16" s="100">
        <v>10</v>
      </c>
      <c r="F16" s="100">
        <v>0.7</v>
      </c>
      <c r="G16" s="100">
        <v>490</v>
      </c>
      <c r="H16" s="167">
        <v>214.86993000000001</v>
      </c>
      <c r="I16" s="113" t="s">
        <v>3904</v>
      </c>
      <c r="J16" s="63">
        <v>112.27500000000001</v>
      </c>
      <c r="K16" s="63">
        <v>122.95</v>
      </c>
      <c r="L16" s="63">
        <v>118.2</v>
      </c>
      <c r="M16" s="63">
        <v>1021.56</v>
      </c>
      <c r="N16" s="63">
        <v>96.93</v>
      </c>
      <c r="P16" s="303">
        <f>IFERROR(Table6[[#This Row],[G2AIMD (FIXED)]]/Table6[[#This Row],[gpu-layered]], "—")</f>
        <v>1.9137824983299934</v>
      </c>
      <c r="Q16" s="303">
        <f>Table6[[#This Row],[gpu-layered]]/Table6[[#This Row],[CPU+GPU]]</f>
        <v>1.1583101207056639</v>
      </c>
      <c r="R16" s="74">
        <f>IFERROR(Table6[[#This Row],[CPU Only]]/Table6[[#This Row],[CPU+GPU]], "—")</f>
        <v>10.539151965335808</v>
      </c>
      <c r="S16" s="169" t="s">
        <v>3902</v>
      </c>
      <c r="T16" s="169" t="s">
        <v>3902</v>
      </c>
      <c r="AQ16" s="35" t="s">
        <v>3949</v>
      </c>
    </row>
    <row r="17" spans="2:43" ht="27" x14ac:dyDescent="0.35">
      <c r="I17" s="105"/>
      <c r="Q17" s="100"/>
      <c r="R17" s="73"/>
      <c r="S17" s="73"/>
      <c r="AQ17" s="35"/>
    </row>
    <row r="18" spans="2:43" ht="27" x14ac:dyDescent="0.35">
      <c r="Q18" s="100"/>
      <c r="R18" s="73"/>
      <c r="S18" s="73"/>
      <c r="AQ18" s="35"/>
    </row>
    <row r="19" spans="2:43" ht="34" customHeight="1" x14ac:dyDescent="0.35">
      <c r="B19" s="129" t="s">
        <v>3976</v>
      </c>
      <c r="C19" s="129" t="s">
        <v>3977</v>
      </c>
      <c r="Q19" s="100"/>
      <c r="R19" s="73"/>
      <c r="S19" s="73"/>
      <c r="AQ19" s="35"/>
    </row>
    <row r="20" spans="2:43" ht="28" thickBot="1" x14ac:dyDescent="0.4">
      <c r="L20" t="s">
        <v>4064</v>
      </c>
      <c r="Q20" s="100"/>
      <c r="R20" s="73"/>
      <c r="S20" s="73"/>
      <c r="AQ20" s="35"/>
    </row>
    <row r="21" spans="2:43" ht="25" thickBot="1" x14ac:dyDescent="0.35">
      <c r="O21" s="260" t="s">
        <v>4067</v>
      </c>
      <c r="P21" s="260"/>
      <c r="Q21" s="308"/>
      <c r="R21" s="309"/>
      <c r="S21" s="309" t="s">
        <v>4066</v>
      </c>
      <c r="T21" s="310"/>
      <c r="V21" s="91"/>
      <c r="W21" s="297"/>
      <c r="X21" s="299" t="s">
        <v>4073</v>
      </c>
      <c r="Y21" s="297"/>
      <c r="Z21" s="297"/>
      <c r="AA21" s="298"/>
      <c r="AQ21" s="35"/>
    </row>
    <row r="22" spans="2:43" ht="27" x14ac:dyDescent="0.35">
      <c r="B22" s="66" t="s">
        <v>3941</v>
      </c>
      <c r="C22" s="66" t="s">
        <v>3962</v>
      </c>
      <c r="D22" s="66" t="s">
        <v>3963</v>
      </c>
      <c r="E22" s="66" t="s">
        <v>3947</v>
      </c>
      <c r="F22" s="66" t="s">
        <v>3948</v>
      </c>
      <c r="G22" s="66" t="s">
        <v>3971</v>
      </c>
      <c r="H22" s="66" t="s">
        <v>3974</v>
      </c>
      <c r="I22" s="66" t="s">
        <v>3975</v>
      </c>
      <c r="J22" s="66" t="s">
        <v>3972</v>
      </c>
      <c r="K22" s="66" t="s">
        <v>3973</v>
      </c>
      <c r="L22" s="66" t="s">
        <v>4065</v>
      </c>
      <c r="M22" s="66" t="s">
        <v>4063</v>
      </c>
      <c r="N22" s="66" t="s">
        <v>4060</v>
      </c>
      <c r="O22" s="66" t="s">
        <v>4061</v>
      </c>
      <c r="P22" s="66" t="s">
        <v>4062</v>
      </c>
      <c r="Q22" s="66" t="s">
        <v>4041</v>
      </c>
      <c r="R22" s="66" t="s">
        <v>4042</v>
      </c>
      <c r="S22" s="66" t="s">
        <v>4043</v>
      </c>
      <c r="T22" s="66" t="s">
        <v>4044</v>
      </c>
      <c r="U22" s="66" t="s">
        <v>4075</v>
      </c>
      <c r="V22" s="66" t="s">
        <v>4076</v>
      </c>
      <c r="W22" s="66" t="s">
        <v>4045</v>
      </c>
      <c r="X22" s="66" t="s">
        <v>4046</v>
      </c>
      <c r="Y22" s="66" t="s">
        <v>4069</v>
      </c>
      <c r="Z22" s="66" t="s">
        <v>4048</v>
      </c>
      <c r="AA22" s="66" t="s">
        <v>4068</v>
      </c>
      <c r="AQ22" s="35" t="s">
        <v>3949</v>
      </c>
    </row>
    <row r="23" spans="2:43" ht="27" x14ac:dyDescent="0.35">
      <c r="B23" s="100" t="s">
        <v>3919</v>
      </c>
      <c r="C23" s="112">
        <v>2937612</v>
      </c>
      <c r="D23" s="112">
        <v>41919708</v>
      </c>
      <c r="E23" s="73">
        <v>20</v>
      </c>
      <c r="F23" s="73">
        <v>0.95</v>
      </c>
      <c r="G23" s="127">
        <v>606.88300000000004</v>
      </c>
      <c r="H23" s="126">
        <v>678.55200000000002</v>
      </c>
      <c r="I23" s="63">
        <v>629.47400000000005</v>
      </c>
      <c r="J23" s="63">
        <v>656.28200000000004</v>
      </c>
      <c r="K23" s="63">
        <v>683.45600000000002</v>
      </c>
      <c r="L23" s="63"/>
      <c r="M23" s="251">
        <v>794.2</v>
      </c>
      <c r="N23" s="251">
        <v>606.88300000000004</v>
      </c>
      <c r="O23" s="103">
        <v>606.1</v>
      </c>
      <c r="P23" s="252">
        <v>608.20000000000005</v>
      </c>
      <c r="Q23" s="252">
        <v>606.29999999999995</v>
      </c>
      <c r="R23" s="103">
        <v>606.9</v>
      </c>
      <c r="S23" s="252">
        <v>634.29999999999995</v>
      </c>
      <c r="T23" s="252">
        <v>634.9</v>
      </c>
      <c r="U23" s="63"/>
      <c r="V23" s="252">
        <v>607.08100000000002</v>
      </c>
      <c r="W23" s="252">
        <v>608.37400000000002</v>
      </c>
      <c r="X23" s="252">
        <v>608.30600000000004</v>
      </c>
      <c r="Y23" s="252">
        <v>607.572</v>
      </c>
      <c r="Z23" s="103">
        <v>605.95600000000002</v>
      </c>
      <c r="AA23" s="252">
        <v>606.88300000000004</v>
      </c>
      <c r="AQ23" s="35" t="s">
        <v>3949</v>
      </c>
    </row>
    <row r="24" spans="2:43" ht="27" x14ac:dyDescent="0.35">
      <c r="B24" s="100" t="s">
        <v>1531</v>
      </c>
      <c r="C24" s="112">
        <v>2523386</v>
      </c>
      <c r="D24" s="112">
        <v>15837602</v>
      </c>
      <c r="E24" s="73">
        <v>30</v>
      </c>
      <c r="F24" s="73">
        <v>0.95</v>
      </c>
      <c r="G24" s="126">
        <v>25.606200000000001</v>
      </c>
      <c r="H24" s="127">
        <v>25.280799999999999</v>
      </c>
      <c r="I24" s="63">
        <v>27.123200000000001</v>
      </c>
      <c r="J24" s="63">
        <v>27.747399999999999</v>
      </c>
      <c r="K24" s="63">
        <v>30.096599999999999</v>
      </c>
      <c r="L24" s="63"/>
      <c r="M24" s="251">
        <v>28.3</v>
      </c>
      <c r="N24" s="127">
        <v>25.606200000000001</v>
      </c>
      <c r="O24" s="252">
        <v>26.3</v>
      </c>
      <c r="P24" s="252">
        <v>28.8</v>
      </c>
      <c r="Q24" s="103">
        <v>25.87</v>
      </c>
      <c r="R24" s="252">
        <v>25.896000000000001</v>
      </c>
      <c r="S24" s="103">
        <v>25.796500000000002</v>
      </c>
      <c r="T24" s="252">
        <v>25.823499999999999</v>
      </c>
      <c r="U24" s="63"/>
      <c r="V24" s="252">
        <v>25.811599999999999</v>
      </c>
      <c r="W24" s="252">
        <v>25.4589</v>
      </c>
      <c r="X24" s="252">
        <v>25.7608</v>
      </c>
      <c r="Y24" s="103">
        <v>25.363800000000001</v>
      </c>
      <c r="Z24" s="252">
        <v>25.819900000000001</v>
      </c>
      <c r="AA24" s="252">
        <v>25.606200000000001</v>
      </c>
      <c r="AB24" s="66"/>
      <c r="AC24" s="255"/>
      <c r="AD24" s="256"/>
      <c r="AE24" s="256"/>
      <c r="AQ24" s="35" t="s">
        <v>3949</v>
      </c>
    </row>
    <row r="25" spans="2:43" ht="27" x14ac:dyDescent="0.35">
      <c r="B25" s="100" t="s">
        <v>3920</v>
      </c>
      <c r="C25" s="112">
        <v>1632803</v>
      </c>
      <c r="D25" s="112">
        <v>44603928</v>
      </c>
      <c r="E25" s="100">
        <v>20</v>
      </c>
      <c r="F25" s="100">
        <v>0.9</v>
      </c>
      <c r="G25" s="127">
        <v>209.047</v>
      </c>
      <c r="H25" s="126">
        <v>241.37</v>
      </c>
      <c r="I25" s="63">
        <v>225.59800000000001</v>
      </c>
      <c r="J25" s="63">
        <v>223.739</v>
      </c>
      <c r="K25" s="63">
        <v>231.708</v>
      </c>
      <c r="L25" s="63"/>
      <c r="M25" s="251">
        <v>511.9</v>
      </c>
      <c r="N25" s="127">
        <v>209.047</v>
      </c>
      <c r="O25" s="252">
        <v>210.2</v>
      </c>
      <c r="P25" s="252">
        <v>209.8</v>
      </c>
      <c r="Q25" s="252">
        <v>245.5</v>
      </c>
      <c r="R25" s="103">
        <v>209.167</v>
      </c>
      <c r="S25" s="252">
        <v>240.505</v>
      </c>
      <c r="T25" s="252">
        <v>232.48500000000001</v>
      </c>
      <c r="U25" s="63"/>
      <c r="V25" s="252">
        <v>209.15799999999999</v>
      </c>
      <c r="W25" s="252">
        <v>209.52</v>
      </c>
      <c r="X25" s="252">
        <v>210.24</v>
      </c>
      <c r="Y25" s="252">
        <v>209.98699999999999</v>
      </c>
      <c r="Z25" s="252">
        <v>209.31200000000001</v>
      </c>
      <c r="AA25" s="103">
        <v>209.047</v>
      </c>
      <c r="AB25" s="73"/>
      <c r="AC25" s="100"/>
      <c r="AD25" s="73"/>
      <c r="AE25" s="73"/>
      <c r="AQ25" s="35" t="s">
        <v>3949</v>
      </c>
    </row>
    <row r="26" spans="2:43" ht="27" x14ac:dyDescent="0.35">
      <c r="B26" s="100" t="s">
        <v>1528</v>
      </c>
      <c r="C26" s="112">
        <v>1402673</v>
      </c>
      <c r="D26" s="112">
        <v>5554838</v>
      </c>
      <c r="E26" s="73">
        <v>20</v>
      </c>
      <c r="F26" s="73">
        <v>0.8</v>
      </c>
      <c r="G26" s="127">
        <v>26.52</v>
      </c>
      <c r="H26" s="126">
        <v>26.64</v>
      </c>
      <c r="I26" s="63">
        <v>27.26</v>
      </c>
      <c r="J26" s="63">
        <v>27.1</v>
      </c>
      <c r="K26" s="63">
        <v>26.83</v>
      </c>
      <c r="L26" s="63"/>
      <c r="M26" s="251">
        <v>32.5</v>
      </c>
      <c r="N26" s="251">
        <v>26.52</v>
      </c>
      <c r="O26" s="103">
        <v>26.3</v>
      </c>
      <c r="P26" s="103">
        <v>26.3</v>
      </c>
      <c r="Q26" s="252">
        <v>82.89</v>
      </c>
      <c r="R26" s="103">
        <v>27.3</v>
      </c>
      <c r="S26" s="252">
        <v>82.09</v>
      </c>
      <c r="T26" s="252">
        <v>69.73</v>
      </c>
      <c r="U26" s="63"/>
      <c r="V26" s="252">
        <v>26.45</v>
      </c>
      <c r="W26" s="252">
        <v>27.1</v>
      </c>
      <c r="X26" s="252">
        <v>26.18</v>
      </c>
      <c r="Y26" s="103">
        <v>24.433499999999999</v>
      </c>
      <c r="Z26" s="252">
        <v>27.02</v>
      </c>
      <c r="AA26" s="252">
        <v>26.52</v>
      </c>
      <c r="AB26" s="73"/>
      <c r="AC26" s="255"/>
      <c r="AD26" s="255"/>
      <c r="AE26" s="255"/>
      <c r="AQ26" s="35" t="s">
        <v>3949</v>
      </c>
    </row>
    <row r="27" spans="2:43" ht="27" x14ac:dyDescent="0.35">
      <c r="B27" s="101" t="s">
        <v>1509</v>
      </c>
      <c r="C27" s="62">
        <v>154908</v>
      </c>
      <c r="D27" s="62">
        <v>654324</v>
      </c>
      <c r="E27" s="101">
        <v>8</v>
      </c>
      <c r="F27" s="101">
        <v>0.5</v>
      </c>
      <c r="G27" s="127">
        <v>6.27</v>
      </c>
      <c r="H27" s="126">
        <v>6.7788899999999996</v>
      </c>
      <c r="I27" s="63">
        <v>8.0405700000000007</v>
      </c>
      <c r="J27" s="63">
        <v>9.7837099999999992</v>
      </c>
      <c r="K27" s="63">
        <v>12.747199999999999</v>
      </c>
      <c r="L27" s="63"/>
      <c r="M27" s="251">
        <v>6.8</v>
      </c>
      <c r="N27" s="251">
        <v>6.27</v>
      </c>
      <c r="O27" s="252">
        <v>6.4</v>
      </c>
      <c r="P27" s="103">
        <v>6.2</v>
      </c>
      <c r="Q27" s="252">
        <v>6.3230000000000004</v>
      </c>
      <c r="R27" s="252">
        <v>6.28207</v>
      </c>
      <c r="S27" s="252">
        <v>6.3183299999999996</v>
      </c>
      <c r="T27" s="103">
        <v>6.2305400000000004</v>
      </c>
      <c r="U27" s="63"/>
      <c r="V27" s="252">
        <v>6.4306299999999998</v>
      </c>
      <c r="W27" s="252">
        <v>6.2770799999999998</v>
      </c>
      <c r="X27" s="103">
        <v>6.2133900000000004</v>
      </c>
      <c r="Y27" s="252">
        <v>6.2249999999999996</v>
      </c>
      <c r="Z27" s="252">
        <v>6.3498999999999999</v>
      </c>
      <c r="AA27" s="252">
        <v>6.27</v>
      </c>
      <c r="AB27" s="73"/>
      <c r="AC27" s="100"/>
      <c r="AD27" s="73"/>
      <c r="AE27" s="73"/>
      <c r="AQ27" s="35" t="s">
        <v>3949</v>
      </c>
    </row>
    <row r="28" spans="2:43" ht="27" x14ac:dyDescent="0.35">
      <c r="B28" s="100" t="s">
        <v>1514</v>
      </c>
      <c r="C28" s="112">
        <v>146005</v>
      </c>
      <c r="D28" s="112">
        <v>1313998</v>
      </c>
      <c r="E28" s="73">
        <v>5</v>
      </c>
      <c r="F28" s="73">
        <v>0.8</v>
      </c>
      <c r="G28" s="126">
        <v>8.5703300000000002</v>
      </c>
      <c r="H28" s="126">
        <v>7.2461500000000001</v>
      </c>
      <c r="I28" s="103">
        <v>6.96</v>
      </c>
      <c r="J28" s="63">
        <v>9.6504200000000004</v>
      </c>
      <c r="K28" s="63">
        <v>10.9556</v>
      </c>
      <c r="L28" s="63"/>
      <c r="M28" s="251">
        <v>10.199999999999999</v>
      </c>
      <c r="N28" s="127">
        <v>8.5703300000000002</v>
      </c>
      <c r="O28" s="252">
        <v>8.9</v>
      </c>
      <c r="P28" s="252">
        <v>8.8000000000000007</v>
      </c>
      <c r="Q28" s="103">
        <v>7.45</v>
      </c>
      <c r="R28" s="252">
        <v>7.7967500000000003</v>
      </c>
      <c r="S28" s="103">
        <v>7.45</v>
      </c>
      <c r="T28" s="252">
        <v>7.58</v>
      </c>
      <c r="U28" s="63"/>
      <c r="V28" s="252">
        <v>7.5447199999999999</v>
      </c>
      <c r="W28" s="103">
        <v>7.35</v>
      </c>
      <c r="X28" s="252">
        <v>7.5847300000000004</v>
      </c>
      <c r="Y28" s="252">
        <v>7.4551800000000004</v>
      </c>
      <c r="Z28" s="252">
        <v>7.3853600000000004</v>
      </c>
      <c r="AA28" s="252">
        <v>8.5703300000000002</v>
      </c>
      <c r="AB28" s="62"/>
      <c r="AC28" s="257"/>
      <c r="AD28" s="257"/>
      <c r="AE28" s="257"/>
      <c r="AQ28" s="35" t="s">
        <v>3949</v>
      </c>
    </row>
    <row r="29" spans="2:43" ht="27" x14ac:dyDescent="0.35">
      <c r="B29" s="100" t="s">
        <v>898</v>
      </c>
      <c r="C29" s="112">
        <v>51083</v>
      </c>
      <c r="D29" s="112">
        <v>233146</v>
      </c>
      <c r="E29" s="100">
        <v>6</v>
      </c>
      <c r="F29" s="100">
        <v>0.7</v>
      </c>
      <c r="G29" s="127">
        <v>1.37</v>
      </c>
      <c r="H29" s="126">
        <v>1.78</v>
      </c>
      <c r="I29" s="63">
        <v>1.79</v>
      </c>
      <c r="J29" s="63">
        <v>3.52</v>
      </c>
      <c r="K29" s="63">
        <v>3.57</v>
      </c>
      <c r="L29" s="63"/>
      <c r="M29" s="251">
        <v>1.9</v>
      </c>
      <c r="N29" s="127">
        <v>1.37</v>
      </c>
      <c r="O29" s="252">
        <v>1.5</v>
      </c>
      <c r="P29" s="252">
        <v>1.5</v>
      </c>
      <c r="Q29" s="252">
        <v>2.87</v>
      </c>
      <c r="R29" s="252">
        <v>2.09</v>
      </c>
      <c r="S29" s="252">
        <v>2.77</v>
      </c>
      <c r="T29" s="103">
        <v>1.56</v>
      </c>
      <c r="U29" s="63"/>
      <c r="V29" s="252">
        <v>1.45</v>
      </c>
      <c r="W29" s="252">
        <v>1.44</v>
      </c>
      <c r="X29" s="252">
        <v>1.41</v>
      </c>
      <c r="Y29" s="252">
        <v>1.5</v>
      </c>
      <c r="Z29" s="252">
        <v>1.45</v>
      </c>
      <c r="AA29" s="103">
        <v>3.37</v>
      </c>
      <c r="AC29" s="100"/>
      <c r="AD29" s="73"/>
      <c r="AE29" s="73"/>
      <c r="AQ29" s="35">
        <v>5.5105000000000001E-2</v>
      </c>
    </row>
    <row r="30" spans="2:43" ht="27" x14ac:dyDescent="0.35">
      <c r="B30" s="100" t="s">
        <v>3945</v>
      </c>
      <c r="C30" s="112">
        <v>50515</v>
      </c>
      <c r="D30" s="112">
        <v>1638180</v>
      </c>
      <c r="E30" s="73">
        <v>23</v>
      </c>
      <c r="F30" s="73">
        <v>0.9</v>
      </c>
      <c r="G30" s="126">
        <v>257.43</v>
      </c>
      <c r="H30" s="126">
        <v>256.22000000000003</v>
      </c>
      <c r="I30" s="63">
        <v>250.15</v>
      </c>
      <c r="J30" s="103">
        <v>238.97</v>
      </c>
      <c r="K30" s="63">
        <v>249.01</v>
      </c>
      <c r="L30" s="63"/>
      <c r="M30" s="251">
        <v>312.98</v>
      </c>
      <c r="N30" s="127">
        <v>257.43</v>
      </c>
      <c r="O30" s="252">
        <v>258.5</v>
      </c>
      <c r="P30" s="252">
        <v>259</v>
      </c>
      <c r="Q30" s="252">
        <v>282.95999999999998</v>
      </c>
      <c r="R30" s="252">
        <v>257.42</v>
      </c>
      <c r="S30" s="252">
        <v>252.36</v>
      </c>
      <c r="T30" s="103">
        <v>249.5</v>
      </c>
      <c r="U30" s="63"/>
      <c r="V30" s="252">
        <v>250.06</v>
      </c>
      <c r="W30" s="252">
        <v>249.88</v>
      </c>
      <c r="X30" s="103">
        <v>249.76</v>
      </c>
      <c r="Y30" s="252">
        <v>250.13</v>
      </c>
      <c r="Z30" s="252">
        <v>249.92</v>
      </c>
      <c r="AA30" s="252">
        <v>257.43</v>
      </c>
      <c r="AC30" s="255"/>
      <c r="AD30" s="255"/>
      <c r="AE30" s="255"/>
      <c r="AQ30" s="35">
        <v>34.506560999999998</v>
      </c>
    </row>
    <row r="31" spans="2:43" ht="27" x14ac:dyDescent="0.35">
      <c r="B31" s="100" t="s">
        <v>829</v>
      </c>
      <c r="C31" s="112">
        <v>39884</v>
      </c>
      <c r="D31" s="112">
        <v>152908</v>
      </c>
      <c r="E31" s="100">
        <v>7</v>
      </c>
      <c r="F31" s="100">
        <v>0.6</v>
      </c>
      <c r="G31" s="126">
        <v>7.05</v>
      </c>
      <c r="H31" s="126">
        <v>6.66</v>
      </c>
      <c r="I31" s="103">
        <v>4.6100000000000003</v>
      </c>
      <c r="J31" s="63">
        <v>5.43</v>
      </c>
      <c r="K31" s="63">
        <v>12.38</v>
      </c>
      <c r="L31" s="63"/>
      <c r="M31" s="251">
        <v>8.1999999999999993</v>
      </c>
      <c r="N31" s="127">
        <v>7.05</v>
      </c>
      <c r="O31" s="252">
        <v>7.2</v>
      </c>
      <c r="P31" s="252">
        <v>8.1</v>
      </c>
      <c r="Q31" s="103">
        <v>10.27</v>
      </c>
      <c r="R31" s="252">
        <v>8.8699999999999992</v>
      </c>
      <c r="S31" s="103">
        <v>5.57</v>
      </c>
      <c r="T31" s="252">
        <v>6.61</v>
      </c>
      <c r="U31" s="63"/>
      <c r="V31" s="252">
        <v>6.81</v>
      </c>
      <c r="W31" s="252">
        <v>3.23</v>
      </c>
      <c r="X31" s="103">
        <v>3.1</v>
      </c>
      <c r="Y31" s="252">
        <v>6.69</v>
      </c>
      <c r="Z31" s="252">
        <v>3.74</v>
      </c>
      <c r="AA31" s="252">
        <v>7.05</v>
      </c>
      <c r="AB31" s="62"/>
      <c r="AC31" s="100"/>
      <c r="AD31" s="73"/>
      <c r="AE31" s="73"/>
      <c r="AQ31" s="35">
        <v>5.5830380000000002</v>
      </c>
    </row>
    <row r="32" spans="2:43" ht="27" x14ac:dyDescent="0.35">
      <c r="B32" s="100" t="s">
        <v>593</v>
      </c>
      <c r="C32" s="112">
        <v>5111</v>
      </c>
      <c r="D32" s="112">
        <v>53698</v>
      </c>
      <c r="E32" s="100">
        <v>10</v>
      </c>
      <c r="F32" s="100">
        <v>0.72</v>
      </c>
      <c r="G32" s="126">
        <v>33.93</v>
      </c>
      <c r="H32" s="127">
        <v>32.020000000000003</v>
      </c>
      <c r="I32" s="63">
        <v>32.18</v>
      </c>
      <c r="J32" s="63">
        <v>33.39</v>
      </c>
      <c r="K32" s="63">
        <v>33.380000000000003</v>
      </c>
      <c r="L32" s="63"/>
      <c r="M32" s="127">
        <v>33.299999999999997</v>
      </c>
      <c r="N32" s="251">
        <v>33.93</v>
      </c>
      <c r="O32" s="252">
        <v>33.799999999999997</v>
      </c>
      <c r="P32" s="252">
        <v>33.9</v>
      </c>
      <c r="Q32" s="252">
        <v>52.93</v>
      </c>
      <c r="R32" s="103">
        <v>32.11</v>
      </c>
      <c r="S32" s="252">
        <v>52.63</v>
      </c>
      <c r="T32" s="252">
        <v>61.14</v>
      </c>
      <c r="U32" s="63"/>
      <c r="V32" s="252">
        <v>32.32</v>
      </c>
      <c r="W32" s="252">
        <v>32.92</v>
      </c>
      <c r="X32" s="252">
        <v>32.590000000000003</v>
      </c>
      <c r="Y32" s="103">
        <v>31.7</v>
      </c>
      <c r="Z32" s="252">
        <v>31.77</v>
      </c>
      <c r="AA32" s="252">
        <v>33.93</v>
      </c>
      <c r="AC32" s="255"/>
      <c r="AD32" s="255"/>
      <c r="AE32" s="255"/>
      <c r="AQ32" s="35">
        <v>117.90758099999999</v>
      </c>
    </row>
    <row r="33" spans="2:43" ht="27" x14ac:dyDescent="0.35">
      <c r="B33" s="100" t="s">
        <v>595</v>
      </c>
      <c r="C33" s="112">
        <v>2022</v>
      </c>
      <c r="D33" s="112">
        <v>22234</v>
      </c>
      <c r="E33" s="100">
        <v>10</v>
      </c>
      <c r="F33" s="100">
        <v>0.7</v>
      </c>
      <c r="G33" s="126">
        <v>106.2</v>
      </c>
      <c r="H33" s="127">
        <v>104.31</v>
      </c>
      <c r="I33" s="63">
        <v>104.6</v>
      </c>
      <c r="J33" s="63">
        <v>105.81</v>
      </c>
      <c r="K33" s="63">
        <v>106.03</v>
      </c>
      <c r="L33" s="63"/>
      <c r="M33" s="251">
        <v>185.3</v>
      </c>
      <c r="N33" s="127">
        <v>106.2</v>
      </c>
      <c r="O33" s="252">
        <v>106.8</v>
      </c>
      <c r="P33" s="252">
        <v>106.5</v>
      </c>
      <c r="Q33" s="103">
        <v>123.1</v>
      </c>
      <c r="R33" s="252">
        <v>106.2</v>
      </c>
      <c r="S33" s="103">
        <v>97.95</v>
      </c>
      <c r="T33" s="252">
        <v>98.44</v>
      </c>
      <c r="U33" s="63"/>
      <c r="V33" s="252">
        <v>99.34</v>
      </c>
      <c r="W33" s="103">
        <v>91.42</v>
      </c>
      <c r="X33" s="252">
        <v>96.11</v>
      </c>
      <c r="Y33" s="252">
        <v>96.93</v>
      </c>
      <c r="Z33" s="252">
        <v>99.26</v>
      </c>
      <c r="AA33" s="294">
        <v>106.2</v>
      </c>
      <c r="AC33" s="100"/>
      <c r="AD33" s="100"/>
      <c r="AE33" s="100"/>
      <c r="AQ33" s="35">
        <v>75.350153000000006</v>
      </c>
    </row>
    <row r="34" spans="2:43" ht="27" x14ac:dyDescent="0.35">
      <c r="B34" s="101"/>
      <c r="C34" s="62"/>
      <c r="D34" s="62"/>
      <c r="E34" s="101"/>
      <c r="F34" s="101"/>
      <c r="G34" s="63"/>
      <c r="H34" s="127"/>
      <c r="I34" s="63"/>
      <c r="J34" s="63"/>
      <c r="K34" s="63"/>
      <c r="L34" s="63"/>
      <c r="Y34" s="66"/>
      <c r="Z34" s="66"/>
      <c r="AA34" s="66"/>
      <c r="AB34" s="66"/>
      <c r="AC34" s="258"/>
      <c r="AD34" s="258"/>
      <c r="AE34" s="258"/>
      <c r="AQ34" s="35">
        <v>411.32039900000001</v>
      </c>
    </row>
    <row r="35" spans="2:43" ht="23" x14ac:dyDescent="0.3">
      <c r="B35" s="129" t="s">
        <v>3978</v>
      </c>
      <c r="C35" s="129" t="s">
        <v>3979</v>
      </c>
      <c r="G35" s="2"/>
      <c r="H35" s="2"/>
      <c r="I35" s="2"/>
      <c r="J35" s="2"/>
      <c r="Y35" s="64"/>
      <c r="Z35" s="69"/>
      <c r="AA35" s="67"/>
      <c r="AB35" s="68"/>
      <c r="AC35" s="68"/>
      <c r="AQ35" s="35">
        <v>516.02195900000004</v>
      </c>
    </row>
    <row r="36" spans="2:43" ht="23" x14ac:dyDescent="0.3">
      <c r="Y36" s="64"/>
      <c r="Z36" s="69"/>
      <c r="AA36" s="67"/>
      <c r="AB36" s="68"/>
      <c r="AC36" s="68"/>
      <c r="AQ36" s="35" t="s">
        <v>3949</v>
      </c>
    </row>
    <row r="37" spans="2:43" ht="27" x14ac:dyDescent="0.35">
      <c r="B37" s="66" t="s">
        <v>3941</v>
      </c>
      <c r="C37" s="66" t="s">
        <v>3962</v>
      </c>
      <c r="D37" s="66" t="s">
        <v>3963</v>
      </c>
      <c r="E37" s="66" t="s">
        <v>3947</v>
      </c>
      <c r="F37" s="66" t="s">
        <v>3948</v>
      </c>
      <c r="Y37" s="64"/>
      <c r="Z37" s="69"/>
      <c r="AA37" s="67"/>
      <c r="AB37" s="68"/>
      <c r="AC37" s="68"/>
      <c r="AQ37" s="35" t="s">
        <v>3949</v>
      </c>
    </row>
    <row r="38" spans="2:43" ht="28" x14ac:dyDescent="0.35">
      <c r="B38" s="100" t="s">
        <v>1531</v>
      </c>
      <c r="C38" s="112">
        <v>2523386</v>
      </c>
      <c r="D38" s="112">
        <v>15837602</v>
      </c>
      <c r="E38" s="73">
        <v>30</v>
      </c>
      <c r="F38" s="73">
        <v>0.95</v>
      </c>
      <c r="H38" s="128">
        <v>25.5215</v>
      </c>
      <c r="I38" s="113">
        <v>25.552</v>
      </c>
      <c r="J38" s="113">
        <v>26.8459</v>
      </c>
      <c r="K38" s="113">
        <v>27.9329</v>
      </c>
      <c r="L38" s="113">
        <v>29.8552</v>
      </c>
      <c r="Y38" s="64"/>
      <c r="Z38" s="69"/>
      <c r="AA38" s="67"/>
      <c r="AB38" s="68"/>
      <c r="AC38" s="68"/>
      <c r="AQ38" s="35" t="s">
        <v>3949</v>
      </c>
    </row>
    <row r="39" spans="2:43" ht="28" x14ac:dyDescent="0.35">
      <c r="B39" s="100" t="s">
        <v>3945</v>
      </c>
      <c r="C39" s="112">
        <v>50515</v>
      </c>
      <c r="D39" s="112">
        <v>1638180</v>
      </c>
      <c r="E39" s="73">
        <v>23</v>
      </c>
      <c r="F39" s="73">
        <v>0.9</v>
      </c>
      <c r="H39" s="128">
        <v>255.51</v>
      </c>
      <c r="I39" s="113">
        <v>256.94</v>
      </c>
      <c r="J39" s="113">
        <v>249.86</v>
      </c>
      <c r="K39" s="113">
        <v>240.99</v>
      </c>
      <c r="L39" s="113">
        <v>246.31</v>
      </c>
      <c r="Y39" s="64"/>
      <c r="Z39" s="69"/>
      <c r="AA39" s="67"/>
      <c r="AB39" s="68"/>
      <c r="AC39" s="68"/>
      <c r="AQ39" s="35" t="s">
        <v>3949</v>
      </c>
    </row>
    <row r="40" spans="2:43" ht="28" x14ac:dyDescent="0.35">
      <c r="B40" s="100" t="s">
        <v>1514</v>
      </c>
      <c r="C40" s="112">
        <v>146005</v>
      </c>
      <c r="D40" s="112">
        <v>1313998</v>
      </c>
      <c r="E40" s="73">
        <v>5</v>
      </c>
      <c r="F40" s="73">
        <v>0.8</v>
      </c>
      <c r="H40" s="128">
        <v>7.3872600000000004</v>
      </c>
      <c r="I40" s="113">
        <v>7.2299100000000003</v>
      </c>
      <c r="J40" s="113">
        <v>6.7700699999999996</v>
      </c>
      <c r="K40" s="113">
        <v>8.1105599999999995</v>
      </c>
      <c r="L40" s="113">
        <v>9.0817399999999999</v>
      </c>
      <c r="AQ40" s="35" t="s">
        <v>3949</v>
      </c>
    </row>
    <row r="41" spans="2:43" ht="28" x14ac:dyDescent="0.35">
      <c r="B41" s="100" t="s">
        <v>1528</v>
      </c>
      <c r="C41" s="112">
        <v>1402673</v>
      </c>
      <c r="D41" s="112">
        <v>5554838</v>
      </c>
      <c r="E41" s="73">
        <v>20</v>
      </c>
      <c r="F41" s="73">
        <v>0.8</v>
      </c>
      <c r="H41" s="128">
        <v>26.33</v>
      </c>
      <c r="I41" s="113">
        <v>25.67</v>
      </c>
      <c r="J41" s="113">
        <v>28.17</v>
      </c>
      <c r="K41" s="113">
        <v>27.3</v>
      </c>
      <c r="L41" s="113">
        <v>25.88</v>
      </c>
      <c r="AQ41" s="35" t="s">
        <v>3949</v>
      </c>
    </row>
    <row r="42" spans="2:43" ht="28" x14ac:dyDescent="0.35">
      <c r="B42" s="100" t="s">
        <v>3919</v>
      </c>
      <c r="C42" s="112">
        <v>2937612</v>
      </c>
      <c r="D42" s="112">
        <v>41919708</v>
      </c>
      <c r="E42" s="73">
        <v>20</v>
      </c>
      <c r="F42" s="73">
        <v>0.95</v>
      </c>
      <c r="H42" s="128">
        <v>610.38699999999994</v>
      </c>
      <c r="I42" s="113">
        <v>675.476</v>
      </c>
      <c r="J42" s="113">
        <v>627.38199999999995</v>
      </c>
      <c r="K42" s="113">
        <v>656</v>
      </c>
      <c r="L42" s="113">
        <v>682.59400000000005</v>
      </c>
      <c r="AQ42" s="35" t="s">
        <v>3949</v>
      </c>
    </row>
    <row r="43" spans="2:43" ht="28" x14ac:dyDescent="0.35">
      <c r="B43" s="100" t="s">
        <v>3920</v>
      </c>
      <c r="C43" s="112">
        <v>1632803</v>
      </c>
      <c r="D43" s="112">
        <v>44603928</v>
      </c>
      <c r="E43" s="100">
        <v>20</v>
      </c>
      <c r="F43" s="100">
        <v>0.9</v>
      </c>
      <c r="H43" s="128">
        <v>219.577</v>
      </c>
      <c r="I43" s="113">
        <v>239.60499999999999</v>
      </c>
      <c r="J43" s="113">
        <v>223.58199999999999</v>
      </c>
      <c r="K43" s="113">
        <v>231.99</v>
      </c>
      <c r="L43" s="113">
        <v>237.648</v>
      </c>
      <c r="AQ43" s="35" t="s">
        <v>3949</v>
      </c>
    </row>
    <row r="44" spans="2:43" ht="28" x14ac:dyDescent="0.35">
      <c r="B44" s="100" t="s">
        <v>593</v>
      </c>
      <c r="C44" s="112">
        <v>5111</v>
      </c>
      <c r="D44" s="112">
        <v>53698</v>
      </c>
      <c r="E44" s="100">
        <v>10</v>
      </c>
      <c r="F44" s="100">
        <v>0.72</v>
      </c>
      <c r="H44" s="128">
        <v>31.87</v>
      </c>
      <c r="I44" s="113">
        <v>32</v>
      </c>
      <c r="J44" s="113">
        <v>31.43</v>
      </c>
      <c r="K44" s="113">
        <v>31.91</v>
      </c>
      <c r="L44" s="113">
        <v>32.130000000000003</v>
      </c>
      <c r="AQ44" s="35" t="s">
        <v>3949</v>
      </c>
    </row>
    <row r="45" spans="2:43" ht="28" x14ac:dyDescent="0.35">
      <c r="B45" s="100" t="s">
        <v>595</v>
      </c>
      <c r="C45" s="112">
        <v>2022</v>
      </c>
      <c r="D45" s="112">
        <v>22234</v>
      </c>
      <c r="E45" s="100">
        <v>10</v>
      </c>
      <c r="F45" s="100">
        <v>0.7</v>
      </c>
      <c r="H45" s="128">
        <v>106.2</v>
      </c>
      <c r="I45" s="128">
        <v>104.31</v>
      </c>
      <c r="J45" s="128">
        <v>104.6</v>
      </c>
      <c r="K45" s="128">
        <v>105.81</v>
      </c>
      <c r="L45" s="128">
        <v>106.03</v>
      </c>
      <c r="AQ45" s="35" t="s">
        <v>3949</v>
      </c>
    </row>
    <row r="46" spans="2:43" ht="28" x14ac:dyDescent="0.35">
      <c r="B46" s="100" t="s">
        <v>829</v>
      </c>
      <c r="C46" s="112">
        <v>39884</v>
      </c>
      <c r="D46" s="112">
        <v>152908</v>
      </c>
      <c r="E46" s="100">
        <v>7</v>
      </c>
      <c r="F46" s="100">
        <v>0.6</v>
      </c>
      <c r="H46" s="128">
        <v>7.05</v>
      </c>
      <c r="I46" s="128">
        <v>6.66</v>
      </c>
      <c r="J46" s="128">
        <v>4.6100000000000003</v>
      </c>
      <c r="K46" s="128">
        <v>5.43</v>
      </c>
      <c r="L46" s="128">
        <v>12.38</v>
      </c>
      <c r="AQ46" s="35">
        <v>122.148618</v>
      </c>
    </row>
    <row r="47" spans="2:43" ht="28" x14ac:dyDescent="0.35">
      <c r="B47" s="100" t="s">
        <v>898</v>
      </c>
      <c r="C47" s="112">
        <v>51083</v>
      </c>
      <c r="D47" s="112">
        <v>233146</v>
      </c>
      <c r="E47" s="100">
        <v>6</v>
      </c>
      <c r="F47" s="100">
        <v>0.7</v>
      </c>
      <c r="H47" s="128">
        <v>1.75</v>
      </c>
      <c r="I47" s="113">
        <v>1.77</v>
      </c>
      <c r="J47" s="113">
        <v>1.7</v>
      </c>
      <c r="K47" s="113">
        <v>1.71</v>
      </c>
      <c r="L47" s="113">
        <v>1.61</v>
      </c>
      <c r="AQ47" s="35">
        <v>398.639387</v>
      </c>
    </row>
    <row r="48" spans="2:43" ht="28" x14ac:dyDescent="0.35">
      <c r="B48" s="101" t="s">
        <v>1509</v>
      </c>
      <c r="C48" s="62">
        <v>154908</v>
      </c>
      <c r="D48" s="62">
        <v>654324</v>
      </c>
      <c r="E48" s="101">
        <v>8</v>
      </c>
      <c r="F48" s="101">
        <v>0.5</v>
      </c>
      <c r="H48" s="128">
        <v>6.3066500000000003</v>
      </c>
      <c r="I48" s="113">
        <v>7.1625300000000003</v>
      </c>
      <c r="J48" s="113">
        <v>7.90381</v>
      </c>
      <c r="K48" s="113">
        <v>8.1948100000000004</v>
      </c>
      <c r="L48" s="113">
        <v>10.58</v>
      </c>
      <c r="AQ48" s="35">
        <v>681.58641899999998</v>
      </c>
    </row>
    <row r="49" spans="43:43" ht="22" x14ac:dyDescent="0.25">
      <c r="AQ49" s="35" t="s">
        <v>3949</v>
      </c>
    </row>
    <row r="50" spans="43:43" ht="22" x14ac:dyDescent="0.25">
      <c r="AQ50" s="35" t="s">
        <v>3949</v>
      </c>
    </row>
    <row r="51" spans="43:43" ht="22" x14ac:dyDescent="0.25">
      <c r="AQ51" s="35">
        <v>259.05960099999999</v>
      </c>
    </row>
    <row r="52" spans="43:43" ht="22" x14ac:dyDescent="0.25">
      <c r="AQ52" s="35" t="s">
        <v>3949</v>
      </c>
    </row>
    <row r="53" spans="43:43" ht="22" x14ac:dyDescent="0.25">
      <c r="AQ53" s="35" t="s">
        <v>3949</v>
      </c>
    </row>
    <row r="54" spans="43:43" ht="22" x14ac:dyDescent="0.25">
      <c r="AQ54" s="35" t="s">
        <v>3949</v>
      </c>
    </row>
    <row r="55" spans="43:43" ht="22" x14ac:dyDescent="0.25">
      <c r="AQ55" s="97">
        <v>2038.237151</v>
      </c>
    </row>
    <row r="56" spans="43:43" ht="22" x14ac:dyDescent="0.25">
      <c r="AQ56" s="35" t="s">
        <v>3949</v>
      </c>
    </row>
    <row r="57" spans="43:43" ht="22" x14ac:dyDescent="0.25">
      <c r="AQ57" s="35" t="s">
        <v>3949</v>
      </c>
    </row>
    <row r="58" spans="43:43" ht="22" x14ac:dyDescent="0.25">
      <c r="AQ58" s="35" t="s">
        <v>3949</v>
      </c>
    </row>
    <row r="59" spans="43:43" ht="22" x14ac:dyDescent="0.25">
      <c r="AQ59" s="35">
        <v>142.51957999999999</v>
      </c>
    </row>
    <row r="60" spans="43:43" ht="22" x14ac:dyDescent="0.25">
      <c r="AQ60" s="35"/>
    </row>
    <row r="61" spans="43:43" ht="22" x14ac:dyDescent="0.25">
      <c r="AQ61" s="35">
        <v>126.505053</v>
      </c>
    </row>
    <row r="62" spans="43:43" ht="22" x14ac:dyDescent="0.25">
      <c r="AQ62" s="97">
        <v>1844.568945</v>
      </c>
    </row>
    <row r="63" spans="43:43" ht="22" x14ac:dyDescent="0.25">
      <c r="AQ63" s="35" t="s">
        <v>3949</v>
      </c>
    </row>
    <row r="64" spans="43:43" ht="22" x14ac:dyDescent="0.25">
      <c r="AQ64" s="35">
        <v>579.55940199999998</v>
      </c>
    </row>
    <row r="65" spans="43:43" ht="22" x14ac:dyDescent="0.25">
      <c r="AQ65" s="35" t="s">
        <v>3949</v>
      </c>
    </row>
    <row r="66" spans="43:43" ht="22" x14ac:dyDescent="0.25">
      <c r="AQ66" s="35" t="s">
        <v>3949</v>
      </c>
    </row>
    <row r="67" spans="43:43" ht="22" x14ac:dyDescent="0.25">
      <c r="AQ67" s="35" t="s">
        <v>3949</v>
      </c>
    </row>
    <row r="68" spans="43:43" ht="22" x14ac:dyDescent="0.25">
      <c r="AQ68" s="35" t="s">
        <v>3949</v>
      </c>
    </row>
    <row r="69" spans="43:43" ht="22" x14ac:dyDescent="0.25">
      <c r="AQ69" s="35" t="s">
        <v>3949</v>
      </c>
    </row>
    <row r="70" spans="43:43" ht="22" x14ac:dyDescent="0.25">
      <c r="AQ70" s="35" t="s">
        <v>3949</v>
      </c>
    </row>
    <row r="71" spans="43:43" ht="22" x14ac:dyDescent="0.25">
      <c r="AQ71" s="35" t="s">
        <v>3949</v>
      </c>
    </row>
    <row r="72" spans="43:43" ht="22" x14ac:dyDescent="0.25">
      <c r="AQ72" s="35">
        <v>22.9221</v>
      </c>
    </row>
    <row r="73" spans="43:43" ht="22" x14ac:dyDescent="0.25">
      <c r="AQ73" s="35">
        <v>18.058859000000002</v>
      </c>
    </row>
    <row r="74" spans="43:43" ht="22" x14ac:dyDescent="0.25">
      <c r="AQ74" s="35" t="s">
        <v>3949</v>
      </c>
    </row>
    <row r="75" spans="43:43" ht="22" x14ac:dyDescent="0.25">
      <c r="AQ75" s="35">
        <v>131.51616200000001</v>
      </c>
    </row>
    <row r="76" spans="43:43" ht="22" x14ac:dyDescent="0.25">
      <c r="AQ76" s="35" t="s">
        <v>3949</v>
      </c>
    </row>
    <row r="77" spans="43:43" ht="22" x14ac:dyDescent="0.25">
      <c r="AQ77" s="35" t="s">
        <v>3949</v>
      </c>
    </row>
    <row r="78" spans="43:43" ht="22" x14ac:dyDescent="0.25">
      <c r="AQ78" s="35">
        <v>267.42445199999997</v>
      </c>
    </row>
    <row r="79" spans="43:43" ht="22" x14ac:dyDescent="0.25">
      <c r="AQ79" s="35" t="s">
        <v>3949</v>
      </c>
    </row>
    <row r="80" spans="43:43" ht="22" x14ac:dyDescent="0.25">
      <c r="AQ80" s="35" t="s">
        <v>3949</v>
      </c>
    </row>
    <row r="81" spans="43:43" ht="22" x14ac:dyDescent="0.25">
      <c r="AQ81" s="35" t="s">
        <v>3949</v>
      </c>
    </row>
    <row r="82" spans="43:43" ht="22" x14ac:dyDescent="0.25">
      <c r="AQ82" s="35">
        <v>784.80277100000001</v>
      </c>
    </row>
    <row r="83" spans="43:43" ht="22" x14ac:dyDescent="0.25">
      <c r="AQ83" s="35" t="s">
        <v>3949</v>
      </c>
    </row>
    <row r="84" spans="43:43" ht="22" x14ac:dyDescent="0.25">
      <c r="AQ84" s="35" t="s">
        <v>3949</v>
      </c>
    </row>
    <row r="85" spans="43:43" ht="22" x14ac:dyDescent="0.25">
      <c r="AQ85" s="35" t="s">
        <v>3949</v>
      </c>
    </row>
    <row r="86" spans="43:43" ht="22" x14ac:dyDescent="0.25">
      <c r="AQ86" s="35" t="s">
        <v>3949</v>
      </c>
    </row>
    <row r="87" spans="43:43" ht="22" x14ac:dyDescent="0.25">
      <c r="AQ87" s="35" t="s">
        <v>3949</v>
      </c>
    </row>
  </sheetData>
  <mergeCells count="2">
    <mergeCell ref="U7:V7"/>
    <mergeCell ref="H3:N3"/>
  </mergeCells>
  <phoneticPr fontId="5" type="noConversion"/>
  <pageMargins left="0.7" right="0.7" top="0.75" bottom="0.75" header="0.3" footer="0.3"/>
  <pageSetup orientation="portrait" horizontalDpi="0" verticalDpi="0"/>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V88"/>
  <sheetViews>
    <sheetView topLeftCell="S1" zoomScale="75" workbookViewId="0">
      <selection activeCell="AC5" sqref="AC5"/>
    </sheetView>
  </sheetViews>
  <sheetFormatPr baseColWidth="10" defaultRowHeight="16" x14ac:dyDescent="0.2"/>
  <cols>
    <col min="1" max="1" width="11.33203125" customWidth="1"/>
    <col min="2" max="2" width="50" bestFit="1" customWidth="1"/>
    <col min="3" max="5" width="15.1640625" customWidth="1"/>
    <col min="6" max="7" width="16.83203125" customWidth="1"/>
    <col min="8" max="8" width="18.6640625" customWidth="1"/>
    <col min="9" max="9" width="17.1640625" customWidth="1"/>
    <col min="10" max="10" width="11.33203125" customWidth="1"/>
    <col min="11" max="13" width="16.83203125" customWidth="1"/>
    <col min="14" max="15" width="18.6640625" customWidth="1"/>
    <col min="16" max="16" width="12.5" customWidth="1"/>
    <col min="17" max="17" width="11.33203125" bestFit="1" customWidth="1"/>
    <col min="18" max="22" width="11.1640625" bestFit="1" customWidth="1"/>
    <col min="23" max="23" width="18.1640625" customWidth="1"/>
    <col min="24" max="27" width="17.6640625" customWidth="1"/>
    <col min="28" max="28" width="18.1640625" customWidth="1"/>
    <col min="29" max="30" width="18.6640625" customWidth="1"/>
    <col min="31" max="31" width="20.5" customWidth="1"/>
    <col min="32" max="33" width="18.6640625" customWidth="1"/>
    <col min="34" max="34" width="21.33203125" customWidth="1"/>
    <col min="35" max="36" width="11" bestFit="1" customWidth="1"/>
    <col min="37" max="37" width="11" customWidth="1"/>
    <col min="38" max="42" width="11" bestFit="1" customWidth="1"/>
    <col min="43" max="43" width="11" customWidth="1"/>
    <col min="44" max="48" width="11" bestFit="1" customWidth="1"/>
    <col min="49" max="49" width="11" customWidth="1"/>
    <col min="50" max="54" width="11" bestFit="1" customWidth="1"/>
    <col min="55" max="55" width="11" customWidth="1"/>
    <col min="56" max="56" width="11" bestFit="1" customWidth="1"/>
    <col min="57" max="57" width="16.6640625" bestFit="1" customWidth="1"/>
    <col min="58" max="60" width="11" bestFit="1" customWidth="1"/>
    <col min="61" max="61" width="11" customWidth="1"/>
    <col min="62" max="66" width="11" bestFit="1" customWidth="1"/>
  </cols>
  <sheetData>
    <row r="2" spans="1:74" ht="17" thickBot="1" x14ac:dyDescent="0.25"/>
    <row r="3" spans="1:74" ht="22" x14ac:dyDescent="0.3">
      <c r="C3" s="135"/>
      <c r="D3" s="136"/>
      <c r="E3" s="158" t="s">
        <v>3984</v>
      </c>
      <c r="F3" s="136"/>
      <c r="G3" s="137"/>
      <c r="K3" s="135"/>
      <c r="L3" s="136"/>
      <c r="M3" s="158" t="s">
        <v>3984</v>
      </c>
      <c r="N3" s="136"/>
      <c r="O3" s="137"/>
    </row>
    <row r="4" spans="1:74" ht="30" thickBot="1" x14ac:dyDescent="0.4">
      <c r="C4" s="138"/>
      <c r="D4" s="139" t="s">
        <v>3982</v>
      </c>
      <c r="E4" s="134"/>
      <c r="F4" s="134"/>
      <c r="G4" s="140"/>
      <c r="H4" s="134"/>
      <c r="I4" s="134"/>
      <c r="J4" s="134"/>
      <c r="K4" s="152"/>
      <c r="L4" s="139" t="s">
        <v>3983</v>
      </c>
      <c r="M4" s="134"/>
      <c r="O4" s="143"/>
      <c r="Q4" s="37" t="s">
        <v>3986</v>
      </c>
      <c r="R4" s="37"/>
      <c r="T4" s="37"/>
      <c r="U4" s="37"/>
      <c r="V4" s="37"/>
      <c r="W4" s="37"/>
      <c r="X4" s="37" t="s">
        <v>4084</v>
      </c>
      <c r="Z4" s="37"/>
      <c r="AA4" s="37"/>
      <c r="AB4" s="37"/>
      <c r="AC4" s="37" t="s">
        <v>4086</v>
      </c>
      <c r="AD4" s="37"/>
      <c r="AF4" s="37"/>
      <c r="AH4" s="37"/>
    </row>
    <row r="5" spans="1:74" ht="27" x14ac:dyDescent="0.35">
      <c r="A5" t="s">
        <v>19</v>
      </c>
      <c r="B5" t="s">
        <v>20</v>
      </c>
      <c r="C5" s="141" t="s">
        <v>4030</v>
      </c>
      <c r="D5" s="102" t="s">
        <v>4031</v>
      </c>
      <c r="E5" s="102" t="s">
        <v>4032</v>
      </c>
      <c r="F5" s="102" t="s">
        <v>4033</v>
      </c>
      <c r="G5" s="142" t="s">
        <v>4034</v>
      </c>
      <c r="H5" s="102" t="s">
        <v>21</v>
      </c>
      <c r="I5" s="102" t="s">
        <v>3985</v>
      </c>
      <c r="J5" t="s">
        <v>22</v>
      </c>
      <c r="K5" s="141" t="s">
        <v>4035</v>
      </c>
      <c r="L5" s="102" t="s">
        <v>4036</v>
      </c>
      <c r="M5" s="102" t="s">
        <v>4037</v>
      </c>
      <c r="N5" s="102" t="s">
        <v>4038</v>
      </c>
      <c r="O5" s="142" t="s">
        <v>4039</v>
      </c>
      <c r="P5" t="s">
        <v>4040</v>
      </c>
      <c r="Q5" s="37" t="s">
        <v>4041</v>
      </c>
      <c r="R5" s="37" t="s">
        <v>4042</v>
      </c>
      <c r="S5" s="37" t="s">
        <v>4043</v>
      </c>
      <c r="T5" s="37" t="s">
        <v>4044</v>
      </c>
      <c r="U5" s="37" t="s">
        <v>4045</v>
      </c>
      <c r="V5" s="37" t="s">
        <v>4046</v>
      </c>
      <c r="W5" s="37" t="s">
        <v>4047</v>
      </c>
      <c r="X5" s="66" t="s">
        <v>4054</v>
      </c>
      <c r="Y5" s="66" t="s">
        <v>4055</v>
      </c>
      <c r="Z5" s="66" t="s">
        <v>4085</v>
      </c>
      <c r="AA5" s="66" t="s">
        <v>4056</v>
      </c>
      <c r="AB5" s="37" t="s">
        <v>4049</v>
      </c>
      <c r="AC5" s="220" t="s">
        <v>4057</v>
      </c>
      <c r="AD5" s="220" t="s">
        <v>4058</v>
      </c>
      <c r="AE5" s="220" t="s">
        <v>4059</v>
      </c>
      <c r="AF5" s="51" t="s">
        <v>4050</v>
      </c>
      <c r="AG5" s="50" t="s">
        <v>4051</v>
      </c>
      <c r="AH5" s="50" t="s">
        <v>4052</v>
      </c>
    </row>
    <row r="6" spans="1:74" ht="27" x14ac:dyDescent="0.35">
      <c r="A6" s="29">
        <f>COUNTIF($B$66:$B$85, Table3[[#This Row],[Column2]])</f>
        <v>1</v>
      </c>
      <c r="B6" s="130" t="s">
        <v>1443</v>
      </c>
      <c r="C6" s="144">
        <v>480.50233200000002</v>
      </c>
      <c r="D6" s="145">
        <v>481.87422600000002</v>
      </c>
      <c r="E6" s="145">
        <v>482.22959900000001</v>
      </c>
      <c r="F6" s="133" t="s">
        <v>3949</v>
      </c>
      <c r="G6" s="146" t="s">
        <v>3949</v>
      </c>
      <c r="H6" s="133"/>
      <c r="I6" s="159">
        <v>486.47726599999999</v>
      </c>
      <c r="J6" s="133"/>
      <c r="K6" s="153">
        <v>482.29</v>
      </c>
      <c r="L6" s="133">
        <v>483.67</v>
      </c>
      <c r="M6" s="133">
        <v>483.7</v>
      </c>
      <c r="N6" s="148">
        <v>481.55</v>
      </c>
      <c r="O6" s="146">
        <v>484.21</v>
      </c>
      <c r="Q6" s="214">
        <v>483.24074300000001</v>
      </c>
      <c r="R6" s="214">
        <v>483.10757000000001</v>
      </c>
      <c r="S6" s="214">
        <v>155.49039400000001</v>
      </c>
      <c r="T6" s="213">
        <v>112.903085</v>
      </c>
      <c r="U6" s="214">
        <v>152.04214400000001</v>
      </c>
      <c r="V6" s="214">
        <v>232.393632</v>
      </c>
      <c r="W6" s="36"/>
      <c r="X6" s="216">
        <v>115.540869</v>
      </c>
      <c r="Y6" s="216">
        <v>113.74836000000001</v>
      </c>
      <c r="Z6" s="213">
        <v>112.903085</v>
      </c>
      <c r="AA6" s="216">
        <v>481.58137299999999</v>
      </c>
      <c r="AB6" s="47"/>
      <c r="AC6" s="47">
        <v>290.20250499999997</v>
      </c>
      <c r="AD6" s="47">
        <v>212.31437099999999</v>
      </c>
      <c r="AE6" s="47">
        <v>219.225978</v>
      </c>
      <c r="AF6" s="53">
        <v>112.903085</v>
      </c>
      <c r="AG6" s="47">
        <v>117.703698</v>
      </c>
      <c r="AH6" s="49">
        <v>112.49026000000001</v>
      </c>
      <c r="AI6" s="62"/>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row>
    <row r="7" spans="1:74" ht="27" x14ac:dyDescent="0.35">
      <c r="A7" s="29">
        <f>COUNTIF($B$66:$B$85, Table3[[#This Row],[Column2]])</f>
        <v>1</v>
      </c>
      <c r="B7" s="130" t="s">
        <v>1452</v>
      </c>
      <c r="C7" s="144">
        <v>408.43992700000001</v>
      </c>
      <c r="D7" s="145">
        <v>409.93960600000003</v>
      </c>
      <c r="E7" s="145">
        <v>408.84357299999999</v>
      </c>
      <c r="F7" s="133" t="s">
        <v>3949</v>
      </c>
      <c r="G7" s="146" t="s">
        <v>3949</v>
      </c>
      <c r="H7" s="133"/>
      <c r="I7" s="160">
        <v>433.71</v>
      </c>
      <c r="J7" s="133"/>
      <c r="K7" s="153">
        <v>533.07000000000005</v>
      </c>
      <c r="L7" s="148">
        <v>493.98</v>
      </c>
      <c r="M7" s="133">
        <v>535.04</v>
      </c>
      <c r="N7" s="133">
        <v>410.39</v>
      </c>
      <c r="O7" s="146">
        <v>416.68</v>
      </c>
      <c r="Q7" s="214">
        <v>409.96209800000003</v>
      </c>
      <c r="R7" s="214">
        <v>409.669872</v>
      </c>
      <c r="S7" s="214">
        <v>233.49492100000001</v>
      </c>
      <c r="T7" s="213">
        <v>102.65375299999999</v>
      </c>
      <c r="U7" s="214">
        <v>127.477468</v>
      </c>
      <c r="V7" s="214">
        <v>131.19798299999999</v>
      </c>
      <c r="W7" s="36"/>
      <c r="X7" s="216">
        <v>158.815515</v>
      </c>
      <c r="Y7" s="216">
        <v>158.78734499999999</v>
      </c>
      <c r="Z7" s="213">
        <v>102.65375299999999</v>
      </c>
      <c r="AA7" s="216">
        <v>107.884688</v>
      </c>
      <c r="AB7" s="47"/>
      <c r="AC7" s="47">
        <v>227.95205000000001</v>
      </c>
      <c r="AD7" s="47">
        <v>146.46047200000001</v>
      </c>
      <c r="AE7" s="47">
        <v>110.535961</v>
      </c>
      <c r="AF7" s="52">
        <v>102.65375299999999</v>
      </c>
      <c r="AG7" s="47">
        <v>158.772211</v>
      </c>
      <c r="AH7" s="47">
        <v>158.31874500000001</v>
      </c>
      <c r="AI7" s="62"/>
      <c r="AJ7" s="36"/>
      <c r="AK7" s="36"/>
      <c r="AL7" s="36"/>
      <c r="AM7" s="36"/>
      <c r="AN7" s="36"/>
      <c r="AO7" s="36"/>
      <c r="AP7" s="36"/>
      <c r="AQ7" s="36"/>
      <c r="AR7" s="36"/>
      <c r="AS7" s="36"/>
      <c r="AT7" s="36"/>
      <c r="AU7" s="36"/>
      <c r="AV7" s="36"/>
      <c r="AW7" s="36"/>
      <c r="AX7" s="36"/>
      <c r="AY7" s="36"/>
      <c r="AZ7" s="36"/>
      <c r="BA7" s="36"/>
      <c r="BB7" s="36"/>
      <c r="BC7" s="36"/>
      <c r="BD7" s="36"/>
      <c r="BE7" s="46"/>
      <c r="BF7" s="28"/>
      <c r="BG7" s="28"/>
      <c r="BH7" s="28"/>
      <c r="BI7" s="28"/>
      <c r="BJ7" s="28"/>
      <c r="BK7" s="28"/>
      <c r="BL7" s="28"/>
      <c r="BM7" s="28"/>
      <c r="BN7" s="28"/>
      <c r="BO7" s="45"/>
      <c r="BP7" s="45"/>
      <c r="BQ7" s="45"/>
      <c r="BR7" s="45"/>
      <c r="BS7" s="45"/>
      <c r="BT7" s="45"/>
      <c r="BU7" s="45"/>
      <c r="BV7" s="45"/>
    </row>
    <row r="8" spans="1:74" s="89" customFormat="1" ht="27" x14ac:dyDescent="0.35">
      <c r="A8" s="234">
        <f>COUNTIF($B$66:$B$85, Table3[[#This Row],[Column2]])</f>
        <v>1</v>
      </c>
      <c r="B8" s="235" t="s">
        <v>1451</v>
      </c>
      <c r="C8" s="236">
        <v>230.25</v>
      </c>
      <c r="D8" s="237">
        <v>199.82</v>
      </c>
      <c r="E8" s="237">
        <v>277.10000000000002</v>
      </c>
      <c r="F8" s="238">
        <v>399.02</v>
      </c>
      <c r="G8" s="239" t="s">
        <v>3949</v>
      </c>
      <c r="H8" s="238"/>
      <c r="I8" s="240">
        <v>224.11627300000001</v>
      </c>
      <c r="J8" s="238"/>
      <c r="K8" s="241">
        <v>244.35</v>
      </c>
      <c r="L8" s="238">
        <v>237.14</v>
      </c>
      <c r="M8" s="238">
        <v>341.32</v>
      </c>
      <c r="N8" s="238" t="s">
        <v>3949</v>
      </c>
      <c r="O8" s="239" t="s">
        <v>3949</v>
      </c>
      <c r="Q8" s="242">
        <v>222.03</v>
      </c>
      <c r="R8" s="242">
        <v>208.46</v>
      </c>
      <c r="S8" s="242">
        <v>207.12</v>
      </c>
      <c r="T8" s="243">
        <v>179.01</v>
      </c>
      <c r="U8" s="242">
        <v>209.66</v>
      </c>
      <c r="V8" s="242">
        <v>296.62</v>
      </c>
      <c r="W8" s="242"/>
      <c r="X8" s="244">
        <v>186.83</v>
      </c>
      <c r="Y8" s="244">
        <v>208.92</v>
      </c>
      <c r="Z8" s="243">
        <v>179.01</v>
      </c>
      <c r="AA8" s="244">
        <v>180.45</v>
      </c>
      <c r="AB8" s="244"/>
      <c r="AC8" s="244">
        <v>366.31294000000003</v>
      </c>
      <c r="AD8" s="244">
        <v>247.88588100000001</v>
      </c>
      <c r="AE8" s="244">
        <v>188.43</v>
      </c>
      <c r="AF8" s="245">
        <v>179.01</v>
      </c>
      <c r="AG8" s="244">
        <v>196.86</v>
      </c>
      <c r="AH8" s="244">
        <v>198.21</v>
      </c>
      <c r="AI8" s="62"/>
      <c r="AJ8" s="242"/>
      <c r="AK8" s="242"/>
      <c r="AL8" s="242"/>
      <c r="AM8" s="242"/>
      <c r="AN8" s="242"/>
      <c r="AO8" s="242"/>
      <c r="AP8" s="242"/>
      <c r="AQ8" s="242"/>
      <c r="AR8" s="242"/>
      <c r="AS8" s="242"/>
      <c r="AT8" s="242"/>
      <c r="AU8" s="242"/>
      <c r="AV8" s="242"/>
      <c r="AW8" s="242"/>
      <c r="AX8" s="242"/>
      <c r="AY8" s="242"/>
      <c r="AZ8" s="242"/>
      <c r="BA8" s="242"/>
      <c r="BB8" s="242"/>
      <c r="BC8" s="242"/>
      <c r="BD8" s="242"/>
      <c r="BE8" s="246"/>
      <c r="BF8" s="247"/>
      <c r="BG8" s="247"/>
      <c r="BH8" s="247"/>
      <c r="BI8" s="247"/>
      <c r="BJ8" s="247"/>
      <c r="BK8" s="247"/>
      <c r="BL8" s="247"/>
      <c r="BM8" s="247"/>
      <c r="BN8" s="247"/>
      <c r="BO8" s="248"/>
      <c r="BP8" s="248"/>
      <c r="BQ8" s="248"/>
      <c r="BR8" s="248"/>
      <c r="BS8" s="248"/>
      <c r="BT8" s="248"/>
      <c r="BU8" s="248"/>
      <c r="BV8" s="248"/>
    </row>
    <row r="9" spans="1:74" ht="27" hidden="1" x14ac:dyDescent="0.35">
      <c r="A9" s="29">
        <f>COUNTIF($B$66:$B$85, Table3[[#This Row],[Column2]])</f>
        <v>0</v>
      </c>
      <c r="B9" s="130" t="s">
        <v>3915</v>
      </c>
      <c r="C9" s="144">
        <v>147.16481300000001</v>
      </c>
      <c r="D9" s="145">
        <v>147.67106799999999</v>
      </c>
      <c r="E9" s="145">
        <v>147.59754899999999</v>
      </c>
      <c r="F9" s="133">
        <v>147.342815</v>
      </c>
      <c r="G9" s="146">
        <v>148.60625400000001</v>
      </c>
      <c r="H9" s="133"/>
      <c r="I9" s="159">
        <v>150.722433</v>
      </c>
      <c r="J9" s="133"/>
      <c r="K9" s="153">
        <v>298.855345</v>
      </c>
      <c r="L9" s="133">
        <v>222.62359000000001</v>
      </c>
      <c r="M9" s="133">
        <v>177.88664399999999</v>
      </c>
      <c r="N9" s="133">
        <v>154.969684</v>
      </c>
      <c r="O9" s="154">
        <v>149.45618200000001</v>
      </c>
      <c r="Q9" s="214">
        <v>148.01795899999999</v>
      </c>
      <c r="R9" s="214">
        <v>117.444413</v>
      </c>
      <c r="S9" s="214">
        <v>117.253396</v>
      </c>
      <c r="T9" s="213">
        <v>99.896929</v>
      </c>
      <c r="U9" s="214">
        <v>111.39627</v>
      </c>
      <c r="V9" s="214">
        <v>114.213594</v>
      </c>
      <c r="W9" s="36"/>
      <c r="X9" s="216">
        <v>113.522623</v>
      </c>
      <c r="Y9" s="216">
        <v>117.372834</v>
      </c>
      <c r="Z9" s="215">
        <v>99.896929</v>
      </c>
      <c r="AA9" s="49">
        <v>95.238877000000002</v>
      </c>
      <c r="AB9" s="47"/>
      <c r="AC9" s="47">
        <v>235.20723799999999</v>
      </c>
      <c r="AD9" s="47">
        <v>165.55021500000001</v>
      </c>
      <c r="AE9" s="47">
        <v>105.904168</v>
      </c>
      <c r="AF9" s="52">
        <v>99.896929</v>
      </c>
      <c r="AG9" s="47">
        <v>114.997193</v>
      </c>
      <c r="AH9" s="47">
        <v>113.29454699999999</v>
      </c>
      <c r="AI9" s="62"/>
      <c r="AJ9" s="36"/>
      <c r="AK9" s="36"/>
      <c r="AL9" s="36"/>
      <c r="AM9" s="36"/>
      <c r="AN9" s="36"/>
      <c r="AO9" s="36"/>
      <c r="AP9" s="36"/>
      <c r="AQ9" s="36"/>
      <c r="AR9" s="36"/>
      <c r="AS9" s="36"/>
      <c r="AT9" s="36"/>
      <c r="AU9" s="36"/>
      <c r="AV9" s="36"/>
      <c r="AW9" s="36"/>
      <c r="AX9" s="36"/>
      <c r="AY9" s="36"/>
      <c r="AZ9" s="36"/>
      <c r="BA9" s="36"/>
      <c r="BB9" s="36"/>
      <c r="BC9" s="36"/>
      <c r="BD9" s="36"/>
      <c r="BE9" s="46"/>
      <c r="BF9" s="28"/>
      <c r="BG9" s="28"/>
      <c r="BH9" s="28"/>
      <c r="BI9" s="28"/>
      <c r="BJ9" s="28"/>
      <c r="BK9" s="28"/>
      <c r="BL9" s="28"/>
      <c r="BM9" s="28"/>
      <c r="BN9" s="28"/>
      <c r="BO9" s="45"/>
      <c r="BP9" s="45"/>
      <c r="BQ9" s="45"/>
      <c r="BR9" s="45"/>
      <c r="BS9" s="45"/>
      <c r="BT9" s="45"/>
      <c r="BU9" s="45"/>
      <c r="BV9" s="45"/>
    </row>
    <row r="10" spans="1:74" ht="27" x14ac:dyDescent="0.35">
      <c r="A10" s="29">
        <f>COUNTIF($B$66:$B$85, Table3[[#This Row],[Column2]])</f>
        <v>1</v>
      </c>
      <c r="B10" s="130" t="s">
        <v>10</v>
      </c>
      <c r="C10" s="171">
        <v>96.03</v>
      </c>
      <c r="D10" s="147">
        <v>74.099999999999994</v>
      </c>
      <c r="E10" s="145">
        <v>109.98</v>
      </c>
      <c r="F10" s="133">
        <v>203.36</v>
      </c>
      <c r="G10" s="146">
        <v>307.68</v>
      </c>
      <c r="H10" s="133"/>
      <c r="I10" s="159">
        <v>107.39003200000001</v>
      </c>
      <c r="J10" s="133"/>
      <c r="K10" s="155">
        <v>102.66005</v>
      </c>
      <c r="L10" s="133">
        <v>94.61</v>
      </c>
      <c r="M10" s="133">
        <v>237.97</v>
      </c>
      <c r="N10" s="133">
        <v>201.53</v>
      </c>
      <c r="O10" s="146">
        <v>336.25</v>
      </c>
      <c r="Q10" s="214">
        <v>110.69</v>
      </c>
      <c r="R10" s="214">
        <v>88.23</v>
      </c>
      <c r="S10" s="214">
        <v>85.9</v>
      </c>
      <c r="T10" s="215">
        <v>68.88</v>
      </c>
      <c r="U10" s="48">
        <v>68.03</v>
      </c>
      <c r="V10" s="214">
        <v>87.64</v>
      </c>
      <c r="W10" s="36"/>
      <c r="X10" s="216">
        <v>114.41</v>
      </c>
      <c r="Y10" s="216">
        <v>95.39</v>
      </c>
      <c r="Z10" s="215">
        <v>68.88</v>
      </c>
      <c r="AA10" s="49">
        <v>68.58</v>
      </c>
      <c r="AB10" s="47"/>
      <c r="AC10" s="47">
        <v>185.74227500000001</v>
      </c>
      <c r="AD10" s="47">
        <v>75.894947999999999</v>
      </c>
      <c r="AE10" s="47">
        <v>72.180000000000007</v>
      </c>
      <c r="AF10" s="52">
        <v>68.88</v>
      </c>
      <c r="AG10" s="47">
        <v>70.69</v>
      </c>
      <c r="AH10" s="47">
        <v>83.83</v>
      </c>
      <c r="AI10" s="62"/>
      <c r="AJ10" s="36"/>
      <c r="AK10" s="36"/>
      <c r="AL10" s="36"/>
      <c r="AM10" s="36"/>
      <c r="AN10" s="36"/>
      <c r="AO10" s="36"/>
      <c r="AP10" s="36"/>
      <c r="AQ10" s="36"/>
      <c r="AR10" s="36"/>
      <c r="AS10" s="36"/>
      <c r="AT10" s="36"/>
      <c r="AU10" s="36"/>
      <c r="AV10" s="36"/>
      <c r="AW10" s="36"/>
      <c r="AX10" s="36"/>
      <c r="AY10" s="36"/>
      <c r="AZ10" s="36"/>
      <c r="BA10" s="36"/>
      <c r="BB10" s="36"/>
      <c r="BC10" s="36"/>
      <c r="BD10" s="36"/>
      <c r="BE10" s="46"/>
      <c r="BF10" s="28"/>
      <c r="BG10" s="28"/>
      <c r="BH10" s="28"/>
      <c r="BI10" s="28"/>
      <c r="BJ10" s="28"/>
      <c r="BK10" s="28"/>
      <c r="BL10" s="28"/>
      <c r="BM10" s="28"/>
      <c r="BN10" s="28"/>
      <c r="BO10" s="45"/>
      <c r="BP10" s="45"/>
      <c r="BQ10" s="45"/>
      <c r="BR10" s="45"/>
      <c r="BS10" s="45"/>
      <c r="BT10" s="45"/>
      <c r="BU10" s="45"/>
      <c r="BV10" s="45"/>
    </row>
    <row r="11" spans="1:74" ht="27" x14ac:dyDescent="0.35">
      <c r="A11" s="29">
        <f>COUNTIF($B$66:$B$85, Table3[[#This Row],[Column2]])</f>
        <v>1</v>
      </c>
      <c r="B11" s="131" t="s">
        <v>1455</v>
      </c>
      <c r="C11" s="171">
        <v>89.1</v>
      </c>
      <c r="D11" s="147">
        <v>60.69</v>
      </c>
      <c r="E11" s="145">
        <v>72.95</v>
      </c>
      <c r="F11" s="133">
        <v>188.55</v>
      </c>
      <c r="G11" s="146">
        <v>313.02</v>
      </c>
      <c r="H11" s="133"/>
      <c r="I11" s="159">
        <v>105.59741699999999</v>
      </c>
      <c r="J11" s="133"/>
      <c r="K11" s="153">
        <v>98.549729999999997</v>
      </c>
      <c r="L11" s="133">
        <v>90.007458</v>
      </c>
      <c r="M11" s="148">
        <v>68.193467999999996</v>
      </c>
      <c r="N11" s="133">
        <v>137.09</v>
      </c>
      <c r="O11" s="146">
        <v>371.67</v>
      </c>
      <c r="Q11" s="214">
        <v>87.221371000000005</v>
      </c>
      <c r="R11" s="214">
        <v>87.869332999999997</v>
      </c>
      <c r="S11" s="214">
        <v>224.937985</v>
      </c>
      <c r="T11" s="213">
        <v>46.755004999999997</v>
      </c>
      <c r="U11" s="214">
        <v>49.471721000000002</v>
      </c>
      <c r="V11" s="214">
        <v>47.949492999999997</v>
      </c>
      <c r="W11" s="36"/>
      <c r="X11" s="216">
        <v>53.094441000000003</v>
      </c>
      <c r="Y11" s="216">
        <v>55.725318999999999</v>
      </c>
      <c r="Z11" s="215">
        <v>46.755004999999997</v>
      </c>
      <c r="AA11" s="49">
        <v>44.93468</v>
      </c>
      <c r="AB11" s="47"/>
      <c r="AC11" s="47">
        <v>252.189437</v>
      </c>
      <c r="AD11" s="47">
        <v>128.34603200000001</v>
      </c>
      <c r="AE11" s="47">
        <v>55.894243000000003</v>
      </c>
      <c r="AF11" s="52">
        <v>46.755004999999997</v>
      </c>
      <c r="AG11" s="47">
        <v>49.481327</v>
      </c>
      <c r="AH11" s="47">
        <v>60.598072000000002</v>
      </c>
      <c r="AI11" s="62"/>
      <c r="AJ11" s="36"/>
      <c r="AK11" s="36"/>
      <c r="AL11" s="36"/>
      <c r="AM11" s="36"/>
      <c r="AN11" s="36"/>
      <c r="AO11" s="36"/>
      <c r="AP11" s="36"/>
      <c r="AQ11" s="36"/>
      <c r="AR11" s="36"/>
      <c r="AS11" s="36"/>
      <c r="AT11" s="36"/>
      <c r="AU11" s="36"/>
      <c r="AV11" s="36"/>
      <c r="AW11" s="36"/>
      <c r="AX11" s="36"/>
      <c r="AY11" s="36"/>
      <c r="AZ11" s="36"/>
      <c r="BA11" s="36"/>
      <c r="BB11" s="36"/>
      <c r="BC11" s="36"/>
      <c r="BD11" s="36"/>
      <c r="BE11" s="46"/>
      <c r="BF11" s="28"/>
      <c r="BG11" s="28"/>
      <c r="BH11" s="28"/>
      <c r="BI11" s="28"/>
      <c r="BJ11" s="28"/>
      <c r="BK11" s="28"/>
      <c r="BL11" s="28"/>
      <c r="BM11" s="28"/>
      <c r="BN11" s="28"/>
      <c r="BO11" s="45"/>
      <c r="BP11" s="45"/>
      <c r="BQ11" s="45"/>
      <c r="BR11" s="45"/>
      <c r="BS11" s="45"/>
      <c r="BT11" s="45"/>
      <c r="BU11" s="45"/>
      <c r="BV11" s="45"/>
    </row>
    <row r="12" spans="1:74" s="228" customFormat="1" ht="27" x14ac:dyDescent="0.35">
      <c r="A12" s="221">
        <f>COUNTIF($B$66:$B$85, Table3[[#This Row],[Column2]])</f>
        <v>1</v>
      </c>
      <c r="B12" s="233" t="s">
        <v>6</v>
      </c>
      <c r="C12" s="222">
        <v>82.3</v>
      </c>
      <c r="D12" s="223">
        <v>56.98</v>
      </c>
      <c r="E12" s="223">
        <v>108.35</v>
      </c>
      <c r="F12" s="224">
        <v>149.66</v>
      </c>
      <c r="G12" s="225">
        <v>287.95999999999998</v>
      </c>
      <c r="H12" s="224"/>
      <c r="I12" s="226">
        <v>85.151685000000001</v>
      </c>
      <c r="J12" s="224"/>
      <c r="K12" s="227">
        <v>81.377047000000005</v>
      </c>
      <c r="L12" s="224">
        <v>88.42</v>
      </c>
      <c r="M12" s="224">
        <v>119.17</v>
      </c>
      <c r="N12" s="224">
        <v>179.5</v>
      </c>
      <c r="O12" s="225">
        <v>462.78</v>
      </c>
      <c r="Q12" s="214">
        <v>73.161520999999993</v>
      </c>
      <c r="R12" s="214">
        <v>51.549084000000001</v>
      </c>
      <c r="S12" s="214">
        <v>54.580070999999997</v>
      </c>
      <c r="T12" s="215">
        <v>51.644970999999998</v>
      </c>
      <c r="U12" s="214">
        <v>56.343842000000002</v>
      </c>
      <c r="V12" s="214">
        <v>55.058587000000003</v>
      </c>
      <c r="W12" s="214"/>
      <c r="X12" s="216">
        <v>49.711768999999997</v>
      </c>
      <c r="Y12" s="216">
        <v>48.272415000000002</v>
      </c>
      <c r="Z12" s="215">
        <v>51.644970999999998</v>
      </c>
      <c r="AA12" s="216">
        <v>66.013968000000006</v>
      </c>
      <c r="AB12" s="216"/>
      <c r="AC12" s="216">
        <v>220.51928899999999</v>
      </c>
      <c r="AD12" s="216">
        <v>73.065562</v>
      </c>
      <c r="AE12" s="216">
        <v>53.567227000000003</v>
      </c>
      <c r="AF12" s="229">
        <v>51.644970999999998</v>
      </c>
      <c r="AG12" s="216">
        <v>52.136221999999997</v>
      </c>
      <c r="AH12" s="216">
        <v>47.340725999999997</v>
      </c>
      <c r="AI12" s="62"/>
      <c r="AJ12" s="214"/>
      <c r="AK12" s="214"/>
      <c r="AL12" s="214"/>
      <c r="AM12" s="214"/>
      <c r="AN12" s="214"/>
      <c r="AO12" s="214"/>
      <c r="AP12" s="214"/>
      <c r="AQ12" s="214"/>
      <c r="AR12" s="214"/>
      <c r="AS12" s="214"/>
      <c r="AT12" s="214"/>
      <c r="AU12" s="214"/>
      <c r="AV12" s="214"/>
      <c r="AW12" s="214"/>
      <c r="AX12" s="214"/>
      <c r="AY12" s="214"/>
      <c r="AZ12" s="214"/>
      <c r="BA12" s="214"/>
      <c r="BB12" s="214"/>
      <c r="BC12" s="214"/>
      <c r="BD12" s="214"/>
      <c r="BE12" s="230"/>
      <c r="BF12" s="231"/>
      <c r="BG12" s="231"/>
      <c r="BH12" s="231"/>
      <c r="BI12" s="231"/>
      <c r="BJ12" s="231"/>
      <c r="BK12" s="231"/>
      <c r="BL12" s="231"/>
      <c r="BM12" s="231"/>
      <c r="BN12" s="231"/>
      <c r="BO12" s="232"/>
      <c r="BP12" s="232"/>
      <c r="BQ12" s="232"/>
      <c r="BR12" s="232"/>
      <c r="BS12" s="232"/>
      <c r="BT12" s="232"/>
      <c r="BU12" s="232"/>
      <c r="BV12" s="232"/>
    </row>
    <row r="13" spans="1:74" ht="27" x14ac:dyDescent="0.35">
      <c r="A13" s="29">
        <f>COUNTIF($B$66:$B$85, Table3[[#This Row],[Column2]])</f>
        <v>1</v>
      </c>
      <c r="B13" s="130" t="s">
        <v>1442</v>
      </c>
      <c r="C13" s="144">
        <v>73.16</v>
      </c>
      <c r="D13" s="145">
        <v>73.61</v>
      </c>
      <c r="E13" s="145">
        <v>105.13</v>
      </c>
      <c r="F13" s="133">
        <v>143.32</v>
      </c>
      <c r="G13" s="146">
        <v>138.19</v>
      </c>
      <c r="H13" s="133"/>
      <c r="I13" s="159">
        <v>127.82051300000001</v>
      </c>
      <c r="J13" s="133"/>
      <c r="K13" s="155">
        <v>77.150000000000006</v>
      </c>
      <c r="L13" s="133">
        <v>85.97</v>
      </c>
      <c r="M13" s="133">
        <v>124.01</v>
      </c>
      <c r="N13" s="133">
        <v>300.63</v>
      </c>
      <c r="O13" s="146">
        <v>208.46</v>
      </c>
      <c r="Q13" s="214">
        <v>61.25</v>
      </c>
      <c r="R13" s="214">
        <v>55.4</v>
      </c>
      <c r="S13" s="214">
        <v>51.67</v>
      </c>
      <c r="T13" s="213">
        <v>47.39</v>
      </c>
      <c r="U13" s="214">
        <v>67.884190000000004</v>
      </c>
      <c r="V13" s="214">
        <v>68.568365</v>
      </c>
      <c r="W13" s="36"/>
      <c r="X13" s="216">
        <v>45.93</v>
      </c>
      <c r="Y13" s="216">
        <v>45.5</v>
      </c>
      <c r="Z13" s="215">
        <v>47.39</v>
      </c>
      <c r="AA13" s="216">
        <v>64.45</v>
      </c>
      <c r="AB13" s="47"/>
      <c r="AC13" s="47">
        <v>177.93314100000001</v>
      </c>
      <c r="AD13" s="47">
        <v>60.797257999999999</v>
      </c>
      <c r="AE13" s="47">
        <v>47.976934999999997</v>
      </c>
      <c r="AF13" s="53">
        <v>47.39</v>
      </c>
      <c r="AG13" s="47">
        <v>46.54</v>
      </c>
      <c r="AH13" s="49">
        <v>45.09</v>
      </c>
      <c r="AI13" s="62"/>
      <c r="AJ13" s="36"/>
      <c r="AK13" s="36"/>
      <c r="AL13" s="36"/>
      <c r="AM13" s="36"/>
      <c r="AN13" s="36"/>
      <c r="AO13" s="36"/>
      <c r="AP13" s="36"/>
      <c r="AQ13" s="36"/>
      <c r="AR13" s="36"/>
      <c r="AS13" s="36"/>
      <c r="AT13" s="36"/>
      <c r="AU13" s="36"/>
      <c r="AV13" s="36"/>
      <c r="AW13" s="36"/>
      <c r="AX13" s="36"/>
      <c r="AY13" s="36"/>
      <c r="AZ13" s="36"/>
      <c r="BA13" s="36"/>
      <c r="BB13" s="36"/>
      <c r="BC13" s="36"/>
      <c r="BD13" s="36"/>
      <c r="BE13" s="46"/>
      <c r="BF13" s="28"/>
      <c r="BG13" s="28"/>
      <c r="BH13" s="28"/>
      <c r="BI13" s="28"/>
      <c r="BJ13" s="28"/>
      <c r="BK13" s="28"/>
      <c r="BL13" s="28"/>
      <c r="BM13" s="28"/>
      <c r="BN13" s="28"/>
      <c r="BO13" s="45"/>
      <c r="BP13" s="45"/>
      <c r="BQ13" s="45"/>
      <c r="BR13" s="45"/>
      <c r="BS13" s="45"/>
      <c r="BT13" s="45"/>
      <c r="BU13" s="45"/>
      <c r="BV13" s="45"/>
    </row>
    <row r="14" spans="1:74" ht="27" hidden="1" x14ac:dyDescent="0.35">
      <c r="A14" s="29">
        <f>COUNTIF($B$66:$B$85, Table3[[#This Row],[Column2]])</f>
        <v>0</v>
      </c>
      <c r="B14" s="131" t="s">
        <v>3</v>
      </c>
      <c r="C14" s="171">
        <v>79.47</v>
      </c>
      <c r="D14" s="147">
        <v>49.67</v>
      </c>
      <c r="E14" s="145">
        <v>68.349999999999994</v>
      </c>
      <c r="F14" s="133">
        <v>87.58</v>
      </c>
      <c r="G14" s="146">
        <v>237.14</v>
      </c>
      <c r="H14" s="133"/>
      <c r="I14" s="159">
        <v>68.285578000000001</v>
      </c>
      <c r="J14" s="133"/>
      <c r="K14" s="153">
        <v>70.334790999999996</v>
      </c>
      <c r="L14" s="133">
        <v>68.683041000000003</v>
      </c>
      <c r="M14" s="148">
        <v>51.47</v>
      </c>
      <c r="N14" s="133">
        <v>120.83</v>
      </c>
      <c r="O14" s="146">
        <v>194.61</v>
      </c>
      <c r="Q14" s="214">
        <v>66.055835000000002</v>
      </c>
      <c r="R14" s="214">
        <v>65.141924000000003</v>
      </c>
      <c r="S14" s="214">
        <v>52.820692999999999</v>
      </c>
      <c r="T14" s="213">
        <v>33.600096000000001</v>
      </c>
      <c r="U14" s="214">
        <v>39.033437999999997</v>
      </c>
      <c r="V14" s="214">
        <v>44.031193000000002</v>
      </c>
      <c r="W14" s="36"/>
      <c r="X14" s="216">
        <v>39.974317999999997</v>
      </c>
      <c r="Y14" s="216">
        <v>38.977046000000001</v>
      </c>
      <c r="Z14" s="213">
        <v>33.600096000000001</v>
      </c>
      <c r="AA14" s="216">
        <v>56.950386000000002</v>
      </c>
      <c r="AB14" s="47"/>
      <c r="AC14" s="47">
        <v>185.77413799999999</v>
      </c>
      <c r="AD14" s="47">
        <v>98.172737999999995</v>
      </c>
      <c r="AE14" s="47">
        <v>39.690215000000002</v>
      </c>
      <c r="AF14" s="52">
        <v>33.600096000000001</v>
      </c>
      <c r="AG14" s="47">
        <v>37.755488999999997</v>
      </c>
      <c r="AH14" s="47">
        <v>39.671416000000001</v>
      </c>
      <c r="AI14" s="62"/>
      <c r="AJ14" s="36"/>
      <c r="AK14" s="36"/>
      <c r="AL14" s="36"/>
      <c r="AM14" s="36"/>
      <c r="AN14" s="36"/>
      <c r="AO14" s="36"/>
      <c r="AP14" s="36"/>
      <c r="AQ14" s="36"/>
      <c r="AR14" s="36"/>
      <c r="AS14" s="36"/>
      <c r="AT14" s="36"/>
      <c r="AU14" s="36"/>
      <c r="AV14" s="36"/>
      <c r="AW14" s="36"/>
      <c r="AX14" s="36"/>
      <c r="AY14" s="36"/>
      <c r="AZ14" s="36"/>
      <c r="BA14" s="36"/>
      <c r="BB14" s="36"/>
      <c r="BC14" s="36"/>
      <c r="BD14" s="36"/>
      <c r="BE14" s="46"/>
      <c r="BF14" s="28"/>
      <c r="BG14" s="28"/>
      <c r="BH14" s="28"/>
      <c r="BI14" s="28"/>
      <c r="BJ14" s="28"/>
      <c r="BK14" s="28"/>
      <c r="BL14" s="28"/>
      <c r="BM14" s="28"/>
      <c r="BN14" s="28"/>
      <c r="BO14" s="45"/>
      <c r="BP14" s="45"/>
      <c r="BQ14" s="45"/>
      <c r="BR14" s="45"/>
      <c r="BS14" s="45"/>
      <c r="BT14" s="45"/>
      <c r="BU14" s="45"/>
      <c r="BV14" s="45"/>
    </row>
    <row r="15" spans="1:74" ht="27" hidden="1" x14ac:dyDescent="0.35">
      <c r="A15" s="29">
        <f>COUNTIF($B$66:$B$85, Table3[[#This Row],[Column2]])</f>
        <v>0</v>
      </c>
      <c r="B15" s="130" t="s">
        <v>18</v>
      </c>
      <c r="C15" s="171">
        <v>61.918590000000002</v>
      </c>
      <c r="D15" s="145">
        <v>62.740836999999999</v>
      </c>
      <c r="E15" s="145">
        <v>63.556215999999999</v>
      </c>
      <c r="F15" s="148">
        <v>61.332785000000001</v>
      </c>
      <c r="G15" s="146">
        <v>62.111897999999997</v>
      </c>
      <c r="H15" s="133"/>
      <c r="I15" s="159">
        <v>64.861952000000002</v>
      </c>
      <c r="J15" s="133"/>
      <c r="K15" s="153">
        <v>63.634293999999997</v>
      </c>
      <c r="L15" s="133">
        <v>64.287988999999996</v>
      </c>
      <c r="M15" s="148">
        <v>62.000332999999998</v>
      </c>
      <c r="N15" s="133">
        <v>62.674104</v>
      </c>
      <c r="O15" s="146">
        <v>63.360495</v>
      </c>
      <c r="Q15" s="214">
        <v>24.758717999999998</v>
      </c>
      <c r="R15" s="214">
        <v>24.749466000000002</v>
      </c>
      <c r="S15" s="48">
        <v>19.958494000000002</v>
      </c>
      <c r="T15" s="215">
        <v>23.840702</v>
      </c>
      <c r="U15" s="214">
        <v>21.826519999999999</v>
      </c>
      <c r="V15" s="214">
        <v>27.610979</v>
      </c>
      <c r="W15" s="36"/>
      <c r="X15" s="216">
        <v>21.860433</v>
      </c>
      <c r="Y15" s="216">
        <v>23.659047999999999</v>
      </c>
      <c r="Z15" s="215">
        <v>23.840702</v>
      </c>
      <c r="AA15" s="216">
        <v>31.746943999999999</v>
      </c>
      <c r="AB15" s="47"/>
      <c r="AC15" s="47">
        <v>106.600942</v>
      </c>
      <c r="AD15" s="47">
        <v>42.497396000000002</v>
      </c>
      <c r="AE15" s="47">
        <v>25.398516000000001</v>
      </c>
      <c r="AF15" s="53">
        <v>23.840702</v>
      </c>
      <c r="AG15" s="49">
        <v>19.814515</v>
      </c>
      <c r="AH15" s="47">
        <v>19.934488999999999</v>
      </c>
      <c r="AI15" s="62"/>
      <c r="AJ15" s="36"/>
      <c r="AK15" s="36"/>
      <c r="AL15" s="36"/>
      <c r="AM15" s="36"/>
      <c r="AN15" s="36"/>
      <c r="AO15" s="36"/>
      <c r="AP15" s="36"/>
      <c r="AQ15" s="36"/>
      <c r="AR15" s="36"/>
      <c r="AS15" s="36"/>
      <c r="AT15" s="36"/>
      <c r="AU15" s="36"/>
      <c r="AV15" s="36"/>
      <c r="AW15" s="36"/>
      <c r="AX15" s="36"/>
      <c r="AY15" s="36"/>
      <c r="AZ15" s="36"/>
      <c r="BA15" s="36"/>
      <c r="BB15" s="36"/>
      <c r="BC15" s="36"/>
      <c r="BD15" s="36"/>
      <c r="BE15" s="46"/>
      <c r="BF15" s="28"/>
      <c r="BG15" s="28"/>
      <c r="BH15" s="28"/>
      <c r="BI15" s="28"/>
      <c r="BJ15" s="28"/>
      <c r="BK15" s="28"/>
      <c r="BL15" s="28"/>
      <c r="BM15" s="28"/>
      <c r="BN15" s="28"/>
      <c r="BO15" s="45"/>
      <c r="BP15" s="45"/>
      <c r="BQ15" s="45"/>
      <c r="BR15" s="45"/>
      <c r="BS15" s="45"/>
      <c r="BT15" s="45"/>
      <c r="BU15" s="45"/>
      <c r="BV15" s="45"/>
    </row>
    <row r="16" spans="1:74" ht="27" hidden="1" x14ac:dyDescent="0.35">
      <c r="A16" s="29">
        <f>COUNTIF($B$66:$B$85, Table3[[#This Row],[Column2]])</f>
        <v>0</v>
      </c>
      <c r="B16" s="130" t="s">
        <v>1446</v>
      </c>
      <c r="C16" s="171">
        <v>59.053721000000003</v>
      </c>
      <c r="D16" s="145">
        <v>59.539616000000002</v>
      </c>
      <c r="E16" s="145">
        <v>59.867089999999997</v>
      </c>
      <c r="F16" s="148">
        <v>58.733823000000001</v>
      </c>
      <c r="G16" s="146">
        <v>59.468420999999999</v>
      </c>
      <c r="H16" s="133"/>
      <c r="I16" s="159">
        <v>59.816648000000001</v>
      </c>
      <c r="J16" s="133"/>
      <c r="K16" s="153">
        <v>65.812229000000002</v>
      </c>
      <c r="L16" s="133">
        <v>62.560637999999997</v>
      </c>
      <c r="M16" s="133">
        <v>60.020798999999997</v>
      </c>
      <c r="N16" s="148">
        <v>59.580123999999998</v>
      </c>
      <c r="O16" s="146">
        <v>60.220030000000001</v>
      </c>
      <c r="Q16" s="214">
        <v>53.374034000000002</v>
      </c>
      <c r="R16" s="214">
        <v>53.369149</v>
      </c>
      <c r="S16" s="214">
        <v>53.509408999999998</v>
      </c>
      <c r="T16" s="215">
        <v>53.737893</v>
      </c>
      <c r="U16" s="214">
        <v>46.999664000000003</v>
      </c>
      <c r="V16" s="48">
        <v>46.870593999999997</v>
      </c>
      <c r="W16" s="36"/>
      <c r="X16" s="216">
        <v>53.511260999999998</v>
      </c>
      <c r="Y16" s="216">
        <v>53.257292</v>
      </c>
      <c r="Z16" s="215">
        <v>53.737893</v>
      </c>
      <c r="AA16" s="216">
        <v>58.429667000000002</v>
      </c>
      <c r="AB16" s="47"/>
      <c r="AC16" s="47">
        <v>33.062224999999998</v>
      </c>
      <c r="AD16" s="47">
        <v>25.254218000000002</v>
      </c>
      <c r="AE16" s="49">
        <v>21.486362</v>
      </c>
      <c r="AF16" s="53">
        <v>53.737893</v>
      </c>
      <c r="AG16" s="47">
        <v>54.077883999999997</v>
      </c>
      <c r="AH16" s="47">
        <v>52.715510999999999</v>
      </c>
      <c r="AI16" s="62"/>
      <c r="AJ16" s="36"/>
      <c r="AK16" s="36"/>
      <c r="AL16" s="36"/>
      <c r="AM16" s="36"/>
      <c r="AN16" s="36"/>
      <c r="AO16" s="36"/>
      <c r="AP16" s="36"/>
      <c r="AQ16" s="36"/>
      <c r="AR16" s="36"/>
      <c r="AS16" s="36"/>
      <c r="AT16" s="36"/>
      <c r="AU16" s="36"/>
      <c r="AV16" s="36"/>
      <c r="AW16" s="36"/>
      <c r="AX16" s="36"/>
      <c r="AY16" s="36"/>
      <c r="AZ16" s="36"/>
      <c r="BA16" s="36"/>
      <c r="BB16" s="36"/>
      <c r="BC16" s="36"/>
      <c r="BD16" s="36"/>
      <c r="BE16" s="46"/>
      <c r="BF16" s="28"/>
      <c r="BG16" s="28"/>
      <c r="BH16" s="28"/>
      <c r="BI16" s="28"/>
      <c r="BJ16" s="28"/>
      <c r="BK16" s="28"/>
      <c r="BL16" s="28"/>
      <c r="BM16" s="28"/>
      <c r="BN16" s="28"/>
      <c r="BO16" s="45"/>
      <c r="BP16" s="45"/>
      <c r="BQ16" s="45"/>
      <c r="BR16" s="45"/>
      <c r="BS16" s="45"/>
      <c r="BT16" s="45"/>
      <c r="BU16" s="45"/>
      <c r="BV16" s="45"/>
    </row>
    <row r="17" spans="1:74" ht="27" x14ac:dyDescent="0.35">
      <c r="A17" s="29">
        <f>COUNTIF($B$66:$B$85, Table3[[#This Row],[Column2]])</f>
        <v>1</v>
      </c>
      <c r="B17" s="131" t="s">
        <v>1456</v>
      </c>
      <c r="C17" s="171">
        <v>71.069999999999993</v>
      </c>
      <c r="D17" s="147">
        <v>46.29</v>
      </c>
      <c r="E17" s="145">
        <v>57.88</v>
      </c>
      <c r="F17" s="133">
        <v>49.87</v>
      </c>
      <c r="G17" s="146">
        <v>156.57</v>
      </c>
      <c r="H17" s="133"/>
      <c r="I17" s="159">
        <v>84.078997999999999</v>
      </c>
      <c r="J17" s="133"/>
      <c r="K17" s="153">
        <v>58.391376000000001</v>
      </c>
      <c r="L17" s="133">
        <v>52.55547</v>
      </c>
      <c r="M17" s="148">
        <v>47.680912999999997</v>
      </c>
      <c r="N17" s="133">
        <v>73.08</v>
      </c>
      <c r="O17" s="146">
        <v>209.69</v>
      </c>
      <c r="Q17" s="214">
        <v>52.699129999999997</v>
      </c>
      <c r="R17" s="214">
        <v>52.940660999999999</v>
      </c>
      <c r="S17" s="214">
        <v>43.071998999999998</v>
      </c>
      <c r="T17" s="215">
        <v>37.410254999999999</v>
      </c>
      <c r="U17" s="48">
        <v>35.878883000000002</v>
      </c>
      <c r="V17" s="214">
        <v>38.544125000000001</v>
      </c>
      <c r="W17" s="36"/>
      <c r="X17" s="216">
        <v>32.463016000000003</v>
      </c>
      <c r="Y17" s="216">
        <v>34.800632999999998</v>
      </c>
      <c r="Z17" s="215">
        <v>37.410254999999999</v>
      </c>
      <c r="AA17" s="216">
        <v>59.529823</v>
      </c>
      <c r="AB17" s="47"/>
      <c r="AC17" s="47">
        <v>178.691069</v>
      </c>
      <c r="AD17" s="47">
        <v>107.413388</v>
      </c>
      <c r="AE17" s="47">
        <v>44.246642999999999</v>
      </c>
      <c r="AF17" s="52">
        <v>37.410254999999999</v>
      </c>
      <c r="AG17" s="47">
        <v>37.545321999999999</v>
      </c>
      <c r="AH17" s="47">
        <v>60.135598999999999</v>
      </c>
      <c r="AI17" s="62"/>
      <c r="AJ17" s="36"/>
      <c r="AK17" s="36"/>
      <c r="AL17" s="36"/>
      <c r="AM17" s="36"/>
      <c r="AN17" s="36"/>
      <c r="AO17" s="36"/>
      <c r="AP17" s="36"/>
      <c r="AQ17" s="36"/>
      <c r="AR17" s="36"/>
      <c r="AS17" s="36"/>
      <c r="AT17" s="36"/>
      <c r="AU17" s="36"/>
      <c r="AV17" s="36"/>
      <c r="AW17" s="36"/>
      <c r="AX17" s="36"/>
      <c r="AY17" s="36"/>
      <c r="AZ17" s="36"/>
      <c r="BA17" s="36"/>
      <c r="BB17" s="36"/>
      <c r="BC17" s="36"/>
      <c r="BD17" s="36"/>
      <c r="BE17" s="46"/>
      <c r="BF17" s="28"/>
      <c r="BG17" s="28"/>
      <c r="BH17" s="28"/>
      <c r="BI17" s="28"/>
      <c r="BJ17" s="28"/>
      <c r="BK17" s="28"/>
      <c r="BL17" s="28"/>
      <c r="BM17" s="28"/>
      <c r="BN17" s="28"/>
      <c r="BO17" s="45"/>
      <c r="BP17" s="45"/>
      <c r="BQ17" s="45"/>
      <c r="BR17" s="45"/>
      <c r="BS17" s="45"/>
      <c r="BT17" s="45"/>
      <c r="BU17" s="45"/>
      <c r="BV17" s="45"/>
    </row>
    <row r="18" spans="1:74" s="89" customFormat="1" ht="27" x14ac:dyDescent="0.35">
      <c r="A18" s="234">
        <f>COUNTIF($B$66:$B$85, Table3[[#This Row],[Column2]])</f>
        <v>1</v>
      </c>
      <c r="B18" s="249" t="s">
        <v>1450</v>
      </c>
      <c r="C18" s="236">
        <v>39.47</v>
      </c>
      <c r="D18" s="237">
        <v>28.21</v>
      </c>
      <c r="E18" s="237">
        <v>30.78</v>
      </c>
      <c r="F18" s="238">
        <v>32.28</v>
      </c>
      <c r="G18" s="239">
        <v>65.5</v>
      </c>
      <c r="H18" s="238"/>
      <c r="I18" s="240">
        <v>57.130594000000002</v>
      </c>
      <c r="J18" s="238"/>
      <c r="K18" s="241">
        <v>38.420444000000003</v>
      </c>
      <c r="L18" s="238">
        <v>35.560279000000001</v>
      </c>
      <c r="M18" s="238">
        <v>26.629383000000001</v>
      </c>
      <c r="N18" s="238">
        <v>47.75</v>
      </c>
      <c r="O18" s="239">
        <v>78.13</v>
      </c>
      <c r="Q18" s="242">
        <v>34.838656</v>
      </c>
      <c r="R18" s="242">
        <v>35.110639999999997</v>
      </c>
      <c r="S18" s="242">
        <v>27.998328000000001</v>
      </c>
      <c r="T18" s="243">
        <v>20.122519</v>
      </c>
      <c r="U18" s="242">
        <v>25.648409000000001</v>
      </c>
      <c r="V18" s="242">
        <v>23.774899000000001</v>
      </c>
      <c r="W18" s="242"/>
      <c r="X18" s="244">
        <v>17.297236999999999</v>
      </c>
      <c r="Y18" s="244">
        <v>20.420867999999999</v>
      </c>
      <c r="Z18" s="243">
        <v>20.122519</v>
      </c>
      <c r="AA18" s="244">
        <v>31.287212</v>
      </c>
      <c r="AB18" s="244"/>
      <c r="AC18" s="244">
        <v>107.045095</v>
      </c>
      <c r="AD18" s="244">
        <v>66.705194000000006</v>
      </c>
      <c r="AE18" s="244">
        <v>25.648371999999998</v>
      </c>
      <c r="AF18" s="245">
        <v>20.122519</v>
      </c>
      <c r="AG18" s="244">
        <v>26.955110000000001</v>
      </c>
      <c r="AH18" s="244">
        <v>38.524461000000002</v>
      </c>
      <c r="AI18" s="62"/>
      <c r="AJ18" s="242"/>
      <c r="AK18" s="242"/>
      <c r="AL18" s="242"/>
      <c r="AM18" s="242"/>
      <c r="AN18" s="242"/>
      <c r="AO18" s="242"/>
      <c r="AP18" s="242"/>
      <c r="AQ18" s="242"/>
      <c r="AR18" s="242"/>
      <c r="AS18" s="242"/>
      <c r="AT18" s="242"/>
      <c r="AU18" s="242"/>
      <c r="AV18" s="242"/>
      <c r="AW18" s="242"/>
      <c r="AX18" s="242"/>
      <c r="AY18" s="242"/>
      <c r="AZ18" s="242"/>
      <c r="BA18" s="242"/>
      <c r="BB18" s="242"/>
      <c r="BC18" s="242"/>
      <c r="BD18" s="242"/>
      <c r="BE18" s="246"/>
      <c r="BF18" s="247"/>
      <c r="BG18" s="247"/>
      <c r="BH18" s="247"/>
      <c r="BI18" s="247"/>
      <c r="BJ18" s="247"/>
      <c r="BK18" s="247"/>
      <c r="BL18" s="247"/>
      <c r="BM18" s="247"/>
      <c r="BN18" s="247"/>
      <c r="BO18" s="248"/>
      <c r="BP18" s="248"/>
      <c r="BQ18" s="248"/>
      <c r="BR18" s="248"/>
      <c r="BS18" s="248"/>
      <c r="BT18" s="248"/>
      <c r="BU18" s="248"/>
      <c r="BV18" s="248"/>
    </row>
    <row r="19" spans="1:74" ht="27" x14ac:dyDescent="0.35">
      <c r="A19" s="29">
        <f>COUNTIF($B$66:$B$85, Table3[[#This Row],[Column2]])</f>
        <v>1</v>
      </c>
      <c r="B19" s="130" t="s">
        <v>1445</v>
      </c>
      <c r="C19" s="171">
        <v>32.263061</v>
      </c>
      <c r="D19" s="147">
        <v>31.713341</v>
      </c>
      <c r="E19" s="145">
        <v>32.501683999999997</v>
      </c>
      <c r="F19" s="133">
        <v>32.289386999999998</v>
      </c>
      <c r="G19" s="146">
        <v>32.649214000000001</v>
      </c>
      <c r="H19" s="133"/>
      <c r="I19" s="159">
        <v>33.766888999999999</v>
      </c>
      <c r="J19" s="133"/>
      <c r="K19" s="153">
        <v>43.984426999999997</v>
      </c>
      <c r="L19" s="133">
        <v>38.217008999999997</v>
      </c>
      <c r="M19" s="133">
        <v>34.604266000000003</v>
      </c>
      <c r="N19" s="148">
        <v>33.790742000000002</v>
      </c>
      <c r="O19" s="146">
        <v>33.852868999999998</v>
      </c>
      <c r="Q19" s="214">
        <v>61.497563</v>
      </c>
      <c r="R19" s="48">
        <v>14.593543</v>
      </c>
      <c r="S19" s="214">
        <v>22.797445</v>
      </c>
      <c r="T19" s="215">
        <v>23.874721000000001</v>
      </c>
      <c r="U19" s="214">
        <v>33.459470000000003</v>
      </c>
      <c r="V19" s="214">
        <v>34.018352999999998</v>
      </c>
      <c r="W19" s="36"/>
      <c r="X19" s="216" t="s">
        <v>3934</v>
      </c>
      <c r="Y19" s="49">
        <v>19.038239999999998</v>
      </c>
      <c r="Z19" s="215">
        <v>23.874721000000001</v>
      </c>
      <c r="AA19" s="216">
        <v>62.349538000000003</v>
      </c>
      <c r="AB19" s="47"/>
      <c r="AC19" s="47">
        <v>23.870360999999999</v>
      </c>
      <c r="AD19" s="47">
        <v>23.699166000000002</v>
      </c>
      <c r="AE19" s="47">
        <v>23.586476000000001</v>
      </c>
      <c r="AF19" s="53">
        <v>23.874721000000001</v>
      </c>
      <c r="AG19" s="49">
        <v>22.983779999999999</v>
      </c>
      <c r="AH19" s="47">
        <v>23.600435999999998</v>
      </c>
      <c r="AI19" s="62"/>
      <c r="AJ19" s="36"/>
      <c r="AK19" s="36"/>
      <c r="AL19" s="36"/>
      <c r="AM19" s="36"/>
      <c r="AN19" s="36"/>
      <c r="AO19" s="36"/>
      <c r="AP19" s="36"/>
      <c r="AQ19" s="36"/>
      <c r="AR19" s="36"/>
      <c r="AS19" s="36"/>
      <c r="AT19" s="36"/>
      <c r="AU19" s="36"/>
      <c r="AV19" s="36"/>
      <c r="AW19" s="36"/>
      <c r="AX19" s="36"/>
      <c r="AY19" s="36"/>
      <c r="AZ19" s="36"/>
      <c r="BA19" s="36"/>
      <c r="BB19" s="36"/>
      <c r="BC19" s="36"/>
      <c r="BD19" s="36"/>
      <c r="BE19" s="46"/>
      <c r="BF19" s="28"/>
      <c r="BG19" s="28"/>
      <c r="BH19" s="28"/>
      <c r="BI19" s="28"/>
      <c r="BJ19" s="28"/>
      <c r="BK19" s="28"/>
      <c r="BL19" s="28"/>
      <c r="BM19" s="28"/>
      <c r="BN19" s="28"/>
      <c r="BO19" s="45"/>
      <c r="BP19" s="45"/>
      <c r="BQ19" s="45"/>
      <c r="BR19" s="45"/>
      <c r="BS19" s="45"/>
      <c r="BT19" s="45"/>
      <c r="BU19" s="45"/>
      <c r="BV19" s="45"/>
    </row>
    <row r="20" spans="1:74" ht="27" x14ac:dyDescent="0.35">
      <c r="A20" s="29">
        <f>COUNTIF($B$66:$B$85, Table3[[#This Row],[Column2]])</f>
        <v>1</v>
      </c>
      <c r="B20" s="130" t="s">
        <v>3913</v>
      </c>
      <c r="C20" s="171">
        <v>33.69</v>
      </c>
      <c r="D20" s="147">
        <v>27.86</v>
      </c>
      <c r="E20" s="145">
        <v>34.67</v>
      </c>
      <c r="F20" s="133">
        <v>83.44</v>
      </c>
      <c r="G20" s="146">
        <v>94.06</v>
      </c>
      <c r="H20" s="133"/>
      <c r="I20" s="159">
        <v>60.576824999999999</v>
      </c>
      <c r="J20" s="133"/>
      <c r="K20" s="153">
        <v>37.993017000000002</v>
      </c>
      <c r="L20" s="148">
        <v>32.451304999999998</v>
      </c>
      <c r="M20" s="133">
        <v>57.64</v>
      </c>
      <c r="N20" s="133">
        <v>123.71</v>
      </c>
      <c r="O20" s="146">
        <v>199.49</v>
      </c>
      <c r="Q20" s="214">
        <v>28.624310000000001</v>
      </c>
      <c r="R20" s="214">
        <v>28.715426000000001</v>
      </c>
      <c r="S20" s="214">
        <v>46.814101999999998</v>
      </c>
      <c r="T20" s="215">
        <v>30.88738</v>
      </c>
      <c r="U20" s="48">
        <v>23.716016</v>
      </c>
      <c r="V20" s="214">
        <v>24.456119000000001</v>
      </c>
      <c r="W20" s="36"/>
      <c r="X20" s="49">
        <v>19.721368999999999</v>
      </c>
      <c r="Y20" s="216">
        <v>24.673772</v>
      </c>
      <c r="Z20" s="215">
        <v>30.88738</v>
      </c>
      <c r="AA20" s="216">
        <v>33.599240000000002</v>
      </c>
      <c r="AB20" s="47"/>
      <c r="AC20" s="47">
        <v>149.63844499999999</v>
      </c>
      <c r="AD20" s="47">
        <v>138.24824100000001</v>
      </c>
      <c r="AE20" s="47">
        <v>47.745247999999997</v>
      </c>
      <c r="AF20" s="53">
        <v>30.88738</v>
      </c>
      <c r="AG20" s="49">
        <v>23.250439</v>
      </c>
      <c r="AH20" s="47">
        <v>32.650264999999997</v>
      </c>
      <c r="AI20" s="62"/>
      <c r="AJ20" s="36"/>
      <c r="AK20" s="36"/>
      <c r="AL20" s="36"/>
      <c r="AM20" s="36"/>
      <c r="AN20" s="36"/>
      <c r="AO20" s="36"/>
      <c r="AP20" s="36"/>
      <c r="AQ20" s="36"/>
      <c r="AR20" s="36"/>
      <c r="AS20" s="36"/>
      <c r="AT20" s="36"/>
      <c r="AU20" s="36"/>
      <c r="AV20" s="36"/>
      <c r="AW20" s="36"/>
      <c r="AX20" s="36"/>
      <c r="AY20" s="36"/>
      <c r="AZ20" s="36"/>
      <c r="BA20" s="36"/>
      <c r="BB20" s="36"/>
      <c r="BC20" s="36"/>
      <c r="BD20" s="36"/>
      <c r="BE20" s="46"/>
      <c r="BF20" s="28"/>
      <c r="BG20" s="28"/>
      <c r="BH20" s="28"/>
      <c r="BI20" s="28"/>
      <c r="BJ20" s="28"/>
      <c r="BK20" s="28"/>
      <c r="BL20" s="28"/>
      <c r="BM20" s="28"/>
      <c r="BN20" s="28"/>
      <c r="BO20" s="45"/>
      <c r="BP20" s="45"/>
      <c r="BQ20" s="45"/>
      <c r="BR20" s="45"/>
      <c r="BS20" s="45"/>
      <c r="BT20" s="45"/>
      <c r="BU20" s="45"/>
      <c r="BV20" s="45"/>
    </row>
    <row r="21" spans="1:74" ht="27" hidden="1" x14ac:dyDescent="0.35">
      <c r="A21" s="29">
        <f>COUNTIF($B$66:$B$85, Table3[[#This Row],[Column2]])</f>
        <v>0</v>
      </c>
      <c r="B21" s="131" t="s">
        <v>7</v>
      </c>
      <c r="C21" s="171">
        <v>31.26</v>
      </c>
      <c r="D21" s="147">
        <v>26.33</v>
      </c>
      <c r="E21" s="145">
        <v>47.61</v>
      </c>
      <c r="F21" s="133">
        <v>78.38</v>
      </c>
      <c r="G21" s="146">
        <v>125.72</v>
      </c>
      <c r="H21" s="133"/>
      <c r="I21" s="159">
        <v>71.662347999999994</v>
      </c>
      <c r="J21" s="133"/>
      <c r="K21" s="153">
        <v>36.062604999999998</v>
      </c>
      <c r="L21" s="148">
        <v>35.93</v>
      </c>
      <c r="M21" s="133">
        <v>92.53</v>
      </c>
      <c r="N21" s="133">
        <v>208.39</v>
      </c>
      <c r="O21" s="146">
        <v>360.23</v>
      </c>
      <c r="Q21" s="214">
        <v>28.492497</v>
      </c>
      <c r="R21" s="214">
        <v>28.302902</v>
      </c>
      <c r="S21" s="214">
        <v>100.36159600000001</v>
      </c>
      <c r="T21" s="215">
        <v>21.417175</v>
      </c>
      <c r="U21" s="48">
        <v>19.264690999999999</v>
      </c>
      <c r="V21" s="214">
        <v>30.52131</v>
      </c>
      <c r="W21" s="36"/>
      <c r="X21" s="216">
        <v>22.774096</v>
      </c>
      <c r="Y21" s="216">
        <v>24.963380000000001</v>
      </c>
      <c r="Z21" s="213">
        <v>21.417175</v>
      </c>
      <c r="AA21" s="216">
        <v>30.377469000000001</v>
      </c>
      <c r="AB21" s="47"/>
      <c r="AC21" s="47">
        <v>110.278611</v>
      </c>
      <c r="AD21" s="47">
        <v>56.650022</v>
      </c>
      <c r="AE21" s="47">
        <v>24.905916000000001</v>
      </c>
      <c r="AF21" s="53">
        <v>21.417175</v>
      </c>
      <c r="AG21" s="47">
        <v>29.948923000000001</v>
      </c>
      <c r="AH21" s="49">
        <v>19.801781999999999</v>
      </c>
      <c r="AI21" s="62"/>
      <c r="AJ21" s="36"/>
      <c r="AK21" s="36"/>
      <c r="AL21" s="36"/>
      <c r="AM21" s="36"/>
      <c r="AN21" s="36"/>
      <c r="AO21" s="36"/>
      <c r="AP21" s="36"/>
      <c r="AQ21" s="36"/>
      <c r="AR21" s="36"/>
      <c r="AS21" s="36"/>
      <c r="AT21" s="36"/>
      <c r="AU21" s="36"/>
      <c r="AV21" s="36"/>
      <c r="AW21" s="36"/>
      <c r="AX21" s="36"/>
      <c r="AY21" s="36"/>
      <c r="AZ21" s="36"/>
      <c r="BA21" s="36"/>
      <c r="BB21" s="36"/>
      <c r="BC21" s="36"/>
      <c r="BD21" s="36"/>
      <c r="BE21" s="46"/>
      <c r="BF21" s="28"/>
      <c r="BG21" s="28"/>
      <c r="BH21" s="28"/>
      <c r="BI21" s="28"/>
      <c r="BJ21" s="28"/>
      <c r="BK21" s="28"/>
      <c r="BL21" s="28"/>
      <c r="BM21" s="28"/>
      <c r="BN21" s="28"/>
      <c r="BO21" s="45"/>
      <c r="BP21" s="45"/>
      <c r="BQ21" s="45"/>
      <c r="BR21" s="45"/>
      <c r="BS21" s="45"/>
      <c r="BT21" s="45"/>
      <c r="BU21" s="45"/>
      <c r="BV21" s="45"/>
    </row>
    <row r="22" spans="1:74" ht="27" x14ac:dyDescent="0.35">
      <c r="A22" s="29">
        <f>COUNTIF($B$66:$B$85, Table3[[#This Row],[Column2]])</f>
        <v>1</v>
      </c>
      <c r="B22" s="130" t="s">
        <v>1422</v>
      </c>
      <c r="C22" s="171">
        <v>23.642278000000001</v>
      </c>
      <c r="D22" s="147">
        <v>23.282133000000002</v>
      </c>
      <c r="E22" s="145">
        <v>24.095980999999998</v>
      </c>
      <c r="F22" s="133">
        <v>23.391442999999999</v>
      </c>
      <c r="G22" s="146">
        <v>24.085063000000002</v>
      </c>
      <c r="H22" s="133"/>
      <c r="I22" s="159">
        <v>23.738012000000001</v>
      </c>
      <c r="J22" s="133"/>
      <c r="K22" s="153">
        <v>31.650217999999999</v>
      </c>
      <c r="L22" s="133">
        <v>27.673922000000001</v>
      </c>
      <c r="M22" s="133">
        <v>25.462346</v>
      </c>
      <c r="N22" s="133">
        <v>24.9</v>
      </c>
      <c r="O22" s="154">
        <v>24.89</v>
      </c>
      <c r="Q22" s="214">
        <v>14.664244</v>
      </c>
      <c r="R22" s="214">
        <v>14.41568</v>
      </c>
      <c r="S22" s="214">
        <v>14.32654</v>
      </c>
      <c r="T22" s="215">
        <v>17.874461</v>
      </c>
      <c r="U22" s="48">
        <v>13.710167999999999</v>
      </c>
      <c r="V22" s="214">
        <v>14.910937000000001</v>
      </c>
      <c r="W22" s="36"/>
      <c r="X22" s="49">
        <v>14.196106</v>
      </c>
      <c r="Y22" s="216">
        <v>14.445271</v>
      </c>
      <c r="Z22" s="215">
        <v>17.874461</v>
      </c>
      <c r="AA22" s="216">
        <v>23.304746999999999</v>
      </c>
      <c r="AB22" s="47"/>
      <c r="AC22" s="47">
        <v>32.898296000000002</v>
      </c>
      <c r="AD22" s="47">
        <v>33.650548000000001</v>
      </c>
      <c r="AE22" s="47">
        <v>26.859351</v>
      </c>
      <c r="AF22" s="53">
        <v>17.874461</v>
      </c>
      <c r="AG22" s="47">
        <v>14.979927</v>
      </c>
      <c r="AH22" s="49">
        <v>14.212215</v>
      </c>
      <c r="AI22" s="62"/>
      <c r="AJ22" s="36"/>
      <c r="AK22" s="36"/>
      <c r="AL22" s="36"/>
      <c r="AM22" s="36"/>
      <c r="AN22" s="36"/>
      <c r="AO22" s="36"/>
      <c r="AP22" s="36"/>
      <c r="AQ22" s="36"/>
      <c r="AR22" s="36"/>
      <c r="AS22" s="36"/>
      <c r="AT22" s="36"/>
      <c r="AU22" s="36"/>
      <c r="AV22" s="36"/>
      <c r="AW22" s="36"/>
      <c r="AX22" s="36"/>
      <c r="AY22" s="36"/>
      <c r="AZ22" s="36"/>
      <c r="BA22" s="36"/>
      <c r="BB22" s="36"/>
      <c r="BC22" s="36"/>
      <c r="BD22" s="36"/>
      <c r="BE22" s="46"/>
      <c r="BF22" s="28"/>
      <c r="BG22" s="28"/>
      <c r="BH22" s="28"/>
      <c r="BI22" s="28"/>
      <c r="BJ22" s="28"/>
      <c r="BK22" s="28"/>
      <c r="BL22" s="28"/>
      <c r="BM22" s="28"/>
      <c r="BN22" s="28"/>
      <c r="BO22" s="45"/>
      <c r="BP22" s="45"/>
      <c r="BQ22" s="45"/>
      <c r="BR22" s="45"/>
      <c r="BS22" s="45"/>
      <c r="BT22" s="45"/>
      <c r="BU22" s="45"/>
      <c r="BV22" s="45"/>
    </row>
    <row r="23" spans="1:74" ht="27" hidden="1" x14ac:dyDescent="0.35">
      <c r="A23" s="29">
        <f>COUNTIF($B$66:$B$85, Table3[[#This Row],[Column2]])</f>
        <v>0</v>
      </c>
      <c r="B23" s="131" t="s">
        <v>5</v>
      </c>
      <c r="C23" s="171">
        <v>13.843068000000001</v>
      </c>
      <c r="D23" s="145">
        <v>13.848599999999999</v>
      </c>
      <c r="E23" s="145">
        <v>13.841953999999999</v>
      </c>
      <c r="F23" s="148">
        <v>13.782149</v>
      </c>
      <c r="G23" s="146">
        <v>13.845751999999999</v>
      </c>
      <c r="H23" s="133"/>
      <c r="I23" s="159">
        <v>14.054064</v>
      </c>
      <c r="J23" s="133"/>
      <c r="K23" s="153">
        <v>31.698816999999998</v>
      </c>
      <c r="L23" s="133">
        <v>24.320086</v>
      </c>
      <c r="M23" s="133">
        <v>19.573259</v>
      </c>
      <c r="N23" s="133">
        <v>17.606936999999999</v>
      </c>
      <c r="O23" s="154">
        <v>15.865303000000001</v>
      </c>
      <c r="Q23" s="48">
        <v>13.655882</v>
      </c>
      <c r="R23" s="214">
        <v>13.767106</v>
      </c>
      <c r="S23" s="214">
        <v>13.866118999999999</v>
      </c>
      <c r="T23" s="215">
        <v>19.519027000000001</v>
      </c>
      <c r="U23" s="214">
        <v>15.476198999999999</v>
      </c>
      <c r="V23" s="214">
        <v>26.673134000000001</v>
      </c>
      <c r="W23" s="36"/>
      <c r="X23" s="216">
        <v>13.768544</v>
      </c>
      <c r="Y23" s="49">
        <v>13.709832</v>
      </c>
      <c r="Z23" s="215">
        <v>19.519027000000001</v>
      </c>
      <c r="AA23" s="216">
        <v>13.846237</v>
      </c>
      <c r="AB23" s="47"/>
      <c r="AC23" s="47">
        <v>135.95858100000001</v>
      </c>
      <c r="AD23" s="47">
        <v>44.465473000000003</v>
      </c>
      <c r="AE23" s="47">
        <v>19.936709</v>
      </c>
      <c r="AF23" s="53">
        <v>19.519027000000001</v>
      </c>
      <c r="AG23" s="47">
        <v>13.943114</v>
      </c>
      <c r="AH23" s="49">
        <v>13.618682</v>
      </c>
      <c r="AI23" s="62"/>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row>
    <row r="24" spans="1:74" ht="27" hidden="1" x14ac:dyDescent="0.35">
      <c r="A24" s="29">
        <f>COUNTIF($B$66:$B$85, Table3[[#This Row],[Column2]])</f>
        <v>0</v>
      </c>
      <c r="B24" s="130" t="s">
        <v>1405</v>
      </c>
      <c r="C24" s="171">
        <v>17.80528</v>
      </c>
      <c r="D24" s="147">
        <v>17.184013</v>
      </c>
      <c r="E24" s="145">
        <v>18.893588999999999</v>
      </c>
      <c r="F24" s="133">
        <v>17.255447</v>
      </c>
      <c r="G24" s="146">
        <v>18.058997000000002</v>
      </c>
      <c r="H24" s="133"/>
      <c r="I24" s="159">
        <v>17.421547</v>
      </c>
      <c r="J24" s="133"/>
      <c r="K24" s="155">
        <v>17.716256999999999</v>
      </c>
      <c r="L24" s="133">
        <v>17.906261000000001</v>
      </c>
      <c r="M24" s="133">
        <v>17.873898000000001</v>
      </c>
      <c r="N24" s="133">
        <v>18.792148999999998</v>
      </c>
      <c r="O24" s="146">
        <v>18.709599999999998</v>
      </c>
      <c r="Q24" s="214">
        <v>14.884015</v>
      </c>
      <c r="R24" s="214">
        <v>14.875719</v>
      </c>
      <c r="S24" s="48">
        <v>10.285456</v>
      </c>
      <c r="T24" s="215">
        <v>14.029244</v>
      </c>
      <c r="U24" s="214">
        <v>16.955068000000001</v>
      </c>
      <c r="V24" s="214">
        <v>21.411345000000001</v>
      </c>
      <c r="W24" s="36"/>
      <c r="X24" s="216">
        <v>10.035354</v>
      </c>
      <c r="Y24" s="216">
        <v>10.008715</v>
      </c>
      <c r="Z24" s="215">
        <v>14.029244</v>
      </c>
      <c r="AA24" s="216">
        <v>17.168254999999998</v>
      </c>
      <c r="AB24" s="47"/>
      <c r="AC24" s="47">
        <v>24.845267</v>
      </c>
      <c r="AD24" s="47">
        <v>18.504155000000001</v>
      </c>
      <c r="AE24" s="47">
        <v>12.088297000000001</v>
      </c>
      <c r="AF24" s="53">
        <v>14.029244</v>
      </c>
      <c r="AG24" s="47">
        <v>10.332112</v>
      </c>
      <c r="AH24" s="49">
        <v>10.269507000000001</v>
      </c>
      <c r="AI24" s="62"/>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row>
    <row r="25" spans="1:74" ht="27" x14ac:dyDescent="0.35">
      <c r="A25" s="29">
        <f>COUNTIF($B$66:$B$85, Table3[[#This Row],[Column2]])</f>
        <v>1</v>
      </c>
      <c r="B25" s="131" t="s">
        <v>1423</v>
      </c>
      <c r="C25" s="171">
        <v>12.690492000000001</v>
      </c>
      <c r="D25" s="147">
        <v>12.232373000000001</v>
      </c>
      <c r="E25" s="145">
        <v>13.109788999999999</v>
      </c>
      <c r="F25" s="133">
        <v>12.237576000000001</v>
      </c>
      <c r="G25" s="146">
        <v>12.975641</v>
      </c>
      <c r="H25" s="133"/>
      <c r="I25" s="159">
        <v>12.697224</v>
      </c>
      <c r="J25" s="133"/>
      <c r="K25" s="155">
        <v>13.080658</v>
      </c>
      <c r="L25" s="133">
        <v>13.289847</v>
      </c>
      <c r="M25" s="133">
        <v>13.222301</v>
      </c>
      <c r="N25" s="133">
        <v>13.283383000000001</v>
      </c>
      <c r="O25" s="146">
        <v>13.206132999999999</v>
      </c>
      <c r="Q25" s="214">
        <v>12.309856999999999</v>
      </c>
      <c r="R25" s="214">
        <v>12.126726</v>
      </c>
      <c r="S25" s="214">
        <v>2.378546</v>
      </c>
      <c r="T25" s="213">
        <v>2.3150789999999999</v>
      </c>
      <c r="U25" s="214">
        <v>3.0376650000000001</v>
      </c>
      <c r="V25" s="214">
        <v>3.957427</v>
      </c>
      <c r="W25" s="36"/>
      <c r="X25" s="216">
        <v>2.612104</v>
      </c>
      <c r="Y25" s="49">
        <v>2.2804229999999999</v>
      </c>
      <c r="Z25" s="215">
        <v>2.3150789999999999</v>
      </c>
      <c r="AA25" s="216">
        <v>12.236701999999999</v>
      </c>
      <c r="AB25" s="47"/>
      <c r="AC25" s="47">
        <v>5.0319640000000003</v>
      </c>
      <c r="AD25" s="47">
        <v>5.0902940000000001</v>
      </c>
      <c r="AE25" s="47">
        <v>3.658709</v>
      </c>
      <c r="AF25" s="52">
        <v>2.3150789999999999</v>
      </c>
      <c r="AG25" s="47">
        <v>2.3561619999999999</v>
      </c>
      <c r="AH25" s="47">
        <v>2.4515380000000002</v>
      </c>
      <c r="AI25" s="62"/>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row>
    <row r="26" spans="1:74" ht="27" hidden="1" x14ac:dyDescent="0.35">
      <c r="A26" s="29">
        <f>COUNTIF($B$66:$B$85, Table3[[#This Row],[Column2]])</f>
        <v>0</v>
      </c>
      <c r="B26" s="131" t="s">
        <v>1436</v>
      </c>
      <c r="C26" s="171">
        <v>11.42174</v>
      </c>
      <c r="D26" s="145">
        <v>11.876014</v>
      </c>
      <c r="E26" s="145">
        <v>11.834629</v>
      </c>
      <c r="F26" s="148">
        <v>11.239786</v>
      </c>
      <c r="G26" s="146">
        <v>11.760075000000001</v>
      </c>
      <c r="H26" s="133"/>
      <c r="I26" s="159">
        <v>11.255535999999999</v>
      </c>
      <c r="J26" s="133"/>
      <c r="K26" s="153">
        <v>20.624635999999999</v>
      </c>
      <c r="L26" s="148">
        <v>18.346153999999999</v>
      </c>
      <c r="M26" s="133">
        <v>21.471188999999999</v>
      </c>
      <c r="N26" s="133">
        <v>18.329999999999998</v>
      </c>
      <c r="O26" s="146">
        <v>13.13</v>
      </c>
      <c r="Q26" s="214">
        <v>10.951333999999999</v>
      </c>
      <c r="R26" s="214">
        <v>10.963236</v>
      </c>
      <c r="S26" s="214">
        <v>54.170309000000003</v>
      </c>
      <c r="T26" s="215">
        <v>12.491521000000001</v>
      </c>
      <c r="U26" s="48">
        <v>10.051703</v>
      </c>
      <c r="V26" s="214">
        <v>11.501818999999999</v>
      </c>
      <c r="W26" s="36"/>
      <c r="X26" s="49">
        <v>10.985128</v>
      </c>
      <c r="Y26" s="216">
        <v>24.484138000000002</v>
      </c>
      <c r="Z26" s="215">
        <v>12.491521000000001</v>
      </c>
      <c r="AA26" s="216">
        <v>10.99357</v>
      </c>
      <c r="AB26" s="47"/>
      <c r="AC26" s="47">
        <v>70.779948000000005</v>
      </c>
      <c r="AD26" s="47">
        <v>36.154864000000003</v>
      </c>
      <c r="AE26" s="47">
        <v>14.040191</v>
      </c>
      <c r="AF26" s="53">
        <v>12.491521000000001</v>
      </c>
      <c r="AG26" s="49">
        <v>10.952605999999999</v>
      </c>
      <c r="AH26" s="47">
        <v>23.441320999999999</v>
      </c>
      <c r="AI26" s="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row>
    <row r="27" spans="1:74" ht="27" hidden="1" x14ac:dyDescent="0.35">
      <c r="A27" s="29">
        <f>COUNTIF($B$66:$B$85, Table3[[#This Row],[Column2]])</f>
        <v>0</v>
      </c>
      <c r="B27" s="130" t="s">
        <v>1438</v>
      </c>
      <c r="C27" s="171">
        <v>11.207843</v>
      </c>
      <c r="D27" s="147">
        <v>10.773783</v>
      </c>
      <c r="E27" s="145">
        <v>11.588027</v>
      </c>
      <c r="F27" s="133">
        <v>10.927224000000001</v>
      </c>
      <c r="G27" s="146">
        <v>11.663009000000001</v>
      </c>
      <c r="H27" s="133"/>
      <c r="I27" s="159">
        <v>11.282028</v>
      </c>
      <c r="J27" s="133"/>
      <c r="K27" s="153">
        <v>12.233262</v>
      </c>
      <c r="L27" s="133">
        <v>11.756913000000001</v>
      </c>
      <c r="M27" s="133">
        <v>11.873068999999999</v>
      </c>
      <c r="N27" s="133">
        <v>11.791712</v>
      </c>
      <c r="O27" s="154">
        <v>11.662197000000001</v>
      </c>
      <c r="Q27" s="48">
        <v>0.91381900000000005</v>
      </c>
      <c r="R27" s="214">
        <v>1.0256719999999999</v>
      </c>
      <c r="S27" s="214">
        <v>1.475352</v>
      </c>
      <c r="T27" s="215">
        <v>2.0402999999999998</v>
      </c>
      <c r="U27" s="214">
        <v>2.2381350000000002</v>
      </c>
      <c r="V27" s="214">
        <v>2.1916760000000002</v>
      </c>
      <c r="W27" s="36"/>
      <c r="X27" s="49">
        <v>1.3718630000000001</v>
      </c>
      <c r="Y27" s="216">
        <v>1.745949</v>
      </c>
      <c r="Z27" s="215">
        <v>2.0402999999999998</v>
      </c>
      <c r="AA27" s="216">
        <v>10.805961999999999</v>
      </c>
      <c r="AB27" s="47"/>
      <c r="AC27" s="47">
        <v>3.0709420000000001</v>
      </c>
      <c r="AD27" s="47">
        <v>3.0666850000000001</v>
      </c>
      <c r="AE27" s="47">
        <v>2.5837189999999999</v>
      </c>
      <c r="AF27" s="53">
        <v>2.0402999999999998</v>
      </c>
      <c r="AG27" s="49">
        <v>1.3988050000000001</v>
      </c>
      <c r="AH27" s="47">
        <v>1.418366</v>
      </c>
      <c r="AI27" s="62"/>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row>
    <row r="28" spans="1:74" ht="27" hidden="1" x14ac:dyDescent="0.35">
      <c r="A28" s="29">
        <f>COUNTIF($B$66:$B$85, Table3[[#This Row],[Column2]])</f>
        <v>0</v>
      </c>
      <c r="B28" s="130" t="s">
        <v>1414</v>
      </c>
      <c r="C28" s="171">
        <v>8.8228709999999992</v>
      </c>
      <c r="D28" s="145">
        <v>9.1876979999999993</v>
      </c>
      <c r="E28" s="145">
        <v>9.2324149999999996</v>
      </c>
      <c r="F28" s="148">
        <v>8.4740260000000003</v>
      </c>
      <c r="G28" s="146">
        <v>9.2862869999999997</v>
      </c>
      <c r="H28" s="133"/>
      <c r="I28" s="159">
        <v>8.8155560000000008</v>
      </c>
      <c r="J28" s="133"/>
      <c r="K28" s="153">
        <v>14.077173999999999</v>
      </c>
      <c r="L28" s="133">
        <v>11.791601</v>
      </c>
      <c r="M28" s="133">
        <v>10.761201</v>
      </c>
      <c r="N28" s="148">
        <v>10.157057</v>
      </c>
      <c r="O28" s="146">
        <v>10.244675000000001</v>
      </c>
      <c r="Q28" s="214">
        <v>8.2163120000000003</v>
      </c>
      <c r="R28" s="214">
        <v>8.2773319999999995</v>
      </c>
      <c r="S28" s="48">
        <v>7.3272490000000001</v>
      </c>
      <c r="T28" s="215">
        <v>9.3502709999999993</v>
      </c>
      <c r="U28" s="214">
        <v>9.2754119999999993</v>
      </c>
      <c r="V28" s="214">
        <v>13.324966</v>
      </c>
      <c r="W28" s="36"/>
      <c r="X28" s="49">
        <v>8.0431629999999998</v>
      </c>
      <c r="Y28" s="216">
        <v>8.1044959999999993</v>
      </c>
      <c r="Z28" s="215">
        <v>9.3502709999999993</v>
      </c>
      <c r="AA28" s="216">
        <v>8.131786</v>
      </c>
      <c r="AB28" s="47"/>
      <c r="AC28" s="47">
        <v>25.285789000000001</v>
      </c>
      <c r="AD28" s="47">
        <v>18.451986999999999</v>
      </c>
      <c r="AE28" s="47">
        <v>11.033265999999999</v>
      </c>
      <c r="AF28" s="53">
        <v>9.3502709999999993</v>
      </c>
      <c r="AG28" s="49">
        <v>8.8212119999999992</v>
      </c>
      <c r="AH28" s="47">
        <v>9.4777509999999996</v>
      </c>
      <c r="AI28" s="62"/>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row>
    <row r="29" spans="1:74" ht="27" hidden="1" x14ac:dyDescent="0.35">
      <c r="A29" s="29">
        <f>COUNTIF($B$66:$B$85, Table3[[#This Row],[Column2]])</f>
        <v>0</v>
      </c>
      <c r="B29" s="131" t="s">
        <v>2</v>
      </c>
      <c r="C29" s="171">
        <v>8.0326889999999995</v>
      </c>
      <c r="D29" s="145">
        <v>7.3064799999999996</v>
      </c>
      <c r="E29" s="145">
        <v>8.2460129999999996</v>
      </c>
      <c r="F29" s="148">
        <v>7.3020440000000004</v>
      </c>
      <c r="G29" s="146">
        <v>8.1300559999999997</v>
      </c>
      <c r="H29" s="133"/>
      <c r="I29" s="159">
        <v>7.5799459999999996</v>
      </c>
      <c r="J29" s="133"/>
      <c r="K29" s="153">
        <v>12.639528</v>
      </c>
      <c r="L29" s="133">
        <v>10.610409000000001</v>
      </c>
      <c r="M29" s="133">
        <v>11.632641</v>
      </c>
      <c r="N29" s="148">
        <v>10.495182</v>
      </c>
      <c r="O29" s="146">
        <v>46.97</v>
      </c>
      <c r="Q29" s="214">
        <v>7.4029600000000002</v>
      </c>
      <c r="R29" s="48">
        <v>7.3393490000000003</v>
      </c>
      <c r="S29" s="214">
        <v>30.352397</v>
      </c>
      <c r="T29" s="215">
        <v>8.0992370000000005</v>
      </c>
      <c r="U29" s="214">
        <v>15.564017</v>
      </c>
      <c r="V29" s="214">
        <v>8.9574529999999992</v>
      </c>
      <c r="W29" s="36"/>
      <c r="X29" s="216">
        <v>7.4838909999999998</v>
      </c>
      <c r="Y29" s="49">
        <v>6.9780889999999998</v>
      </c>
      <c r="Z29" s="215">
        <v>8.0992370000000005</v>
      </c>
      <c r="AA29" s="216">
        <v>7.441986</v>
      </c>
      <c r="AB29" s="47"/>
      <c r="AC29" s="47">
        <v>39.398195000000001</v>
      </c>
      <c r="AD29" s="47">
        <v>24.970780000000001</v>
      </c>
      <c r="AE29" s="47">
        <v>10.586722</v>
      </c>
      <c r="AF29" s="52">
        <v>8.0992370000000005</v>
      </c>
      <c r="AG29" s="47">
        <v>10.154279000000001</v>
      </c>
      <c r="AH29" s="47">
        <v>15.900974</v>
      </c>
      <c r="AI29" s="62"/>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row>
    <row r="30" spans="1:74" ht="27" x14ac:dyDescent="0.35">
      <c r="A30" s="29">
        <f>COUNTIF($B$66:$B$85, Table3[[#This Row],[Column2]])</f>
        <v>1</v>
      </c>
      <c r="B30" s="131" t="s">
        <v>1391</v>
      </c>
      <c r="C30" s="171">
        <v>7.3671139999999999</v>
      </c>
      <c r="D30" s="147">
        <v>7.2945060000000002</v>
      </c>
      <c r="E30" s="145">
        <v>8.1496999999999993</v>
      </c>
      <c r="F30" s="133">
        <v>8.0922470000000004</v>
      </c>
      <c r="G30" s="146">
        <v>8.1432249999999993</v>
      </c>
      <c r="H30" s="133"/>
      <c r="I30" s="159">
        <v>7.652196</v>
      </c>
      <c r="J30" s="133"/>
      <c r="K30" s="155">
        <v>8.0791009999999996</v>
      </c>
      <c r="L30" s="133">
        <v>8.1007510000000007</v>
      </c>
      <c r="M30" s="133">
        <v>8.1667989999999993</v>
      </c>
      <c r="N30" s="133">
        <v>8.1853130000000007</v>
      </c>
      <c r="O30" s="146">
        <v>8.1207980000000006</v>
      </c>
      <c r="Q30" s="48">
        <v>0.77029800000000004</v>
      </c>
      <c r="R30" s="214">
        <v>0.79803299999999999</v>
      </c>
      <c r="S30" s="214">
        <v>0.85334600000000005</v>
      </c>
      <c r="T30" s="215">
        <v>0.873803</v>
      </c>
      <c r="U30" s="214">
        <v>1.059347</v>
      </c>
      <c r="V30" s="214">
        <v>1.1732100000000001</v>
      </c>
      <c r="W30" s="36"/>
      <c r="X30" s="216" t="s">
        <v>3934</v>
      </c>
      <c r="Y30" s="216">
        <v>0.882826</v>
      </c>
      <c r="Z30" s="215">
        <v>0.873803</v>
      </c>
      <c r="AA30" s="216">
        <v>7.3600519999999996</v>
      </c>
      <c r="AB30" s="47"/>
      <c r="AC30" s="47">
        <v>0.90565799999999996</v>
      </c>
      <c r="AD30" s="47">
        <v>0.89759800000000001</v>
      </c>
      <c r="AE30" s="47">
        <v>0.88042100000000001</v>
      </c>
      <c r="AF30" s="52">
        <v>0.873803</v>
      </c>
      <c r="AG30" s="47">
        <v>0.88151900000000005</v>
      </c>
      <c r="AH30" s="47">
        <v>0.898675</v>
      </c>
      <c r="AI30" s="62"/>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row>
    <row r="31" spans="1:74" ht="27" hidden="1" x14ac:dyDescent="0.35">
      <c r="A31" s="29">
        <f>COUNTIF($B$66:$B$85, Table3[[#This Row],[Column2]])</f>
        <v>0</v>
      </c>
      <c r="B31" s="131" t="s">
        <v>1</v>
      </c>
      <c r="C31" s="144">
        <v>6.7504989999999996</v>
      </c>
      <c r="D31" s="145">
        <v>7.5622439999999997</v>
      </c>
      <c r="E31" s="145">
        <v>8.1936999999999998</v>
      </c>
      <c r="F31" s="133">
        <v>6.755757</v>
      </c>
      <c r="G31" s="146">
        <v>7.486383</v>
      </c>
      <c r="H31" s="133"/>
      <c r="I31" s="159">
        <v>6.968604</v>
      </c>
      <c r="J31" s="133"/>
      <c r="K31" s="153">
        <v>13.575759</v>
      </c>
      <c r="L31" s="133">
        <v>10.276472</v>
      </c>
      <c r="M31" s="133">
        <v>9.6620150000000002</v>
      </c>
      <c r="N31" s="133">
        <v>9.0168370000000007</v>
      </c>
      <c r="O31" s="154">
        <v>8.9801040000000008</v>
      </c>
      <c r="Q31" s="214">
        <v>6.7208730000000001</v>
      </c>
      <c r="R31" s="214">
        <v>6.6653180000000001</v>
      </c>
      <c r="S31" s="48">
        <v>6.5337870000000002</v>
      </c>
      <c r="T31" s="215">
        <v>10.693218999999999</v>
      </c>
      <c r="U31" s="214">
        <v>7.5872120000000001</v>
      </c>
      <c r="V31" s="214">
        <v>8.6746879999999997</v>
      </c>
      <c r="W31" s="36"/>
      <c r="X31" s="216">
        <v>6.3712010000000001</v>
      </c>
      <c r="Y31" s="216">
        <v>5.9646280000000003</v>
      </c>
      <c r="Z31" s="215">
        <v>10.693218999999999</v>
      </c>
      <c r="AA31" s="216">
        <v>7.0371350000000001</v>
      </c>
      <c r="AB31" s="47"/>
      <c r="AC31" s="47">
        <v>46.080365</v>
      </c>
      <c r="AD31" s="47">
        <v>41.075226999999998</v>
      </c>
      <c r="AE31" s="47">
        <v>16.640592999999999</v>
      </c>
      <c r="AF31" s="53">
        <v>10.693218999999999</v>
      </c>
      <c r="AG31" s="47">
        <v>7.1503240000000003</v>
      </c>
      <c r="AH31" s="49">
        <v>5.6370180000000003</v>
      </c>
      <c r="AI31" s="62"/>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row>
    <row r="32" spans="1:74" ht="27" hidden="1" x14ac:dyDescent="0.35">
      <c r="A32" s="29">
        <f>COUNTIF($B$66:$B$85, Table3[[#This Row],[Column2]])</f>
        <v>0</v>
      </c>
      <c r="B32" s="131" t="s">
        <v>1431</v>
      </c>
      <c r="C32" s="144">
        <v>7.4428109999999998</v>
      </c>
      <c r="D32" s="145">
        <v>8.6763910000000006</v>
      </c>
      <c r="E32" s="145">
        <v>8.9145869999999992</v>
      </c>
      <c r="F32" s="133">
        <v>7.6160410000000001</v>
      </c>
      <c r="G32" s="146">
        <v>8.6951870000000007</v>
      </c>
      <c r="H32" s="133"/>
      <c r="I32" s="159">
        <v>7.7896460000000003</v>
      </c>
      <c r="J32" s="133"/>
      <c r="K32" s="155">
        <v>7.7759559999999999</v>
      </c>
      <c r="L32" s="133">
        <v>7.8741620000000001</v>
      </c>
      <c r="M32" s="133">
        <v>7.9081469999999996</v>
      </c>
      <c r="N32" s="133">
        <v>7.926291</v>
      </c>
      <c r="O32" s="146">
        <v>7.7845769999999996</v>
      </c>
      <c r="Q32" s="214">
        <v>0.93189500000000003</v>
      </c>
      <c r="R32" s="48">
        <v>0.89166000000000001</v>
      </c>
      <c r="S32" s="214">
        <v>0.91525900000000004</v>
      </c>
      <c r="T32" s="215">
        <v>0.93605400000000005</v>
      </c>
      <c r="U32" s="214">
        <v>1.002707</v>
      </c>
      <c r="V32" s="214">
        <v>1.0921890000000001</v>
      </c>
      <c r="W32" s="36"/>
      <c r="X32" s="216">
        <v>1.0419860000000001</v>
      </c>
      <c r="Y32" s="216">
        <v>0.98246299999999998</v>
      </c>
      <c r="Z32" s="215">
        <v>0.93605400000000005</v>
      </c>
      <c r="AA32" s="216">
        <v>6.9733939999999999</v>
      </c>
      <c r="AB32" s="47"/>
      <c r="AC32" s="47">
        <v>0.95439200000000002</v>
      </c>
      <c r="AD32" s="47">
        <v>0.96843299999999999</v>
      </c>
      <c r="AE32" s="47">
        <v>0.96120000000000005</v>
      </c>
      <c r="AF32" s="53">
        <v>0.93605400000000005</v>
      </c>
      <c r="AG32" s="49">
        <v>0.91859599999999997</v>
      </c>
      <c r="AH32" s="47">
        <v>0.99836000000000003</v>
      </c>
      <c r="AI32" s="62"/>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row>
    <row r="33" spans="1:66" ht="27" hidden="1" x14ac:dyDescent="0.35">
      <c r="A33" s="29">
        <f>COUNTIF($B$66:$B$85, Table3[[#This Row],[Column2]])</f>
        <v>0</v>
      </c>
      <c r="B33" s="131" t="s">
        <v>1449</v>
      </c>
      <c r="C33" s="171">
        <v>5.0816100000000004</v>
      </c>
      <c r="D33" s="145">
        <v>5.8892620000000004</v>
      </c>
      <c r="E33" s="145">
        <v>5.8394659999999998</v>
      </c>
      <c r="F33" s="148">
        <v>5.0492109999999997</v>
      </c>
      <c r="G33" s="146">
        <v>5.8615789999999999</v>
      </c>
      <c r="H33" s="133"/>
      <c r="I33" s="159">
        <v>6.8452809999999999</v>
      </c>
      <c r="J33" s="133"/>
      <c r="K33" s="153">
        <v>7.6410739999999997</v>
      </c>
      <c r="L33" s="133">
        <v>9.0390409999999992</v>
      </c>
      <c r="M33" s="133">
        <v>7.8507249999999997</v>
      </c>
      <c r="N33" s="133">
        <v>6.8117979999999996</v>
      </c>
      <c r="O33" s="154">
        <v>6.8030350000000004</v>
      </c>
      <c r="Q33" s="214">
        <v>4.3548289999999996</v>
      </c>
      <c r="R33" s="214">
        <v>4.405519</v>
      </c>
      <c r="S33" s="48">
        <v>4.1518629999999996</v>
      </c>
      <c r="T33" s="215">
        <v>7.6292460000000002</v>
      </c>
      <c r="U33" s="214">
        <v>7.6399949999999999</v>
      </c>
      <c r="V33" s="214">
        <v>11.084069</v>
      </c>
      <c r="W33" s="36"/>
      <c r="X33" s="216">
        <v>7.7199739999999997</v>
      </c>
      <c r="Y33" s="216">
        <v>5.6786529999999997</v>
      </c>
      <c r="Z33" s="215">
        <v>7.6292460000000002</v>
      </c>
      <c r="AA33" s="216">
        <v>5.1026119999999997</v>
      </c>
      <c r="AB33" s="47"/>
      <c r="AC33" s="47">
        <v>24.657084999999999</v>
      </c>
      <c r="AD33" s="47">
        <v>14.962254</v>
      </c>
      <c r="AE33" s="47">
        <v>7.9662680000000003</v>
      </c>
      <c r="AF33" s="53">
        <v>7.6292460000000002</v>
      </c>
      <c r="AG33" s="47">
        <v>6.1869690000000004</v>
      </c>
      <c r="AH33" s="49">
        <v>4.2836489999999996</v>
      </c>
      <c r="AI33" s="62"/>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row>
    <row r="34" spans="1:66" ht="27" x14ac:dyDescent="0.35">
      <c r="A34" s="29">
        <f>COUNTIF($B$66:$B$85, Table3[[#This Row],[Column2]])</f>
        <v>1</v>
      </c>
      <c r="B34" s="131" t="s">
        <v>1440</v>
      </c>
      <c r="C34" s="171">
        <v>4.8207069999999996</v>
      </c>
      <c r="D34" s="147">
        <v>4.798845</v>
      </c>
      <c r="E34" s="145">
        <v>5.6351139999999997</v>
      </c>
      <c r="F34" s="133">
        <v>4.9170860000000003</v>
      </c>
      <c r="G34" s="146">
        <v>5.6618440000000003</v>
      </c>
      <c r="H34" s="133"/>
      <c r="I34" s="159">
        <v>5.1042110000000003</v>
      </c>
      <c r="J34" s="133"/>
      <c r="K34" s="153">
        <v>6.3413750000000002</v>
      </c>
      <c r="L34" s="133">
        <v>6.1971189999999998</v>
      </c>
      <c r="M34" s="133">
        <v>6.0621140000000002</v>
      </c>
      <c r="N34" s="133">
        <v>6.0943769999999997</v>
      </c>
      <c r="O34" s="154">
        <v>6.0604310000000003</v>
      </c>
      <c r="Q34" s="48">
        <v>2.298238</v>
      </c>
      <c r="R34" s="214">
        <v>2.3113419999999998</v>
      </c>
      <c r="S34" s="214">
        <v>5.6258749999999997</v>
      </c>
      <c r="T34" s="215">
        <v>3.0204589999999998</v>
      </c>
      <c r="U34" s="214">
        <v>5.8038160000000003</v>
      </c>
      <c r="V34" s="214">
        <v>6.3134329999999999</v>
      </c>
      <c r="W34" s="36"/>
      <c r="X34" s="216">
        <v>4.7288139999999999</v>
      </c>
      <c r="Y34" s="216">
        <v>3.5417339999999999</v>
      </c>
      <c r="Z34" s="213">
        <v>3.0204589999999998</v>
      </c>
      <c r="AA34" s="216">
        <v>4.8902979999999996</v>
      </c>
      <c r="AB34" s="47"/>
      <c r="AC34" s="47">
        <v>9.8667409999999993</v>
      </c>
      <c r="AD34" s="47">
        <v>9.5915490000000005</v>
      </c>
      <c r="AE34" s="47">
        <v>4.5494120000000002</v>
      </c>
      <c r="AF34" s="52">
        <v>3.0204589999999998</v>
      </c>
      <c r="AG34" s="47">
        <v>3.0986509999999998</v>
      </c>
      <c r="AH34" s="47">
        <v>6.7408910000000004</v>
      </c>
      <c r="AI34" s="62"/>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row>
    <row r="35" spans="1:66" ht="27" hidden="1" x14ac:dyDescent="0.35">
      <c r="A35" s="29">
        <f>COUNTIF($B$66:$B$85, Table3[[#This Row],[Column2]])</f>
        <v>0</v>
      </c>
      <c r="B35" s="131" t="s">
        <v>1447</v>
      </c>
      <c r="C35" s="171">
        <v>4.0008109999999997</v>
      </c>
      <c r="D35" s="145">
        <v>4.7059150000000001</v>
      </c>
      <c r="E35" s="145">
        <v>4.675999</v>
      </c>
      <c r="F35" s="148">
        <v>3.9375429999999998</v>
      </c>
      <c r="G35" s="146">
        <v>4.6808649999999998</v>
      </c>
      <c r="H35" s="133"/>
      <c r="I35" s="159">
        <v>4.1408459999999998</v>
      </c>
      <c r="J35" s="133"/>
      <c r="K35" s="153">
        <v>7.010726</v>
      </c>
      <c r="L35" s="133">
        <v>7.4756419999999997</v>
      </c>
      <c r="M35" s="133">
        <v>5.5383889999999996</v>
      </c>
      <c r="N35" s="133">
        <v>5.1227320000000001</v>
      </c>
      <c r="O35" s="154">
        <v>5.0864330000000004</v>
      </c>
      <c r="Q35" s="48">
        <v>2.7308180000000002</v>
      </c>
      <c r="R35" s="214">
        <v>2.745047</v>
      </c>
      <c r="S35" s="214">
        <v>2.991222</v>
      </c>
      <c r="T35" s="215">
        <v>5.235112</v>
      </c>
      <c r="U35" s="214">
        <v>11.207875</v>
      </c>
      <c r="V35" s="214">
        <v>19.292753000000001</v>
      </c>
      <c r="W35" s="36"/>
      <c r="X35" s="49">
        <v>4.9159449999999998</v>
      </c>
      <c r="Y35" s="216">
        <v>5.2631620000000003</v>
      </c>
      <c r="Z35" s="215">
        <v>5.235112</v>
      </c>
      <c r="AA35" s="216">
        <v>5.0425500000000003</v>
      </c>
      <c r="AB35" s="47"/>
      <c r="AC35" s="47">
        <v>37.827463000000002</v>
      </c>
      <c r="AD35" s="47">
        <v>17.762801</v>
      </c>
      <c r="AE35" s="47">
        <v>5.4301640000000004</v>
      </c>
      <c r="AF35" s="53">
        <v>5.235112</v>
      </c>
      <c r="AG35" s="47">
        <v>5.2860459999999998</v>
      </c>
      <c r="AH35" s="49">
        <v>4.9635449999999999</v>
      </c>
      <c r="AI35" s="62"/>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row>
    <row r="36" spans="1:66" ht="27" hidden="1" x14ac:dyDescent="0.35">
      <c r="A36" s="29">
        <f>COUNTIF($B$66:$B$85, Table3[[#This Row],[Column2]])</f>
        <v>0</v>
      </c>
      <c r="B36" s="131" t="s">
        <v>4</v>
      </c>
      <c r="C36" s="171">
        <v>3.886161</v>
      </c>
      <c r="D36" s="145">
        <v>4.549919</v>
      </c>
      <c r="E36" s="145">
        <v>4.5192829999999997</v>
      </c>
      <c r="F36" s="148">
        <v>3.7196549999999999</v>
      </c>
      <c r="G36" s="146">
        <v>4.5777330000000003</v>
      </c>
      <c r="H36" s="133"/>
      <c r="I36" s="159">
        <v>3.9173870000000002</v>
      </c>
      <c r="J36" s="133"/>
      <c r="K36" s="153">
        <v>8.4837109999999996</v>
      </c>
      <c r="L36" s="133">
        <v>6.9773290000000001</v>
      </c>
      <c r="M36" s="133">
        <v>6.3239789999999996</v>
      </c>
      <c r="N36" s="133">
        <v>5.9225940000000001</v>
      </c>
      <c r="O36" s="154">
        <v>5.6392579999999999</v>
      </c>
      <c r="Q36" s="214">
        <v>3.7352590000000001</v>
      </c>
      <c r="R36" s="48">
        <v>3.7348530000000002</v>
      </c>
      <c r="S36" s="214">
        <v>3.9193440000000002</v>
      </c>
      <c r="T36" s="215">
        <v>7.8326770000000003</v>
      </c>
      <c r="U36" s="214">
        <v>6.4660679999999999</v>
      </c>
      <c r="V36" s="214">
        <v>6.5621369999999999</v>
      </c>
      <c r="W36" s="36"/>
      <c r="X36" s="216">
        <v>5.7345649999999999</v>
      </c>
      <c r="Y36" s="216">
        <v>4.968477</v>
      </c>
      <c r="Z36" s="215">
        <v>7.8326770000000003</v>
      </c>
      <c r="AA36" s="49">
        <v>3.7237450000000001</v>
      </c>
      <c r="AB36" s="47"/>
      <c r="AC36" s="47">
        <v>29.066706</v>
      </c>
      <c r="AD36" s="47">
        <v>18.238071000000001</v>
      </c>
      <c r="AE36" s="47">
        <v>10.746964</v>
      </c>
      <c r="AF36" s="53">
        <v>7.8326770000000003</v>
      </c>
      <c r="AG36" s="49">
        <v>5.2079279999999999</v>
      </c>
      <c r="AH36" s="47">
        <v>5.373297</v>
      </c>
      <c r="AI36" s="62"/>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row>
    <row r="37" spans="1:66" ht="27" hidden="1" x14ac:dyDescent="0.35">
      <c r="A37" s="29">
        <f>COUNTIF($B$66:$B$85, Table3[[#This Row],[Column2]])</f>
        <v>0</v>
      </c>
      <c r="B37" s="131" t="s">
        <v>1433</v>
      </c>
      <c r="C37" s="171">
        <v>3.8999489999999999</v>
      </c>
      <c r="D37" s="145">
        <v>4.5438599999999996</v>
      </c>
      <c r="E37" s="145">
        <v>5.3870820000000004</v>
      </c>
      <c r="F37" s="148">
        <v>3.6595110000000002</v>
      </c>
      <c r="G37" s="146">
        <v>4.4914350000000001</v>
      </c>
      <c r="H37" s="133"/>
      <c r="I37" s="159">
        <v>3.8337750000000002</v>
      </c>
      <c r="J37" s="133"/>
      <c r="K37" s="153">
        <v>5.5282150000000003</v>
      </c>
      <c r="L37" s="133">
        <v>5.5916920000000001</v>
      </c>
      <c r="M37" s="133">
        <v>6.1420190000000003</v>
      </c>
      <c r="N37" s="133">
        <v>6.6177700000000002</v>
      </c>
      <c r="O37" s="154">
        <v>5.151205</v>
      </c>
      <c r="Q37" s="48">
        <v>3.0170669999999999</v>
      </c>
      <c r="R37" s="214">
        <v>3.0579550000000002</v>
      </c>
      <c r="S37" s="214">
        <v>6.9285709999999998</v>
      </c>
      <c r="T37" s="215">
        <v>4.8238430000000001</v>
      </c>
      <c r="U37" s="214">
        <v>4.2570389999999998</v>
      </c>
      <c r="V37" s="214">
        <v>6.844951</v>
      </c>
      <c r="W37" s="36"/>
      <c r="X37" s="216">
        <v>3.7684950000000002</v>
      </c>
      <c r="Y37" s="216">
        <v>7.6267189999999996</v>
      </c>
      <c r="Z37" s="215">
        <v>4.8238430000000001</v>
      </c>
      <c r="AA37" s="216">
        <v>3.6788080000000001</v>
      </c>
      <c r="AB37" s="47"/>
      <c r="AC37" s="47">
        <v>15.879493</v>
      </c>
      <c r="AD37" s="47">
        <v>9.7810070000000007</v>
      </c>
      <c r="AE37" s="47">
        <v>5.0213239999999999</v>
      </c>
      <c r="AF37" s="53">
        <v>4.8238430000000001</v>
      </c>
      <c r="AG37" s="49">
        <v>4.510281</v>
      </c>
      <c r="AH37" s="47">
        <v>4.7595859999999997</v>
      </c>
      <c r="AI37" s="62"/>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row>
    <row r="38" spans="1:66" ht="27" x14ac:dyDescent="0.35">
      <c r="A38" s="29">
        <f>COUNTIF($B$66:$B$85, Table3[[#This Row],[Column2]])</f>
        <v>1</v>
      </c>
      <c r="B38" s="131" t="s">
        <v>1404</v>
      </c>
      <c r="C38" s="171">
        <v>3.641111</v>
      </c>
      <c r="D38" s="147">
        <v>3.2633320000000001</v>
      </c>
      <c r="E38" s="145">
        <v>4.0955589999999997</v>
      </c>
      <c r="F38" s="133">
        <v>4.0313220000000003</v>
      </c>
      <c r="G38" s="146">
        <v>4.0939069999999997</v>
      </c>
      <c r="H38" s="133"/>
      <c r="I38" s="159">
        <v>3.7311160000000001</v>
      </c>
      <c r="J38" s="133"/>
      <c r="K38" s="155">
        <v>4.3569389999999997</v>
      </c>
      <c r="L38" s="133">
        <v>4.4346589999999999</v>
      </c>
      <c r="M38" s="133">
        <v>4.4001979999999996</v>
      </c>
      <c r="N38" s="133">
        <v>4.401052</v>
      </c>
      <c r="O38" s="146">
        <v>4.4023399999999997</v>
      </c>
      <c r="Q38" s="48">
        <v>3.607138</v>
      </c>
      <c r="R38" s="214">
        <v>3.858053</v>
      </c>
      <c r="S38" s="214">
        <v>3.7906369999999998</v>
      </c>
      <c r="T38" s="215">
        <v>7.6161149999999997</v>
      </c>
      <c r="U38" s="214">
        <v>9.8056099999999997</v>
      </c>
      <c r="V38" s="214">
        <v>15.526032000000001</v>
      </c>
      <c r="W38" s="36"/>
      <c r="X38" s="216">
        <v>5.9744669999999998</v>
      </c>
      <c r="Y38" s="216">
        <v>6.0800979999999996</v>
      </c>
      <c r="Z38" s="215">
        <v>7.6161149999999997</v>
      </c>
      <c r="AA38" s="49">
        <v>4.1194170000000003</v>
      </c>
      <c r="AB38" s="47"/>
      <c r="AC38" s="47">
        <v>19.474523999999999</v>
      </c>
      <c r="AD38" s="47">
        <v>19.652605999999999</v>
      </c>
      <c r="AE38" s="47">
        <v>15.225944999999999</v>
      </c>
      <c r="AF38" s="53">
        <v>7.6161149999999997</v>
      </c>
      <c r="AG38" s="49">
        <v>5.9954960000000002</v>
      </c>
      <c r="AH38" s="47">
        <v>6.0241189999999998</v>
      </c>
      <c r="AI38" s="62"/>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row>
    <row r="39" spans="1:66" ht="27" hidden="1" x14ac:dyDescent="0.35">
      <c r="A39" s="29">
        <f>COUNTIF($B$66:$B$85, Table3[[#This Row],[Column2]])</f>
        <v>0</v>
      </c>
      <c r="B39" s="131" t="s">
        <v>1461</v>
      </c>
      <c r="C39" s="171">
        <v>4.1356330000000003</v>
      </c>
      <c r="D39" s="145">
        <v>4.4455710000000002</v>
      </c>
      <c r="E39" s="145">
        <v>4.4484909999999998</v>
      </c>
      <c r="F39" s="148">
        <v>3.805151</v>
      </c>
      <c r="G39" s="146">
        <v>4.4546609999999998</v>
      </c>
      <c r="H39" s="133"/>
      <c r="I39" s="159">
        <v>3.8363990000000001</v>
      </c>
      <c r="J39" s="133"/>
      <c r="K39" s="153">
        <v>5.3084639999999998</v>
      </c>
      <c r="L39" s="133">
        <v>5.0061879999999999</v>
      </c>
      <c r="M39" s="133">
        <v>6.3539729999999999</v>
      </c>
      <c r="N39" s="133">
        <v>5.1817010000000003</v>
      </c>
      <c r="O39" s="154">
        <v>4.8210550000000003</v>
      </c>
      <c r="Q39" s="48">
        <v>2.930409</v>
      </c>
      <c r="R39" s="214">
        <v>3.0040309999999999</v>
      </c>
      <c r="S39" s="214">
        <v>8.0475460000000005</v>
      </c>
      <c r="T39" s="215">
        <v>5.4122669999999999</v>
      </c>
      <c r="U39" s="214">
        <v>6.5761799999999999</v>
      </c>
      <c r="V39" s="214">
        <v>8.7387759999999997</v>
      </c>
      <c r="W39" s="36"/>
      <c r="X39" s="216">
        <v>7.306724</v>
      </c>
      <c r="Y39" s="216">
        <v>5.6608270000000003</v>
      </c>
      <c r="Z39" s="215">
        <v>5.4122669999999999</v>
      </c>
      <c r="AA39" s="49">
        <v>3.1789939999999999</v>
      </c>
      <c r="AB39" s="47"/>
      <c r="AC39" s="47">
        <v>17.522859</v>
      </c>
      <c r="AD39" s="47">
        <v>13.057527</v>
      </c>
      <c r="AE39" s="47">
        <v>6.6693540000000002</v>
      </c>
      <c r="AF39" s="53">
        <v>5.4122669999999999</v>
      </c>
      <c r="AG39" s="49">
        <v>3.4647009999999998</v>
      </c>
      <c r="AH39" s="47">
        <v>5.4864050000000004</v>
      </c>
      <c r="AI39" s="62"/>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row>
    <row r="40" spans="1:66" ht="27" hidden="1" x14ac:dyDescent="0.35">
      <c r="A40" s="29">
        <f>COUNTIF($B$66:$B$85, Table3[[#This Row],[Column2]])</f>
        <v>0</v>
      </c>
      <c r="B40" s="131" t="s">
        <v>1448</v>
      </c>
      <c r="C40" s="171">
        <v>3.7711070000000002</v>
      </c>
      <c r="D40" s="145">
        <v>3.9782419999999998</v>
      </c>
      <c r="E40" s="145">
        <v>3.9501140000000001</v>
      </c>
      <c r="F40" s="148">
        <v>3.1349040000000001</v>
      </c>
      <c r="G40" s="146">
        <v>4.0252759999999999</v>
      </c>
      <c r="H40" s="133"/>
      <c r="I40" s="159">
        <v>3.4353509999999998</v>
      </c>
      <c r="J40" s="133"/>
      <c r="K40" s="153">
        <v>5.7415690000000001</v>
      </c>
      <c r="L40" s="133">
        <v>4.7656539999999996</v>
      </c>
      <c r="M40" s="133">
        <v>4.6502309999999998</v>
      </c>
      <c r="N40" s="133">
        <v>4.5646839999999997</v>
      </c>
      <c r="O40" s="154">
        <v>4.5613029999999997</v>
      </c>
      <c r="Q40" s="214">
        <v>1.751118</v>
      </c>
      <c r="R40" s="48">
        <v>1.6193029999999999</v>
      </c>
      <c r="S40" s="214">
        <v>11.312514999999999</v>
      </c>
      <c r="T40" s="215">
        <v>2.5116809999999998</v>
      </c>
      <c r="U40" s="214">
        <v>3.395019</v>
      </c>
      <c r="V40" s="214">
        <v>3.808462</v>
      </c>
      <c r="W40" s="36"/>
      <c r="X40" s="216">
        <v>3.5533090000000001</v>
      </c>
      <c r="Y40" s="216">
        <v>2.248777</v>
      </c>
      <c r="Z40" s="215">
        <v>2.5116809999999998</v>
      </c>
      <c r="AA40" s="49">
        <v>1.767763</v>
      </c>
      <c r="AB40" s="47"/>
      <c r="AC40" s="47">
        <v>11.706106</v>
      </c>
      <c r="AD40" s="47">
        <v>8.6398089999999996</v>
      </c>
      <c r="AE40" s="47">
        <v>2.9338440000000001</v>
      </c>
      <c r="AF40" s="53">
        <v>2.5116809999999998</v>
      </c>
      <c r="AG40" s="47">
        <v>8.3705219999999994</v>
      </c>
      <c r="AH40" s="49">
        <v>2.2846540000000002</v>
      </c>
      <c r="AI40" s="62"/>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row>
    <row r="41" spans="1:66" ht="27" hidden="1" x14ac:dyDescent="0.35">
      <c r="A41" s="29">
        <f>COUNTIF($B$66:$B$85, Table3[[#This Row],[Column2]])</f>
        <v>0</v>
      </c>
      <c r="B41" s="131" t="s">
        <v>1425</v>
      </c>
      <c r="C41" s="171">
        <v>3.2612990000000002</v>
      </c>
      <c r="D41" s="147">
        <v>2.9203489999999999</v>
      </c>
      <c r="E41" s="145">
        <v>4.6497830000000002</v>
      </c>
      <c r="F41" s="133">
        <v>2.937246</v>
      </c>
      <c r="G41" s="146">
        <v>3.807124</v>
      </c>
      <c r="H41" s="133"/>
      <c r="I41" s="159">
        <v>3.2148729999999999</v>
      </c>
      <c r="J41" s="133"/>
      <c r="K41" s="155">
        <v>3.9362720000000002</v>
      </c>
      <c r="L41" s="133">
        <v>5.147691</v>
      </c>
      <c r="M41" s="133">
        <v>4.9106370000000004</v>
      </c>
      <c r="N41" s="133">
        <v>4.0655580000000002</v>
      </c>
      <c r="O41" s="146">
        <v>4.028359</v>
      </c>
      <c r="Q41" s="214">
        <v>2.1273040000000001</v>
      </c>
      <c r="R41" s="48">
        <v>2.1008070000000001</v>
      </c>
      <c r="S41" s="214">
        <v>2.4339580000000001</v>
      </c>
      <c r="T41" s="215">
        <v>4.758845</v>
      </c>
      <c r="U41" s="214">
        <v>3.714137</v>
      </c>
      <c r="V41" s="214">
        <v>2.9309440000000002</v>
      </c>
      <c r="W41" s="36"/>
      <c r="X41" s="49">
        <v>2.3914149999999998</v>
      </c>
      <c r="Y41" s="216">
        <v>3.7774890000000001</v>
      </c>
      <c r="Z41" s="215">
        <v>4.758845</v>
      </c>
      <c r="AA41" s="216">
        <v>2.4155519999999999</v>
      </c>
      <c r="AB41" s="47"/>
      <c r="AC41" s="47">
        <v>12.362553</v>
      </c>
      <c r="AD41" s="47">
        <v>11.737031999999999</v>
      </c>
      <c r="AE41" s="47">
        <v>7.3457619999999997</v>
      </c>
      <c r="AF41" s="53">
        <v>4.758845</v>
      </c>
      <c r="AG41" s="47">
        <v>3.4009459999999998</v>
      </c>
      <c r="AH41" s="49">
        <v>3.0799949999999998</v>
      </c>
      <c r="AI41" s="62"/>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row>
    <row r="42" spans="1:66" ht="27" x14ac:dyDescent="0.35">
      <c r="A42" s="29">
        <f>COUNTIF($B$66:$B$85, Table3[[#This Row],[Column2]])</f>
        <v>1</v>
      </c>
      <c r="B42" s="131" t="s">
        <v>1409</v>
      </c>
      <c r="C42" s="171">
        <v>2.8492479999999998</v>
      </c>
      <c r="D42" s="147">
        <v>2.5527690000000001</v>
      </c>
      <c r="E42" s="145">
        <v>3.3974639999999998</v>
      </c>
      <c r="F42" s="133">
        <v>2.7418260000000001</v>
      </c>
      <c r="G42" s="146">
        <v>3.398047</v>
      </c>
      <c r="H42" s="133"/>
      <c r="I42" s="159">
        <v>4.5660360000000004</v>
      </c>
      <c r="J42" s="133"/>
      <c r="K42" s="155">
        <v>3.3478080000000001</v>
      </c>
      <c r="L42" s="133">
        <v>3.4434170000000002</v>
      </c>
      <c r="M42" s="133">
        <v>3.4365199999999998</v>
      </c>
      <c r="N42" s="133">
        <v>3.4524680000000001</v>
      </c>
      <c r="O42" s="146">
        <v>3.4678450000000001</v>
      </c>
      <c r="Q42" s="214">
        <v>3.1850529999999999</v>
      </c>
      <c r="R42" s="214">
        <v>3.1772360000000002</v>
      </c>
      <c r="S42" s="214">
        <v>4.2090759999999996</v>
      </c>
      <c r="T42" s="213">
        <v>2.0374910000000002</v>
      </c>
      <c r="U42" s="214">
        <v>3.820751</v>
      </c>
      <c r="V42" s="214">
        <v>3.5623179999999999</v>
      </c>
      <c r="W42" s="36"/>
      <c r="X42" s="216">
        <v>2.837418</v>
      </c>
      <c r="Y42" s="216">
        <v>2.888144</v>
      </c>
      <c r="Z42" s="215">
        <v>2.0374910000000002</v>
      </c>
      <c r="AA42" s="216">
        <v>3.230728</v>
      </c>
      <c r="AB42" s="47"/>
      <c r="AC42" s="47">
        <v>5.9929649999999999</v>
      </c>
      <c r="AD42" s="47">
        <v>5.9242460000000001</v>
      </c>
      <c r="AE42" s="47">
        <v>2.842937</v>
      </c>
      <c r="AF42" s="53">
        <v>2.0374910000000002</v>
      </c>
      <c r="AG42" s="47">
        <v>1.607669</v>
      </c>
      <c r="AH42" s="49">
        <v>1.421513</v>
      </c>
      <c r="AI42" s="62"/>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row>
    <row r="43" spans="1:66" ht="27" hidden="1" x14ac:dyDescent="0.35">
      <c r="A43" s="29">
        <f>COUNTIF($B$66:$B$85, Table3[[#This Row],[Column2]])</f>
        <v>0</v>
      </c>
      <c r="B43" s="130" t="s">
        <v>1434</v>
      </c>
      <c r="C43" s="171">
        <v>2.754518</v>
      </c>
      <c r="D43" s="145">
        <v>3.1589119999999999</v>
      </c>
      <c r="E43" s="145">
        <v>3.18</v>
      </c>
      <c r="F43" s="148">
        <v>2.3620510000000001</v>
      </c>
      <c r="G43" s="146">
        <v>3.2141229999999998</v>
      </c>
      <c r="H43" s="133"/>
      <c r="I43" s="159">
        <v>2.4138410000000001</v>
      </c>
      <c r="J43" s="133"/>
      <c r="K43" s="153">
        <v>5.1510870000000004</v>
      </c>
      <c r="L43" s="133">
        <v>5.9023089999999998</v>
      </c>
      <c r="M43" s="133">
        <v>4.2023039999999998</v>
      </c>
      <c r="N43" s="133">
        <v>3.4080059999999999</v>
      </c>
      <c r="O43" s="154">
        <v>3.357167</v>
      </c>
      <c r="Q43" s="48">
        <v>1.619448</v>
      </c>
      <c r="R43" s="214">
        <v>1.747843</v>
      </c>
      <c r="S43" s="214">
        <v>1.8202449999999999</v>
      </c>
      <c r="T43" s="215">
        <v>7.0814329999999996</v>
      </c>
      <c r="U43" s="214">
        <v>6.1847139999999996</v>
      </c>
      <c r="V43" s="214">
        <v>11.213214000000001</v>
      </c>
      <c r="W43" s="36"/>
      <c r="X43" s="216">
        <v>3.1606559999999999</v>
      </c>
      <c r="Y43" s="216">
        <v>2.9095740000000001</v>
      </c>
      <c r="Z43" s="215">
        <v>7.0814329999999996</v>
      </c>
      <c r="AA43" s="49">
        <v>2.251614</v>
      </c>
      <c r="AB43" s="47"/>
      <c r="AC43" s="47">
        <v>26.685497000000002</v>
      </c>
      <c r="AD43" s="47">
        <v>26.479755000000001</v>
      </c>
      <c r="AE43" s="47">
        <v>12.449403999999999</v>
      </c>
      <c r="AF43" s="53">
        <v>7.0814329999999996</v>
      </c>
      <c r="AG43" s="49">
        <v>2.833161</v>
      </c>
      <c r="AH43" s="47">
        <v>2.9341309999999998</v>
      </c>
      <c r="AI43" s="62"/>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row>
    <row r="44" spans="1:66" ht="27" hidden="1" x14ac:dyDescent="0.35">
      <c r="A44" s="29">
        <f>COUNTIF($B$66:$B$85, Table3[[#This Row],[Column2]])</f>
        <v>0</v>
      </c>
      <c r="B44" s="131" t="s">
        <v>1411</v>
      </c>
      <c r="C44" s="144">
        <v>1.958423</v>
      </c>
      <c r="D44" s="145">
        <v>2.7061799999999998</v>
      </c>
      <c r="E44" s="145">
        <v>3.5704090000000002</v>
      </c>
      <c r="F44" s="133">
        <v>2.048527</v>
      </c>
      <c r="G44" s="146">
        <v>2.6880099999999998</v>
      </c>
      <c r="H44" s="133"/>
      <c r="I44" s="159">
        <v>1.9853620000000001</v>
      </c>
      <c r="J44" s="133"/>
      <c r="K44" s="155">
        <v>2.5415079999999999</v>
      </c>
      <c r="L44" s="133">
        <v>2.7037040000000001</v>
      </c>
      <c r="M44" s="133">
        <v>2.7142390000000001</v>
      </c>
      <c r="N44" s="133">
        <v>2.7239589999999998</v>
      </c>
      <c r="O44" s="146">
        <v>2.7115909999999999</v>
      </c>
      <c r="Q44" s="48">
        <v>2.2864110000000002</v>
      </c>
      <c r="R44" s="214">
        <v>2.300843</v>
      </c>
      <c r="S44" s="214">
        <v>3.4209420000000001</v>
      </c>
      <c r="T44" s="215">
        <v>2.8253370000000002</v>
      </c>
      <c r="U44" s="214">
        <v>3.3987810000000001</v>
      </c>
      <c r="V44" s="214">
        <v>4.4973419999999997</v>
      </c>
      <c r="W44" s="36"/>
      <c r="X44" s="216">
        <v>3.4300060000000001</v>
      </c>
      <c r="Y44" s="216">
        <v>2.937573</v>
      </c>
      <c r="Z44" s="215">
        <v>2.8253370000000002</v>
      </c>
      <c r="AA44" s="216">
        <v>2.9773869999999998</v>
      </c>
      <c r="AB44" s="47"/>
      <c r="AC44" s="47">
        <v>6.1249459999999996</v>
      </c>
      <c r="AD44" s="47">
        <v>6.3695349999999999</v>
      </c>
      <c r="AE44" s="47">
        <v>3.8291759999999999</v>
      </c>
      <c r="AF44" s="53">
        <v>2.8253370000000002</v>
      </c>
      <c r="AG44" s="49">
        <v>2.625896</v>
      </c>
      <c r="AH44" s="47">
        <v>2.6965620000000001</v>
      </c>
      <c r="AI44" s="62"/>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row>
    <row r="45" spans="1:66" ht="27" x14ac:dyDescent="0.35">
      <c r="A45" s="29">
        <f>COUNTIF($B$66:$B$85, Table3[[#This Row],[Column2]])</f>
        <v>1</v>
      </c>
      <c r="B45" s="130" t="s">
        <v>11</v>
      </c>
      <c r="C45" s="171">
        <v>2.5267179999999998</v>
      </c>
      <c r="D45" s="147">
        <v>1.745098</v>
      </c>
      <c r="E45" s="145">
        <v>2.6336360000000001</v>
      </c>
      <c r="F45" s="133">
        <v>2.0667589999999998</v>
      </c>
      <c r="G45" s="146">
        <v>2.6295630000000001</v>
      </c>
      <c r="H45" s="133"/>
      <c r="I45" s="159">
        <v>3.3782510000000001</v>
      </c>
      <c r="J45" s="133"/>
      <c r="K45" s="153">
        <v>3.9748239999999999</v>
      </c>
      <c r="L45" s="133">
        <v>5.0047879999999996</v>
      </c>
      <c r="M45" s="133">
        <v>4.7165229999999996</v>
      </c>
      <c r="N45" s="133">
        <v>3.2412570000000001</v>
      </c>
      <c r="O45" s="154">
        <v>3.23516</v>
      </c>
      <c r="Q45" s="214">
        <v>2.564349</v>
      </c>
      <c r="R45" s="214">
        <v>2.5623800000000001</v>
      </c>
      <c r="S45" s="214">
        <v>0.88851800000000003</v>
      </c>
      <c r="T45" s="213">
        <v>0.85847099999999998</v>
      </c>
      <c r="U45" s="214">
        <v>1.1537630000000001</v>
      </c>
      <c r="V45" s="214">
        <v>1.967543</v>
      </c>
      <c r="W45" s="36"/>
      <c r="X45" s="216">
        <v>0.86548899999999995</v>
      </c>
      <c r="Y45" s="49">
        <v>0.80623199999999995</v>
      </c>
      <c r="Z45" s="215">
        <v>0.85847099999999998</v>
      </c>
      <c r="AA45" s="216">
        <v>2.5749040000000001</v>
      </c>
      <c r="AB45" s="47"/>
      <c r="AC45" s="47">
        <v>0.90495599999999998</v>
      </c>
      <c r="AD45" s="47">
        <v>0.91064500000000004</v>
      </c>
      <c r="AE45" s="47">
        <v>0.90869</v>
      </c>
      <c r="AF45" s="52">
        <v>0.85847099999999998</v>
      </c>
      <c r="AG45" s="47">
        <v>0.912605</v>
      </c>
      <c r="AH45" s="47">
        <v>0.89289700000000005</v>
      </c>
      <c r="AI45" s="62"/>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row>
    <row r="46" spans="1:66" ht="27" hidden="1" x14ac:dyDescent="0.35">
      <c r="A46" s="29">
        <f>COUNTIF($B$66:$B$85, Table3[[#This Row],[Column2]])</f>
        <v>0</v>
      </c>
      <c r="B46" s="131" t="s">
        <v>1408</v>
      </c>
      <c r="C46" s="171">
        <v>1.969042</v>
      </c>
      <c r="D46" s="147">
        <v>1.5082530000000001</v>
      </c>
      <c r="E46" s="145">
        <v>2.3545120000000002</v>
      </c>
      <c r="F46" s="133">
        <v>1.8024249999999999</v>
      </c>
      <c r="G46" s="146">
        <v>3.241727</v>
      </c>
      <c r="H46" s="133"/>
      <c r="I46" s="159">
        <v>1.682345</v>
      </c>
      <c r="J46" s="133"/>
      <c r="K46" s="155">
        <v>2.222766</v>
      </c>
      <c r="L46" s="133">
        <v>2.3784320000000001</v>
      </c>
      <c r="M46" s="133">
        <v>2.3714379999999999</v>
      </c>
      <c r="N46" s="133">
        <v>2.3670089999999999</v>
      </c>
      <c r="O46" s="146">
        <v>2.3541729999999998</v>
      </c>
      <c r="Q46" s="214">
        <v>1.1497919999999999</v>
      </c>
      <c r="R46" s="48">
        <v>1.1062050000000001</v>
      </c>
      <c r="S46" s="214">
        <v>3.5289079999999999</v>
      </c>
      <c r="T46" s="215">
        <v>4.0897119999999996</v>
      </c>
      <c r="U46" s="214">
        <v>4.6153170000000001</v>
      </c>
      <c r="V46" s="214">
        <v>4.8095809999999997</v>
      </c>
      <c r="W46" s="36"/>
      <c r="X46" s="216">
        <v>6.7908150000000003</v>
      </c>
      <c r="Y46" s="216">
        <v>5.3423400000000001</v>
      </c>
      <c r="Z46" s="215">
        <v>4.0897119999999996</v>
      </c>
      <c r="AA46" s="49">
        <v>1.445926</v>
      </c>
      <c r="AB46" s="47"/>
      <c r="AC46" s="47">
        <v>6.9071680000000004</v>
      </c>
      <c r="AD46" s="47">
        <v>6.6971160000000003</v>
      </c>
      <c r="AE46" s="47">
        <v>4.2195349999999996</v>
      </c>
      <c r="AF46" s="53">
        <v>4.0897119999999996</v>
      </c>
      <c r="AG46" s="49">
        <v>4.0474309999999996</v>
      </c>
      <c r="AH46" s="47">
        <v>4.1016180000000002</v>
      </c>
      <c r="AI46" s="62"/>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row>
    <row r="47" spans="1:66" ht="27" hidden="1" x14ac:dyDescent="0.35">
      <c r="A47" s="29">
        <f>COUNTIF($B$66:$B$85, Table3[[#This Row],[Column2]])</f>
        <v>0</v>
      </c>
      <c r="B47" s="130" t="s">
        <v>3912</v>
      </c>
      <c r="C47" s="171">
        <v>2.0002249999999999</v>
      </c>
      <c r="D47" s="145">
        <v>2.2822390000000001</v>
      </c>
      <c r="E47" s="145">
        <v>2.328303</v>
      </c>
      <c r="F47" s="148">
        <v>1.4965679999999999</v>
      </c>
      <c r="G47" s="146">
        <v>2.3413740000000001</v>
      </c>
      <c r="H47" s="133"/>
      <c r="I47" s="159">
        <v>1.571016</v>
      </c>
      <c r="J47" s="133"/>
      <c r="K47" s="155">
        <v>2.4976539999999998</v>
      </c>
      <c r="L47" s="133">
        <v>3.8372980000000001</v>
      </c>
      <c r="M47" s="133">
        <v>3.4616539999999998</v>
      </c>
      <c r="N47" s="133">
        <v>2.6126040000000001</v>
      </c>
      <c r="O47" s="146">
        <v>2.6180850000000002</v>
      </c>
      <c r="Q47" s="48">
        <v>1.0675589999999999</v>
      </c>
      <c r="R47" s="214">
        <v>3.6673930000000001</v>
      </c>
      <c r="S47" s="214">
        <v>6.0054169999999996</v>
      </c>
      <c r="T47" s="215">
        <v>2.076346</v>
      </c>
      <c r="U47" s="214">
        <v>6.1438750000000004</v>
      </c>
      <c r="V47" s="214">
        <v>6.3024579999999997</v>
      </c>
      <c r="W47" s="36"/>
      <c r="X47" s="216">
        <v>1.2674479999999999</v>
      </c>
      <c r="Y47" s="216">
        <v>1.371791</v>
      </c>
      <c r="Z47" s="215">
        <v>2.076346</v>
      </c>
      <c r="AA47" s="49">
        <v>1.0740229999999999</v>
      </c>
      <c r="AB47" s="47"/>
      <c r="AC47" s="47">
        <v>7.2429079999999999</v>
      </c>
      <c r="AD47" s="47">
        <v>6.2302080000000002</v>
      </c>
      <c r="AE47" s="47">
        <v>3.0055230000000002</v>
      </c>
      <c r="AF47" s="52">
        <v>2.076346</v>
      </c>
      <c r="AG47" s="47">
        <v>4.9131790000000004</v>
      </c>
      <c r="AH47" s="47">
        <v>5.9550010000000002</v>
      </c>
      <c r="AI47" s="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row>
    <row r="48" spans="1:66" ht="21" hidden="1" customHeight="1" x14ac:dyDescent="0.35">
      <c r="A48" s="29">
        <f>COUNTIF($B$66:$B$85, Table3[[#This Row],[Column2]])</f>
        <v>0</v>
      </c>
      <c r="B48" s="131" t="s">
        <v>1462</v>
      </c>
      <c r="C48" s="144">
        <v>1.740559</v>
      </c>
      <c r="D48" s="145">
        <v>2.4154979999999999</v>
      </c>
      <c r="E48" s="145">
        <v>2.421586</v>
      </c>
      <c r="F48" s="133">
        <v>1.74369</v>
      </c>
      <c r="G48" s="146">
        <v>2.4254039999999999</v>
      </c>
      <c r="H48" s="133"/>
      <c r="I48" s="159">
        <v>1.6937089999999999</v>
      </c>
      <c r="J48" s="133"/>
      <c r="K48" s="153">
        <v>2.5443289999999998</v>
      </c>
      <c r="L48" s="133">
        <v>2.5168569999999999</v>
      </c>
      <c r="M48" s="148">
        <v>2.422631</v>
      </c>
      <c r="N48" s="133">
        <v>2.5663399999999998</v>
      </c>
      <c r="O48" s="146">
        <v>2.5025019999999998</v>
      </c>
      <c r="Q48" s="214">
        <v>0.49072199999999999</v>
      </c>
      <c r="R48" s="48">
        <v>0.38749099999999997</v>
      </c>
      <c r="S48" s="214">
        <v>0.49818699999999999</v>
      </c>
      <c r="T48" s="215">
        <v>0.72130399999999995</v>
      </c>
      <c r="U48" s="214">
        <v>1.0684100000000001</v>
      </c>
      <c r="V48" s="214">
        <v>1.632644</v>
      </c>
      <c r="W48" s="36"/>
      <c r="X48" s="216">
        <v>0.71407900000000002</v>
      </c>
      <c r="Y48" s="216">
        <v>0.62813099999999999</v>
      </c>
      <c r="Z48" s="215">
        <v>0.72130399999999995</v>
      </c>
      <c r="AA48" s="216">
        <v>1.8323670000000001</v>
      </c>
      <c r="AB48" s="47"/>
      <c r="AC48" s="47">
        <v>0.74632600000000004</v>
      </c>
      <c r="AD48" s="47">
        <v>0.84335300000000002</v>
      </c>
      <c r="AE48" s="47">
        <v>0.64007000000000003</v>
      </c>
      <c r="AF48" s="53">
        <v>0.72130399999999995</v>
      </c>
      <c r="AG48" s="49">
        <v>0.63005900000000004</v>
      </c>
      <c r="AH48" s="47">
        <v>0.65108900000000003</v>
      </c>
      <c r="AI48" s="62"/>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row>
    <row r="49" spans="1:66" ht="27" hidden="1" x14ac:dyDescent="0.35">
      <c r="A49" s="29">
        <f>COUNTIF($B$66:$B$85, Table3[[#This Row],[Column2]])</f>
        <v>0</v>
      </c>
      <c r="B49" s="131" t="s">
        <v>1437</v>
      </c>
      <c r="C49" s="171">
        <v>1.4455579999999999</v>
      </c>
      <c r="D49" s="145">
        <v>2.1516799999999998</v>
      </c>
      <c r="E49" s="145">
        <v>3.0415100000000002</v>
      </c>
      <c r="F49" s="148">
        <v>1.332689</v>
      </c>
      <c r="G49" s="146">
        <v>2.172326</v>
      </c>
      <c r="H49" s="133"/>
      <c r="I49" s="159">
        <v>1.446725</v>
      </c>
      <c r="J49" s="133"/>
      <c r="K49" s="155">
        <v>2.238883</v>
      </c>
      <c r="L49" s="133">
        <v>2.3375050000000002</v>
      </c>
      <c r="M49" s="133">
        <v>2.3409399999999998</v>
      </c>
      <c r="N49" s="133">
        <v>2.3386230000000001</v>
      </c>
      <c r="O49" s="146">
        <v>2.357993</v>
      </c>
      <c r="Q49" s="48">
        <v>0.73124500000000003</v>
      </c>
      <c r="R49" s="214">
        <v>0.74217500000000003</v>
      </c>
      <c r="S49" s="214">
        <v>0.82330899999999996</v>
      </c>
      <c r="T49" s="215">
        <v>1.3929849999999999</v>
      </c>
      <c r="U49" s="214">
        <v>1.6855180000000001</v>
      </c>
      <c r="V49" s="214">
        <v>2.8502160000000001</v>
      </c>
      <c r="W49" s="36"/>
      <c r="X49" s="216">
        <v>0.95522300000000004</v>
      </c>
      <c r="Y49" s="216">
        <v>1.072522</v>
      </c>
      <c r="Z49" s="215">
        <v>1.3929849999999999</v>
      </c>
      <c r="AA49" s="216">
        <v>1.1189070000000001</v>
      </c>
      <c r="AB49" s="47"/>
      <c r="AC49" s="47">
        <v>4.6114670000000002</v>
      </c>
      <c r="AD49" s="47">
        <v>4.4164440000000003</v>
      </c>
      <c r="AE49" s="47">
        <v>2.3524859999999999</v>
      </c>
      <c r="AF49" s="53">
        <v>1.3929849999999999</v>
      </c>
      <c r="AG49" s="47">
        <v>1.2803720000000001</v>
      </c>
      <c r="AH49" s="49">
        <v>0.99224400000000001</v>
      </c>
      <c r="AI49" s="62"/>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row>
    <row r="50" spans="1:66" ht="27" x14ac:dyDescent="0.35">
      <c r="A50" s="29">
        <f>COUNTIF($B$66:$B$85, Table3[[#This Row],[Column2]])</f>
        <v>1</v>
      </c>
      <c r="B50" s="130" t="s">
        <v>3917</v>
      </c>
      <c r="C50" s="171">
        <v>2.4054160000000002</v>
      </c>
      <c r="D50" s="147">
        <v>1.1303939999999999</v>
      </c>
      <c r="E50" s="145">
        <v>1.996453</v>
      </c>
      <c r="F50" s="133">
        <v>1.157516</v>
      </c>
      <c r="G50" s="146">
        <v>1.9973110000000001</v>
      </c>
      <c r="H50" s="133"/>
      <c r="I50" s="159">
        <v>1.3038989999999999</v>
      </c>
      <c r="J50" s="133"/>
      <c r="K50" s="153">
        <v>3.483552</v>
      </c>
      <c r="L50" s="133">
        <v>3.3173910000000002</v>
      </c>
      <c r="M50" s="133">
        <v>2.144908</v>
      </c>
      <c r="N50" s="148">
        <v>2.1356410000000001</v>
      </c>
      <c r="O50" s="146">
        <v>2.1381540000000001</v>
      </c>
      <c r="Q50" s="214">
        <v>1.2897780000000001</v>
      </c>
      <c r="R50" s="48">
        <v>1.2659910000000001</v>
      </c>
      <c r="S50" s="214">
        <v>1.771131</v>
      </c>
      <c r="T50" s="215">
        <v>2.3065820000000001</v>
      </c>
      <c r="U50" s="214">
        <v>3.7644380000000002</v>
      </c>
      <c r="V50" s="214">
        <v>5.5104610000000003</v>
      </c>
      <c r="W50" s="36"/>
      <c r="X50" s="216">
        <v>1.728583</v>
      </c>
      <c r="Y50" s="216">
        <v>1.9112150000000001</v>
      </c>
      <c r="Z50" s="215">
        <v>2.3065820000000001</v>
      </c>
      <c r="AA50" s="49">
        <v>1.3088630000000001</v>
      </c>
      <c r="AB50" s="47"/>
      <c r="AC50" s="47">
        <v>5.9733539999999996</v>
      </c>
      <c r="AD50" s="47">
        <v>5.5395899999999996</v>
      </c>
      <c r="AE50" s="47">
        <v>2.1997770000000001</v>
      </c>
      <c r="AF50" s="53">
        <v>2.3065820000000001</v>
      </c>
      <c r="AG50" s="49">
        <v>1.914847</v>
      </c>
      <c r="AH50" s="47">
        <v>1.937945</v>
      </c>
      <c r="AI50" s="62"/>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row>
    <row r="51" spans="1:66" ht="27" hidden="1" x14ac:dyDescent="0.35">
      <c r="A51" s="29">
        <f>COUNTIF($B$66:$B$85, Table3[[#This Row],[Column2]])</f>
        <v>0</v>
      </c>
      <c r="B51" s="131" t="s">
        <v>1346</v>
      </c>
      <c r="C51" s="144">
        <v>1.609008</v>
      </c>
      <c r="D51" s="145">
        <v>1.9767570000000001</v>
      </c>
      <c r="E51" s="145">
        <v>1.9797480000000001</v>
      </c>
      <c r="F51" s="133">
        <v>1.7733190000000001</v>
      </c>
      <c r="G51" s="146">
        <v>1.979438</v>
      </c>
      <c r="H51" s="133"/>
      <c r="I51" s="159">
        <v>1.300643</v>
      </c>
      <c r="J51" s="133"/>
      <c r="K51" s="153">
        <v>2.3722509999999999</v>
      </c>
      <c r="L51" s="133">
        <v>2.3102339999999999</v>
      </c>
      <c r="M51" s="133">
        <v>2.3090099999999998</v>
      </c>
      <c r="N51" s="148">
        <v>2.308119</v>
      </c>
      <c r="O51" s="146">
        <v>2.3199109999999998</v>
      </c>
      <c r="Q51" s="214">
        <v>0.75356400000000001</v>
      </c>
      <c r="R51" s="48">
        <v>0.68957199999999996</v>
      </c>
      <c r="S51" s="214">
        <v>1.009171</v>
      </c>
      <c r="T51" s="215">
        <v>1.1210039999999999</v>
      </c>
      <c r="U51" s="214">
        <v>1.656684</v>
      </c>
      <c r="V51" s="214">
        <v>2.4768729999999999</v>
      </c>
      <c r="W51" s="36"/>
      <c r="X51" s="216">
        <v>1.434606</v>
      </c>
      <c r="Y51" s="216">
        <v>1.374106</v>
      </c>
      <c r="Z51" s="215">
        <v>1.1210039999999999</v>
      </c>
      <c r="AA51" s="49">
        <v>0.79191599999999995</v>
      </c>
      <c r="AB51" s="47"/>
      <c r="AC51" s="47">
        <v>1.8702840000000001</v>
      </c>
      <c r="AD51" s="47">
        <v>1.9740839999999999</v>
      </c>
      <c r="AE51" s="47">
        <v>1.359653</v>
      </c>
      <c r="AF51" s="52">
        <v>1.1210039999999999</v>
      </c>
      <c r="AG51" s="47">
        <v>1.1417010000000001</v>
      </c>
      <c r="AH51" s="47">
        <v>1.213155</v>
      </c>
      <c r="AI51" s="62"/>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row>
    <row r="52" spans="1:66" ht="27" hidden="1" x14ac:dyDescent="0.35">
      <c r="A52" s="29">
        <f>COUNTIF($B$66:$B$85, Table3[[#This Row],[Column2]])</f>
        <v>0</v>
      </c>
      <c r="B52" s="130" t="s">
        <v>1402</v>
      </c>
      <c r="C52" s="171">
        <v>1.128676</v>
      </c>
      <c r="D52" s="145">
        <v>1.686237</v>
      </c>
      <c r="E52" s="145">
        <v>1.6874499999999999</v>
      </c>
      <c r="F52" s="148">
        <v>0.82599599999999995</v>
      </c>
      <c r="G52" s="146">
        <v>1.689891</v>
      </c>
      <c r="H52" s="133"/>
      <c r="I52" s="159">
        <v>0.99414100000000005</v>
      </c>
      <c r="J52" s="133"/>
      <c r="K52" s="153">
        <v>2.5065539999999999</v>
      </c>
      <c r="L52" s="133">
        <v>2.6064050000000001</v>
      </c>
      <c r="M52" s="133">
        <v>1.757895</v>
      </c>
      <c r="N52" s="148">
        <v>1.7333190000000001</v>
      </c>
      <c r="O52" s="146">
        <v>1.7567919999999999</v>
      </c>
      <c r="Q52" s="214">
        <v>0.69819500000000001</v>
      </c>
      <c r="R52" s="48">
        <v>0.69303599999999999</v>
      </c>
      <c r="S52" s="214">
        <v>0.71346200000000004</v>
      </c>
      <c r="T52" s="215">
        <v>1.127974</v>
      </c>
      <c r="U52" s="214">
        <v>1.6018619999999999</v>
      </c>
      <c r="V52" s="214">
        <v>2.1120359999999998</v>
      </c>
      <c r="W52" s="36"/>
      <c r="X52" s="216">
        <v>0.85531000000000001</v>
      </c>
      <c r="Y52" s="216">
        <v>0.75666800000000001</v>
      </c>
      <c r="Z52" s="215">
        <v>1.127974</v>
      </c>
      <c r="AA52" s="49">
        <v>0.71028800000000003</v>
      </c>
      <c r="AB52" s="47"/>
      <c r="AC52" s="47">
        <v>3.37154</v>
      </c>
      <c r="AD52" s="47">
        <v>3.3495140000000001</v>
      </c>
      <c r="AE52" s="47">
        <v>1.583351</v>
      </c>
      <c r="AF52" s="53">
        <v>1.127974</v>
      </c>
      <c r="AG52" s="49">
        <v>0.80255799999999999</v>
      </c>
      <c r="AH52" s="47">
        <v>0.94861799999999996</v>
      </c>
      <c r="AI52" s="62"/>
      <c r="AJ52" s="36"/>
      <c r="AK52" s="36"/>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row>
    <row r="53" spans="1:66" ht="27" hidden="1" x14ac:dyDescent="0.35">
      <c r="A53" s="29">
        <f>COUNTIF($B$66:$B$85, Table3[[#This Row],[Column2]])</f>
        <v>0</v>
      </c>
      <c r="B53" s="130" t="s">
        <v>1371</v>
      </c>
      <c r="C53" s="171">
        <v>1.1885300000000001</v>
      </c>
      <c r="D53" s="145">
        <v>1.6427389999999999</v>
      </c>
      <c r="E53" s="145">
        <v>1.6396109999999999</v>
      </c>
      <c r="F53" s="148">
        <v>0.77891999999999995</v>
      </c>
      <c r="G53" s="146">
        <v>1.6455439999999999</v>
      </c>
      <c r="H53" s="133"/>
      <c r="I53" s="159">
        <v>0.85894899999999996</v>
      </c>
      <c r="J53" s="133"/>
      <c r="K53" s="153">
        <v>1.859899</v>
      </c>
      <c r="L53" s="133">
        <v>1.6989259999999999</v>
      </c>
      <c r="M53" s="148">
        <v>1.6762060000000001</v>
      </c>
      <c r="N53" s="133">
        <v>1.685551</v>
      </c>
      <c r="O53" s="146">
        <v>1.6842200000000001</v>
      </c>
      <c r="Q53" s="48">
        <v>0.44650600000000001</v>
      </c>
      <c r="R53" s="214">
        <v>0.452901</v>
      </c>
      <c r="S53" s="214">
        <v>0.46580100000000002</v>
      </c>
      <c r="T53" s="215">
        <v>1.075196</v>
      </c>
      <c r="U53" s="214">
        <v>0.79097200000000001</v>
      </c>
      <c r="V53" s="214">
        <v>1.5404899999999999</v>
      </c>
      <c r="W53" s="36"/>
      <c r="X53" s="216">
        <v>0.48528100000000002</v>
      </c>
      <c r="Y53" s="216">
        <v>0.62544</v>
      </c>
      <c r="Z53" s="215">
        <v>1.075196</v>
      </c>
      <c r="AA53" s="49">
        <v>0.48383300000000001</v>
      </c>
      <c r="AB53" s="47"/>
      <c r="AC53" s="47">
        <v>3.8463880000000001</v>
      </c>
      <c r="AD53" s="47">
        <v>3.838438</v>
      </c>
      <c r="AE53" s="47">
        <v>1.9361330000000001</v>
      </c>
      <c r="AF53" s="53">
        <v>1.075196</v>
      </c>
      <c r="AG53" s="49">
        <v>0.47320099999999998</v>
      </c>
      <c r="AH53" s="47">
        <v>0.49225099999999999</v>
      </c>
      <c r="AI53" s="62"/>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row>
    <row r="54" spans="1:66" ht="27" hidden="1" x14ac:dyDescent="0.35">
      <c r="A54" s="29">
        <f>COUNTIF($B$66:$B$85, Table3[[#This Row],[Column2]])</f>
        <v>0</v>
      </c>
      <c r="B54" s="130" t="s">
        <v>3919</v>
      </c>
      <c r="C54" s="171">
        <v>0.81185799999999997</v>
      </c>
      <c r="D54" s="147">
        <v>0.47302</v>
      </c>
      <c r="E54" s="145">
        <v>1.3474079999999999</v>
      </c>
      <c r="F54" s="133">
        <v>0.91337000000000002</v>
      </c>
      <c r="G54" s="146">
        <v>1.3483449999999999</v>
      </c>
      <c r="H54" s="133"/>
      <c r="I54" s="159">
        <v>0.62366100000000002</v>
      </c>
      <c r="J54" s="133"/>
      <c r="K54" s="153">
        <v>2.5753889999999999</v>
      </c>
      <c r="L54" s="133">
        <v>2.3505379999999998</v>
      </c>
      <c r="M54" s="133">
        <v>1.519293</v>
      </c>
      <c r="N54" s="148">
        <v>1.5024109999999999</v>
      </c>
      <c r="O54" s="146">
        <v>1.5153509999999999</v>
      </c>
      <c r="Q54" s="214">
        <v>9.0593999999999994E-2</v>
      </c>
      <c r="R54" s="214">
        <v>8.3215999999999998E-2</v>
      </c>
      <c r="S54" s="48">
        <v>6.5948000000000007E-2</v>
      </c>
      <c r="T54" s="215">
        <v>0.108086</v>
      </c>
      <c r="U54" s="214">
        <v>9.0593999999999994E-2</v>
      </c>
      <c r="V54" s="214">
        <v>9.0593999999999994E-2</v>
      </c>
      <c r="W54" s="36"/>
      <c r="X54" s="216">
        <v>9.9423999999999998E-2</v>
      </c>
      <c r="Y54" s="216">
        <v>7.4588000000000002E-2</v>
      </c>
      <c r="Z54" s="215">
        <v>0.108086</v>
      </c>
      <c r="AA54" s="216">
        <v>1.5362180000000001</v>
      </c>
      <c r="AB54" s="47"/>
      <c r="AC54" s="47">
        <v>0.201511</v>
      </c>
      <c r="AD54" s="47">
        <v>0.20094400000000001</v>
      </c>
      <c r="AE54" s="47">
        <v>0.21540100000000001</v>
      </c>
      <c r="AF54" s="53">
        <v>0.108086</v>
      </c>
      <c r="AG54" s="47">
        <v>7.6687000000000005E-2</v>
      </c>
      <c r="AH54" s="49">
        <v>6.6035999999999997E-2</v>
      </c>
      <c r="AI54" s="62"/>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row>
    <row r="55" spans="1:66" ht="28" hidden="1" thickBot="1" x14ac:dyDescent="0.4">
      <c r="A55" s="29">
        <f>COUNTIF($B$66:$B$85, Table3[[#This Row],[Column2]])</f>
        <v>0</v>
      </c>
      <c r="B55" s="132" t="s">
        <v>3920</v>
      </c>
      <c r="C55" s="172">
        <v>0.367365</v>
      </c>
      <c r="D55" s="147">
        <v>0.36409900000000001</v>
      </c>
      <c r="E55" s="173">
        <v>0.37388900000000003</v>
      </c>
      <c r="F55" s="150">
        <v>0.37246699999999999</v>
      </c>
      <c r="G55" s="151">
        <v>1.2378739999999999</v>
      </c>
      <c r="H55" s="133"/>
      <c r="I55" s="159">
        <v>2.154563</v>
      </c>
      <c r="J55" s="133"/>
      <c r="K55" s="156">
        <v>1.4256489999999999</v>
      </c>
      <c r="L55" s="150">
        <v>1.326783</v>
      </c>
      <c r="M55" s="157">
        <v>1.313777</v>
      </c>
      <c r="N55" s="150">
        <v>1.325831</v>
      </c>
      <c r="O55" s="151">
        <v>1.332773</v>
      </c>
      <c r="Q55" s="214">
        <v>0.42020400000000002</v>
      </c>
      <c r="R55" s="48">
        <v>0.34439500000000001</v>
      </c>
      <c r="S55" s="214">
        <v>0.37906899999999999</v>
      </c>
      <c r="T55" s="215">
        <v>0.96733800000000003</v>
      </c>
      <c r="U55" s="214">
        <v>0.42020400000000002</v>
      </c>
      <c r="V55" s="214">
        <v>0.42020400000000002</v>
      </c>
      <c r="W55" s="36"/>
      <c r="X55" s="216">
        <v>0.350883</v>
      </c>
      <c r="Y55" s="49">
        <v>0.33395799999999998</v>
      </c>
      <c r="Z55" s="215">
        <v>0.96733800000000003</v>
      </c>
      <c r="AA55" s="216">
        <v>0.34820899999999999</v>
      </c>
      <c r="AB55" s="47"/>
      <c r="AC55" s="47">
        <v>2.3521540000000001</v>
      </c>
      <c r="AD55" s="47">
        <v>2.3990469999999999</v>
      </c>
      <c r="AE55" s="47">
        <v>1.4637290000000001</v>
      </c>
      <c r="AF55" s="54">
        <v>0.96733800000000003</v>
      </c>
      <c r="AG55" s="49">
        <v>0.35204800000000003</v>
      </c>
      <c r="AH55" s="47">
        <v>0.37093300000000001</v>
      </c>
      <c r="AI55" s="62"/>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row>
    <row r="56" spans="1:66" ht="22" x14ac:dyDescent="0.25">
      <c r="AI56" s="62"/>
    </row>
    <row r="57" spans="1:66" ht="22" x14ac:dyDescent="0.25">
      <c r="AI57" s="62"/>
    </row>
    <row r="58" spans="1:66" ht="22" x14ac:dyDescent="0.25">
      <c r="AI58" s="62"/>
    </row>
    <row r="59" spans="1:66" ht="22" x14ac:dyDescent="0.25">
      <c r="AI59" s="62"/>
    </row>
    <row r="60" spans="1:66" ht="24" x14ac:dyDescent="0.3">
      <c r="AD60" s="244"/>
      <c r="AI60" s="62"/>
    </row>
    <row r="61" spans="1:66" ht="24" x14ac:dyDescent="0.3">
      <c r="AD61" s="245"/>
      <c r="AI61" s="62"/>
    </row>
    <row r="62" spans="1:66" ht="24" x14ac:dyDescent="0.3">
      <c r="AD62" s="244"/>
      <c r="AI62" s="62"/>
    </row>
    <row r="63" spans="1:66" ht="24" x14ac:dyDescent="0.3">
      <c r="AD63" s="244"/>
      <c r="AI63" s="62"/>
    </row>
    <row r="64" spans="1:66" ht="22" x14ac:dyDescent="0.25">
      <c r="AI64" s="62"/>
    </row>
    <row r="65" spans="2:35" ht="22" x14ac:dyDescent="0.25">
      <c r="AI65" s="62"/>
    </row>
    <row r="66" spans="2:35" ht="22" x14ac:dyDescent="0.25">
      <c r="B66" s="217" t="s">
        <v>3913</v>
      </c>
      <c r="AI66" s="62"/>
    </row>
    <row r="67" spans="2:35" ht="22" x14ac:dyDescent="0.25">
      <c r="B67" s="218" t="s">
        <v>4053</v>
      </c>
      <c r="AI67" s="62"/>
    </row>
    <row r="68" spans="2:35" x14ac:dyDescent="0.2">
      <c r="B68" s="218" t="s">
        <v>1455</v>
      </c>
      <c r="AI68" s="6"/>
    </row>
    <row r="69" spans="2:35" ht="22" x14ac:dyDescent="0.25">
      <c r="B69" s="218" t="s">
        <v>1391</v>
      </c>
      <c r="AI69" s="62"/>
    </row>
    <row r="70" spans="2:35" ht="22" x14ac:dyDescent="0.25">
      <c r="B70" s="218" t="s">
        <v>1423</v>
      </c>
      <c r="AI70" s="62"/>
    </row>
    <row r="71" spans="2:35" ht="22" x14ac:dyDescent="0.25">
      <c r="B71" s="218" t="s">
        <v>1450</v>
      </c>
      <c r="AI71" s="62"/>
    </row>
    <row r="72" spans="2:35" ht="22" x14ac:dyDescent="0.25">
      <c r="B72" s="218" t="s">
        <v>1456</v>
      </c>
      <c r="AI72" s="62"/>
    </row>
    <row r="73" spans="2:35" ht="22" x14ac:dyDescent="0.25">
      <c r="B73" s="218" t="s">
        <v>1440</v>
      </c>
      <c r="AI73" s="62"/>
    </row>
    <row r="74" spans="2:35" ht="22" x14ac:dyDescent="0.25">
      <c r="B74" s="218" t="s">
        <v>1443</v>
      </c>
      <c r="AI74" s="62"/>
    </row>
    <row r="75" spans="2:35" ht="22" x14ac:dyDescent="0.25">
      <c r="B75" s="218" t="s">
        <v>10</v>
      </c>
      <c r="AI75" s="62"/>
    </row>
    <row r="76" spans="2:35" ht="22" x14ac:dyDescent="0.25">
      <c r="B76" s="218" t="s">
        <v>1409</v>
      </c>
      <c r="AI76" s="62"/>
    </row>
    <row r="77" spans="2:35" ht="22" x14ac:dyDescent="0.25">
      <c r="B77" s="218" t="s">
        <v>1442</v>
      </c>
      <c r="AI77" s="62"/>
    </row>
    <row r="78" spans="2:35" ht="22" x14ac:dyDescent="0.25">
      <c r="B78" s="218" t="s">
        <v>1451</v>
      </c>
      <c r="AI78" s="62"/>
    </row>
    <row r="79" spans="2:35" ht="22" x14ac:dyDescent="0.25">
      <c r="B79" s="218" t="s">
        <v>1452</v>
      </c>
      <c r="AI79" s="62"/>
    </row>
    <row r="80" spans="2:35" ht="22" x14ac:dyDescent="0.25">
      <c r="B80" s="218" t="s">
        <v>6</v>
      </c>
      <c r="AI80" s="62"/>
    </row>
    <row r="81" spans="2:35" ht="22" x14ac:dyDescent="0.25">
      <c r="B81" s="218" t="s">
        <v>1404</v>
      </c>
      <c r="AI81" s="62"/>
    </row>
    <row r="82" spans="2:35" ht="22" x14ac:dyDescent="0.25">
      <c r="B82" s="218" t="s">
        <v>1422</v>
      </c>
      <c r="AI82" s="62"/>
    </row>
    <row r="83" spans="2:35" ht="22" x14ac:dyDescent="0.25">
      <c r="B83" s="218" t="s">
        <v>11</v>
      </c>
      <c r="AI83" s="62"/>
    </row>
    <row r="84" spans="2:35" ht="22" x14ac:dyDescent="0.25">
      <c r="B84" s="218" t="s">
        <v>1445</v>
      </c>
      <c r="AI84" s="62"/>
    </row>
    <row r="85" spans="2:35" ht="23" thickBot="1" x14ac:dyDescent="0.3">
      <c r="B85" s="219" t="s">
        <v>3917</v>
      </c>
      <c r="AI85" s="62"/>
    </row>
    <row r="86" spans="2:35" ht="22" x14ac:dyDescent="0.25">
      <c r="AI86" s="62"/>
    </row>
    <row r="87" spans="2:35" ht="22" x14ac:dyDescent="0.25">
      <c r="AI87" s="62"/>
    </row>
    <row r="88" spans="2:35" ht="22" x14ac:dyDescent="0.25">
      <c r="AI88" s="62"/>
    </row>
  </sheetData>
  <phoneticPr fontId="5" type="noConversion"/>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3980</v>
      </c>
      <c r="G2" s="37">
        <v>1</v>
      </c>
      <c r="H2" s="37">
        <v>5</v>
      </c>
      <c r="I2" s="37">
        <v>10</v>
      </c>
      <c r="J2" s="37">
        <v>20</v>
      </c>
      <c r="K2" s="37">
        <v>50</v>
      </c>
    </row>
    <row r="3" spans="4:11" ht="22" x14ac:dyDescent="0.3">
      <c r="G3" s="48">
        <v>1</v>
      </c>
      <c r="H3" s="36">
        <v>5</v>
      </c>
      <c r="I3" s="36">
        <v>10</v>
      </c>
      <c r="J3" s="36">
        <v>20</v>
      </c>
      <c r="K3" s="36">
        <v>50</v>
      </c>
    </row>
    <row r="4" spans="4:11" ht="26" x14ac:dyDescent="0.35">
      <c r="D4" s="99" t="s">
        <v>1434</v>
      </c>
      <c r="E4" s="106">
        <v>8</v>
      </c>
      <c r="G4" s="111">
        <v>77.040000000000006</v>
      </c>
      <c r="H4" s="36">
        <v>78.7</v>
      </c>
      <c r="I4" s="46">
        <v>80.73</v>
      </c>
      <c r="J4" s="36">
        <v>83.74</v>
      </c>
      <c r="K4" s="36">
        <v>84.15</v>
      </c>
    </row>
    <row r="5" spans="4:11" ht="26" x14ac:dyDescent="0.35">
      <c r="D5" s="99" t="s">
        <v>1425</v>
      </c>
      <c r="E5" s="106">
        <v>8</v>
      </c>
      <c r="G5" s="111">
        <v>314.91000000000003</v>
      </c>
      <c r="H5" s="36">
        <v>346.79</v>
      </c>
      <c r="I5" s="46">
        <v>361.58</v>
      </c>
      <c r="J5" s="36">
        <v>373.56</v>
      </c>
      <c r="K5" s="36">
        <v>459.74</v>
      </c>
    </row>
    <row r="6" spans="4:11" ht="26" x14ac:dyDescent="0.35">
      <c r="D6" s="99" t="s">
        <v>1371</v>
      </c>
      <c r="E6" s="106">
        <v>8</v>
      </c>
      <c r="G6" s="111">
        <v>8.24</v>
      </c>
      <c r="H6" s="36">
        <v>10.68</v>
      </c>
      <c r="I6" s="46">
        <v>9.3800000000000008</v>
      </c>
      <c r="J6" s="36">
        <v>13.4</v>
      </c>
      <c r="K6" s="36">
        <v>16.28</v>
      </c>
    </row>
    <row r="7" spans="4:11" ht="26" x14ac:dyDescent="0.35">
      <c r="D7" s="99" t="s">
        <v>1391</v>
      </c>
      <c r="E7" s="106">
        <v>8</v>
      </c>
      <c r="G7" s="46">
        <v>18.805613999999998</v>
      </c>
      <c r="H7" s="36">
        <v>18.904789999999998</v>
      </c>
      <c r="I7" s="111">
        <v>18.391950999999999</v>
      </c>
      <c r="J7" s="36">
        <v>18.900238000000002</v>
      </c>
      <c r="K7" s="36">
        <v>18.893045999999998</v>
      </c>
    </row>
    <row r="8" spans="4:11" ht="26" x14ac:dyDescent="0.35">
      <c r="D8" s="99" t="s">
        <v>3919</v>
      </c>
      <c r="E8" s="106">
        <v>6</v>
      </c>
      <c r="G8" s="111">
        <v>14.428466999999999</v>
      </c>
      <c r="H8" s="36">
        <v>15.304182000000001</v>
      </c>
      <c r="I8" s="46">
        <v>16.322202000000001</v>
      </c>
      <c r="J8" s="36">
        <v>16.401510999999999</v>
      </c>
      <c r="K8" s="36">
        <v>18.420000000000002</v>
      </c>
    </row>
    <row r="9" spans="4:11" ht="26" x14ac:dyDescent="0.35">
      <c r="D9" s="99" t="s">
        <v>1346</v>
      </c>
      <c r="E9" s="106">
        <v>8</v>
      </c>
      <c r="G9" s="111">
        <v>30.21</v>
      </c>
      <c r="H9" s="36">
        <v>35.42</v>
      </c>
      <c r="I9" s="46">
        <v>31.91</v>
      </c>
      <c r="J9" s="36">
        <v>39.119999999999997</v>
      </c>
      <c r="K9" s="36">
        <v>36.229999999999997</v>
      </c>
    </row>
    <row r="10" spans="4:11" ht="26" x14ac:dyDescent="0.35">
      <c r="D10" s="99" t="s">
        <v>3912</v>
      </c>
      <c r="E10" s="106">
        <v>8</v>
      </c>
      <c r="G10" s="111">
        <v>19.72</v>
      </c>
      <c r="H10" s="36">
        <v>21.48</v>
      </c>
      <c r="I10" s="46">
        <v>22.56</v>
      </c>
      <c r="J10" s="36">
        <v>22.32</v>
      </c>
      <c r="K10" s="36">
        <v>23.6</v>
      </c>
    </row>
    <row r="11" spans="4:11" ht="26" x14ac:dyDescent="0.35">
      <c r="D11" s="99" t="s">
        <v>1434</v>
      </c>
      <c r="E11" s="106">
        <v>5</v>
      </c>
      <c r="G11" s="111">
        <v>26.810158999999999</v>
      </c>
      <c r="H11" s="36">
        <v>27.03</v>
      </c>
      <c r="I11" s="46">
        <v>28.97</v>
      </c>
      <c r="J11" s="36">
        <v>30.15</v>
      </c>
      <c r="K11" s="36">
        <v>31.55</v>
      </c>
    </row>
    <row r="12" spans="4:11" ht="26" x14ac:dyDescent="0.35">
      <c r="D12" s="99" t="s">
        <v>1450</v>
      </c>
      <c r="E12" s="106">
        <v>9</v>
      </c>
      <c r="G12" s="46">
        <v>31.71</v>
      </c>
      <c r="H12" s="36">
        <v>32.32</v>
      </c>
      <c r="I12" s="111">
        <v>31.33</v>
      </c>
      <c r="J12" s="36">
        <v>31.89</v>
      </c>
      <c r="K12" s="36">
        <v>31.44</v>
      </c>
    </row>
    <row r="13" spans="4:11" ht="26" x14ac:dyDescent="0.35">
      <c r="D13" s="99" t="s">
        <v>1</v>
      </c>
      <c r="E13" s="106">
        <v>8</v>
      </c>
      <c r="G13" s="111">
        <v>178.12</v>
      </c>
      <c r="H13" s="36">
        <v>183.51</v>
      </c>
      <c r="I13" s="46">
        <v>185.28</v>
      </c>
      <c r="J13" s="36">
        <v>188.54</v>
      </c>
      <c r="K13" s="36">
        <v>201.56</v>
      </c>
    </row>
    <row r="14" spans="4:11" ht="26" x14ac:dyDescent="0.35">
      <c r="D14" s="99" t="s">
        <v>1371</v>
      </c>
      <c r="E14" s="106">
        <v>6</v>
      </c>
      <c r="G14" s="111">
        <v>35.24</v>
      </c>
      <c r="H14" s="36">
        <v>35.92</v>
      </c>
      <c r="I14" s="46">
        <v>36.520000000000003</v>
      </c>
      <c r="J14" s="36">
        <v>36.67</v>
      </c>
      <c r="K14" s="36">
        <v>37.9</v>
      </c>
    </row>
    <row r="15" spans="4:11" ht="26" x14ac:dyDescent="0.35">
      <c r="D15" s="99" t="s">
        <v>3912</v>
      </c>
      <c r="E15" s="106">
        <v>6</v>
      </c>
      <c r="G15" s="111">
        <v>56.564124</v>
      </c>
      <c r="H15" s="36">
        <v>57.61</v>
      </c>
      <c r="I15" s="46">
        <v>59.59</v>
      </c>
      <c r="J15" s="36">
        <v>60.99</v>
      </c>
      <c r="K15" s="36">
        <v>66.08</v>
      </c>
    </row>
    <row r="16" spans="4:11" ht="26" x14ac:dyDescent="0.35">
      <c r="D16" s="99" t="s">
        <v>1</v>
      </c>
      <c r="E16" s="106">
        <v>5</v>
      </c>
      <c r="G16" s="111">
        <v>52</v>
      </c>
      <c r="H16" s="36">
        <v>53.05</v>
      </c>
      <c r="I16" s="46">
        <v>52.94</v>
      </c>
      <c r="J16" s="36">
        <v>55.14</v>
      </c>
      <c r="K16" s="36">
        <v>58.28</v>
      </c>
    </row>
    <row r="17" spans="4:11" ht="26" x14ac:dyDescent="0.35">
      <c r="D17" s="99" t="s">
        <v>1450</v>
      </c>
      <c r="E17" s="106">
        <v>2</v>
      </c>
      <c r="G17" s="111">
        <v>19.39</v>
      </c>
      <c r="H17" s="36">
        <v>20.83</v>
      </c>
      <c r="I17" s="46">
        <v>23.54</v>
      </c>
      <c r="J17" s="36">
        <v>25.4</v>
      </c>
      <c r="K17" s="36">
        <v>26.61</v>
      </c>
    </row>
    <row r="18" spans="4:11" ht="26" x14ac:dyDescent="0.35">
      <c r="D18" s="99" t="s">
        <v>3912</v>
      </c>
      <c r="E18" s="106">
        <v>7</v>
      </c>
      <c r="G18" s="111">
        <v>18.91</v>
      </c>
      <c r="H18" s="36">
        <v>20.28</v>
      </c>
      <c r="I18" s="46">
        <v>21.88</v>
      </c>
      <c r="J18" s="36">
        <v>21.96</v>
      </c>
      <c r="K18" s="36">
        <v>24.24</v>
      </c>
    </row>
    <row r="19" spans="4:11" ht="26" x14ac:dyDescent="0.35">
      <c r="D19" s="99" t="s">
        <v>1436</v>
      </c>
      <c r="E19" s="106">
        <v>9</v>
      </c>
      <c r="G19" s="46">
        <v>57.78</v>
      </c>
      <c r="H19" s="36">
        <v>57.24</v>
      </c>
      <c r="I19" s="111">
        <v>52.12</v>
      </c>
      <c r="J19" s="36">
        <v>53.31</v>
      </c>
      <c r="K19" s="36">
        <v>52.71</v>
      </c>
    </row>
    <row r="20" spans="4:11" ht="26" x14ac:dyDescent="0.35">
      <c r="D20" s="99" t="s">
        <v>1433</v>
      </c>
      <c r="E20" s="106">
        <v>2</v>
      </c>
      <c r="G20" s="111">
        <v>26.82</v>
      </c>
      <c r="H20" s="36">
        <v>29.14</v>
      </c>
      <c r="I20" s="46">
        <v>31.46</v>
      </c>
      <c r="J20" s="36">
        <v>32.18</v>
      </c>
      <c r="K20" s="36">
        <v>35.75</v>
      </c>
    </row>
    <row r="21" spans="4:11" ht="26" x14ac:dyDescent="0.35">
      <c r="D21" s="99" t="s">
        <v>1434</v>
      </c>
      <c r="E21" s="106">
        <v>7</v>
      </c>
      <c r="G21" s="111">
        <v>71.010000000000005</v>
      </c>
      <c r="H21" s="36">
        <v>72.44</v>
      </c>
      <c r="I21" s="46">
        <v>72.67</v>
      </c>
      <c r="J21" s="36">
        <v>76.510000000000005</v>
      </c>
      <c r="K21" s="36">
        <v>77.94</v>
      </c>
    </row>
    <row r="22" spans="4:11" ht="26" x14ac:dyDescent="0.35">
      <c r="D22" s="99" t="s">
        <v>1450</v>
      </c>
      <c r="E22" s="106">
        <v>5</v>
      </c>
      <c r="G22" s="111">
        <v>537.62</v>
      </c>
      <c r="H22" s="36">
        <v>539.77</v>
      </c>
      <c r="I22" s="46">
        <v>540.20000000000005</v>
      </c>
      <c r="J22" s="36">
        <v>541.47</v>
      </c>
      <c r="K22" s="36">
        <v>540.38</v>
      </c>
    </row>
    <row r="23" spans="4:11" ht="26" x14ac:dyDescent="0.35">
      <c r="D23" s="99" t="s">
        <v>1461</v>
      </c>
      <c r="E23" s="106">
        <v>5</v>
      </c>
      <c r="G23" s="111">
        <v>131.59</v>
      </c>
      <c r="H23" s="36">
        <v>135.06</v>
      </c>
      <c r="I23" s="46">
        <v>136.94999999999999</v>
      </c>
      <c r="J23" s="36">
        <v>146.65</v>
      </c>
      <c r="K23" s="36">
        <v>143.77000000000001</v>
      </c>
    </row>
    <row r="24" spans="4:11" ht="26" x14ac:dyDescent="0.35">
      <c r="D24" s="99" t="s">
        <v>1436</v>
      </c>
      <c r="E24" s="106">
        <v>2</v>
      </c>
      <c r="G24" s="111">
        <v>27.73</v>
      </c>
      <c r="H24" s="36">
        <v>28.95</v>
      </c>
      <c r="I24" s="46">
        <v>30.63</v>
      </c>
      <c r="J24" s="36">
        <v>32.92</v>
      </c>
      <c r="K24" s="36">
        <v>33.979999999999997</v>
      </c>
    </row>
    <row r="25" spans="4:11" ht="26" x14ac:dyDescent="0.35">
      <c r="D25" s="99" t="s">
        <v>1461</v>
      </c>
      <c r="E25" s="106">
        <v>7</v>
      </c>
      <c r="G25" s="46">
        <v>452.29</v>
      </c>
      <c r="H25" s="48">
        <v>447.6</v>
      </c>
      <c r="I25" s="46">
        <v>451.24</v>
      </c>
      <c r="J25" s="36">
        <v>468.62</v>
      </c>
      <c r="K25" s="36">
        <v>463.81</v>
      </c>
    </row>
    <row r="26" spans="4:11" ht="26" x14ac:dyDescent="0.35">
      <c r="D26" s="99" t="s">
        <v>18</v>
      </c>
      <c r="E26" s="106">
        <v>5</v>
      </c>
      <c r="G26" s="111">
        <v>515.07000000000005</v>
      </c>
      <c r="H26" s="36">
        <v>515.6</v>
      </c>
      <c r="I26" s="46">
        <v>521.21</v>
      </c>
      <c r="J26" s="36">
        <v>518.69000000000005</v>
      </c>
      <c r="K26" s="36">
        <v>538.4</v>
      </c>
    </row>
    <row r="27" spans="4:11" ht="26" x14ac:dyDescent="0.35">
      <c r="D27" s="99" t="s">
        <v>1346</v>
      </c>
      <c r="E27" s="106">
        <v>7</v>
      </c>
      <c r="G27" s="111">
        <v>27.19</v>
      </c>
      <c r="H27" s="36">
        <v>27.64</v>
      </c>
      <c r="I27" s="46">
        <v>28.47</v>
      </c>
      <c r="J27" s="36">
        <v>29.34</v>
      </c>
      <c r="K27" s="36">
        <v>36.049999999999997</v>
      </c>
    </row>
    <row r="28" spans="4:11" ht="26" x14ac:dyDescent="0.35">
      <c r="D28" s="99" t="s">
        <v>1448</v>
      </c>
      <c r="E28" s="106">
        <v>9</v>
      </c>
      <c r="G28" s="46">
        <v>21.84</v>
      </c>
      <c r="H28" s="36">
        <v>20.059999999999999</v>
      </c>
      <c r="I28" s="111">
        <v>17.82</v>
      </c>
      <c r="J28" s="36">
        <v>18.41</v>
      </c>
      <c r="K28" s="36">
        <v>23.48</v>
      </c>
    </row>
    <row r="29" spans="4:11" ht="26" x14ac:dyDescent="0.35">
      <c r="D29" s="99" t="s">
        <v>1423</v>
      </c>
      <c r="E29" s="106">
        <v>5</v>
      </c>
      <c r="G29" s="111">
        <v>161.06</v>
      </c>
      <c r="H29" s="36">
        <v>161.63</v>
      </c>
      <c r="I29" s="46">
        <v>162.01</v>
      </c>
      <c r="J29" s="36">
        <v>162.51</v>
      </c>
      <c r="K29" s="36">
        <v>165.66</v>
      </c>
    </row>
    <row r="30" spans="4:11" ht="26" x14ac:dyDescent="0.35">
      <c r="D30" s="99" t="s">
        <v>1449</v>
      </c>
      <c r="E30" s="106">
        <v>2</v>
      </c>
      <c r="G30" s="111">
        <v>45.59</v>
      </c>
      <c r="H30" s="36">
        <v>46.55</v>
      </c>
      <c r="I30" s="46">
        <v>49.88</v>
      </c>
      <c r="J30" s="36">
        <v>52.08</v>
      </c>
      <c r="K30" s="36">
        <v>54.8</v>
      </c>
    </row>
    <row r="31" spans="4:11" ht="26" x14ac:dyDescent="0.35">
      <c r="D31" s="99" t="s">
        <v>1409</v>
      </c>
      <c r="E31" s="106">
        <v>9</v>
      </c>
      <c r="G31" s="111">
        <v>56.48</v>
      </c>
      <c r="H31" s="36">
        <v>59.64</v>
      </c>
      <c r="I31" s="46">
        <v>59.11</v>
      </c>
      <c r="J31" s="36">
        <v>64.290000000000006</v>
      </c>
      <c r="K31" s="36">
        <v>91.03</v>
      </c>
    </row>
    <row r="32" spans="4:11" ht="26" x14ac:dyDescent="0.35">
      <c r="D32" s="99" t="s">
        <v>1448</v>
      </c>
      <c r="E32" s="106">
        <v>5</v>
      </c>
      <c r="G32" s="111">
        <v>301.58999999999997</v>
      </c>
      <c r="H32" s="36">
        <v>301.73</v>
      </c>
      <c r="I32" s="46">
        <v>303.41000000000003</v>
      </c>
      <c r="J32" s="36">
        <v>303.2</v>
      </c>
      <c r="K32" s="36">
        <v>303.60000000000002</v>
      </c>
    </row>
    <row r="33" spans="4:11" ht="26" x14ac:dyDescent="0.35">
      <c r="D33" s="99" t="s">
        <v>1425</v>
      </c>
      <c r="E33" s="106">
        <v>5</v>
      </c>
      <c r="G33" s="111">
        <v>102.59</v>
      </c>
      <c r="H33" s="36">
        <v>103.73</v>
      </c>
      <c r="I33" s="46">
        <v>104.32</v>
      </c>
      <c r="J33" s="36">
        <v>105.16</v>
      </c>
      <c r="K33" s="36">
        <v>105.92</v>
      </c>
    </row>
    <row r="34" spans="4:11" ht="26" x14ac:dyDescent="0.35">
      <c r="D34" s="99" t="s">
        <v>1425</v>
      </c>
      <c r="E34" s="106">
        <v>7</v>
      </c>
      <c r="G34" s="46">
        <v>415.7</v>
      </c>
      <c r="H34" s="48">
        <v>411.76</v>
      </c>
      <c r="I34" s="46">
        <v>416.15</v>
      </c>
      <c r="J34" s="36">
        <v>421.95</v>
      </c>
      <c r="K34" s="36">
        <v>425.89</v>
      </c>
    </row>
    <row r="35" spans="4:11" ht="26" x14ac:dyDescent="0.35">
      <c r="D35" s="99" t="s">
        <v>1440</v>
      </c>
      <c r="E35" s="106">
        <v>9</v>
      </c>
      <c r="G35" s="46">
        <v>145.9</v>
      </c>
      <c r="H35" s="48">
        <v>145.84</v>
      </c>
      <c r="I35" s="46">
        <v>152.09</v>
      </c>
      <c r="J35" s="36">
        <v>153.85</v>
      </c>
      <c r="K35" s="36">
        <v>163.38999999999999</v>
      </c>
    </row>
    <row r="36" spans="4:11" ht="26" x14ac:dyDescent="0.35">
      <c r="D36" s="99" t="s">
        <v>1455</v>
      </c>
      <c r="E36" s="106">
        <v>2</v>
      </c>
      <c r="G36" s="111">
        <v>65.63</v>
      </c>
      <c r="H36" s="36">
        <v>67.53</v>
      </c>
      <c r="I36" s="46">
        <v>69.94</v>
      </c>
      <c r="J36" s="36">
        <v>69.790000000000006</v>
      </c>
      <c r="K36" s="36">
        <v>72.069999999999993</v>
      </c>
    </row>
    <row r="37" spans="4:11" ht="26" x14ac:dyDescent="0.35">
      <c r="D37" s="99" t="s">
        <v>1411</v>
      </c>
      <c r="E37" s="106">
        <v>5</v>
      </c>
      <c r="G37" s="46">
        <v>228.49</v>
      </c>
      <c r="H37" s="36">
        <v>232.63</v>
      </c>
      <c r="I37" s="111">
        <v>227.77</v>
      </c>
      <c r="J37" s="36">
        <v>233.07</v>
      </c>
      <c r="K37" s="36">
        <v>231.76</v>
      </c>
    </row>
    <row r="38" spans="4:11" ht="26" x14ac:dyDescent="0.35">
      <c r="D38" s="99" t="s">
        <v>1448</v>
      </c>
      <c r="E38" s="106">
        <v>2</v>
      </c>
      <c r="G38" s="111">
        <v>12.28</v>
      </c>
      <c r="H38" s="36">
        <v>15.06</v>
      </c>
      <c r="I38" s="46">
        <v>17.86</v>
      </c>
      <c r="J38" s="36">
        <v>15.42</v>
      </c>
      <c r="K38" s="36">
        <v>23.71</v>
      </c>
    </row>
    <row r="39" spans="4:11" ht="26" x14ac:dyDescent="0.35">
      <c r="D39" s="99" t="s">
        <v>1409</v>
      </c>
      <c r="E39" s="106">
        <v>2</v>
      </c>
      <c r="G39" s="46">
        <v>114.07</v>
      </c>
      <c r="H39" s="36">
        <v>114.54</v>
      </c>
      <c r="I39" s="111">
        <v>113.24</v>
      </c>
      <c r="J39" s="36">
        <v>123.68</v>
      </c>
      <c r="K39" s="36">
        <v>130.86000000000001</v>
      </c>
    </row>
    <row r="40" spans="4:11" ht="26" x14ac:dyDescent="0.35">
      <c r="D40" s="99" t="s">
        <v>1438</v>
      </c>
      <c r="E40" s="106">
        <v>2</v>
      </c>
      <c r="G40" s="111">
        <v>103.5</v>
      </c>
      <c r="H40" s="36">
        <v>104.32</v>
      </c>
      <c r="I40" s="46">
        <v>105.03</v>
      </c>
      <c r="J40" s="36">
        <v>108.89</v>
      </c>
      <c r="K40" s="36">
        <v>118.8</v>
      </c>
    </row>
    <row r="41" spans="4:11" ht="26" x14ac:dyDescent="0.35">
      <c r="D41" s="99" t="s">
        <v>1440</v>
      </c>
      <c r="E41" s="106">
        <v>2</v>
      </c>
      <c r="G41" s="111">
        <v>258.51</v>
      </c>
      <c r="H41" s="36">
        <v>261.52</v>
      </c>
      <c r="I41" s="46">
        <v>262.32</v>
      </c>
      <c r="J41" s="36">
        <v>267.82</v>
      </c>
      <c r="K41" s="36">
        <v>271.25</v>
      </c>
    </row>
    <row r="42" spans="4:11" ht="26" x14ac:dyDescent="0.35">
      <c r="D42" s="99" t="s">
        <v>18</v>
      </c>
      <c r="E42" s="106">
        <v>2</v>
      </c>
      <c r="G42" s="111">
        <v>67.16</v>
      </c>
      <c r="H42" s="36">
        <v>74.41</v>
      </c>
      <c r="I42" s="46">
        <v>72.069999999999993</v>
      </c>
      <c r="J42" s="36">
        <v>77.709999999999994</v>
      </c>
      <c r="K42" s="36">
        <v>82.07</v>
      </c>
    </row>
    <row r="43" spans="4:11" ht="26" x14ac:dyDescent="0.35">
      <c r="D43" s="99" t="s">
        <v>1411</v>
      </c>
      <c r="E43" s="106">
        <v>2</v>
      </c>
      <c r="G43" s="111">
        <v>43.25</v>
      </c>
      <c r="H43" s="36">
        <v>46.87</v>
      </c>
      <c r="I43" s="46">
        <v>49.96</v>
      </c>
      <c r="J43" s="36">
        <v>51.95</v>
      </c>
      <c r="K43" s="36">
        <v>52.7</v>
      </c>
    </row>
    <row r="166" spans="4:12" ht="22" x14ac:dyDescent="0.25">
      <c r="D166" s="62"/>
      <c r="F166" s="63"/>
      <c r="G166" s="107">
        <v>200</v>
      </c>
      <c r="H166" s="107">
        <v>500</v>
      </c>
      <c r="I166" s="63"/>
      <c r="J166" s="108">
        <v>1000</v>
      </c>
      <c r="K166" s="107">
        <v>2000</v>
      </c>
      <c r="L166" s="107">
        <v>5000</v>
      </c>
    </row>
    <row r="167" spans="4:12" ht="26" x14ac:dyDescent="0.35">
      <c r="D167" s="99" t="s">
        <v>1371</v>
      </c>
      <c r="E167" s="106">
        <v>8</v>
      </c>
      <c r="F167" s="63"/>
      <c r="G167" s="46">
        <v>13.54364</v>
      </c>
      <c r="H167" s="46">
        <v>11.058916</v>
      </c>
      <c r="I167" s="63"/>
      <c r="J167" s="109">
        <v>10.54932</v>
      </c>
      <c r="K167" s="109">
        <v>9.5753540000000008</v>
      </c>
      <c r="L167" s="110">
        <v>9.3826490000000007</v>
      </c>
    </row>
    <row r="168" spans="4:12" ht="26" x14ac:dyDescent="0.35">
      <c r="D168" s="99" t="s">
        <v>1448</v>
      </c>
      <c r="E168" s="106">
        <v>2</v>
      </c>
      <c r="F168" s="63"/>
      <c r="G168" s="46">
        <v>12.788163000000001</v>
      </c>
      <c r="H168" s="46">
        <v>12.079632</v>
      </c>
      <c r="I168" s="63"/>
      <c r="J168" s="109">
        <v>12.000914</v>
      </c>
      <c r="K168" s="110">
        <v>11.897131999999999</v>
      </c>
      <c r="L168" s="109">
        <v>11.965807</v>
      </c>
    </row>
    <row r="169" spans="4:12" ht="26" x14ac:dyDescent="0.35">
      <c r="D169" s="99" t="s">
        <v>1434</v>
      </c>
      <c r="E169" s="106">
        <v>9</v>
      </c>
      <c r="F169" s="63"/>
      <c r="G169" s="46">
        <v>12.858482</v>
      </c>
      <c r="H169" s="46">
        <v>11.344144</v>
      </c>
      <c r="I169" s="63"/>
      <c r="J169" s="109">
        <v>11.346026999999999</v>
      </c>
      <c r="K169" s="109">
        <v>10.822958</v>
      </c>
      <c r="L169" s="110">
        <v>10.63264</v>
      </c>
    </row>
    <row r="170" spans="4:12" ht="26" x14ac:dyDescent="0.35">
      <c r="D170" s="99" t="s">
        <v>1448</v>
      </c>
      <c r="E170" s="106">
        <v>9</v>
      </c>
      <c r="F170" s="63"/>
      <c r="G170" s="46">
        <v>16.193763000000001</v>
      </c>
      <c r="H170" s="46">
        <v>15.150978</v>
      </c>
      <c r="I170" s="63"/>
      <c r="J170" s="109">
        <v>14.904210000000001</v>
      </c>
      <c r="K170" s="109">
        <v>14.751607</v>
      </c>
      <c r="L170" s="110">
        <v>14.47226</v>
      </c>
    </row>
    <row r="171" spans="4:12" ht="26" x14ac:dyDescent="0.35">
      <c r="D171" s="99" t="s">
        <v>3919</v>
      </c>
      <c r="E171" s="106">
        <v>6</v>
      </c>
      <c r="F171" s="63"/>
      <c r="G171" s="46">
        <v>15.882463</v>
      </c>
      <c r="H171" s="46">
        <v>14.860891000000001</v>
      </c>
      <c r="I171" s="63"/>
      <c r="J171" s="109">
        <v>14.487270000000001</v>
      </c>
      <c r="K171" s="109">
        <v>14.476464999999999</v>
      </c>
      <c r="L171" s="110">
        <v>14.203853000000001</v>
      </c>
    </row>
    <row r="172" spans="4:12" ht="26" x14ac:dyDescent="0.35">
      <c r="D172" s="99" t="s">
        <v>1450</v>
      </c>
      <c r="E172" s="106">
        <v>2</v>
      </c>
      <c r="F172" s="63"/>
      <c r="G172" s="46">
        <v>20.029174000000001</v>
      </c>
      <c r="H172" s="46">
        <v>19.578617999999999</v>
      </c>
      <c r="I172" s="63"/>
      <c r="J172" s="109">
        <v>19.384395000000001</v>
      </c>
      <c r="K172" s="109">
        <v>19.237888000000002</v>
      </c>
      <c r="L172" s="110">
        <v>19.073582999999999</v>
      </c>
    </row>
    <row r="173" spans="4:12" ht="26" x14ac:dyDescent="0.35">
      <c r="D173" s="99" t="s">
        <v>3912</v>
      </c>
      <c r="E173" s="106">
        <v>7</v>
      </c>
      <c r="F173" s="63"/>
      <c r="G173" s="46">
        <v>34.568080000000002</v>
      </c>
      <c r="H173" s="46">
        <v>24.588723000000002</v>
      </c>
      <c r="I173" s="63"/>
      <c r="J173" s="109">
        <v>20.152498000000001</v>
      </c>
      <c r="K173" s="109">
        <v>19.448477</v>
      </c>
      <c r="L173" s="110">
        <v>19.217057</v>
      </c>
    </row>
    <row r="174" spans="4:12" ht="26" x14ac:dyDescent="0.35">
      <c r="D174" s="99" t="s">
        <v>1391</v>
      </c>
      <c r="E174" s="106">
        <v>8</v>
      </c>
      <c r="F174" s="63"/>
      <c r="G174" s="46">
        <v>21.110434000000001</v>
      </c>
      <c r="H174" s="46">
        <v>21.207367000000001</v>
      </c>
      <c r="I174" s="63"/>
      <c r="J174" s="109">
        <v>21.139455000000002</v>
      </c>
      <c r="K174" s="109">
        <v>20.869388000000001</v>
      </c>
      <c r="L174" s="110">
        <v>20.502189000000001</v>
      </c>
    </row>
    <row r="175" spans="4:12" ht="26" x14ac:dyDescent="0.35">
      <c r="D175" s="99" t="s">
        <v>3912</v>
      </c>
      <c r="E175" s="106">
        <v>8</v>
      </c>
      <c r="F175" s="63"/>
      <c r="G175" s="46">
        <v>75.953047999999995</v>
      </c>
      <c r="H175" s="46">
        <v>43.493969</v>
      </c>
      <c r="I175" s="63"/>
      <c r="J175" s="109">
        <v>31.078979</v>
      </c>
      <c r="K175" s="109">
        <v>21.583165000000001</v>
      </c>
      <c r="L175" s="110">
        <v>20.553267000000002</v>
      </c>
    </row>
    <row r="176" spans="4:12" ht="26" x14ac:dyDescent="0.35">
      <c r="D176" s="99" t="s">
        <v>1433</v>
      </c>
      <c r="E176" s="106">
        <v>2</v>
      </c>
      <c r="F176" s="63"/>
      <c r="G176" s="46">
        <v>27.189132000000001</v>
      </c>
      <c r="H176" s="46">
        <v>26.578852999999999</v>
      </c>
      <c r="I176" s="63"/>
      <c r="J176" s="109">
        <v>26.350819999999999</v>
      </c>
      <c r="K176" s="109">
        <v>26.263749000000001</v>
      </c>
      <c r="L176" s="110">
        <v>26.237069999999999</v>
      </c>
    </row>
    <row r="177" spans="4:12" ht="26" x14ac:dyDescent="0.35">
      <c r="D177" s="99" t="s">
        <v>1436</v>
      </c>
      <c r="E177" s="106">
        <v>2</v>
      </c>
      <c r="F177" s="63"/>
      <c r="G177" s="46">
        <v>28.438599</v>
      </c>
      <c r="H177" s="46">
        <v>27.813835999999998</v>
      </c>
      <c r="I177" s="63"/>
      <c r="J177" s="109">
        <v>27.514925000000002</v>
      </c>
      <c r="K177" s="109">
        <v>27.423697000000001</v>
      </c>
      <c r="L177" s="110">
        <v>27.150742000000001</v>
      </c>
    </row>
    <row r="178" spans="4:12" ht="26" x14ac:dyDescent="0.35">
      <c r="D178" s="99" t="s">
        <v>1346</v>
      </c>
      <c r="E178" s="106">
        <v>7</v>
      </c>
      <c r="F178" s="63"/>
      <c r="G178" s="46">
        <v>33.335923000000001</v>
      </c>
      <c r="H178" s="46">
        <v>30.186503999999999</v>
      </c>
      <c r="I178" s="63"/>
      <c r="J178" s="109">
        <v>29.310683999999998</v>
      </c>
      <c r="K178" s="109">
        <v>28.614498999999999</v>
      </c>
      <c r="L178" s="110">
        <v>27.933095999999999</v>
      </c>
    </row>
    <row r="179" spans="4:12" ht="26" x14ac:dyDescent="0.35">
      <c r="D179" s="99" t="s">
        <v>1434</v>
      </c>
      <c r="E179" s="106">
        <v>5</v>
      </c>
      <c r="F179" s="63"/>
      <c r="G179" s="46">
        <v>30.512947</v>
      </c>
      <c r="H179" s="46">
        <v>28.925176</v>
      </c>
      <c r="I179" s="63"/>
      <c r="J179" s="109">
        <v>27.991232</v>
      </c>
      <c r="K179" s="109">
        <v>27.713788999999998</v>
      </c>
      <c r="L179" s="110">
        <v>27.702086999999999</v>
      </c>
    </row>
    <row r="180" spans="4:12" ht="26" x14ac:dyDescent="0.35">
      <c r="D180" s="99" t="s">
        <v>1450</v>
      </c>
      <c r="E180" s="106">
        <v>9</v>
      </c>
      <c r="F180" s="63"/>
      <c r="G180" s="46">
        <v>31.849429000000001</v>
      </c>
      <c r="H180" s="46">
        <v>30.483691</v>
      </c>
      <c r="I180" s="63"/>
      <c r="J180" s="109">
        <v>30.275549000000002</v>
      </c>
      <c r="K180" s="109">
        <v>29.833859</v>
      </c>
      <c r="L180" s="110">
        <v>29.272964999999999</v>
      </c>
    </row>
    <row r="181" spans="4:12" ht="26" x14ac:dyDescent="0.35">
      <c r="D181" s="99" t="s">
        <v>1346</v>
      </c>
      <c r="E181" s="106">
        <v>8</v>
      </c>
      <c r="F181" s="63"/>
      <c r="G181" s="46">
        <v>46.730649</v>
      </c>
      <c r="H181" s="46">
        <v>36.440928999999997</v>
      </c>
      <c r="I181" s="63"/>
      <c r="J181" s="109">
        <v>35.511445000000002</v>
      </c>
      <c r="K181" s="109">
        <v>34.324876000000003</v>
      </c>
      <c r="L181" s="110">
        <v>33.138596</v>
      </c>
    </row>
    <row r="182" spans="4:12" ht="26" x14ac:dyDescent="0.35">
      <c r="D182" s="99" t="s">
        <v>1411</v>
      </c>
      <c r="E182" s="106">
        <v>2</v>
      </c>
      <c r="F182" s="63"/>
      <c r="G182" s="46">
        <v>43.553358000000003</v>
      </c>
      <c r="H182" s="46">
        <v>43.348028999999997</v>
      </c>
      <c r="I182" s="63"/>
      <c r="J182" s="110">
        <v>43.087567</v>
      </c>
      <c r="K182" s="109">
        <v>43.217061000000001</v>
      </c>
      <c r="L182" s="109">
        <v>43.196444</v>
      </c>
    </row>
    <row r="183" spans="4:12" ht="26" x14ac:dyDescent="0.35">
      <c r="D183" s="99" t="s">
        <v>1449</v>
      </c>
      <c r="E183" s="106">
        <v>2</v>
      </c>
      <c r="F183" s="63"/>
      <c r="G183" s="46">
        <v>45.849173999999998</v>
      </c>
      <c r="H183" s="46">
        <v>45.076729</v>
      </c>
      <c r="I183" s="63"/>
      <c r="J183" s="109">
        <v>44.855058999999997</v>
      </c>
      <c r="K183" s="109">
        <v>44.669365999999997</v>
      </c>
      <c r="L183" s="110">
        <v>44.600904</v>
      </c>
    </row>
    <row r="184" spans="4:12" ht="26" x14ac:dyDescent="0.35">
      <c r="D184" s="99" t="s">
        <v>1371</v>
      </c>
      <c r="E184" s="106">
        <v>6</v>
      </c>
      <c r="F184" s="63"/>
      <c r="G184" s="46">
        <v>182.14</v>
      </c>
      <c r="H184" s="46">
        <v>323.20999999999998</v>
      </c>
      <c r="I184" s="63"/>
      <c r="J184" s="110">
        <v>37.100543999999999</v>
      </c>
      <c r="K184" s="109">
        <v>414.23</v>
      </c>
      <c r="L184" s="109">
        <v>252.63</v>
      </c>
    </row>
    <row r="185" spans="4:12" ht="26" x14ac:dyDescent="0.35">
      <c r="D185" s="99" t="s">
        <v>1409</v>
      </c>
      <c r="E185" s="106">
        <v>9</v>
      </c>
      <c r="F185" s="63"/>
      <c r="G185" s="46">
        <v>53.351044000000002</v>
      </c>
      <c r="H185" s="46">
        <v>52.702143</v>
      </c>
      <c r="I185" s="63"/>
      <c r="J185" s="109">
        <v>52.645966000000001</v>
      </c>
      <c r="K185" s="110">
        <v>52.436013000000003</v>
      </c>
      <c r="L185" s="109">
        <v>52.632058999999998</v>
      </c>
    </row>
    <row r="186" spans="4:12" ht="26" x14ac:dyDescent="0.35">
      <c r="D186" s="99" t="s">
        <v>1436</v>
      </c>
      <c r="E186" s="106">
        <v>9</v>
      </c>
      <c r="F186" s="63"/>
      <c r="G186" s="46">
        <v>51.488273999999997</v>
      </c>
      <c r="H186" s="46">
        <v>50.519238999999999</v>
      </c>
      <c r="I186" s="63"/>
      <c r="J186" s="109">
        <v>49.816206000000001</v>
      </c>
      <c r="K186" s="109">
        <v>49.518030000000003</v>
      </c>
      <c r="L186" s="110">
        <v>49.189014999999998</v>
      </c>
    </row>
    <row r="187" spans="4:12" ht="26" x14ac:dyDescent="0.35">
      <c r="D187" s="99" t="s">
        <v>18</v>
      </c>
      <c r="E187" s="106">
        <v>2</v>
      </c>
      <c r="F187" s="63"/>
      <c r="G187" s="46">
        <v>67.527128000000005</v>
      </c>
      <c r="H187" s="46">
        <v>65.895708999999997</v>
      </c>
      <c r="I187" s="63"/>
      <c r="J187" s="109">
        <v>65.688942999999995</v>
      </c>
      <c r="K187" s="109">
        <v>65.747546</v>
      </c>
      <c r="L187" s="110">
        <v>65.533439000000001</v>
      </c>
    </row>
    <row r="188" spans="4:12" ht="26" x14ac:dyDescent="0.35">
      <c r="D188" s="99" t="s">
        <v>1455</v>
      </c>
      <c r="E188" s="106">
        <v>2</v>
      </c>
      <c r="F188" s="63"/>
      <c r="G188" s="46">
        <v>66.708554000000007</v>
      </c>
      <c r="H188" s="46">
        <v>65.846018999999998</v>
      </c>
      <c r="I188" s="63"/>
      <c r="J188" s="109">
        <v>65.728926999999999</v>
      </c>
      <c r="K188" s="109">
        <v>65.258746000000002</v>
      </c>
      <c r="L188" s="110">
        <v>65.123788000000005</v>
      </c>
    </row>
    <row r="189" spans="4:12" ht="26" x14ac:dyDescent="0.35">
      <c r="D189" s="99" t="s">
        <v>3912</v>
      </c>
      <c r="E189" s="106">
        <v>6</v>
      </c>
      <c r="F189" s="63"/>
      <c r="G189" s="46">
        <v>58.977201999999998</v>
      </c>
      <c r="H189" s="46">
        <v>57.302773000000002</v>
      </c>
      <c r="I189" s="63"/>
      <c r="J189" s="109">
        <v>56.745190999999998</v>
      </c>
      <c r="K189" s="109">
        <v>56.760914999999997</v>
      </c>
      <c r="L189" s="110">
        <v>56.493558999999998</v>
      </c>
    </row>
    <row r="190" spans="4:12" ht="26" x14ac:dyDescent="0.35">
      <c r="D190" s="99" t="s">
        <v>1</v>
      </c>
      <c r="E190" s="106">
        <v>5</v>
      </c>
      <c r="F190" s="63"/>
      <c r="G190" s="46">
        <v>66.516069999999999</v>
      </c>
      <c r="H190" s="46">
        <v>62.025692999999997</v>
      </c>
      <c r="I190" s="63"/>
      <c r="J190" s="109">
        <v>58.782516999999999</v>
      </c>
      <c r="K190" s="109">
        <v>56.222129000000002</v>
      </c>
      <c r="L190" s="110">
        <v>55.325994000000001</v>
      </c>
    </row>
    <row r="191" spans="4:12" ht="26" x14ac:dyDescent="0.35">
      <c r="D191" s="99" t="s">
        <v>1434</v>
      </c>
      <c r="E191" s="106">
        <v>7</v>
      </c>
      <c r="F191" s="63"/>
      <c r="G191" s="46">
        <v>86.230993999999995</v>
      </c>
      <c r="H191" s="46">
        <v>78.584799000000004</v>
      </c>
      <c r="I191" s="63"/>
      <c r="J191" s="109">
        <v>76.246281999999994</v>
      </c>
      <c r="K191" s="109">
        <v>75.104703999999998</v>
      </c>
      <c r="L191" s="110">
        <v>73.942231000000007</v>
      </c>
    </row>
    <row r="192" spans="4:12" ht="26" x14ac:dyDescent="0.35">
      <c r="D192" s="99" t="s">
        <v>1438</v>
      </c>
      <c r="E192" s="106">
        <v>2</v>
      </c>
      <c r="F192" s="63"/>
      <c r="G192" s="46">
        <v>103.158689</v>
      </c>
      <c r="H192" s="46">
        <v>101.854315</v>
      </c>
      <c r="I192" s="63"/>
      <c r="J192" s="109">
        <v>101.68702999999999</v>
      </c>
      <c r="K192" s="110">
        <v>101.487123</v>
      </c>
      <c r="L192" s="109">
        <v>101.760442</v>
      </c>
    </row>
    <row r="193" spans="4:12" ht="26" x14ac:dyDescent="0.35">
      <c r="D193" s="99" t="s">
        <v>1434</v>
      </c>
      <c r="E193" s="106">
        <v>8</v>
      </c>
      <c r="F193" s="63"/>
      <c r="G193" s="46">
        <v>150.038915</v>
      </c>
      <c r="H193" s="46">
        <v>109.63044600000001</v>
      </c>
      <c r="I193" s="63"/>
      <c r="J193" s="109">
        <v>91.936704000000006</v>
      </c>
      <c r="K193" s="109">
        <v>87.450755000000001</v>
      </c>
      <c r="L193" s="110">
        <v>83.806042000000005</v>
      </c>
    </row>
    <row r="194" spans="4:12" ht="26" x14ac:dyDescent="0.35">
      <c r="D194" s="99" t="s">
        <v>1409</v>
      </c>
      <c r="E194" s="106">
        <v>2</v>
      </c>
      <c r="F194" s="63"/>
      <c r="G194" s="111">
        <v>110.92055999999999</v>
      </c>
      <c r="H194" s="46">
        <v>110.981557</v>
      </c>
      <c r="I194" s="63"/>
      <c r="J194" s="109">
        <v>111.50702099999999</v>
      </c>
      <c r="K194" s="109">
        <v>111.404892</v>
      </c>
      <c r="L194" s="109">
        <v>111.08095299999999</v>
      </c>
    </row>
    <row r="195" spans="4:12" ht="26" x14ac:dyDescent="0.35">
      <c r="D195" s="99" t="s">
        <v>1425</v>
      </c>
      <c r="E195" s="106">
        <v>5</v>
      </c>
      <c r="F195" s="63"/>
      <c r="G195" s="46">
        <v>111.48347099999999</v>
      </c>
      <c r="H195" s="46">
        <v>110.17731499999999</v>
      </c>
      <c r="I195" s="63"/>
      <c r="J195" s="109">
        <v>108.6473</v>
      </c>
      <c r="K195" s="109">
        <v>106.658112</v>
      </c>
      <c r="L195" s="110">
        <v>105.072243</v>
      </c>
    </row>
    <row r="196" spans="4:12" ht="26" x14ac:dyDescent="0.35">
      <c r="D196" s="99" t="s">
        <v>1440</v>
      </c>
      <c r="E196" s="106">
        <v>9</v>
      </c>
      <c r="F196" s="63"/>
      <c r="G196" s="46">
        <v>141.467356</v>
      </c>
      <c r="H196" s="46">
        <v>140.31502399999999</v>
      </c>
      <c r="I196" s="63"/>
      <c r="J196" s="109">
        <v>139.541595</v>
      </c>
      <c r="K196" s="110">
        <v>139.316845</v>
      </c>
      <c r="L196" s="109">
        <v>139.42422500000001</v>
      </c>
    </row>
    <row r="197" spans="4:12" ht="26" x14ac:dyDescent="0.35">
      <c r="D197" s="99" t="s">
        <v>1461</v>
      </c>
      <c r="E197" s="106">
        <v>5</v>
      </c>
      <c r="F197" s="63"/>
      <c r="G197" s="46">
        <v>140.789737</v>
      </c>
      <c r="H197" s="46">
        <v>136.64110400000001</v>
      </c>
      <c r="I197" s="63"/>
      <c r="J197" s="109">
        <v>134.059369</v>
      </c>
      <c r="K197" s="109">
        <v>133.23129599999999</v>
      </c>
      <c r="L197" s="110">
        <v>132.552098</v>
      </c>
    </row>
    <row r="198" spans="4:12" ht="26" x14ac:dyDescent="0.35">
      <c r="D198" s="99" t="s">
        <v>1423</v>
      </c>
      <c r="E198" s="106">
        <v>5</v>
      </c>
      <c r="F198" s="63"/>
      <c r="G198" s="46">
        <v>172.945031</v>
      </c>
      <c r="H198" s="46">
        <v>171.09279699999999</v>
      </c>
      <c r="I198" s="63"/>
      <c r="J198" s="109">
        <v>170.19131300000001</v>
      </c>
      <c r="K198" s="109">
        <v>167.26216500000001</v>
      </c>
      <c r="L198" s="110">
        <v>164.30501599999999</v>
      </c>
    </row>
    <row r="199" spans="4:12" ht="26" x14ac:dyDescent="0.35">
      <c r="D199" s="99" t="s">
        <v>1440</v>
      </c>
      <c r="E199" s="106">
        <v>2</v>
      </c>
      <c r="F199" s="63"/>
      <c r="G199" s="46">
        <v>255.78950499999999</v>
      </c>
      <c r="H199" s="46">
        <v>255.00335100000001</v>
      </c>
      <c r="I199" s="63"/>
      <c r="J199" s="110">
        <v>254.48178100000001</v>
      </c>
      <c r="K199" s="109">
        <v>254.788084</v>
      </c>
      <c r="L199" s="109">
        <v>255.08629500000001</v>
      </c>
    </row>
    <row r="200" spans="4:12" ht="26" x14ac:dyDescent="0.35">
      <c r="D200" s="99" t="s">
        <v>1</v>
      </c>
      <c r="E200" s="106">
        <v>8</v>
      </c>
      <c r="F200" s="63"/>
      <c r="G200" s="46">
        <v>334.20178499999997</v>
      </c>
      <c r="H200" s="46">
        <v>247.02874199999999</v>
      </c>
      <c r="I200" s="63"/>
      <c r="J200" s="109">
        <v>230.81816599999999</v>
      </c>
      <c r="K200" s="109">
        <v>215.448431</v>
      </c>
      <c r="L200" s="110">
        <v>210.977701</v>
      </c>
    </row>
    <row r="201" spans="4:12" ht="26" x14ac:dyDescent="0.35">
      <c r="D201" s="99" t="s">
        <v>1411</v>
      </c>
      <c r="E201" s="106">
        <v>5</v>
      </c>
      <c r="F201" s="63"/>
      <c r="G201" s="46">
        <v>253.70969099999999</v>
      </c>
      <c r="H201" s="46">
        <v>241.22706700000001</v>
      </c>
      <c r="I201" s="63"/>
      <c r="J201" s="109">
        <v>239.10316599999999</v>
      </c>
      <c r="K201" s="109">
        <v>240.61417299999999</v>
      </c>
      <c r="L201" s="110">
        <v>238.252419</v>
      </c>
    </row>
    <row r="202" spans="4:12" ht="26" x14ac:dyDescent="0.35">
      <c r="D202" s="99" t="s">
        <v>1448</v>
      </c>
      <c r="E202" s="106">
        <v>5</v>
      </c>
      <c r="F202" s="63"/>
      <c r="G202" s="46">
        <v>322.00268299999999</v>
      </c>
      <c r="H202" s="46">
        <v>320.498245</v>
      </c>
      <c r="I202" s="63"/>
      <c r="J202" s="109">
        <v>318.40613100000002</v>
      </c>
      <c r="K202" s="109">
        <v>314.05160100000001</v>
      </c>
      <c r="L202" s="110">
        <v>308.617322</v>
      </c>
    </row>
    <row r="203" spans="4:12" ht="26" x14ac:dyDescent="0.35">
      <c r="D203" s="99" t="s">
        <v>1425</v>
      </c>
      <c r="E203" s="106">
        <v>7</v>
      </c>
      <c r="F203" s="63"/>
      <c r="G203" s="46">
        <v>484.22759600000001</v>
      </c>
      <c r="H203" s="46">
        <v>460.89117299999998</v>
      </c>
      <c r="I203" s="63"/>
      <c r="J203" s="109">
        <v>446.67361699999998</v>
      </c>
      <c r="K203" s="109">
        <v>435.329408</v>
      </c>
      <c r="L203" s="110">
        <v>425.68783300000001</v>
      </c>
    </row>
    <row r="204" spans="4:12" ht="26" x14ac:dyDescent="0.35">
      <c r="D204" s="99" t="s">
        <v>1425</v>
      </c>
      <c r="E204" s="106">
        <v>8</v>
      </c>
      <c r="F204" s="63"/>
      <c r="G204" s="46">
        <v>467.814437</v>
      </c>
      <c r="H204" s="46">
        <v>443.12676299999998</v>
      </c>
      <c r="I204" s="63"/>
      <c r="J204" s="109">
        <v>426.74191200000001</v>
      </c>
      <c r="K204" s="109">
        <v>412.03268100000003</v>
      </c>
      <c r="L204" s="110">
        <v>388.18367000000001</v>
      </c>
    </row>
    <row r="205" spans="4:12" ht="26" x14ac:dyDescent="0.35">
      <c r="D205" s="99" t="s">
        <v>1461</v>
      </c>
      <c r="E205" s="106">
        <v>7</v>
      </c>
      <c r="F205" s="63"/>
      <c r="G205" s="46">
        <v>528.18291099999999</v>
      </c>
      <c r="H205" s="46">
        <v>495.16969599999999</v>
      </c>
      <c r="I205" s="63"/>
      <c r="J205" s="109">
        <v>484.41130900000002</v>
      </c>
      <c r="K205" s="109">
        <v>473.17317000000003</v>
      </c>
      <c r="L205" s="110">
        <v>461.25565499999999</v>
      </c>
    </row>
    <row r="206" spans="4:12" ht="26" x14ac:dyDescent="0.35">
      <c r="D206" s="99" t="s">
        <v>18</v>
      </c>
      <c r="E206" s="106">
        <v>5</v>
      </c>
      <c r="F206" s="63"/>
      <c r="G206" s="46">
        <v>535.30194400000005</v>
      </c>
      <c r="H206" s="46">
        <v>524.99729600000001</v>
      </c>
      <c r="I206" s="63"/>
      <c r="J206" s="109">
        <v>518.47945700000002</v>
      </c>
      <c r="K206" s="109">
        <v>516.59616900000003</v>
      </c>
      <c r="L206" s="110">
        <v>515.24298899999997</v>
      </c>
    </row>
    <row r="207" spans="4:12" ht="26" x14ac:dyDescent="0.35">
      <c r="D207" s="99" t="s">
        <v>1450</v>
      </c>
      <c r="E207" s="106">
        <v>5</v>
      </c>
      <c r="F207" s="63"/>
      <c r="G207" s="46">
        <v>570.61415799999997</v>
      </c>
      <c r="H207" s="46">
        <v>570.125901</v>
      </c>
      <c r="I207" s="63"/>
      <c r="J207" s="109">
        <v>568.85147700000005</v>
      </c>
      <c r="K207" s="109">
        <v>561.15225999999996</v>
      </c>
      <c r="L207" s="110">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3930</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205" t="s">
        <v>3911</v>
      </c>
      <c r="J4" s="205"/>
      <c r="K4" s="205"/>
      <c r="L4" s="205"/>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55" zoomScale="66"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3932</v>
      </c>
    </row>
    <row r="4" spans="3:23" ht="27" x14ac:dyDescent="0.35">
      <c r="H4" s="206"/>
      <c r="I4" s="206"/>
      <c r="J4" s="206"/>
      <c r="K4" s="206"/>
      <c r="L4" s="37"/>
      <c r="M4" s="55"/>
      <c r="N4" s="55"/>
    </row>
    <row r="5" spans="3:23" x14ac:dyDescent="0.3">
      <c r="C5" s="13" t="s">
        <v>25</v>
      </c>
      <c r="D5" s="12" t="s">
        <v>13</v>
      </c>
      <c r="E5" s="12" t="s">
        <v>14</v>
      </c>
      <c r="F5" s="12" t="s">
        <v>15</v>
      </c>
      <c r="G5" s="13" t="s">
        <v>3931</v>
      </c>
      <c r="H5" s="13" t="s">
        <v>3938</v>
      </c>
      <c r="I5" s="13" t="s">
        <v>3939</v>
      </c>
      <c r="J5" s="13" t="s">
        <v>22</v>
      </c>
      <c r="K5" s="13" t="s">
        <v>23</v>
      </c>
      <c r="L5" s="13" t="s">
        <v>24</v>
      </c>
      <c r="M5" s="43" t="s">
        <v>3936</v>
      </c>
      <c r="N5" s="13" t="s">
        <v>3937</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1:AL65"/>
  <sheetViews>
    <sheetView topLeftCell="C2" zoomScale="90" workbookViewId="0">
      <selection activeCell="P12" sqref="P12"/>
    </sheetView>
  </sheetViews>
  <sheetFormatPr baseColWidth="10" defaultRowHeight="16" x14ac:dyDescent="0.2"/>
  <cols>
    <col min="1" max="1" width="28.5" style="193" bestFit="1" customWidth="1"/>
    <col min="2" max="2" width="17.83203125" style="193" customWidth="1"/>
    <col min="3" max="3" width="19.1640625" style="193" bestFit="1" customWidth="1"/>
    <col min="4" max="4" width="15.5" style="193" customWidth="1"/>
    <col min="5" max="5" width="14.33203125" style="193" customWidth="1"/>
    <col min="6" max="6" width="11" style="193" bestFit="1" customWidth="1"/>
    <col min="8" max="8" width="26.5" customWidth="1"/>
    <col min="11" max="11" width="13.33203125" customWidth="1"/>
    <col min="13" max="13" width="11.33203125" customWidth="1"/>
    <col min="15" max="15" width="14.33203125" customWidth="1"/>
    <col min="18" max="18" width="11.6640625" bestFit="1" customWidth="1"/>
    <col min="25" max="25" width="19.6640625" customWidth="1"/>
    <col min="32" max="32" width="15.1640625" customWidth="1"/>
  </cols>
  <sheetData>
    <row r="1" spans="1:19" x14ac:dyDescent="0.2">
      <c r="L1" t="s">
        <v>4024</v>
      </c>
    </row>
    <row r="2" spans="1:19" ht="17" thickBot="1" x14ac:dyDescent="0.25"/>
    <row r="3" spans="1:19" ht="19" x14ac:dyDescent="0.2">
      <c r="A3" s="194" t="s">
        <v>3941</v>
      </c>
      <c r="B3" s="194" t="s">
        <v>3962</v>
      </c>
      <c r="C3" s="194" t="s">
        <v>3963</v>
      </c>
      <c r="D3" s="194" t="s">
        <v>4009</v>
      </c>
      <c r="E3" s="194" t="s">
        <v>15</v>
      </c>
      <c r="H3" s="183" t="s">
        <v>4010</v>
      </c>
      <c r="I3" s="183" t="s">
        <v>3962</v>
      </c>
      <c r="J3" s="183" t="s">
        <v>3963</v>
      </c>
      <c r="K3" s="183" t="s">
        <v>4026</v>
      </c>
      <c r="L3" s="181" t="s">
        <v>4011</v>
      </c>
      <c r="M3" s="181" t="s">
        <v>4013</v>
      </c>
      <c r="N3" s="181" t="s">
        <v>4014</v>
      </c>
      <c r="O3" s="181" t="s">
        <v>4012</v>
      </c>
      <c r="P3" s="181" t="s">
        <v>3933</v>
      </c>
      <c r="Q3" s="181" t="s">
        <v>4017</v>
      </c>
      <c r="R3" s="181" t="s">
        <v>4016</v>
      </c>
      <c r="S3" s="181" t="s">
        <v>4015</v>
      </c>
    </row>
    <row r="4" spans="1:19" ht="17" x14ac:dyDescent="0.2">
      <c r="A4" s="195" t="s">
        <v>3913</v>
      </c>
      <c r="B4" s="196">
        <v>58655849</v>
      </c>
      <c r="C4" s="196">
        <v>522642066</v>
      </c>
      <c r="D4" s="196">
        <v>8.9103145706747853</v>
      </c>
      <c r="E4" s="196">
        <v>278489</v>
      </c>
      <c r="H4" s="174" t="s">
        <v>3913</v>
      </c>
      <c r="I4" s="177" t="str">
        <f>TEXT(B4/1000000,IF(B4&gt;=100000000,"0.0",IF(B4&gt;=10000000,"0.00","0.000")))&amp;"M"</f>
        <v>58.66M</v>
      </c>
      <c r="J4" s="177" t="str">
        <f>TEXT(C4/1000000,IF(C4&gt;=100000000,"0.0",IF(C4&gt;=10000000,"0.00","0.000")))&amp;"M"</f>
        <v>522.6M</v>
      </c>
      <c r="K4" s="177" t="str">
        <f>TEXT(E4/1000,IF(E4&gt;=100000,"0.0",IF(E4&gt;=10000,"0.00","0.000")))&amp;"K"</f>
        <v>278.5K</v>
      </c>
      <c r="L4" s="177">
        <v>72.141434000000004</v>
      </c>
      <c r="M4" s="177">
        <v>32.451304999999998</v>
      </c>
      <c r="N4" s="177">
        <v>27.86</v>
      </c>
      <c r="O4" s="177">
        <v>144.30504400000001</v>
      </c>
      <c r="P4" s="177">
        <v>30.88738</v>
      </c>
      <c r="Q4" s="177">
        <f>L4/N4</f>
        <v>2.5894269203158653</v>
      </c>
      <c r="R4" s="177">
        <f>N4/P4</f>
        <v>0.90198650711067108</v>
      </c>
      <c r="S4" s="177">
        <f>O4/P4</f>
        <v>4.6719742496773762</v>
      </c>
    </row>
    <row r="5" spans="1:19" ht="17" x14ac:dyDescent="0.2">
      <c r="A5" s="195" t="s">
        <v>3915</v>
      </c>
      <c r="B5" s="196">
        <v>25921548</v>
      </c>
      <c r="C5" s="196">
        <v>1086367222</v>
      </c>
      <c r="D5" s="196">
        <v>41.909812716431901</v>
      </c>
      <c r="E5" s="196">
        <v>4271341</v>
      </c>
      <c r="H5" s="175" t="s">
        <v>3915</v>
      </c>
      <c r="I5" s="177" t="str">
        <f t="shared" ref="I5:J23" si="0">TEXT(B5/1000000,IF(B5&gt;=100000000,"0.0",IF(B5&gt;=10000000,"0.00","0.000")))&amp;"M"</f>
        <v>25.92M</v>
      </c>
      <c r="J5" s="177" t="str">
        <f t="shared" si="0"/>
        <v>1086.4M</v>
      </c>
      <c r="K5" s="177" t="str">
        <f t="shared" ref="K5:K23" si="1">TEXT(E5/1000,IF(E5&gt;=100000,"0.0",IF(E5&gt;=10000,"0.00","0.000")))&amp;"K"</f>
        <v>4271.3K</v>
      </c>
      <c r="L5" s="177">
        <v>151.533287</v>
      </c>
      <c r="M5" s="177">
        <v>222.62359000000001</v>
      </c>
      <c r="N5" s="177">
        <v>147.67106799999999</v>
      </c>
      <c r="O5" s="177">
        <v>227.71192199999999</v>
      </c>
      <c r="P5" s="177">
        <v>99.896929</v>
      </c>
      <c r="Q5" s="177">
        <f t="shared" ref="Q5:Q23" si="2">L5/N5</f>
        <v>1.0261542023925772</v>
      </c>
      <c r="R5" s="177">
        <f t="shared" ref="R5:R23" si="3">N5/P5</f>
        <v>1.4782343108865739</v>
      </c>
      <c r="S5" s="177">
        <f t="shared" ref="S5:S23" si="4">O5/P5</f>
        <v>2.2794686911746807</v>
      </c>
    </row>
    <row r="6" spans="1:19" ht="17" x14ac:dyDescent="0.2">
      <c r="A6" s="195" t="s">
        <v>1455</v>
      </c>
      <c r="B6" s="196">
        <v>8833229</v>
      </c>
      <c r="C6" s="196">
        <v>105882456</v>
      </c>
      <c r="D6" s="196">
        <v>11.986834712425093</v>
      </c>
      <c r="E6" s="196">
        <v>2126384</v>
      </c>
      <c r="H6" s="175" t="s">
        <v>1455</v>
      </c>
      <c r="I6" s="177" t="str">
        <f t="shared" si="0"/>
        <v>8.833M</v>
      </c>
      <c r="J6" s="177" t="str">
        <f t="shared" si="0"/>
        <v>105.9M</v>
      </c>
      <c r="K6" s="177" t="str">
        <f t="shared" si="1"/>
        <v>2126.4K</v>
      </c>
      <c r="L6" s="177">
        <v>112.67521000000001</v>
      </c>
      <c r="M6" s="177">
        <v>90.007458</v>
      </c>
      <c r="N6" s="177">
        <v>60.69</v>
      </c>
      <c r="O6" s="177">
        <v>306.40025200000002</v>
      </c>
      <c r="P6" s="177">
        <v>46.755004999999997</v>
      </c>
      <c r="Q6" s="177">
        <f t="shared" si="2"/>
        <v>1.8565696160817271</v>
      </c>
      <c r="R6" s="177">
        <f t="shared" si="3"/>
        <v>1.2980428512412736</v>
      </c>
      <c r="S6" s="177">
        <f t="shared" si="4"/>
        <v>6.5533144954214002</v>
      </c>
    </row>
    <row r="7" spans="1:19" ht="17" x14ac:dyDescent="0.2">
      <c r="A7" s="195" t="s">
        <v>1391</v>
      </c>
      <c r="B7" s="196">
        <v>8482737</v>
      </c>
      <c r="C7" s="196">
        <v>23585644</v>
      </c>
      <c r="D7" s="196">
        <v>2.7804285338564663</v>
      </c>
      <c r="E7" s="196">
        <v>8421430</v>
      </c>
      <c r="H7" s="175" t="s">
        <v>1391</v>
      </c>
      <c r="I7" s="177" t="str">
        <f t="shared" si="0"/>
        <v>8.483M</v>
      </c>
      <c r="J7" s="177" t="str">
        <f t="shared" si="0"/>
        <v>23.59M</v>
      </c>
      <c r="K7" s="177" t="str">
        <f t="shared" si="1"/>
        <v>8421.4K</v>
      </c>
      <c r="L7" s="177">
        <v>9.2547449999999998</v>
      </c>
      <c r="M7" s="177">
        <v>8.1007510000000007</v>
      </c>
      <c r="N7" s="177">
        <v>7.2945060000000002</v>
      </c>
      <c r="O7" s="177">
        <v>0.89532500000000004</v>
      </c>
      <c r="P7" s="177">
        <v>0.873803</v>
      </c>
      <c r="Q7" s="177">
        <f t="shared" si="2"/>
        <v>1.2687281359423106</v>
      </c>
      <c r="R7" s="177">
        <f t="shared" si="3"/>
        <v>8.3479983474536024</v>
      </c>
      <c r="S7" s="177">
        <f t="shared" si="4"/>
        <v>1.0246302656319559</v>
      </c>
    </row>
    <row r="8" spans="1:19" ht="17" x14ac:dyDescent="0.2">
      <c r="A8" s="195" t="s">
        <v>1423</v>
      </c>
      <c r="B8" s="196">
        <v>7570051</v>
      </c>
      <c r="C8" s="196">
        <v>43881980</v>
      </c>
      <c r="D8" s="196">
        <v>5.7967878948239582</v>
      </c>
      <c r="E8" s="196">
        <v>5669991</v>
      </c>
      <c r="H8" s="175" t="s">
        <v>1423</v>
      </c>
      <c r="I8" s="177" t="str">
        <f t="shared" si="0"/>
        <v>7.570M</v>
      </c>
      <c r="J8" s="177" t="str">
        <f t="shared" si="0"/>
        <v>43.88M</v>
      </c>
      <c r="K8" s="177" t="str">
        <f t="shared" si="1"/>
        <v>5670.0K</v>
      </c>
      <c r="L8" s="177">
        <v>14.093127000000001</v>
      </c>
      <c r="M8" s="177">
        <v>13.289847</v>
      </c>
      <c r="N8" s="177">
        <v>12.232373000000001</v>
      </c>
      <c r="O8" s="177">
        <v>4.7210000000000001</v>
      </c>
      <c r="P8" s="177">
        <v>2.3150789999999999</v>
      </c>
      <c r="Q8" s="177">
        <f t="shared" si="2"/>
        <v>1.1521171730129551</v>
      </c>
      <c r="R8" s="177">
        <f t="shared" si="3"/>
        <v>5.2837821085155197</v>
      </c>
      <c r="S8" s="177">
        <f t="shared" si="4"/>
        <v>2.039239265701084</v>
      </c>
    </row>
    <row r="9" spans="1:19" ht="17" x14ac:dyDescent="0.2">
      <c r="A9" s="196" t="s">
        <v>1450</v>
      </c>
      <c r="B9" s="196">
        <v>5867547</v>
      </c>
      <c r="C9" s="196">
        <v>61171040</v>
      </c>
      <c r="D9" s="196">
        <v>10.425317428220003</v>
      </c>
      <c r="E9" s="196">
        <v>959344</v>
      </c>
      <c r="H9" s="175" t="s">
        <v>1450</v>
      </c>
      <c r="I9" s="177" t="str">
        <f t="shared" si="0"/>
        <v>5.868M</v>
      </c>
      <c r="J9" s="177" t="str">
        <f t="shared" si="0"/>
        <v>61.17M</v>
      </c>
      <c r="K9" s="177" t="str">
        <f t="shared" si="1"/>
        <v>959.3K</v>
      </c>
      <c r="L9" s="177">
        <v>47.766303000000001</v>
      </c>
      <c r="M9" s="177">
        <v>35.560279000000001</v>
      </c>
      <c r="N9" s="177">
        <v>28.21</v>
      </c>
      <c r="O9" s="177">
        <v>123.493318</v>
      </c>
      <c r="P9" s="177">
        <v>20.122519</v>
      </c>
      <c r="Q9" s="177">
        <f t="shared" si="2"/>
        <v>1.6932400921658985</v>
      </c>
      <c r="R9" s="177">
        <f t="shared" si="3"/>
        <v>1.4019119574442942</v>
      </c>
      <c r="S9" s="177">
        <f t="shared" si="4"/>
        <v>6.1370705128915519</v>
      </c>
    </row>
    <row r="10" spans="1:19" ht="17" x14ac:dyDescent="0.2">
      <c r="A10" s="196" t="s">
        <v>1456</v>
      </c>
      <c r="B10" s="196">
        <v>5829441</v>
      </c>
      <c r="C10" s="196">
        <v>110439216</v>
      </c>
      <c r="D10" s="196">
        <v>18.945078267367318</v>
      </c>
      <c r="E10" s="196">
        <v>818185</v>
      </c>
      <c r="H10" s="175" t="s">
        <v>1456</v>
      </c>
      <c r="I10" s="177" t="str">
        <f t="shared" si="0"/>
        <v>5.829M</v>
      </c>
      <c r="J10" s="177" t="str">
        <f t="shared" si="0"/>
        <v>110.4M</v>
      </c>
      <c r="K10" s="177" t="str">
        <f t="shared" si="1"/>
        <v>818.2K</v>
      </c>
      <c r="L10" s="177">
        <v>79.435288</v>
      </c>
      <c r="M10" s="177">
        <v>52.55547</v>
      </c>
      <c r="N10" s="177">
        <v>46.29</v>
      </c>
      <c r="O10" s="177">
        <v>245.51799</v>
      </c>
      <c r="P10" s="177">
        <v>37.410254999999999</v>
      </c>
      <c r="Q10" s="177">
        <f t="shared" si="2"/>
        <v>1.7160356016418232</v>
      </c>
      <c r="R10" s="177">
        <f t="shared" si="3"/>
        <v>1.2373612529505613</v>
      </c>
      <c r="S10" s="177">
        <f t="shared" si="4"/>
        <v>6.562852618887522</v>
      </c>
    </row>
    <row r="11" spans="1:19" ht="17" x14ac:dyDescent="0.2">
      <c r="A11" s="195" t="s">
        <v>1440</v>
      </c>
      <c r="B11" s="196">
        <v>5812931</v>
      </c>
      <c r="C11" s="196">
        <v>54238524</v>
      </c>
      <c r="D11" s="196">
        <v>9.3306670937604448</v>
      </c>
      <c r="E11" s="196">
        <v>3504033</v>
      </c>
      <c r="H11" s="175" t="s">
        <v>1440</v>
      </c>
      <c r="I11" s="177" t="str">
        <f t="shared" si="0"/>
        <v>5.813M</v>
      </c>
      <c r="J11" s="177" t="str">
        <f t="shared" si="0"/>
        <v>54.24M</v>
      </c>
      <c r="K11" s="177" t="str">
        <f t="shared" si="1"/>
        <v>3504.0K</v>
      </c>
      <c r="L11" s="177">
        <v>6.0030999999999999</v>
      </c>
      <c r="M11" s="177">
        <v>6.1971189999999998</v>
      </c>
      <c r="N11" s="177">
        <v>4.798845</v>
      </c>
      <c r="O11" s="177">
        <v>9.5797369999999997</v>
      </c>
      <c r="P11" s="177">
        <v>3.0204589999999998</v>
      </c>
      <c r="Q11" s="177">
        <f t="shared" si="2"/>
        <v>1.25094684241729</v>
      </c>
      <c r="R11" s="177">
        <f t="shared" si="3"/>
        <v>1.5887800496547049</v>
      </c>
      <c r="S11" s="177">
        <f t="shared" si="4"/>
        <v>3.1716163007013174</v>
      </c>
    </row>
    <row r="12" spans="1:19" ht="17" x14ac:dyDescent="0.2">
      <c r="A12" s="196" t="s">
        <v>1443</v>
      </c>
      <c r="B12" s="196">
        <v>3924218</v>
      </c>
      <c r="C12" s="196">
        <v>152878772</v>
      </c>
      <c r="D12" s="196">
        <v>38.957767381934438</v>
      </c>
      <c r="E12" s="196">
        <v>254555</v>
      </c>
      <c r="H12" s="175" t="s">
        <v>1443</v>
      </c>
      <c r="I12" s="177" t="str">
        <f t="shared" si="0"/>
        <v>3.924M</v>
      </c>
      <c r="J12" s="177" t="str">
        <f t="shared" si="0"/>
        <v>152.9M</v>
      </c>
      <c r="K12" s="177" t="str">
        <f t="shared" si="1"/>
        <v>254.6K</v>
      </c>
      <c r="L12" s="177">
        <v>483.37426900000003</v>
      </c>
      <c r="M12" s="177">
        <v>483.67</v>
      </c>
      <c r="N12" s="177">
        <v>481.87422600000002</v>
      </c>
      <c r="O12" s="177">
        <v>450.831255</v>
      </c>
      <c r="P12" s="177">
        <v>112.903085</v>
      </c>
      <c r="Q12" s="177">
        <f t="shared" si="2"/>
        <v>1.0031129347017618</v>
      </c>
      <c r="R12" s="177">
        <f t="shared" si="3"/>
        <v>4.2680341817054863</v>
      </c>
      <c r="S12" s="177">
        <f t="shared" si="4"/>
        <v>3.9930818099434573</v>
      </c>
    </row>
    <row r="13" spans="1:19" ht="17" x14ac:dyDescent="0.2">
      <c r="A13" s="196" t="s">
        <v>10</v>
      </c>
      <c r="B13" s="196">
        <v>3603726</v>
      </c>
      <c r="C13" s="196">
        <v>155093964</v>
      </c>
      <c r="D13" s="196">
        <v>43.037113254448315</v>
      </c>
      <c r="E13" s="196">
        <v>434234</v>
      </c>
      <c r="H13" s="175" t="s">
        <v>10</v>
      </c>
      <c r="I13" s="177" t="str">
        <f t="shared" si="0"/>
        <v>3.604M</v>
      </c>
      <c r="J13" s="177" t="str">
        <f t="shared" si="0"/>
        <v>155.1M</v>
      </c>
      <c r="K13" s="177" t="str">
        <f t="shared" si="1"/>
        <v>434.2K</v>
      </c>
      <c r="L13" s="177">
        <v>147.66339600000001</v>
      </c>
      <c r="M13" s="177">
        <v>94.61</v>
      </c>
      <c r="N13" s="177">
        <v>74.099999999999994</v>
      </c>
      <c r="O13" s="177">
        <v>196.60153800000001</v>
      </c>
      <c r="P13" s="177">
        <v>68.88</v>
      </c>
      <c r="Q13" s="177">
        <f t="shared" si="2"/>
        <v>1.9927583805668019</v>
      </c>
      <c r="R13" s="177">
        <f t="shared" si="3"/>
        <v>1.0757839721254356</v>
      </c>
      <c r="S13" s="177">
        <f t="shared" si="4"/>
        <v>2.8542615853658537</v>
      </c>
    </row>
    <row r="14" spans="1:19" ht="17" x14ac:dyDescent="0.2">
      <c r="A14" s="195" t="s">
        <v>1409</v>
      </c>
      <c r="B14" s="196">
        <v>3411795</v>
      </c>
      <c r="C14" s="196">
        <v>26854686</v>
      </c>
      <c r="D14" s="196">
        <v>7.8711311787490166</v>
      </c>
      <c r="E14" s="196">
        <v>2487058</v>
      </c>
      <c r="H14" s="175" t="s">
        <v>1409</v>
      </c>
      <c r="I14" s="177" t="str">
        <f t="shared" si="0"/>
        <v>3.412M</v>
      </c>
      <c r="J14" s="177" t="str">
        <f t="shared" si="0"/>
        <v>26.85M</v>
      </c>
      <c r="K14" s="177" t="str">
        <f t="shared" si="1"/>
        <v>2487.1K</v>
      </c>
      <c r="L14" s="177">
        <v>4.6714419999999999</v>
      </c>
      <c r="M14" s="177">
        <v>3.4434170000000002</v>
      </c>
      <c r="N14" s="177">
        <v>2.5527690000000001</v>
      </c>
      <c r="O14" s="177">
        <v>0.94574000000000003</v>
      </c>
      <c r="P14" s="177">
        <v>0.85847099999999998</v>
      </c>
      <c r="Q14" s="177">
        <f t="shared" si="2"/>
        <v>1.8299509277964436</v>
      </c>
      <c r="R14" s="177">
        <f t="shared" si="3"/>
        <v>2.9736228713608264</v>
      </c>
      <c r="S14" s="177">
        <f t="shared" si="4"/>
        <v>1.1016563168703428</v>
      </c>
    </row>
    <row r="15" spans="1:19" ht="17" x14ac:dyDescent="0.2">
      <c r="A15" s="195" t="s">
        <v>1442</v>
      </c>
      <c r="B15" s="196">
        <v>3370462</v>
      </c>
      <c r="C15" s="196">
        <v>143901836</v>
      </c>
      <c r="D15" s="196">
        <v>42.694988402183441</v>
      </c>
      <c r="E15" s="196">
        <v>282591</v>
      </c>
      <c r="H15" s="175" t="s">
        <v>1442</v>
      </c>
      <c r="I15" s="177" t="str">
        <f t="shared" si="0"/>
        <v>3.370M</v>
      </c>
      <c r="J15" s="177" t="str">
        <f t="shared" si="0"/>
        <v>143.9M</v>
      </c>
      <c r="K15" s="177" t="str">
        <f t="shared" si="1"/>
        <v>282.6K</v>
      </c>
      <c r="L15" s="177">
        <v>156.71956700000001</v>
      </c>
      <c r="M15" s="177">
        <v>85.97</v>
      </c>
      <c r="N15" s="177">
        <v>73.61</v>
      </c>
      <c r="O15" s="177">
        <v>200.62130099999999</v>
      </c>
      <c r="P15" s="177">
        <v>47.39</v>
      </c>
      <c r="Q15" s="177">
        <f t="shared" si="2"/>
        <v>2.1290526694742562</v>
      </c>
      <c r="R15" s="177">
        <f t="shared" si="3"/>
        <v>1.5532812829710909</v>
      </c>
      <c r="S15" s="177">
        <f t="shared" si="4"/>
        <v>4.2334100232116478</v>
      </c>
    </row>
    <row r="16" spans="1:19" ht="17" x14ac:dyDescent="0.2">
      <c r="A16" s="196" t="s">
        <v>1451</v>
      </c>
      <c r="B16" s="196">
        <v>3333397</v>
      </c>
      <c r="C16" s="196">
        <v>200923810</v>
      </c>
      <c r="D16" s="196">
        <v>60.275991728557983</v>
      </c>
      <c r="E16" s="196">
        <v>399358</v>
      </c>
      <c r="H16" s="175" t="s">
        <v>1451</v>
      </c>
      <c r="I16" s="177" t="str">
        <f t="shared" si="0"/>
        <v>3.333M</v>
      </c>
      <c r="J16" s="177" t="str">
        <f t="shared" si="0"/>
        <v>200.9M</v>
      </c>
      <c r="K16" s="177" t="str">
        <f t="shared" si="1"/>
        <v>399.4K</v>
      </c>
      <c r="L16" s="177">
        <v>281.423633</v>
      </c>
      <c r="M16" s="177">
        <v>237.14</v>
      </c>
      <c r="N16" s="177">
        <v>199.82</v>
      </c>
      <c r="O16" s="177">
        <v>834.23</v>
      </c>
      <c r="P16" s="177">
        <v>179.01</v>
      </c>
      <c r="Q16" s="177">
        <f t="shared" si="2"/>
        <v>1.4083857121409269</v>
      </c>
      <c r="R16" s="177">
        <f t="shared" si="3"/>
        <v>1.1162504887995084</v>
      </c>
      <c r="S16" s="177">
        <f t="shared" si="4"/>
        <v>4.6602424445561708</v>
      </c>
    </row>
    <row r="17" spans="1:20" ht="17" x14ac:dyDescent="0.2">
      <c r="A17" s="196" t="s">
        <v>1452</v>
      </c>
      <c r="B17" s="196">
        <v>3175009</v>
      </c>
      <c r="C17" s="196">
        <v>206621674</v>
      </c>
      <c r="D17" s="196">
        <v>65.077508126748612</v>
      </c>
      <c r="E17" s="196">
        <v>369566</v>
      </c>
      <c r="H17" s="175" t="s">
        <v>1452</v>
      </c>
      <c r="I17" s="177" t="str">
        <f t="shared" si="0"/>
        <v>3.175M</v>
      </c>
      <c r="J17" s="177" t="str">
        <f t="shared" si="0"/>
        <v>206.6M</v>
      </c>
      <c r="K17" s="177" t="str">
        <f t="shared" si="1"/>
        <v>369.6K</v>
      </c>
      <c r="L17" s="177">
        <v>434.10890000000001</v>
      </c>
      <c r="M17" s="177">
        <v>493.98</v>
      </c>
      <c r="N17" s="177">
        <v>409.93960600000003</v>
      </c>
      <c r="O17" s="177">
        <v>346.19295299999999</v>
      </c>
      <c r="P17" s="177">
        <v>102.65375299999999</v>
      </c>
      <c r="Q17" s="177">
        <f t="shared" si="2"/>
        <v>1.0589581822450207</v>
      </c>
      <c r="R17" s="177">
        <f t="shared" si="3"/>
        <v>3.9934205425494773</v>
      </c>
      <c r="S17" s="177">
        <f t="shared" si="4"/>
        <v>3.3724334754716665</v>
      </c>
    </row>
    <row r="18" spans="1:20" ht="17" x14ac:dyDescent="0.2">
      <c r="A18" s="196" t="s">
        <v>6</v>
      </c>
      <c r="B18" s="196">
        <v>3072441</v>
      </c>
      <c r="C18" s="196">
        <v>234369798</v>
      </c>
      <c r="D18" s="196">
        <v>76.281301414738309</v>
      </c>
      <c r="E18" s="196">
        <v>33313</v>
      </c>
      <c r="H18" s="175" t="s">
        <v>6</v>
      </c>
      <c r="I18" s="177" t="str">
        <f t="shared" si="0"/>
        <v>3.072M</v>
      </c>
      <c r="J18" s="177" t="str">
        <f t="shared" si="0"/>
        <v>234.4M</v>
      </c>
      <c r="K18" s="177" t="str">
        <f t="shared" si="1"/>
        <v>33.31K</v>
      </c>
      <c r="L18" s="177">
        <v>111.967101</v>
      </c>
      <c r="M18" s="177">
        <v>88.42</v>
      </c>
      <c r="N18" s="177">
        <v>56.98</v>
      </c>
      <c r="O18" s="177">
        <v>281.76346699999999</v>
      </c>
      <c r="P18" s="177">
        <v>51.644970999999998</v>
      </c>
      <c r="Q18" s="177">
        <f t="shared" si="2"/>
        <v>1.9650245875745878</v>
      </c>
      <c r="R18" s="177">
        <f t="shared" si="3"/>
        <v>1.103302003984086</v>
      </c>
      <c r="S18" s="177">
        <f t="shared" si="4"/>
        <v>5.4557774270025243</v>
      </c>
    </row>
    <row r="19" spans="1:20" ht="17" x14ac:dyDescent="0.2">
      <c r="A19" s="195" t="s">
        <v>1404</v>
      </c>
      <c r="B19" s="196">
        <v>2939627</v>
      </c>
      <c r="C19" s="196">
        <v>20974994</v>
      </c>
      <c r="D19" s="196">
        <v>7.1352569560695969</v>
      </c>
      <c r="E19" s="196">
        <v>916719</v>
      </c>
      <c r="H19" s="175" t="s">
        <v>1404</v>
      </c>
      <c r="I19" s="177" t="str">
        <f t="shared" si="0"/>
        <v>2.940M</v>
      </c>
      <c r="J19" s="177" t="str">
        <f t="shared" si="0"/>
        <v>20.97M</v>
      </c>
      <c r="K19" s="177" t="str">
        <f t="shared" si="1"/>
        <v>916.7K</v>
      </c>
      <c r="L19" s="177">
        <v>5.0862049999999996</v>
      </c>
      <c r="M19" s="177">
        <v>4.4346589999999999</v>
      </c>
      <c r="N19" s="177">
        <v>3.2633320000000001</v>
      </c>
      <c r="O19" s="177">
        <v>5.7104470000000003</v>
      </c>
      <c r="P19" s="177">
        <v>2.0374910000000002</v>
      </c>
      <c r="Q19" s="177">
        <f t="shared" si="2"/>
        <v>1.5585925673514063</v>
      </c>
      <c r="R19" s="177">
        <f t="shared" si="3"/>
        <v>1.6016424121628021</v>
      </c>
      <c r="S19" s="177">
        <f t="shared" si="4"/>
        <v>2.8026857541947425</v>
      </c>
    </row>
    <row r="20" spans="1:20" ht="17" x14ac:dyDescent="0.2">
      <c r="A20" s="196" t="s">
        <v>1422</v>
      </c>
      <c r="B20" s="196">
        <v>2622756</v>
      </c>
      <c r="C20" s="196">
        <v>94934908</v>
      </c>
      <c r="D20" s="196">
        <v>36.196622179112353</v>
      </c>
      <c r="E20" s="196">
        <v>900354</v>
      </c>
      <c r="H20" s="175" t="s">
        <v>1422</v>
      </c>
      <c r="I20" s="177" t="str">
        <f t="shared" si="0"/>
        <v>2.623M</v>
      </c>
      <c r="J20" s="177" t="str">
        <f t="shared" si="0"/>
        <v>94.93M</v>
      </c>
      <c r="K20" s="177" t="str">
        <f t="shared" si="1"/>
        <v>900.4K</v>
      </c>
      <c r="L20" s="177">
        <v>25.453268000000001</v>
      </c>
      <c r="M20" s="177">
        <v>27.673922000000001</v>
      </c>
      <c r="N20" s="177">
        <v>23.282133000000002</v>
      </c>
      <c r="O20" s="177">
        <v>31.811346</v>
      </c>
      <c r="P20" s="177">
        <v>17.874461</v>
      </c>
      <c r="Q20" s="177">
        <f t="shared" si="2"/>
        <v>1.0932532685042216</v>
      </c>
      <c r="R20" s="177">
        <f t="shared" si="3"/>
        <v>1.3025362275259658</v>
      </c>
      <c r="S20" s="177">
        <f t="shared" si="4"/>
        <v>1.779709385362725</v>
      </c>
    </row>
    <row r="21" spans="1:20" ht="17" x14ac:dyDescent="0.2">
      <c r="A21" s="196" t="s">
        <v>11</v>
      </c>
      <c r="B21" s="196">
        <v>2394385</v>
      </c>
      <c r="C21" s="196">
        <v>9319130</v>
      </c>
      <c r="D21" s="196">
        <v>3.8920766710449657</v>
      </c>
      <c r="E21" s="196">
        <v>100029</v>
      </c>
      <c r="H21" s="175" t="s">
        <v>11</v>
      </c>
      <c r="I21" s="177" t="str">
        <f t="shared" si="0"/>
        <v>2.394M</v>
      </c>
      <c r="J21" s="177" t="str">
        <f t="shared" si="0"/>
        <v>9.319M</v>
      </c>
      <c r="K21" s="177" t="str">
        <f t="shared" si="1"/>
        <v>100.0K</v>
      </c>
      <c r="L21" s="177">
        <v>3.699408</v>
      </c>
      <c r="M21" s="177">
        <v>5.0047879999999996</v>
      </c>
      <c r="N21" s="177">
        <v>1.745098</v>
      </c>
      <c r="O21" s="177">
        <v>11.48353</v>
      </c>
      <c r="P21" s="177">
        <v>2.5116809999999998</v>
      </c>
      <c r="Q21" s="177">
        <f t="shared" si="2"/>
        <v>2.1198855307839444</v>
      </c>
      <c r="R21" s="177">
        <f t="shared" si="3"/>
        <v>0.69479284988818257</v>
      </c>
      <c r="S21" s="177">
        <f t="shared" si="4"/>
        <v>4.5720495556561529</v>
      </c>
    </row>
    <row r="22" spans="1:20" ht="17" x14ac:dyDescent="0.2">
      <c r="A22" s="195" t="s">
        <v>1445</v>
      </c>
      <c r="B22" s="196">
        <v>2148791</v>
      </c>
      <c r="C22" s="196">
        <v>155750262</v>
      </c>
      <c r="D22" s="196">
        <v>72.482741225181968</v>
      </c>
      <c r="E22" s="196">
        <v>286585</v>
      </c>
      <c r="H22" s="175" t="s">
        <v>1445</v>
      </c>
      <c r="I22" s="177" t="str">
        <f t="shared" si="0"/>
        <v>2.149M</v>
      </c>
      <c r="J22" s="177" t="str">
        <f t="shared" si="0"/>
        <v>155.8M</v>
      </c>
      <c r="K22" s="177" t="str">
        <f t="shared" si="1"/>
        <v>286.6K</v>
      </c>
      <c r="L22" s="177">
        <v>33.908831999999997</v>
      </c>
      <c r="M22" s="177">
        <v>38.217008999999997</v>
      </c>
      <c r="N22" s="177">
        <v>31.713341</v>
      </c>
      <c r="O22" s="177">
        <v>110.60061399999999</v>
      </c>
      <c r="P22" s="177">
        <v>23.840702</v>
      </c>
      <c r="Q22" s="177">
        <f t="shared" si="2"/>
        <v>1.0692292559147267</v>
      </c>
      <c r="R22" s="177">
        <f t="shared" si="3"/>
        <v>1.3302184222595459</v>
      </c>
      <c r="S22" s="177">
        <f t="shared" si="4"/>
        <v>4.6391508941305499</v>
      </c>
    </row>
    <row r="23" spans="1:20" ht="18" thickBot="1" x14ac:dyDescent="0.25">
      <c r="A23" s="195" t="s">
        <v>3917</v>
      </c>
      <c r="B23" s="196">
        <v>1791489</v>
      </c>
      <c r="C23" s="196">
        <v>50888414</v>
      </c>
      <c r="D23" s="196">
        <v>28.405652504704186</v>
      </c>
      <c r="E23" s="196">
        <v>238342</v>
      </c>
      <c r="H23" s="179" t="s">
        <v>3917</v>
      </c>
      <c r="I23" s="180" t="str">
        <f t="shared" si="0"/>
        <v>1.791M</v>
      </c>
      <c r="J23" s="180" t="str">
        <f t="shared" si="0"/>
        <v>50.89M</v>
      </c>
      <c r="K23" s="180" t="str">
        <f t="shared" si="1"/>
        <v>238.3K</v>
      </c>
      <c r="L23" s="180">
        <v>3.0097049999999999</v>
      </c>
      <c r="M23" s="180">
        <v>3.3173910000000002</v>
      </c>
      <c r="N23" s="180">
        <v>1.1303939999999999</v>
      </c>
      <c r="O23" s="180">
        <v>4.5417589999999999</v>
      </c>
      <c r="P23" s="180">
        <v>1.3929849999999999</v>
      </c>
      <c r="Q23" s="180">
        <f t="shared" si="2"/>
        <v>2.6625274019501166</v>
      </c>
      <c r="R23" s="180">
        <f t="shared" si="3"/>
        <v>0.81149043241671659</v>
      </c>
      <c r="S23" s="180">
        <f t="shared" si="4"/>
        <v>3.2604507586226701</v>
      </c>
    </row>
    <row r="25" spans="1:20" x14ac:dyDescent="0.2">
      <c r="K25" t="s">
        <v>4025</v>
      </c>
    </row>
    <row r="26" spans="1:20" ht="27" customHeight="1" thickBot="1" x14ac:dyDescent="0.25"/>
    <row r="27" spans="1:20" ht="20" customHeight="1" x14ac:dyDescent="0.2">
      <c r="H27" s="183" t="s">
        <v>4010</v>
      </c>
      <c r="I27" s="181" t="s">
        <v>4023</v>
      </c>
      <c r="J27" s="181" t="s">
        <v>4011</v>
      </c>
      <c r="K27" s="181" t="s">
        <v>4013</v>
      </c>
      <c r="L27" s="181" t="s">
        <v>4014</v>
      </c>
      <c r="M27" s="181" t="s">
        <v>4012</v>
      </c>
      <c r="N27" s="181" t="s">
        <v>3933</v>
      </c>
      <c r="O27" s="181" t="s">
        <v>4027</v>
      </c>
      <c r="P27" s="181" t="s">
        <v>4028</v>
      </c>
      <c r="Q27" s="181" t="s">
        <v>4015</v>
      </c>
      <c r="R27" s="181" t="s">
        <v>4003</v>
      </c>
      <c r="S27" s="181" t="s">
        <v>4004</v>
      </c>
      <c r="T27" s="181" t="s">
        <v>4005</v>
      </c>
    </row>
    <row r="28" spans="1:20" ht="17" x14ac:dyDescent="0.2">
      <c r="H28" s="207" t="s">
        <v>1391</v>
      </c>
      <c r="I28" s="201" t="s">
        <v>4018</v>
      </c>
      <c r="J28" s="201">
        <v>0.95930300000000002</v>
      </c>
      <c r="K28" s="201">
        <v>0.71632700000000005</v>
      </c>
      <c r="L28" s="201">
        <v>0.81052778007940951</v>
      </c>
      <c r="M28" s="201">
        <v>22.697265999999999</v>
      </c>
      <c r="N28" s="201">
        <v>1.06</v>
      </c>
      <c r="O28" s="201">
        <f>J28/K28</f>
        <v>1.3391970426913964</v>
      </c>
      <c r="P28" s="201">
        <f>K28/N28</f>
        <v>0.67578018867924528</v>
      </c>
      <c r="Q28" s="201">
        <f>IFERROR(M28/N28, "—")</f>
        <v>21.412515094339621</v>
      </c>
      <c r="R28" s="201">
        <v>125.99302299999999</v>
      </c>
      <c r="S28" s="201">
        <v>11.062585</v>
      </c>
      <c r="T28" s="201" t="s">
        <v>3904</v>
      </c>
    </row>
    <row r="29" spans="1:20" ht="17" x14ac:dyDescent="0.2">
      <c r="H29" s="208"/>
      <c r="I29" s="177" t="s">
        <v>4019</v>
      </c>
      <c r="J29" s="177">
        <v>3.9744980000000001</v>
      </c>
      <c r="K29" s="177">
        <v>3.6418330000000001</v>
      </c>
      <c r="L29" s="177">
        <v>3.7088738261185603</v>
      </c>
      <c r="M29" s="177" t="s">
        <v>3902</v>
      </c>
      <c r="N29" s="177">
        <v>4.4833990000000004</v>
      </c>
      <c r="O29" s="177">
        <f t="shared" ref="O29:O47" si="5">J29/K29</f>
        <v>1.0913454845403401</v>
      </c>
      <c r="P29" s="177">
        <f t="shared" ref="P29:P47" si="6">K29/N29</f>
        <v>0.81229286084062557</v>
      </c>
      <c r="Q29" s="177" t="str">
        <f>IFERROR(M29/N29, "—")</f>
        <v>—</v>
      </c>
      <c r="R29" s="177" t="s">
        <v>3902</v>
      </c>
      <c r="S29" s="177">
        <v>52.561739000000003</v>
      </c>
      <c r="T29" s="177" t="s">
        <v>3904</v>
      </c>
    </row>
    <row r="30" spans="1:20" ht="17" x14ac:dyDescent="0.2">
      <c r="H30" s="208"/>
      <c r="I30" s="177" t="s">
        <v>4020</v>
      </c>
      <c r="J30" s="177">
        <v>10.215752</v>
      </c>
      <c r="K30" s="177">
        <v>9.6017799999999998</v>
      </c>
      <c r="L30" s="177">
        <v>10.614105</v>
      </c>
      <c r="M30" s="177" t="s">
        <v>3902</v>
      </c>
      <c r="N30" s="177">
        <v>10.400954</v>
      </c>
      <c r="O30" s="177">
        <f t="shared" si="5"/>
        <v>1.0639435604648306</v>
      </c>
      <c r="P30" s="177">
        <f t="shared" si="6"/>
        <v>0.92316339443477968</v>
      </c>
      <c r="Q30" s="177" t="str">
        <f t="shared" ref="Q30:Q47" si="7">IFERROR(M30/N30, "—")</f>
        <v>—</v>
      </c>
      <c r="R30" s="177" t="s">
        <v>3902</v>
      </c>
      <c r="S30" s="177" t="s">
        <v>3904</v>
      </c>
      <c r="T30" s="177" t="s">
        <v>3904</v>
      </c>
    </row>
    <row r="31" spans="1:20" ht="17" x14ac:dyDescent="0.2">
      <c r="H31" s="208"/>
      <c r="I31" s="177" t="s">
        <v>4021</v>
      </c>
      <c r="J31" s="177">
        <v>27.740880000000001</v>
      </c>
      <c r="K31" s="177">
        <v>17.493758</v>
      </c>
      <c r="L31" s="177">
        <v>22.04</v>
      </c>
      <c r="M31" s="177" t="s">
        <v>3902</v>
      </c>
      <c r="N31" s="177">
        <v>18.383203999999999</v>
      </c>
      <c r="O31" s="177">
        <f t="shared" si="5"/>
        <v>1.5857587603532644</v>
      </c>
      <c r="P31" s="177">
        <f t="shared" si="6"/>
        <v>0.95161637764559437</v>
      </c>
      <c r="Q31" s="177" t="str">
        <f t="shared" si="7"/>
        <v>—</v>
      </c>
      <c r="R31" s="177" t="s">
        <v>3902</v>
      </c>
      <c r="S31" s="177" t="s">
        <v>3904</v>
      </c>
      <c r="T31" s="177" t="s">
        <v>3904</v>
      </c>
    </row>
    <row r="32" spans="1:20" ht="17" x14ac:dyDescent="0.2">
      <c r="H32" s="209"/>
      <c r="I32" s="191" t="s">
        <v>4022</v>
      </c>
      <c r="J32" s="191">
        <v>0.67594900000000002</v>
      </c>
      <c r="K32" s="191">
        <v>0.43043199999999998</v>
      </c>
      <c r="L32" s="191">
        <v>0.48676392664557155</v>
      </c>
      <c r="M32" s="191">
        <v>513.04049199999997</v>
      </c>
      <c r="N32" s="191">
        <v>0.43828400000000001</v>
      </c>
      <c r="O32" s="191">
        <f t="shared" si="5"/>
        <v>1.5703967177161551</v>
      </c>
      <c r="P32" s="191">
        <f t="shared" si="6"/>
        <v>0.98208467568973534</v>
      </c>
      <c r="Q32" s="191">
        <f t="shared" si="7"/>
        <v>1170.5663268565586</v>
      </c>
      <c r="R32" s="191">
        <v>21.219656000000001</v>
      </c>
      <c r="S32" s="191" t="s">
        <v>3902</v>
      </c>
      <c r="T32" s="191" t="s">
        <v>3904</v>
      </c>
    </row>
    <row r="33" spans="8:20" ht="17" x14ac:dyDescent="0.2">
      <c r="H33" s="210" t="s">
        <v>6</v>
      </c>
      <c r="I33" s="202" t="s">
        <v>4018</v>
      </c>
      <c r="J33" s="202">
        <v>3.1360899999999998</v>
      </c>
      <c r="K33" s="202">
        <v>3.012359</v>
      </c>
      <c r="L33" s="202">
        <v>3.0907948064231339</v>
      </c>
      <c r="M33" s="202">
        <v>165.95991699999999</v>
      </c>
      <c r="N33" s="202">
        <v>3.58</v>
      </c>
      <c r="O33" s="202">
        <f t="shared" si="5"/>
        <v>1.0410744536092809</v>
      </c>
      <c r="P33" s="202">
        <f t="shared" si="6"/>
        <v>0.84144106145251396</v>
      </c>
      <c r="Q33" s="202">
        <f t="shared" si="7"/>
        <v>46.357518715083792</v>
      </c>
      <c r="R33" s="202">
        <v>106.15593699999999</v>
      </c>
      <c r="S33" s="202" t="s">
        <v>3904</v>
      </c>
      <c r="T33" s="202" t="s">
        <v>3904</v>
      </c>
    </row>
    <row r="34" spans="8:20" ht="17" x14ac:dyDescent="0.2">
      <c r="H34" s="208"/>
      <c r="I34" s="177" t="s">
        <v>4019</v>
      </c>
      <c r="J34" s="177">
        <v>60.292859999999997</v>
      </c>
      <c r="K34" s="177">
        <v>51.250411</v>
      </c>
      <c r="L34" s="177">
        <v>67.69</v>
      </c>
      <c r="M34" s="177" t="s">
        <v>3902</v>
      </c>
      <c r="N34" s="177">
        <v>51.49</v>
      </c>
      <c r="O34" s="177">
        <f t="shared" si="5"/>
        <v>1.1764366143327123</v>
      </c>
      <c r="P34" s="177">
        <f t="shared" si="6"/>
        <v>0.99534688288988149</v>
      </c>
      <c r="Q34" s="177" t="str">
        <f t="shared" si="7"/>
        <v>—</v>
      </c>
      <c r="R34" s="177" t="s">
        <v>3902</v>
      </c>
      <c r="S34" s="177" t="s">
        <v>3902</v>
      </c>
      <c r="T34" s="177" t="s">
        <v>3902</v>
      </c>
    </row>
    <row r="35" spans="8:20" ht="17" x14ac:dyDescent="0.2">
      <c r="H35" s="208"/>
      <c r="I35" s="177" t="s">
        <v>4020</v>
      </c>
      <c r="J35" s="177">
        <v>183.11649399999999</v>
      </c>
      <c r="K35" s="177">
        <v>166.99404799999999</v>
      </c>
      <c r="L35" s="177">
        <v>185.81</v>
      </c>
      <c r="M35" s="177" t="s">
        <v>3902</v>
      </c>
      <c r="N35" s="177">
        <v>169.26</v>
      </c>
      <c r="O35" s="177">
        <f t="shared" si="5"/>
        <v>1.0965450337487477</v>
      </c>
      <c r="P35" s="177">
        <f t="shared" si="6"/>
        <v>0.98661259600614437</v>
      </c>
      <c r="Q35" s="177" t="str">
        <f t="shared" si="7"/>
        <v>—</v>
      </c>
      <c r="R35" s="177" t="s">
        <v>3902</v>
      </c>
      <c r="S35" s="177" t="s">
        <v>3902</v>
      </c>
      <c r="T35" s="177" t="s">
        <v>3904</v>
      </c>
    </row>
    <row r="36" spans="8:20" ht="17" x14ac:dyDescent="0.2">
      <c r="H36" s="208"/>
      <c r="I36" s="177" t="s">
        <v>4021</v>
      </c>
      <c r="J36" s="177">
        <v>199.14040499999999</v>
      </c>
      <c r="K36" s="177">
        <v>171.486345</v>
      </c>
      <c r="L36" s="177">
        <v>219.42</v>
      </c>
      <c r="M36" s="177" t="s">
        <v>3902</v>
      </c>
      <c r="N36" s="177">
        <v>171.52</v>
      </c>
      <c r="O36" s="177">
        <f t="shared" si="5"/>
        <v>1.1612610030262176</v>
      </c>
      <c r="P36" s="177">
        <f t="shared" si="6"/>
        <v>0.99980378381529844</v>
      </c>
      <c r="Q36" s="177" t="str">
        <f t="shared" si="7"/>
        <v>—</v>
      </c>
      <c r="R36" s="177" t="s">
        <v>3902</v>
      </c>
      <c r="S36" s="177" t="s">
        <v>3902</v>
      </c>
      <c r="T36" s="177" t="s">
        <v>3904</v>
      </c>
    </row>
    <row r="37" spans="8:20" ht="17" x14ac:dyDescent="0.2">
      <c r="H37" s="209"/>
      <c r="I37" s="191" t="s">
        <v>4022</v>
      </c>
      <c r="J37" s="191">
        <v>26.360195999999998</v>
      </c>
      <c r="K37" s="191">
        <v>19.142225</v>
      </c>
      <c r="L37" s="191">
        <v>23.32</v>
      </c>
      <c r="M37" s="191" t="s">
        <v>3902</v>
      </c>
      <c r="N37" s="191">
        <v>19.720583999999999</v>
      </c>
      <c r="O37" s="191">
        <f t="shared" si="5"/>
        <v>1.3770706383401092</v>
      </c>
      <c r="P37" s="191">
        <f t="shared" si="6"/>
        <v>0.97067231883193728</v>
      </c>
      <c r="Q37" s="191" t="str">
        <f t="shared" si="7"/>
        <v>—</v>
      </c>
      <c r="R37" s="191" t="s">
        <v>3902</v>
      </c>
      <c r="S37" s="191" t="s">
        <v>3902</v>
      </c>
      <c r="T37" s="191" t="s">
        <v>3902</v>
      </c>
    </row>
    <row r="38" spans="8:20" ht="17" x14ac:dyDescent="0.2">
      <c r="H38" s="210" t="s">
        <v>1404</v>
      </c>
      <c r="I38" s="202" t="s">
        <v>4018</v>
      </c>
      <c r="J38" s="202">
        <v>7.6090609999999996</v>
      </c>
      <c r="K38" s="202">
        <v>7.4755450000000003</v>
      </c>
      <c r="L38" s="202">
        <v>7.4755450000000003</v>
      </c>
      <c r="M38" s="202" t="s">
        <v>3902</v>
      </c>
      <c r="N38" s="202">
        <v>8.2200000000000006</v>
      </c>
      <c r="O38" s="202">
        <f t="shared" si="5"/>
        <v>1.0178603700465985</v>
      </c>
      <c r="P38" s="202">
        <f t="shared" si="6"/>
        <v>0.90943369829683696</v>
      </c>
      <c r="Q38" s="202" t="str">
        <f t="shared" si="7"/>
        <v>—</v>
      </c>
      <c r="R38" s="202">
        <v>462.53934400000003</v>
      </c>
      <c r="S38" s="202">
        <v>193.026005</v>
      </c>
      <c r="T38" s="202" t="s">
        <v>3904</v>
      </c>
    </row>
    <row r="39" spans="8:20" ht="17" x14ac:dyDescent="0.2">
      <c r="H39" s="208"/>
      <c r="I39" s="177" t="s">
        <v>4019</v>
      </c>
      <c r="J39" s="177">
        <v>132.91568799999999</v>
      </c>
      <c r="K39" s="177">
        <v>129.41498000000001</v>
      </c>
      <c r="L39" s="177">
        <v>128.891346</v>
      </c>
      <c r="M39" s="177" t="s">
        <v>3902</v>
      </c>
      <c r="N39" s="177">
        <v>128.85</v>
      </c>
      <c r="O39" s="177">
        <f t="shared" si="5"/>
        <v>1.0270502533787045</v>
      </c>
      <c r="P39" s="177">
        <f t="shared" si="6"/>
        <v>1.0043847885137758</v>
      </c>
      <c r="Q39" s="177" t="str">
        <f t="shared" si="7"/>
        <v>—</v>
      </c>
      <c r="R39" s="177" t="s">
        <v>3902</v>
      </c>
      <c r="S39" s="177" t="s">
        <v>3904</v>
      </c>
      <c r="T39" s="177" t="s">
        <v>3904</v>
      </c>
    </row>
    <row r="40" spans="8:20" ht="17" x14ac:dyDescent="0.2">
      <c r="H40" s="208"/>
      <c r="I40" s="177" t="s">
        <v>4020</v>
      </c>
      <c r="J40" s="177">
        <v>477.68529999999998</v>
      </c>
      <c r="K40" s="177">
        <v>468.679102</v>
      </c>
      <c r="L40" s="177">
        <v>474.36</v>
      </c>
      <c r="M40" s="177" t="s">
        <v>3902</v>
      </c>
      <c r="N40" s="177">
        <v>470.28</v>
      </c>
      <c r="O40" s="177">
        <f t="shared" si="5"/>
        <v>1.0192161288215491</v>
      </c>
      <c r="P40" s="177">
        <f t="shared" si="6"/>
        <v>0.99659586203963602</v>
      </c>
      <c r="Q40" s="177" t="str">
        <f t="shared" si="7"/>
        <v>—</v>
      </c>
      <c r="R40" s="177" t="s">
        <v>3902</v>
      </c>
      <c r="S40" s="177" t="s">
        <v>3904</v>
      </c>
      <c r="T40" s="177" t="s">
        <v>3904</v>
      </c>
    </row>
    <row r="41" spans="8:20" ht="17" x14ac:dyDescent="0.2">
      <c r="H41" s="208"/>
      <c r="I41" s="177" t="s">
        <v>4021</v>
      </c>
      <c r="J41" s="177">
        <v>529.66008199999999</v>
      </c>
      <c r="K41" s="177">
        <v>455.02047299999998</v>
      </c>
      <c r="L41" s="177">
        <v>459.38</v>
      </c>
      <c r="M41" s="177" t="s">
        <v>3902</v>
      </c>
      <c r="N41" s="177">
        <v>443.45</v>
      </c>
      <c r="O41" s="177">
        <f t="shared" si="5"/>
        <v>1.1640357158171211</v>
      </c>
      <c r="P41" s="177">
        <f t="shared" si="6"/>
        <v>1.0260919449768857</v>
      </c>
      <c r="Q41" s="177" t="str">
        <f t="shared" si="7"/>
        <v>—</v>
      </c>
      <c r="R41" s="177" t="s">
        <v>3902</v>
      </c>
      <c r="S41" s="177" t="s">
        <v>3904</v>
      </c>
      <c r="T41" s="177" t="s">
        <v>3904</v>
      </c>
    </row>
    <row r="42" spans="8:20" ht="17" x14ac:dyDescent="0.2">
      <c r="H42" s="209"/>
      <c r="I42" s="191" t="s">
        <v>4022</v>
      </c>
      <c r="J42" s="191">
        <v>6.6379760000000001</v>
      </c>
      <c r="K42" s="191">
        <v>6.3858839999999999</v>
      </c>
      <c r="L42" s="191">
        <v>6.3858839999999999</v>
      </c>
      <c r="M42" s="191" t="s">
        <v>3902</v>
      </c>
      <c r="N42" s="191">
        <v>7.13</v>
      </c>
      <c r="O42" s="191">
        <f t="shared" si="5"/>
        <v>1.0394764452345204</v>
      </c>
      <c r="P42" s="191">
        <f t="shared" si="6"/>
        <v>0.89563590462833098</v>
      </c>
      <c r="Q42" s="191" t="str">
        <f t="shared" si="7"/>
        <v>—</v>
      </c>
      <c r="R42" s="191">
        <v>131.83148399999999</v>
      </c>
      <c r="S42" s="191" t="s">
        <v>3904</v>
      </c>
      <c r="T42" s="191" t="s">
        <v>3904</v>
      </c>
    </row>
    <row r="43" spans="8:20" ht="17" x14ac:dyDescent="0.2">
      <c r="H43" s="208" t="s">
        <v>3917</v>
      </c>
      <c r="I43" s="177" t="s">
        <v>4018</v>
      </c>
      <c r="J43" s="177">
        <v>0.74348800000000004</v>
      </c>
      <c r="K43" s="177">
        <v>0.66657699999999998</v>
      </c>
      <c r="L43" s="177">
        <v>0.70355108204510386</v>
      </c>
      <c r="M43" s="177">
        <v>1016.850639</v>
      </c>
      <c r="N43" s="177">
        <v>1.06</v>
      </c>
      <c r="O43" s="177">
        <f t="shared" si="5"/>
        <v>1.1153820188815398</v>
      </c>
      <c r="P43" s="177">
        <f t="shared" si="6"/>
        <v>0.62884622641509424</v>
      </c>
      <c r="Q43" s="177">
        <f t="shared" si="7"/>
        <v>959.29305566037726</v>
      </c>
      <c r="R43" s="177">
        <v>29.697301</v>
      </c>
      <c r="S43" s="177" t="s">
        <v>3904</v>
      </c>
      <c r="T43" s="177" t="s">
        <v>3904</v>
      </c>
    </row>
    <row r="44" spans="8:20" ht="17" x14ac:dyDescent="0.2">
      <c r="H44" s="208"/>
      <c r="I44" s="177" t="s">
        <v>4019</v>
      </c>
      <c r="J44" s="177">
        <v>5.2184530000000002</v>
      </c>
      <c r="K44" s="177">
        <v>5.0369149999999996</v>
      </c>
      <c r="L44" s="177">
        <v>5.0765194544549637</v>
      </c>
      <c r="M44" s="177" t="s">
        <v>3902</v>
      </c>
      <c r="N44" s="177">
        <v>5.63</v>
      </c>
      <c r="O44" s="177">
        <f t="shared" si="5"/>
        <v>1.0360415055644181</v>
      </c>
      <c r="P44" s="177">
        <f t="shared" si="6"/>
        <v>0.89465630550621666</v>
      </c>
      <c r="Q44" s="177" t="str">
        <f t="shared" si="7"/>
        <v>—</v>
      </c>
      <c r="R44" s="177" t="s">
        <v>3902</v>
      </c>
      <c r="S44" s="177" t="s">
        <v>3904</v>
      </c>
      <c r="T44" s="177" t="s">
        <v>3904</v>
      </c>
    </row>
    <row r="45" spans="8:20" ht="17" x14ac:dyDescent="0.2">
      <c r="H45" s="208"/>
      <c r="I45" s="177" t="s">
        <v>4020</v>
      </c>
      <c r="J45" s="177">
        <v>14.052868</v>
      </c>
      <c r="K45" s="177">
        <v>15.422058</v>
      </c>
      <c r="L45" s="177">
        <v>13.420144000000001</v>
      </c>
      <c r="M45" s="177" t="s">
        <v>3902</v>
      </c>
      <c r="N45" s="177">
        <v>14.28</v>
      </c>
      <c r="O45" s="177">
        <f t="shared" si="5"/>
        <v>0.911218723208018</v>
      </c>
      <c r="P45" s="177">
        <f t="shared" si="6"/>
        <v>1.0799760504201681</v>
      </c>
      <c r="Q45" s="177" t="str">
        <f t="shared" si="7"/>
        <v>—</v>
      </c>
      <c r="R45" s="177" t="s">
        <v>3902</v>
      </c>
      <c r="S45" s="177" t="s">
        <v>3904</v>
      </c>
      <c r="T45" s="177" t="s">
        <v>3904</v>
      </c>
    </row>
    <row r="46" spans="8:20" ht="17" x14ac:dyDescent="0.2">
      <c r="H46" s="208"/>
      <c r="I46" s="177" t="s">
        <v>4021</v>
      </c>
      <c r="J46" s="177">
        <v>27.579222000000001</v>
      </c>
      <c r="K46" s="177">
        <v>15.958356</v>
      </c>
      <c r="L46" s="177">
        <v>22.5</v>
      </c>
      <c r="M46" s="177" t="s">
        <v>3902</v>
      </c>
      <c r="N46" s="177">
        <v>16.989999999999998</v>
      </c>
      <c r="O46" s="177">
        <f t="shared" si="5"/>
        <v>1.7281994461083585</v>
      </c>
      <c r="P46" s="177">
        <f t="shared" si="6"/>
        <v>0.93927934078869935</v>
      </c>
      <c r="Q46" s="177" t="str">
        <f t="shared" si="7"/>
        <v>—</v>
      </c>
      <c r="R46" s="177" t="s">
        <v>3902</v>
      </c>
      <c r="S46" s="177" t="s">
        <v>3904</v>
      </c>
      <c r="T46" s="177" t="s">
        <v>3904</v>
      </c>
    </row>
    <row r="47" spans="8:20" ht="18" thickBot="1" x14ac:dyDescent="0.25">
      <c r="H47" s="211"/>
      <c r="I47" s="180" t="s">
        <v>4022</v>
      </c>
      <c r="J47" s="180">
        <v>1.1241399999999999</v>
      </c>
      <c r="K47" s="180">
        <v>1.108528</v>
      </c>
      <c r="L47" s="180">
        <v>1.1439698692124307</v>
      </c>
      <c r="M47" s="180">
        <v>36.354160999999998</v>
      </c>
      <c r="N47" s="180">
        <v>1.74</v>
      </c>
      <c r="O47" s="180">
        <f t="shared" si="5"/>
        <v>1.0140835414170863</v>
      </c>
      <c r="P47" s="180">
        <f t="shared" si="6"/>
        <v>0.63708505747126432</v>
      </c>
      <c r="Q47" s="180">
        <f t="shared" si="7"/>
        <v>20.893195977011494</v>
      </c>
      <c r="R47" s="180">
        <v>48.400663999999999</v>
      </c>
      <c r="S47" s="180" t="s">
        <v>3904</v>
      </c>
      <c r="T47" s="180" t="s">
        <v>3904</v>
      </c>
    </row>
    <row r="49" spans="1:38" x14ac:dyDescent="0.2">
      <c r="K49" t="s">
        <v>4029</v>
      </c>
    </row>
    <row r="50" spans="1:38" ht="17" thickBot="1" x14ac:dyDescent="0.25"/>
    <row r="51" spans="1:38" ht="19" x14ac:dyDescent="0.2">
      <c r="A51" s="197" t="s">
        <v>3941</v>
      </c>
      <c r="B51" s="197" t="s">
        <v>3962</v>
      </c>
      <c r="C51" s="197" t="s">
        <v>3963</v>
      </c>
      <c r="D51" s="197" t="s">
        <v>15</v>
      </c>
      <c r="E51" s="197" t="s">
        <v>3947</v>
      </c>
      <c r="F51" s="197" t="s">
        <v>3948</v>
      </c>
      <c r="H51" s="181" t="s">
        <v>4010</v>
      </c>
      <c r="I51" s="183" t="s">
        <v>3962</v>
      </c>
      <c r="J51" s="183" t="s">
        <v>3963</v>
      </c>
      <c r="K51" s="183" t="s">
        <v>4026</v>
      </c>
      <c r="L51" s="182" t="s">
        <v>3947</v>
      </c>
      <c r="M51" s="182" t="s">
        <v>3948</v>
      </c>
      <c r="N51" s="181" t="s">
        <v>4011</v>
      </c>
      <c r="O51" s="181" t="s">
        <v>4013</v>
      </c>
      <c r="P51" s="181" t="s">
        <v>4014</v>
      </c>
      <c r="Q51" s="181" t="s">
        <v>4012</v>
      </c>
      <c r="R51" s="181" t="s">
        <v>3933</v>
      </c>
      <c r="S51" s="181" t="s">
        <v>4027</v>
      </c>
      <c r="T51" s="181" t="s">
        <v>4028</v>
      </c>
      <c r="U51" s="181" t="s">
        <v>4015</v>
      </c>
      <c r="V51" s="181" t="s">
        <v>4006</v>
      </c>
      <c r="W51" s="181" t="s">
        <v>3940</v>
      </c>
      <c r="Y51" s="181"/>
      <c r="Z51" s="183"/>
      <c r="AA51" s="183"/>
      <c r="AB51" s="183"/>
      <c r="AC51" s="182"/>
      <c r="AD51" s="182"/>
      <c r="AE51" s="181"/>
      <c r="AF51" s="181"/>
      <c r="AG51" s="181"/>
      <c r="AH51" s="181"/>
      <c r="AI51" s="181"/>
      <c r="AJ51" s="181"/>
      <c r="AK51" s="181"/>
      <c r="AL51" s="181"/>
    </row>
    <row r="52" spans="1:38" ht="17" x14ac:dyDescent="0.2">
      <c r="A52" s="193" t="s">
        <v>3919</v>
      </c>
      <c r="B52" s="198">
        <v>2937612</v>
      </c>
      <c r="C52" s="198">
        <v>41919708</v>
      </c>
      <c r="D52" s="193">
        <v>4356</v>
      </c>
      <c r="E52" s="193">
        <v>20</v>
      </c>
      <c r="F52" s="193">
        <v>0.95</v>
      </c>
      <c r="H52" s="184" t="str">
        <f>Table2[[#This Row],[Dataset]]</f>
        <v>socfb-B-anon</v>
      </c>
      <c r="I52" s="177" t="str">
        <f>TEXT(B52/1000000,IF(B52&gt;=100000000,"0.0",IF(B52&gt;=10000000,"0.00","0.000")))&amp;"M"</f>
        <v>2.938M</v>
      </c>
      <c r="J52" s="177" t="str">
        <f>TEXT(C52/1000000,IF(C52&gt;=100000000,"0.0",IF(C52&gt;=10000000,"0.00","0.000")))&amp;"M"</f>
        <v>41.92M</v>
      </c>
      <c r="K52" s="188">
        <v>4356</v>
      </c>
      <c r="L52" s="178">
        <f>Table2[[#This Row],[min_size]]</f>
        <v>20</v>
      </c>
      <c r="M52" s="176">
        <f>Table2[[#This Row],[gamma]]</f>
        <v>0.95</v>
      </c>
      <c r="N52" s="200" t="s">
        <v>3902</v>
      </c>
      <c r="O52" s="200">
        <v>801.23</v>
      </c>
      <c r="P52" s="200">
        <v>802.3</v>
      </c>
      <c r="Q52" s="177">
        <v>1708.14</v>
      </c>
      <c r="R52" s="177">
        <v>606.88300000000004</v>
      </c>
      <c r="S52" s="177" t="str">
        <f>IFERROR(N52/O52, "-")</f>
        <v>-</v>
      </c>
      <c r="T52" s="177">
        <f>O52/R52</f>
        <v>1.3202380030417724</v>
      </c>
      <c r="U52" s="177">
        <f>IFERROR(Q52/R52, "-")</f>
        <v>2.814611712636538</v>
      </c>
      <c r="V52" s="177" t="s">
        <v>3902</v>
      </c>
      <c r="W52" s="177">
        <v>1625.56</v>
      </c>
      <c r="Y52" s="184"/>
      <c r="Z52" s="177"/>
      <c r="AA52" s="177"/>
      <c r="AB52" s="188"/>
      <c r="AC52" s="178"/>
      <c r="AD52" s="176"/>
      <c r="AE52" s="177"/>
      <c r="AF52" s="177"/>
      <c r="AG52" s="177"/>
      <c r="AH52" s="177"/>
      <c r="AI52" s="177"/>
      <c r="AJ52" s="177"/>
      <c r="AK52" s="177"/>
      <c r="AL52" s="177"/>
    </row>
    <row r="53" spans="1:38" ht="17" x14ac:dyDescent="0.2">
      <c r="A53" s="193" t="s">
        <v>1531</v>
      </c>
      <c r="B53" s="198">
        <v>2523386</v>
      </c>
      <c r="C53" s="198">
        <v>15837602</v>
      </c>
      <c r="D53" s="193">
        <v>1474</v>
      </c>
      <c r="E53" s="193">
        <v>30</v>
      </c>
      <c r="F53" s="193">
        <v>0.95</v>
      </c>
      <c r="H53" s="184" t="str">
        <f>Table2[[#This Row],[Dataset]]</f>
        <v>Flixster</v>
      </c>
      <c r="I53" s="177" t="str">
        <f t="shared" ref="I53:I55" si="8">TEXT(B53/1000000,IF(B53&gt;=100000000,"0.0",IF(B53&gt;=10000000,"0.00","0.000")))&amp;"M"</f>
        <v>2.523M</v>
      </c>
      <c r="J53" s="177" t="str">
        <f t="shared" ref="J53:J59" si="9">TEXT(C53/1000000,IF(C53&gt;=100000000,"0.0",IF(C53&gt;=10000000,"0.00","0.000")))&amp;"M"</f>
        <v>15.84M</v>
      </c>
      <c r="K53" s="188">
        <v>1474</v>
      </c>
      <c r="L53" s="178">
        <f>Table2[[#This Row],[min_size]]</f>
        <v>30</v>
      </c>
      <c r="M53" s="176">
        <f>Table2[[#This Row],[gamma]]</f>
        <v>0.95</v>
      </c>
      <c r="N53" s="177">
        <v>115.79025300000001</v>
      </c>
      <c r="O53" s="177">
        <v>116.97499999999999</v>
      </c>
      <c r="P53" s="177">
        <v>117.34</v>
      </c>
      <c r="Q53" s="177" t="s">
        <v>3902</v>
      </c>
      <c r="R53" s="177">
        <v>25.606200000000001</v>
      </c>
      <c r="S53" s="177">
        <f t="shared" ref="S53:S62" si="10">IFERROR(N53/O53, "-")</f>
        <v>0.98987179311818774</v>
      </c>
      <c r="T53" s="177">
        <f t="shared" ref="T53:T62" si="11">O53/R53</f>
        <v>4.5682295694011605</v>
      </c>
      <c r="U53" s="177" t="str">
        <f t="shared" ref="U53:U62" si="12">IFERROR(Q53/R53, "-")</f>
        <v>-</v>
      </c>
      <c r="V53" s="177" t="s">
        <v>3902</v>
      </c>
      <c r="W53" s="177">
        <v>747.94</v>
      </c>
      <c r="Y53" s="184"/>
      <c r="Z53" s="177"/>
      <c r="AA53" s="177"/>
      <c r="AB53" s="188"/>
      <c r="AC53" s="178"/>
      <c r="AD53" s="176"/>
      <c r="AE53" s="177"/>
      <c r="AF53" s="177"/>
      <c r="AG53" s="177"/>
      <c r="AH53" s="177"/>
      <c r="AI53" s="177"/>
      <c r="AJ53" s="177"/>
      <c r="AK53" s="177"/>
      <c r="AL53" s="177"/>
    </row>
    <row r="54" spans="1:38" ht="17" x14ac:dyDescent="0.2">
      <c r="A54" s="193" t="s">
        <v>3920</v>
      </c>
      <c r="B54" s="198">
        <v>1632803</v>
      </c>
      <c r="C54" s="198">
        <v>44603928</v>
      </c>
      <c r="D54" s="193">
        <v>14854</v>
      </c>
      <c r="E54" s="193">
        <v>20</v>
      </c>
      <c r="F54" s="193">
        <v>0.9</v>
      </c>
      <c r="H54" s="184" t="str">
        <f>Table2[[#This Row],[Dataset]]</f>
        <v>soc-pokec</v>
      </c>
      <c r="I54" s="177" t="str">
        <f t="shared" si="8"/>
        <v>1.633M</v>
      </c>
      <c r="J54" s="177" t="str">
        <f t="shared" si="9"/>
        <v>44.60M</v>
      </c>
      <c r="K54" s="190">
        <v>14854</v>
      </c>
      <c r="L54" s="178">
        <f>Table2[[#This Row],[min_size]]</f>
        <v>20</v>
      </c>
      <c r="M54" s="176">
        <f>Table2[[#This Row],[gamma]]</f>
        <v>0.9</v>
      </c>
      <c r="N54" s="200">
        <v>546.25209800000005</v>
      </c>
      <c r="O54" s="200">
        <v>239.16300000000001</v>
      </c>
      <c r="P54" s="200">
        <v>240.10900000000001</v>
      </c>
      <c r="Q54" s="177">
        <v>362.80500000000001</v>
      </c>
      <c r="R54" s="177">
        <v>209.047</v>
      </c>
      <c r="S54" s="177">
        <f t="shared" si="10"/>
        <v>2.2840159138328255</v>
      </c>
      <c r="T54" s="177">
        <f t="shared" si="11"/>
        <v>1.1440632967705828</v>
      </c>
      <c r="U54" s="177">
        <f t="shared" si="12"/>
        <v>1.7355188067755098</v>
      </c>
      <c r="V54" s="177" t="s">
        <v>3902</v>
      </c>
      <c r="W54" s="177">
        <v>1260.92</v>
      </c>
      <c r="Y54" s="184"/>
      <c r="Z54" s="177"/>
      <c r="AA54" s="177"/>
      <c r="AB54" s="190"/>
      <c r="AC54" s="178"/>
      <c r="AD54" s="176"/>
      <c r="AE54" s="177"/>
      <c r="AF54" s="177"/>
      <c r="AG54" s="177"/>
      <c r="AH54" s="177"/>
      <c r="AI54" s="177"/>
      <c r="AJ54" s="177"/>
      <c r="AK54" s="177"/>
      <c r="AL54" s="177"/>
    </row>
    <row r="55" spans="1:38" ht="17" x14ac:dyDescent="0.2">
      <c r="A55" s="193" t="s">
        <v>1528</v>
      </c>
      <c r="B55" s="198">
        <v>1402673</v>
      </c>
      <c r="C55" s="198">
        <v>5554838</v>
      </c>
      <c r="D55" s="193">
        <v>31883</v>
      </c>
      <c r="E55" s="193">
        <v>20</v>
      </c>
      <c r="F55" s="193">
        <v>0.8</v>
      </c>
      <c r="H55" s="184" t="str">
        <f>Table2[[#This Row],[Dataset]]</f>
        <v>Hyves</v>
      </c>
      <c r="I55" s="177" t="str">
        <f t="shared" si="8"/>
        <v>1.403M</v>
      </c>
      <c r="J55" s="177" t="str">
        <f t="shared" si="9"/>
        <v>5.555M</v>
      </c>
      <c r="K55" s="190">
        <v>31883</v>
      </c>
      <c r="L55" s="178">
        <f>Table2[[#This Row],[min_size]]</f>
        <v>20</v>
      </c>
      <c r="M55" s="176">
        <f>Table2[[#This Row],[gamma]]</f>
        <v>0.8</v>
      </c>
      <c r="N55" s="177">
        <v>35.177663000000003</v>
      </c>
      <c r="O55" s="177">
        <v>39.1892</v>
      </c>
      <c r="P55" s="177">
        <v>38.831299999999999</v>
      </c>
      <c r="Q55" s="177">
        <v>1264.97</v>
      </c>
      <c r="R55" s="177">
        <v>26.52</v>
      </c>
      <c r="S55" s="177">
        <f t="shared" si="10"/>
        <v>0.89763667030712546</v>
      </c>
      <c r="T55" s="177">
        <f t="shared" si="11"/>
        <v>1.4777224736048264</v>
      </c>
      <c r="U55" s="177">
        <f t="shared" si="12"/>
        <v>47.698717948717949</v>
      </c>
      <c r="V55" s="177" t="s">
        <v>3902</v>
      </c>
      <c r="W55" s="177" t="s">
        <v>3902</v>
      </c>
      <c r="Y55" s="184"/>
      <c r="Z55" s="177"/>
      <c r="AA55" s="177"/>
      <c r="AB55" s="190"/>
      <c r="AC55" s="178"/>
      <c r="AD55" s="176"/>
      <c r="AE55" s="177"/>
      <c r="AF55" s="177"/>
      <c r="AG55" s="177"/>
      <c r="AH55" s="177"/>
      <c r="AI55" s="177"/>
      <c r="AJ55" s="177"/>
      <c r="AK55" s="177"/>
      <c r="AL55" s="177"/>
    </row>
    <row r="56" spans="1:38" ht="17" x14ac:dyDescent="0.2">
      <c r="A56" s="199" t="s">
        <v>1509</v>
      </c>
      <c r="B56" s="199">
        <v>154908</v>
      </c>
      <c r="C56" s="199">
        <v>654324</v>
      </c>
      <c r="D56" s="193">
        <v>287</v>
      </c>
      <c r="E56" s="193">
        <v>8</v>
      </c>
      <c r="F56" s="193">
        <v>0.5</v>
      </c>
      <c r="H56" s="184" t="str">
        <f>Table2[[#This Row],[Dataset]]</f>
        <v>Douban</v>
      </c>
      <c r="I56" s="177" t="str">
        <f>TEXT(B56/1000,IF(B56&gt;=100000,"0.0",IF(B56&gt;=10000,"0.00","0.000")))&amp;"K"</f>
        <v>154.9K</v>
      </c>
      <c r="J56" s="177" t="str">
        <f>TEXT(C56/1000,IF(C56&gt;=100000,"0.0",IF(C56&gt;=10000,"0.00","0.000")))&amp;"K"</f>
        <v>654.3K</v>
      </c>
      <c r="K56" s="188">
        <v>287</v>
      </c>
      <c r="L56" s="178">
        <f>Table2[[#This Row],[min_size]]</f>
        <v>8</v>
      </c>
      <c r="M56" s="176">
        <f>Table2[[#This Row],[gamma]]</f>
        <v>0.5</v>
      </c>
      <c r="N56" s="177">
        <v>26.232298</v>
      </c>
      <c r="O56" s="177">
        <v>26.390599999999999</v>
      </c>
      <c r="P56" s="177">
        <v>26.596</v>
      </c>
      <c r="Q56" s="177">
        <v>73.567599999999999</v>
      </c>
      <c r="R56" s="177">
        <v>6.8</v>
      </c>
      <c r="S56" s="177">
        <f t="shared" si="10"/>
        <v>0.99400157631884078</v>
      </c>
      <c r="T56" s="177">
        <f t="shared" si="11"/>
        <v>3.8809705882352943</v>
      </c>
      <c r="U56" s="177">
        <f t="shared" si="12"/>
        <v>10.818764705882353</v>
      </c>
      <c r="V56" s="177">
        <v>1095.1199999999999</v>
      </c>
      <c r="W56" s="177" t="s">
        <v>3902</v>
      </c>
      <c r="Y56" s="184"/>
      <c r="Z56" s="177"/>
      <c r="AA56" s="177"/>
      <c r="AB56" s="188"/>
      <c r="AC56" s="178"/>
      <c r="AD56" s="176"/>
      <c r="AE56" s="177"/>
      <c r="AF56" s="177"/>
      <c r="AG56" s="177"/>
      <c r="AH56" s="177"/>
      <c r="AI56" s="177"/>
      <c r="AJ56" s="177"/>
      <c r="AK56" s="177"/>
      <c r="AL56" s="177"/>
    </row>
    <row r="57" spans="1:38" ht="17" x14ac:dyDescent="0.2">
      <c r="A57" s="193" t="s">
        <v>1514</v>
      </c>
      <c r="B57" s="198">
        <v>146005</v>
      </c>
      <c r="C57" s="198">
        <v>1313998</v>
      </c>
      <c r="D57" s="193">
        <v>1008</v>
      </c>
      <c r="E57" s="193">
        <v>5</v>
      </c>
      <c r="F57" s="193">
        <v>0.8</v>
      </c>
      <c r="H57" s="184" t="str">
        <f>Table2[[#This Row],[Dataset]]</f>
        <v>WordNet</v>
      </c>
      <c r="I57" s="177" t="str">
        <f t="shared" ref="I57:J62" si="13">TEXT(B57/1000,IF(B57&gt;=100000,"0.0",IF(B57&gt;=10000,"0.00","0.000")))&amp;"K"</f>
        <v>146.0K</v>
      </c>
      <c r="J57" s="177" t="str">
        <f t="shared" si="9"/>
        <v>1.314M</v>
      </c>
      <c r="K57" s="188">
        <v>1008</v>
      </c>
      <c r="L57" s="178">
        <f>Table2[[#This Row],[min_size]]</f>
        <v>5</v>
      </c>
      <c r="M57" s="176">
        <f>Table2[[#This Row],[gamma]]</f>
        <v>0.8</v>
      </c>
      <c r="N57" s="177">
        <v>46.760027999999998</v>
      </c>
      <c r="O57" s="177">
        <v>49.295099999999998</v>
      </c>
      <c r="P57" s="177">
        <v>49.511099999999999</v>
      </c>
      <c r="Q57" s="177">
        <v>50.255800000000001</v>
      </c>
      <c r="R57" s="177">
        <v>8.5703300000000002</v>
      </c>
      <c r="S57" s="177">
        <f t="shared" si="10"/>
        <v>0.94857354990658305</v>
      </c>
      <c r="T57" s="177">
        <f t="shared" si="11"/>
        <v>5.751832193159423</v>
      </c>
      <c r="U57" s="177">
        <f t="shared" si="12"/>
        <v>5.8639282268010682</v>
      </c>
      <c r="V57" s="177">
        <v>294.916</v>
      </c>
      <c r="W57" s="177">
        <v>301.16000000000003</v>
      </c>
      <c r="Y57" s="184"/>
      <c r="Z57" s="177"/>
      <c r="AA57" s="177"/>
      <c r="AB57" s="188"/>
      <c r="AC57" s="178"/>
      <c r="AD57" s="176"/>
      <c r="AE57" s="177"/>
      <c r="AF57" s="177"/>
      <c r="AG57" s="177"/>
      <c r="AH57" s="177"/>
      <c r="AI57" s="177"/>
      <c r="AJ57" s="177"/>
      <c r="AK57" s="177"/>
      <c r="AL57" s="177"/>
    </row>
    <row r="58" spans="1:38" ht="17" x14ac:dyDescent="0.2">
      <c r="A58" s="193" t="s">
        <v>898</v>
      </c>
      <c r="B58" s="198">
        <v>51083</v>
      </c>
      <c r="C58" s="198">
        <v>233146</v>
      </c>
      <c r="D58" s="193">
        <v>2915</v>
      </c>
      <c r="E58" s="193">
        <v>6</v>
      </c>
      <c r="F58" s="193">
        <v>0.7</v>
      </c>
      <c r="H58" s="184" t="str">
        <f>Table2[[#This Row],[Dataset]]</f>
        <v>slashdot-threads</v>
      </c>
      <c r="I58" s="177" t="str">
        <f t="shared" si="13"/>
        <v>51.08K</v>
      </c>
      <c r="J58" s="177" t="str">
        <f t="shared" si="13"/>
        <v>233.1K</v>
      </c>
      <c r="K58" s="188">
        <v>2915</v>
      </c>
      <c r="L58" s="178">
        <f>Table2[[#This Row],[min_size]]</f>
        <v>6</v>
      </c>
      <c r="M58" s="176">
        <f>Table2[[#This Row],[gamma]]</f>
        <v>0.7</v>
      </c>
      <c r="N58" s="177">
        <v>29.290645000000001</v>
      </c>
      <c r="O58" s="177">
        <v>28.845099999999999</v>
      </c>
      <c r="P58" s="177">
        <v>28.958400000000001</v>
      </c>
      <c r="Q58" s="177">
        <v>2.7285699999999999</v>
      </c>
      <c r="R58" s="177">
        <v>3.37</v>
      </c>
      <c r="S58" s="177">
        <f t="shared" si="10"/>
        <v>1.0154461242984079</v>
      </c>
      <c r="T58" s="177">
        <f t="shared" si="11"/>
        <v>8.5593768545994067</v>
      </c>
      <c r="U58" s="177">
        <f t="shared" si="12"/>
        <v>0.80966468842729966</v>
      </c>
      <c r="V58" s="177">
        <v>62.515999999999998</v>
      </c>
      <c r="W58" s="177">
        <v>1.24</v>
      </c>
      <c r="Y58" s="184"/>
      <c r="Z58" s="177"/>
      <c r="AA58" s="177"/>
      <c r="AB58" s="188"/>
      <c r="AC58" s="178"/>
      <c r="AD58" s="176"/>
      <c r="AE58" s="177"/>
      <c r="AF58" s="177"/>
      <c r="AG58" s="177"/>
      <c r="AH58" s="177"/>
      <c r="AI58" s="177"/>
      <c r="AJ58" s="177"/>
      <c r="AK58" s="177"/>
      <c r="AL58" s="177"/>
    </row>
    <row r="59" spans="1:38" ht="17" x14ac:dyDescent="0.2">
      <c r="A59" s="193" t="s">
        <v>3945</v>
      </c>
      <c r="B59" s="198">
        <v>50515</v>
      </c>
      <c r="C59" s="198">
        <v>1638180</v>
      </c>
      <c r="D59" s="193">
        <v>1469</v>
      </c>
      <c r="E59" s="193">
        <v>23</v>
      </c>
      <c r="F59" s="193">
        <v>0.9</v>
      </c>
      <c r="H59" s="184" t="str">
        <f>Table2[[#This Row],[Dataset]]</f>
        <v>FB-Pages</v>
      </c>
      <c r="I59" s="177" t="str">
        <f t="shared" si="13"/>
        <v>50.52K</v>
      </c>
      <c r="J59" s="177" t="str">
        <f t="shared" si="9"/>
        <v>1.638M</v>
      </c>
      <c r="K59" s="188">
        <v>1469</v>
      </c>
      <c r="L59" s="178">
        <f>Table2[[#This Row],[min_size]]</f>
        <v>23</v>
      </c>
      <c r="M59" s="176">
        <f>Table2[[#This Row],[gamma]]</f>
        <v>0.9</v>
      </c>
      <c r="N59" s="177">
        <v>714.70367299999998</v>
      </c>
      <c r="O59" s="177">
        <v>406.31</v>
      </c>
      <c r="P59" s="177">
        <v>400.46</v>
      </c>
      <c r="Q59" s="177" t="s">
        <v>3902</v>
      </c>
      <c r="R59" s="177">
        <v>257.43</v>
      </c>
      <c r="S59" s="177">
        <f t="shared" si="10"/>
        <v>1.7590107873298713</v>
      </c>
      <c r="T59" s="177">
        <f t="shared" si="11"/>
        <v>1.5783319737404342</v>
      </c>
      <c r="U59" s="177" t="str">
        <f t="shared" si="12"/>
        <v>-</v>
      </c>
      <c r="V59" s="177" t="s">
        <v>3902</v>
      </c>
      <c r="W59" s="177" t="s">
        <v>3902</v>
      </c>
      <c r="Y59" s="184"/>
      <c r="Z59" s="177"/>
      <c r="AA59" s="177"/>
      <c r="AB59" s="188"/>
      <c r="AC59" s="178"/>
      <c r="AD59" s="176"/>
      <c r="AE59" s="177"/>
      <c r="AF59" s="177"/>
      <c r="AG59" s="177"/>
      <c r="AH59" s="177"/>
      <c r="AI59" s="177"/>
      <c r="AJ59" s="177"/>
      <c r="AK59" s="177"/>
      <c r="AL59" s="177"/>
    </row>
    <row r="60" spans="1:38" ht="17" x14ac:dyDescent="0.2">
      <c r="A60" s="193" t="s">
        <v>829</v>
      </c>
      <c r="B60" s="198">
        <v>39884</v>
      </c>
      <c r="C60" s="198">
        <v>152908</v>
      </c>
      <c r="D60" s="193">
        <v>23237</v>
      </c>
      <c r="E60" s="193">
        <v>7</v>
      </c>
      <c r="F60" s="193">
        <v>0.6</v>
      </c>
      <c r="H60" s="184" t="str">
        <f>Table2[[#This Row],[Dataset]]</f>
        <v>edit-kywiktionary</v>
      </c>
      <c r="I60" s="177" t="str">
        <f t="shared" si="13"/>
        <v>39.88K</v>
      </c>
      <c r="J60" s="177" t="str">
        <f t="shared" si="13"/>
        <v>152.9K</v>
      </c>
      <c r="K60" s="190">
        <v>23237</v>
      </c>
      <c r="L60" s="178">
        <f>Table2[[#This Row],[min_size]]</f>
        <v>7</v>
      </c>
      <c r="M60" s="176">
        <f>Table2[[#This Row],[gamma]]</f>
        <v>0.6</v>
      </c>
      <c r="N60" s="177">
        <v>41.543633999999997</v>
      </c>
      <c r="O60" s="177">
        <v>40.567500000000003</v>
      </c>
      <c r="P60" s="177">
        <v>40.704999999999998</v>
      </c>
      <c r="Q60" s="177">
        <v>5.4308800000000002</v>
      </c>
      <c r="R60" s="177">
        <v>7.05</v>
      </c>
      <c r="S60" s="177">
        <f t="shared" si="10"/>
        <v>1.024061970789425</v>
      </c>
      <c r="T60" s="177">
        <f t="shared" si="11"/>
        <v>5.7542553191489363</v>
      </c>
      <c r="U60" s="177">
        <f t="shared" si="12"/>
        <v>0.77033758865248236</v>
      </c>
      <c r="V60" s="177">
        <v>131.35</v>
      </c>
      <c r="W60" s="177">
        <v>381.49</v>
      </c>
      <c r="Y60" s="184"/>
      <c r="Z60" s="177"/>
      <c r="AA60" s="177"/>
      <c r="AB60" s="190"/>
      <c r="AC60" s="178"/>
      <c r="AD60" s="176"/>
      <c r="AE60" s="177"/>
      <c r="AF60" s="177"/>
      <c r="AG60" s="177"/>
      <c r="AH60" s="177"/>
      <c r="AI60" s="177"/>
      <c r="AJ60" s="177"/>
      <c r="AK60" s="177"/>
      <c r="AL60" s="177"/>
    </row>
    <row r="61" spans="1:38" ht="17" x14ac:dyDescent="0.2">
      <c r="A61" s="193" t="s">
        <v>593</v>
      </c>
      <c r="B61" s="198">
        <v>5111</v>
      </c>
      <c r="C61" s="198">
        <v>53698</v>
      </c>
      <c r="D61" s="193">
        <v>1730</v>
      </c>
      <c r="E61" s="193">
        <v>10</v>
      </c>
      <c r="F61" s="193">
        <v>0.72</v>
      </c>
      <c r="H61" s="184" t="str">
        <f>Table2[[#This Row],[Dataset]]</f>
        <v>wikilens-ratings</v>
      </c>
      <c r="I61" s="178">
        <f>Table2[[#This Row],[|V|]]</f>
        <v>5111</v>
      </c>
      <c r="J61" s="177" t="str">
        <f t="shared" si="13"/>
        <v>53.70K</v>
      </c>
      <c r="K61" s="188">
        <v>1730</v>
      </c>
      <c r="L61" s="178">
        <f>Table2[[#This Row],[min_size]]</f>
        <v>10</v>
      </c>
      <c r="M61" s="176">
        <f>Table2[[#This Row],[gamma]]</f>
        <v>0.72</v>
      </c>
      <c r="N61" s="177">
        <v>32.917819999999999</v>
      </c>
      <c r="O61" s="177">
        <v>38.271000000000001</v>
      </c>
      <c r="P61" s="177">
        <v>39.559600000000003</v>
      </c>
      <c r="Q61" s="177">
        <v>715.40200000000004</v>
      </c>
      <c r="R61" s="177">
        <v>33.93</v>
      </c>
      <c r="S61" s="177">
        <f t="shared" si="10"/>
        <v>0.86012437615949411</v>
      </c>
      <c r="T61" s="177">
        <f t="shared" si="11"/>
        <v>1.1279398762157382</v>
      </c>
      <c r="U61" s="177">
        <f t="shared" si="12"/>
        <v>21.084644857058652</v>
      </c>
      <c r="V61" s="177" t="s">
        <v>3902</v>
      </c>
      <c r="W61" s="177" t="s">
        <v>3902</v>
      </c>
      <c r="Y61" s="184"/>
      <c r="Z61" s="178"/>
      <c r="AA61" s="177"/>
      <c r="AB61" s="188"/>
      <c r="AC61" s="178"/>
      <c r="AD61" s="176"/>
      <c r="AE61" s="177"/>
      <c r="AF61" s="177"/>
      <c r="AG61" s="177"/>
      <c r="AH61" s="177"/>
      <c r="AI61" s="177"/>
      <c r="AJ61" s="177"/>
      <c r="AK61" s="177"/>
      <c r="AL61" s="177"/>
    </row>
    <row r="62" spans="1:38" ht="18" thickBot="1" x14ac:dyDescent="0.25">
      <c r="A62" s="193" t="s">
        <v>595</v>
      </c>
      <c r="B62" s="198">
        <v>2022</v>
      </c>
      <c r="C62" s="198">
        <v>22234</v>
      </c>
      <c r="D62" s="193">
        <v>604</v>
      </c>
      <c r="E62" s="193">
        <v>10</v>
      </c>
      <c r="F62" s="193">
        <v>0.7</v>
      </c>
      <c r="H62" s="185" t="str">
        <f>Table2[[#This Row],[Dataset]]</f>
        <v>edit-sswiki</v>
      </c>
      <c r="I62" s="186">
        <f>Table2[[#This Row],[|V|]]</f>
        <v>2022</v>
      </c>
      <c r="J62" s="180" t="str">
        <f t="shared" si="13"/>
        <v>22.23K</v>
      </c>
      <c r="K62" s="189">
        <v>604</v>
      </c>
      <c r="L62" s="186">
        <f>Table2[[#This Row],[min_size]]</f>
        <v>10</v>
      </c>
      <c r="M62" s="187">
        <f>Table2[[#This Row],[gamma]]</f>
        <v>0.7</v>
      </c>
      <c r="N62" s="180">
        <v>214.86993000000001</v>
      </c>
      <c r="O62" s="180">
        <v>112.27500000000001</v>
      </c>
      <c r="P62" s="180">
        <v>118.2</v>
      </c>
      <c r="Q62" s="180">
        <v>1021.56</v>
      </c>
      <c r="R62" s="180">
        <v>106.2</v>
      </c>
      <c r="S62" s="180">
        <f t="shared" si="10"/>
        <v>1.9137824983299934</v>
      </c>
      <c r="T62" s="180">
        <f t="shared" si="11"/>
        <v>1.0572033898305084</v>
      </c>
      <c r="U62" s="180">
        <f t="shared" si="12"/>
        <v>9.6192090395480214</v>
      </c>
      <c r="V62" s="180" t="s">
        <v>3902</v>
      </c>
      <c r="W62" s="180" t="s">
        <v>3902</v>
      </c>
      <c r="Y62" s="185"/>
      <c r="Z62" s="186"/>
      <c r="AA62" s="180"/>
      <c r="AB62" s="189"/>
      <c r="AC62" s="186"/>
      <c r="AD62" s="187"/>
      <c r="AE62" s="180"/>
      <c r="AF62" s="180"/>
      <c r="AG62" s="180"/>
      <c r="AH62" s="180"/>
      <c r="AI62" s="180"/>
      <c r="AJ62" s="180"/>
      <c r="AK62" s="180"/>
      <c r="AL62" s="180"/>
    </row>
    <row r="65" spans="27:27" x14ac:dyDescent="0.2">
      <c r="AA65" s="192"/>
    </row>
  </sheetData>
  <mergeCells count="4">
    <mergeCell ref="H28:H32"/>
    <mergeCell ref="H33:H37"/>
    <mergeCell ref="H38:H42"/>
    <mergeCell ref="H43:H47"/>
  </mergeCells>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workbookViewId="0">
      <selection activeCell="I72" sqref="I72"/>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88" t="s">
        <v>25</v>
      </c>
      <c r="Y1" s="87" t="s">
        <v>13</v>
      </c>
      <c r="Z1" s="87" t="s">
        <v>14</v>
      </c>
      <c r="AA1" s="87" t="s">
        <v>3950</v>
      </c>
      <c r="AB1" s="87" t="s">
        <v>15</v>
      </c>
      <c r="AC1" s="86" t="s">
        <v>3951</v>
      </c>
      <c r="AE1" s="35"/>
    </row>
    <row r="2" spans="3:39" ht="23"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3945</v>
      </c>
      <c r="R2" t="s">
        <v>3944</v>
      </c>
      <c r="X2" s="9" t="s">
        <v>1405</v>
      </c>
      <c r="Y2" s="38">
        <v>2093449</v>
      </c>
      <c r="Z2" s="38">
        <v>52098498</v>
      </c>
      <c r="AA2" s="38">
        <f>Table4[[#This Row],[E]]/Table4[[#This Row],[V]]</f>
        <v>24.886442421095524</v>
      </c>
      <c r="AB2" s="38">
        <v>1140084</v>
      </c>
      <c r="AC2" s="38">
        <v>2</v>
      </c>
      <c r="AE2" s="35"/>
    </row>
    <row r="3" spans="3:39" ht="23"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0">
        <v>4579069</v>
      </c>
      <c r="Z6" s="90">
        <v>12530086</v>
      </c>
      <c r="AA6" s="90">
        <f>Table4[[#This Row],[E]]/Table4[[#This Row],[V]]</f>
        <v>2.7363828760824527</v>
      </c>
      <c r="AB6" s="90">
        <v>4043326</v>
      </c>
      <c r="AC6" s="90">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0">
        <v>8482737</v>
      </c>
      <c r="Z7" s="90">
        <v>23585644</v>
      </c>
      <c r="AA7" s="90">
        <f>Table4[[#This Row],[E]]/Table4[[#This Row],[V]]</f>
        <v>2.7804285338564663</v>
      </c>
      <c r="AB7" s="90">
        <v>8421430</v>
      </c>
      <c r="AC7" s="90">
        <v>1</v>
      </c>
      <c r="AE7" s="35"/>
      <c r="AK7" s="46">
        <v>331.87</v>
      </c>
      <c r="AL7" s="109">
        <v>280.97000000000003</v>
      </c>
      <c r="AM7" s="109" t="s">
        <v>3956</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0">
        <v>4063587</v>
      </c>
      <c r="Z8" s="90">
        <v>17652554</v>
      </c>
      <c r="AA8" s="90">
        <f>Table4[[#This Row],[E]]/Table4[[#This Row],[V]]</f>
        <v>4.344081718934528</v>
      </c>
      <c r="AB8" s="90">
        <v>4059644</v>
      </c>
      <c r="AC8" s="90">
        <v>1</v>
      </c>
      <c r="AE8" s="35"/>
      <c r="AK8" s="46">
        <v>234.39</v>
      </c>
      <c r="AL8" s="109">
        <v>175.57</v>
      </c>
      <c r="AM8" s="109" t="s">
        <v>3960</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0">
        <v>7570051</v>
      </c>
      <c r="Z9" s="90">
        <v>43881980</v>
      </c>
      <c r="AA9" s="90">
        <f>Table4[[#This Row],[E]]/Table4[[#This Row],[V]]</f>
        <v>5.7967878948239582</v>
      </c>
      <c r="AB9" s="90">
        <v>5669991</v>
      </c>
      <c r="AC9" s="90">
        <v>1</v>
      </c>
      <c r="AE9" s="35"/>
      <c r="AK9" s="46">
        <v>149.72999999999999</v>
      </c>
      <c r="AL9" s="109">
        <v>429.71</v>
      </c>
      <c r="AM9" s="109" t="s">
        <v>3957</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0">
        <v>5005932</v>
      </c>
      <c r="Z10" s="90">
        <v>33083838</v>
      </c>
      <c r="AA10" s="90">
        <f>Table4[[#This Row],[E]]/Table4[[#This Row],[V]]</f>
        <v>6.6089267692809255</v>
      </c>
      <c r="AB10" s="90">
        <v>1208022</v>
      </c>
      <c r="AC10" s="90">
        <v>1</v>
      </c>
      <c r="AE10" s="35"/>
      <c r="AK10" s="46">
        <v>42.43</v>
      </c>
      <c r="AL10" s="109">
        <v>177.48</v>
      </c>
      <c r="AM10" s="109" t="s">
        <v>3958</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0">
        <v>3496954</v>
      </c>
      <c r="Z11" s="90">
        <v>27305086</v>
      </c>
      <c r="AA11" s="90">
        <f>Table4[[#This Row],[E]]/Table4[[#This Row],[V]]</f>
        <v>7.808248550023821</v>
      </c>
      <c r="AB11" s="90">
        <v>2187803</v>
      </c>
      <c r="AC11" s="90">
        <v>1</v>
      </c>
      <c r="AE11" s="35"/>
      <c r="AK11" s="46">
        <v>191.64</v>
      </c>
      <c r="AL11" s="109">
        <v>41.58</v>
      </c>
      <c r="AM11" s="109" t="s">
        <v>3959</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0">
        <v>3411795</v>
      </c>
      <c r="Z12" s="90">
        <v>26854686</v>
      </c>
      <c r="AA12" s="90">
        <f>Table4[[#This Row],[E]]/Table4[[#This Row],[V]]</f>
        <v>7.8711311787490166</v>
      </c>
      <c r="AB12" s="90">
        <v>2487058</v>
      </c>
      <c r="AC12" s="90">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0">
        <v>33777768</v>
      </c>
      <c r="Z13" s="90">
        <v>274478882</v>
      </c>
      <c r="AA13" s="90">
        <f>Table4[[#This Row],[E]]/Table4[[#This Row],[V]]</f>
        <v>8.1260218851642296</v>
      </c>
      <c r="AB13" s="90">
        <v>1057783</v>
      </c>
      <c r="AC13" s="90">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0">
        <v>5812931</v>
      </c>
      <c r="Z14" s="90">
        <v>54238524</v>
      </c>
      <c r="AA14" s="90">
        <f>Table4[[#This Row],[E]]/Table4[[#This Row],[V]]</f>
        <v>9.3306670937604448</v>
      </c>
      <c r="AB14" s="90">
        <v>3504033</v>
      </c>
      <c r="AC14" s="90">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0">
        <v>27665730</v>
      </c>
      <c r="Z15" s="90">
        <v>281227494</v>
      </c>
      <c r="AA15" s="90">
        <f>Table4[[#This Row],[E]]/Table4[[#This Row],[V]]</f>
        <v>10.165193327629526</v>
      </c>
      <c r="AB15" s="90">
        <v>11571953</v>
      </c>
      <c r="AC15" s="90">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0">
        <v>5867547</v>
      </c>
      <c r="Z16" s="90">
        <v>61171040</v>
      </c>
      <c r="AA16" s="90">
        <f>Table4[[#This Row],[E]]/Table4[[#This Row],[V]]</f>
        <v>10.425317428220003</v>
      </c>
      <c r="AB16" s="90">
        <v>959344</v>
      </c>
      <c r="AC16" s="90">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0">
        <v>5267977</v>
      </c>
      <c r="Z17" s="90">
        <v>55363430</v>
      </c>
      <c r="AA17" s="90">
        <f>Table4[[#This Row],[E]]/Table4[[#This Row],[V]]</f>
        <v>10.509428951569074</v>
      </c>
      <c r="AB17" s="90">
        <v>590528</v>
      </c>
      <c r="AC17" s="90">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0">
        <v>3790750</v>
      </c>
      <c r="Z18" s="90">
        <v>44273578</v>
      </c>
      <c r="AA18" s="90">
        <f>Table4[[#This Row],[E]]/Table4[[#This Row],[V]]</f>
        <v>11.679371628305745</v>
      </c>
      <c r="AB18" s="90">
        <v>866662</v>
      </c>
      <c r="AC18" s="90">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0">
        <v>8833229</v>
      </c>
      <c r="Z19" s="90">
        <v>105882456</v>
      </c>
      <c r="AA19" s="90">
        <f>Table4[[#This Row],[E]]/Table4[[#This Row],[V]]</f>
        <v>11.986834712425093</v>
      </c>
      <c r="AB19" s="90">
        <v>2126384</v>
      </c>
      <c r="AC19" s="90">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0">
        <v>1696415</v>
      </c>
      <c r="Z20" s="90">
        <v>22190596</v>
      </c>
      <c r="AA20" s="90">
        <f>Table4[[#This Row],[E]]/Table4[[#This Row],[V]]</f>
        <v>13.080877025963575</v>
      </c>
      <c r="AB20" s="90">
        <v>35455</v>
      </c>
      <c r="AC20" s="90">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0">
        <v>4799646</v>
      </c>
      <c r="Z21" s="90">
        <v>63844012</v>
      </c>
      <c r="AA21" s="90">
        <f>Table4[[#This Row],[E]]/Table4[[#This Row],[V]]</f>
        <v>13.301816842325454</v>
      </c>
      <c r="AB21" s="90">
        <v>1076572</v>
      </c>
      <c r="AC21" s="90">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0">
        <v>18268991</v>
      </c>
      <c r="Z22" s="90">
        <v>253780418</v>
      </c>
      <c r="AA22" s="90">
        <f>Table4[[#This Row],[E]]/Table4[[#This Row],[V]]</f>
        <v>13.891320982094742</v>
      </c>
      <c r="AB22" s="90">
        <v>612308</v>
      </c>
      <c r="AC22" s="90">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0">
        <v>2981204</v>
      </c>
      <c r="Z23" s="90">
        <v>42832752</v>
      </c>
      <c r="AA23" s="90">
        <f>Table4[[#This Row],[E]]/Table4[[#This Row],[V]]</f>
        <v>14.367601814568879</v>
      </c>
      <c r="AB23" s="90">
        <v>385104</v>
      </c>
      <c r="AC23" s="90">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0">
        <v>2140198</v>
      </c>
      <c r="Z24" s="90">
        <v>34029892</v>
      </c>
      <c r="AA24" s="90">
        <f>Table4[[#This Row],[E]]/Table4[[#This Row],[V]]</f>
        <v>15.900347537938078</v>
      </c>
      <c r="AB24" s="90">
        <v>97848</v>
      </c>
      <c r="AC24" s="90">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0">
        <v>7825669</v>
      </c>
      <c r="Z25" s="90">
        <v>124492028</v>
      </c>
      <c r="AA25" s="90">
        <f>Table4[[#This Row],[E]]/Table4[[#This Row],[V]]</f>
        <v>15.90816427323977</v>
      </c>
      <c r="AB25" s="90">
        <v>204282</v>
      </c>
      <c r="AC25" s="90">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0">
        <v>2646291</v>
      </c>
      <c r="Z26" s="90">
        <v>42433496</v>
      </c>
      <c r="AA26" s="90">
        <f>Table4[[#This Row],[E]]/Table4[[#This Row],[V]]</f>
        <v>16.035083065316702</v>
      </c>
      <c r="AB26" s="90">
        <v>850681</v>
      </c>
      <c r="AC26" s="90">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0">
        <v>7891015</v>
      </c>
      <c r="Z27" s="90">
        <v>127830770</v>
      </c>
      <c r="AA27" s="90">
        <f>Table4[[#This Row],[E]]/Table4[[#This Row],[V]]</f>
        <v>16.199534533897097</v>
      </c>
      <c r="AB27" s="90">
        <v>3636005</v>
      </c>
      <c r="AC27" s="90">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0">
        <v>4033138</v>
      </c>
      <c r="Z28" s="90">
        <v>55866126</v>
      </c>
      <c r="AA28" s="90">
        <f>Table4[[#This Row],[E]]/Table4[[#This Row],[V]]</f>
        <v>13.851776457934244</v>
      </c>
      <c r="AB28" s="90">
        <v>2651</v>
      </c>
      <c r="AC28" s="90">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0">
        <v>2937612</v>
      </c>
      <c r="Z29" s="90">
        <v>41919708</v>
      </c>
      <c r="AA29" s="90">
        <f>Table4[[#This Row],[E]]/Table4[[#This Row],[V]]</f>
        <v>14.269994812112696</v>
      </c>
      <c r="AB29" s="90">
        <v>4356</v>
      </c>
      <c r="AC29" s="90">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9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9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9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pageSetup orientation="portrait" horizontalDpi="0" verticalDpi="0"/>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MC</vt:lpstr>
      <vt:lpstr>SM2</vt:lpstr>
      <vt:lpstr>MQC</vt:lpstr>
      <vt:lpstr>MC - para</vt:lpstr>
      <vt:lpstr>SM-para</vt:lpstr>
      <vt:lpstr>AIMD-ampere</vt:lpstr>
      <vt:lpstr>mce-gpu</vt:lpstr>
      <vt:lpstr>QC</vt:lpstr>
      <vt:lpstr>Tables for paper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2026-08-27T17:56:46Z</dcterms:modified>
</cp:coreProperties>
</file>