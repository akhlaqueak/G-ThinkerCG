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594491C2-EE46-2343-9EEE-495E9B3D1CF0}" xr6:coauthVersionLast="47" xr6:coauthVersionMax="47" xr10:uidLastSave="{00000000-0000-0000-0000-000000000000}"/>
  <bookViews>
    <workbookView xWindow="0" yWindow="760" windowWidth="30240" windowHeight="18880" activeTab="8" xr2:uid="{93E1CCD5-64A0-5F4C-A5F1-EE4B217F183B}"/>
  </bookViews>
  <sheets>
    <sheet name="MC" sheetId="28" r:id="rId1"/>
    <sheet name="SM2" sheetId="32" r:id="rId2"/>
    <sheet name="MQC" sheetId="27" r:id="rId3"/>
    <sheet name="MC - para" sheetId="29" r:id="rId4"/>
    <sheet name="SM-para" sheetId="30" r:id="rId5"/>
    <sheet name="AIMD-ampere" sheetId="11" r:id="rId6"/>
    <sheet name="mce-gpu" sheetId="9" r:id="rId7"/>
    <sheet name="QC" sheetId="31" r:id="rId8"/>
    <sheet name="Tables for paper" sheetId="33" r:id="rId9"/>
    <sheet name="Sheet4" sheetId="4"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33" l="1"/>
  <c r="J61" i="33"/>
  <c r="J60" i="33"/>
  <c r="I60" i="33"/>
  <c r="J59" i="33"/>
  <c r="I59" i="33"/>
  <c r="J58" i="33"/>
  <c r="I58" i="33"/>
  <c r="J57" i="33"/>
  <c r="I57" i="33"/>
  <c r="J56" i="33"/>
  <c r="I56" i="33"/>
  <c r="J55" i="33"/>
  <c r="I55" i="33"/>
  <c r="J54" i="33"/>
  <c r="I54" i="33"/>
  <c r="J53" i="33"/>
  <c r="I53" i="33"/>
  <c r="J52" i="33"/>
  <c r="I52" i="33"/>
  <c r="Q28" i="33"/>
  <c r="Q30" i="33"/>
  <c r="Q31" i="33"/>
  <c r="Q32" i="33"/>
  <c r="Q33" i="33"/>
  <c r="Q34" i="33"/>
  <c r="Q35" i="33"/>
  <c r="Q36" i="33"/>
  <c r="Q37" i="33"/>
  <c r="Q38" i="33"/>
  <c r="Q39" i="33"/>
  <c r="Q40" i="33"/>
  <c r="Q41" i="33"/>
  <c r="Q42" i="33"/>
  <c r="Q43" i="33"/>
  <c r="Q44" i="33"/>
  <c r="Q45" i="33"/>
  <c r="Q46" i="33"/>
  <c r="Q47" i="33"/>
  <c r="Q29" i="33"/>
  <c r="P29" i="33"/>
  <c r="P30" i="33"/>
  <c r="P31" i="33"/>
  <c r="P32" i="33"/>
  <c r="P33" i="33"/>
  <c r="P34" i="33"/>
  <c r="P35" i="33"/>
  <c r="P36" i="33"/>
  <c r="P37" i="33"/>
  <c r="P38" i="33"/>
  <c r="P39" i="33"/>
  <c r="P40" i="33"/>
  <c r="P41" i="33"/>
  <c r="P42" i="33"/>
  <c r="P43" i="33"/>
  <c r="P44" i="33"/>
  <c r="P45" i="33"/>
  <c r="P46" i="33"/>
  <c r="P47" i="33"/>
  <c r="P28" i="33"/>
  <c r="O29" i="33"/>
  <c r="O30" i="33"/>
  <c r="O31" i="33"/>
  <c r="O32" i="33"/>
  <c r="O33" i="33"/>
  <c r="O34" i="33"/>
  <c r="O35" i="33"/>
  <c r="O36" i="33"/>
  <c r="O37" i="33"/>
  <c r="O38" i="33"/>
  <c r="O39" i="33"/>
  <c r="O40" i="33"/>
  <c r="O41" i="33"/>
  <c r="O42" i="33"/>
  <c r="O43" i="33"/>
  <c r="O44" i="33"/>
  <c r="O45" i="33"/>
  <c r="O46" i="33"/>
  <c r="O47" i="33"/>
  <c r="O28" i="33"/>
  <c r="I62" i="33"/>
  <c r="I61" i="33"/>
  <c r="L53" i="33"/>
  <c r="M53" i="33"/>
  <c r="L54" i="33"/>
  <c r="M54" i="33"/>
  <c r="L55" i="33"/>
  <c r="M55" i="33"/>
  <c r="L56" i="33"/>
  <c r="M56" i="33"/>
  <c r="L57" i="33"/>
  <c r="M57" i="33"/>
  <c r="L58" i="33"/>
  <c r="M58" i="33"/>
  <c r="L59" i="33"/>
  <c r="M59" i="33"/>
  <c r="L60" i="33"/>
  <c r="M60" i="33"/>
  <c r="L61" i="33"/>
  <c r="M61" i="33"/>
  <c r="L62" i="33"/>
  <c r="M62" i="33"/>
  <c r="M52" i="33"/>
  <c r="L52" i="33"/>
  <c r="S53" i="33"/>
  <c r="T53" i="33"/>
  <c r="U53" i="33"/>
  <c r="S54" i="33"/>
  <c r="T54" i="33"/>
  <c r="U54" i="33"/>
  <c r="S55" i="33"/>
  <c r="T55" i="33"/>
  <c r="U55" i="33"/>
  <c r="S56" i="33"/>
  <c r="T56" i="33"/>
  <c r="U56" i="33"/>
  <c r="S57" i="33"/>
  <c r="T57" i="33"/>
  <c r="U57" i="33"/>
  <c r="S58" i="33"/>
  <c r="T58" i="33"/>
  <c r="U58" i="33"/>
  <c r="S59" i="33"/>
  <c r="T59" i="33"/>
  <c r="U59" i="33"/>
  <c r="S60" i="33"/>
  <c r="T60" i="33"/>
  <c r="U60" i="33"/>
  <c r="S61" i="33"/>
  <c r="T61" i="33"/>
  <c r="U61" i="33"/>
  <c r="S62" i="33"/>
  <c r="T62" i="33"/>
  <c r="U62" i="33"/>
  <c r="U52" i="33"/>
  <c r="T52" i="33"/>
  <c r="S52" i="33"/>
  <c r="H53" i="33"/>
  <c r="H54" i="33"/>
  <c r="H55" i="33"/>
  <c r="H56" i="33"/>
  <c r="H57" i="33"/>
  <c r="H58" i="33"/>
  <c r="H59" i="33"/>
  <c r="H60" i="33"/>
  <c r="H61" i="33"/>
  <c r="H62" i="33"/>
  <c r="H52" i="33"/>
  <c r="Q5" i="33"/>
  <c r="Q6" i="33"/>
  <c r="Q7" i="33"/>
  <c r="Q8" i="33"/>
  <c r="Q9" i="33"/>
  <c r="Q10" i="33"/>
  <c r="Q11" i="33"/>
  <c r="Q12" i="33"/>
  <c r="Q13" i="33"/>
  <c r="Q14" i="33"/>
  <c r="Q15" i="33"/>
  <c r="Q16" i="33"/>
  <c r="Q17" i="33"/>
  <c r="Q18" i="33"/>
  <c r="Q19" i="33"/>
  <c r="Q20" i="33"/>
  <c r="Q21" i="33"/>
  <c r="Q22" i="33"/>
  <c r="Q23" i="33"/>
  <c r="Q4" i="33"/>
  <c r="S5" i="33"/>
  <c r="S6" i="33"/>
  <c r="S7" i="33"/>
  <c r="S8" i="33"/>
  <c r="S9" i="33"/>
  <c r="S10" i="33"/>
  <c r="S11" i="33"/>
  <c r="S12" i="33"/>
  <c r="S13" i="33"/>
  <c r="S14" i="33"/>
  <c r="S15" i="33"/>
  <c r="S16" i="33"/>
  <c r="S17" i="33"/>
  <c r="S18" i="33"/>
  <c r="S19" i="33"/>
  <c r="S20" i="33"/>
  <c r="S21" i="33"/>
  <c r="S22" i="33"/>
  <c r="S23" i="33"/>
  <c r="S4" i="33"/>
  <c r="R5" i="33"/>
  <c r="R6" i="33"/>
  <c r="R7" i="33"/>
  <c r="R8" i="33"/>
  <c r="R9" i="33"/>
  <c r="R10" i="33"/>
  <c r="R11" i="33"/>
  <c r="R12" i="33"/>
  <c r="R13" i="33"/>
  <c r="R14" i="33"/>
  <c r="R15" i="33"/>
  <c r="R16" i="33"/>
  <c r="R17" i="33"/>
  <c r="R18" i="33"/>
  <c r="R19" i="33"/>
  <c r="R20" i="33"/>
  <c r="R21" i="33"/>
  <c r="R22" i="33"/>
  <c r="R23" i="33"/>
  <c r="R4" i="33"/>
  <c r="K5" i="33"/>
  <c r="K6" i="33"/>
  <c r="K7" i="33"/>
  <c r="K8" i="33"/>
  <c r="K9" i="33"/>
  <c r="K10" i="33"/>
  <c r="K11" i="33"/>
  <c r="K12" i="33"/>
  <c r="K13" i="33"/>
  <c r="K14" i="33"/>
  <c r="K15" i="33"/>
  <c r="K16" i="33"/>
  <c r="K17" i="33"/>
  <c r="K18" i="33"/>
  <c r="K19" i="33"/>
  <c r="K20" i="33"/>
  <c r="K21" i="33"/>
  <c r="K22" i="33"/>
  <c r="K23" i="33"/>
  <c r="K4" i="33"/>
  <c r="J4" i="33"/>
  <c r="J5" i="33"/>
  <c r="J6" i="33"/>
  <c r="J7" i="33"/>
  <c r="J8" i="33"/>
  <c r="J9" i="33"/>
  <c r="J10" i="33"/>
  <c r="J11" i="33"/>
  <c r="J12" i="33"/>
  <c r="J13" i="33"/>
  <c r="J14" i="33"/>
  <c r="J15" i="33"/>
  <c r="J16" i="33"/>
  <c r="J17" i="33"/>
  <c r="J18" i="33"/>
  <c r="J19" i="33"/>
  <c r="J20" i="33"/>
  <c r="J21" i="33"/>
  <c r="J22" i="33"/>
  <c r="J23" i="33"/>
  <c r="I5" i="33"/>
  <c r="I6" i="33"/>
  <c r="I7" i="33"/>
  <c r="I8" i="33"/>
  <c r="I9" i="33"/>
  <c r="I10" i="33"/>
  <c r="I11" i="33"/>
  <c r="I12" i="33"/>
  <c r="I13" i="33"/>
  <c r="I14" i="33"/>
  <c r="I15" i="33"/>
  <c r="I16" i="33"/>
  <c r="I17" i="33"/>
  <c r="I18" i="33"/>
  <c r="I19" i="33"/>
  <c r="I20" i="33"/>
  <c r="I21" i="33"/>
  <c r="I22" i="33"/>
  <c r="I23" i="33"/>
  <c r="I4" i="33"/>
  <c r="B64" i="32"/>
  <c r="B65" i="32"/>
  <c r="B66" i="32"/>
  <c r="B67" i="32"/>
  <c r="B3" i="32"/>
  <c r="B4" i="32"/>
  <c r="B5" i="32"/>
  <c r="B6" i="32"/>
  <c r="B7"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8" i="32"/>
  <c r="B9" i="32"/>
  <c r="B10" i="32"/>
  <c r="B11" i="32"/>
  <c r="B12"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B118" i="32"/>
  <c r="B119" i="32"/>
  <c r="B120" i="32"/>
  <c r="B121" i="32"/>
  <c r="B122" i="32"/>
  <c r="B123" i="32"/>
  <c r="B124" i="32"/>
  <c r="B125" i="32"/>
  <c r="B126" i="32"/>
  <c r="B127" i="32"/>
  <c r="B128" i="32"/>
  <c r="B129" i="32"/>
  <c r="B130" i="32"/>
  <c r="B131" i="32"/>
  <c r="B132" i="32"/>
  <c r="B133" i="32"/>
  <c r="B134" i="32"/>
  <c r="B135" i="32"/>
  <c r="B136" i="32"/>
  <c r="B137" i="32"/>
  <c r="B138" i="32"/>
  <c r="B139" i="32"/>
  <c r="B140" i="32"/>
  <c r="B141" i="32"/>
  <c r="B142" i="32"/>
  <c r="B63" i="32"/>
  <c r="R14" i="28"/>
  <c r="R19" i="28"/>
  <c r="R18" i="28"/>
  <c r="R7" i="28"/>
  <c r="R15" i="28"/>
  <c r="R8" i="28"/>
  <c r="R20" i="28"/>
  <c r="R17" i="28"/>
  <c r="R12" i="28"/>
  <c r="R11" i="28"/>
  <c r="R24" i="28"/>
  <c r="R22" i="28"/>
  <c r="R10" i="28"/>
  <c r="R13" i="28"/>
  <c r="R21" i="28"/>
  <c r="R6" i="28"/>
  <c r="R16" i="28"/>
  <c r="R9" i="28"/>
  <c r="R25" i="28"/>
  <c r="R23"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54" i="28"/>
  <c r="R55" i="28"/>
  <c r="M129" i="32"/>
  <c r="M130" i="32"/>
  <c r="M131" i="32"/>
  <c r="M132" i="32"/>
  <c r="M134" i="32"/>
  <c r="M135" i="32"/>
  <c r="M136" i="32"/>
  <c r="M137" i="32"/>
  <c r="M109" i="32"/>
  <c r="M110" i="32"/>
  <c r="M111" i="32"/>
  <c r="M112" i="32"/>
  <c r="M83" i="32"/>
  <c r="M84" i="32"/>
  <c r="M85" i="32"/>
  <c r="M86" i="32"/>
  <c r="M87" i="32"/>
  <c r="M104" i="32"/>
  <c r="M105" i="32"/>
  <c r="M106" i="32"/>
  <c r="M107" i="32"/>
  <c r="M29" i="32"/>
  <c r="M30" i="32"/>
  <c r="M31" i="32"/>
  <c r="M124" i="32"/>
  <c r="M125" i="32"/>
  <c r="M126" i="32"/>
  <c r="M127" i="32"/>
  <c r="M14" i="32"/>
  <c r="M15" i="32"/>
  <c r="M16" i="32"/>
  <c r="M25" i="32"/>
  <c r="M26" i="32"/>
  <c r="M114" i="32"/>
  <c r="M115" i="32"/>
  <c r="M116" i="32"/>
  <c r="M117" i="32"/>
  <c r="M119" i="32"/>
  <c r="M120" i="32"/>
  <c r="M121" i="32"/>
  <c r="M122" i="32"/>
  <c r="M139" i="32"/>
  <c r="M140" i="32"/>
  <c r="M141" i="32"/>
  <c r="M142" i="32"/>
  <c r="M50" i="32"/>
  <c r="M51" i="32"/>
  <c r="M19" i="32"/>
  <c r="M20" i="32"/>
  <c r="M21" i="32"/>
  <c r="M68" i="32"/>
  <c r="M69" i="32"/>
  <c r="M70" i="32"/>
  <c r="M71" i="32"/>
  <c r="M72" i="32"/>
  <c r="M34" i="32"/>
  <c r="M35" i="32"/>
  <c r="M36" i="32"/>
  <c r="M99" i="32"/>
  <c r="M100" i="32"/>
  <c r="M101" i="32"/>
  <c r="M45" i="32"/>
  <c r="M46" i="32"/>
  <c r="M42" i="32"/>
  <c r="M40" i="32"/>
  <c r="M76" i="32"/>
  <c r="M39" i="32"/>
  <c r="M41" i="32"/>
  <c r="M103" i="32"/>
  <c r="M7" i="32"/>
  <c r="M38" i="32"/>
  <c r="M6" i="32"/>
  <c r="M92" i="32"/>
  <c r="M96" i="32"/>
  <c r="M3" i="32"/>
  <c r="M66" i="32"/>
  <c r="M12" i="32"/>
  <c r="M78" i="32"/>
  <c r="M75" i="32"/>
  <c r="M123" i="32"/>
  <c r="M58" i="32"/>
  <c r="M91" i="32"/>
  <c r="M27" i="32"/>
  <c r="M62" i="32"/>
  <c r="M56" i="32"/>
  <c r="M4" i="32"/>
  <c r="M57" i="32"/>
  <c r="M81" i="32"/>
  <c r="M17" i="32"/>
  <c r="M93" i="32"/>
  <c r="M52" i="32"/>
  <c r="M113" i="32"/>
  <c r="M95" i="32"/>
  <c r="M80" i="32"/>
  <c r="M48" i="32"/>
  <c r="M67" i="32"/>
  <c r="M133" i="32"/>
  <c r="M32" i="32"/>
  <c r="M47" i="32"/>
  <c r="M53" i="32"/>
  <c r="M128" i="32"/>
  <c r="M73" i="32"/>
  <c r="M82" i="32"/>
  <c r="M24" i="32"/>
  <c r="M49" i="32"/>
  <c r="M54" i="32"/>
  <c r="M64" i="32"/>
  <c r="M108" i="32"/>
  <c r="M94" i="32"/>
  <c r="M44" i="32"/>
  <c r="M60" i="32"/>
  <c r="M23" i="32"/>
  <c r="M37" i="32"/>
  <c r="M43" i="32"/>
  <c r="M63" i="32"/>
  <c r="M13" i="32"/>
  <c r="M8" i="32"/>
  <c r="M22" i="32"/>
  <c r="M18" i="32"/>
  <c r="M118" i="32"/>
  <c r="M55" i="32"/>
  <c r="M28" i="32"/>
  <c r="M65" i="32"/>
  <c r="M98" i="32"/>
  <c r="M33" i="32"/>
  <c r="M102" i="32"/>
  <c r="M61" i="32"/>
  <c r="M138" i="32"/>
  <c r="M10" i="32"/>
  <c r="M97" i="32"/>
  <c r="M59" i="32"/>
  <c r="M79" i="32"/>
  <c r="M90" i="32"/>
  <c r="M5" i="32"/>
  <c r="M11" i="32"/>
  <c r="M9" i="32"/>
  <c r="M77" i="32"/>
  <c r="M74" i="32"/>
  <c r="M89" i="32"/>
  <c r="M88" i="32"/>
  <c r="N128" i="32"/>
  <c r="N129" i="32"/>
  <c r="N130" i="32"/>
  <c r="N131" i="32"/>
  <c r="N132" i="32"/>
  <c r="N134" i="32"/>
  <c r="N135" i="32"/>
  <c r="N136" i="32"/>
  <c r="N137" i="32"/>
  <c r="N109" i="32"/>
  <c r="N110" i="32"/>
  <c r="N111" i="32"/>
  <c r="N112" i="32"/>
  <c r="N83" i="32"/>
  <c r="N84" i="32"/>
  <c r="N85" i="32"/>
  <c r="N86" i="32"/>
  <c r="N87" i="32"/>
  <c r="N104" i="32"/>
  <c r="N105" i="32"/>
  <c r="N106" i="32"/>
  <c r="N107" i="32"/>
  <c r="N29" i="32"/>
  <c r="N30" i="32"/>
  <c r="N31" i="32"/>
  <c r="N124" i="32"/>
  <c r="N125" i="32"/>
  <c r="N126" i="32"/>
  <c r="N127" i="32"/>
  <c r="N14" i="32"/>
  <c r="N15" i="32"/>
  <c r="N16" i="32"/>
  <c r="N25" i="32"/>
  <c r="N26" i="32"/>
  <c r="N114" i="32"/>
  <c r="N115" i="32"/>
  <c r="N116" i="32"/>
  <c r="N117" i="32"/>
  <c r="N119" i="32"/>
  <c r="N120" i="32"/>
  <c r="N121" i="32"/>
  <c r="N122" i="32"/>
  <c r="N139" i="32"/>
  <c r="N140" i="32"/>
  <c r="N141" i="32"/>
  <c r="N142" i="32"/>
  <c r="N50" i="32"/>
  <c r="N51" i="32"/>
  <c r="N19" i="32"/>
  <c r="N20" i="32"/>
  <c r="N21" i="32"/>
  <c r="N68" i="32"/>
  <c r="N69" i="32"/>
  <c r="N70" i="32"/>
  <c r="N71" i="32"/>
  <c r="N72" i="32"/>
  <c r="N34" i="32"/>
  <c r="N35" i="32"/>
  <c r="N36" i="32"/>
  <c r="N99" i="32"/>
  <c r="N100" i="32"/>
  <c r="N101" i="32"/>
  <c r="N45" i="32"/>
  <c r="N46" i="32"/>
  <c r="N24" i="32"/>
  <c r="N65" i="32"/>
  <c r="N66" i="32"/>
  <c r="N55" i="32"/>
  <c r="N56" i="32"/>
  <c r="N133" i="32"/>
  <c r="N44" i="32"/>
  <c r="N60" i="32"/>
  <c r="N118" i="32"/>
  <c r="N18" i="32"/>
  <c r="N61" i="32"/>
  <c r="N11" i="32"/>
  <c r="N10" i="32"/>
  <c r="N49" i="32"/>
  <c r="N22" i="32"/>
  <c r="N32" i="32"/>
  <c r="N64" i="32"/>
  <c r="N108" i="32"/>
  <c r="N80" i="32"/>
  <c r="N33" i="32"/>
  <c r="N54" i="32"/>
  <c r="N98" i="32"/>
  <c r="N81" i="32"/>
  <c r="N28" i="32"/>
  <c r="N59" i="32"/>
  <c r="N37" i="32"/>
  <c r="N9" i="32"/>
  <c r="N17" i="32"/>
  <c r="N138" i="32"/>
  <c r="N113" i="32"/>
  <c r="N79" i="32"/>
  <c r="N27" i="32"/>
  <c r="N102" i="32"/>
  <c r="N47" i="32"/>
  <c r="N13" i="32"/>
  <c r="N12" i="32"/>
  <c r="N23" i="32"/>
  <c r="N6" i="32"/>
  <c r="N123" i="32"/>
  <c r="N96" i="32"/>
  <c r="N95" i="32"/>
  <c r="N43" i="32"/>
  <c r="N103" i="32"/>
  <c r="N48" i="32"/>
  <c r="N5" i="32"/>
  <c r="N52" i="32"/>
  <c r="N62" i="32"/>
  <c r="N82" i="32"/>
  <c r="N63" i="32"/>
  <c r="N67" i="32"/>
  <c r="N76" i="32"/>
  <c r="N57" i="32"/>
  <c r="N94" i="32"/>
  <c r="N90" i="32"/>
  <c r="N53" i="32"/>
  <c r="N91" i="32"/>
  <c r="N4" i="32"/>
  <c r="N8" i="32"/>
  <c r="N75" i="32"/>
  <c r="N89" i="32"/>
  <c r="N74" i="32"/>
  <c r="N58" i="32"/>
  <c r="N97" i="32"/>
  <c r="N88" i="32"/>
  <c r="N78" i="32"/>
  <c r="N77" i="32"/>
  <c r="N3" i="32"/>
  <c r="N93" i="32"/>
  <c r="N92" i="32"/>
  <c r="N7" i="32"/>
  <c r="N73" i="32"/>
  <c r="N40" i="32"/>
  <c r="N41" i="32"/>
  <c r="N38" i="32"/>
  <c r="N39" i="32"/>
  <c r="N42" i="32"/>
  <c r="U30" i="28"/>
  <c r="U9" i="28"/>
  <c r="U40" i="28"/>
  <c r="U10" i="28"/>
  <c r="U31" i="28"/>
  <c r="U19" i="28"/>
  <c r="U16" i="28"/>
  <c r="U34" i="28"/>
  <c r="U48" i="28"/>
  <c r="U14" i="28"/>
  <c r="U26" i="28"/>
  <c r="U8" i="28"/>
  <c r="U11" i="28"/>
  <c r="U13" i="28"/>
  <c r="U21" i="28"/>
  <c r="U7" i="28"/>
  <c r="U17" i="28"/>
  <c r="U15" i="28"/>
  <c r="U20" i="28"/>
  <c r="U12" i="28"/>
  <c r="U24" i="28"/>
  <c r="U27" i="28"/>
  <c r="U18" i="28"/>
  <c r="U22" i="28"/>
  <c r="U28" i="28"/>
  <c r="U35" i="28"/>
  <c r="U29" i="28"/>
  <c r="U6" i="28"/>
  <c r="U36" i="28"/>
  <c r="U32" i="28"/>
  <c r="U38" i="28"/>
  <c r="U37" i="28"/>
  <c r="U25" i="28"/>
  <c r="U44" i="28"/>
  <c r="U42" i="28"/>
  <c r="U53" i="28"/>
  <c r="U23" i="28"/>
  <c r="U41" i="28"/>
  <c r="U39" i="28"/>
  <c r="U54" i="28"/>
  <c r="U46" i="28"/>
  <c r="U51" i="28"/>
  <c r="U52" i="28"/>
  <c r="U47" i="28"/>
  <c r="U43" i="28"/>
  <c r="U33" i="28"/>
  <c r="U45" i="28"/>
  <c r="U55" i="28"/>
  <c r="U49" i="28"/>
  <c r="U50" i="28"/>
  <c r="T55" i="28"/>
  <c r="T33" i="28"/>
  <c r="T54" i="28"/>
  <c r="T53" i="28"/>
  <c r="T50" i="28"/>
  <c r="T52" i="28"/>
  <c r="T27" i="28"/>
  <c r="T25" i="28"/>
  <c r="T51" i="28"/>
  <c r="T6" i="28"/>
  <c r="T49" i="28"/>
  <c r="T30" i="28"/>
  <c r="T23" i="28"/>
  <c r="T12" i="28"/>
  <c r="T48" i="28"/>
  <c r="T15" i="28"/>
  <c r="T17" i="28"/>
  <c r="T45" i="28"/>
  <c r="T16" i="28"/>
  <c r="T21" i="28"/>
  <c r="T29" i="28"/>
  <c r="T47" i="28"/>
  <c r="T44" i="28"/>
  <c r="T43" i="28"/>
  <c r="T46" i="28"/>
  <c r="T41" i="28"/>
  <c r="T26" i="28"/>
  <c r="T13" i="28"/>
  <c r="T20" i="28"/>
  <c r="T40" i="28"/>
  <c r="T42" i="28"/>
  <c r="T32" i="28"/>
  <c r="T9" i="28"/>
  <c r="T38" i="28"/>
  <c r="T31" i="28"/>
  <c r="T10" i="28"/>
  <c r="T28" i="28"/>
  <c r="T39" i="28"/>
  <c r="T11" i="28"/>
  <c r="T18" i="28"/>
  <c r="T22" i="28"/>
  <c r="T24" i="28"/>
  <c r="T35" i="28"/>
  <c r="T7" i="28"/>
  <c r="T14" i="28"/>
  <c r="T19" i="28"/>
  <c r="T37" i="28"/>
  <c r="T34" i="28"/>
  <c r="T8" i="28"/>
  <c r="T36" i="28"/>
  <c r="S55" i="28"/>
  <c r="S33" i="28"/>
  <c r="S54" i="28"/>
  <c r="S53" i="28"/>
  <c r="S50" i="28"/>
  <c r="S52" i="28"/>
  <c r="S27" i="28"/>
  <c r="S25" i="28"/>
  <c r="S51" i="28"/>
  <c r="S6" i="28"/>
  <c r="S49" i="28"/>
  <c r="S30" i="28"/>
  <c r="S23" i="28"/>
  <c r="S12" i="28"/>
  <c r="S48" i="28"/>
  <c r="S15" i="28"/>
  <c r="S17" i="28"/>
  <c r="S45" i="28"/>
  <c r="S16" i="28"/>
  <c r="S21" i="28"/>
  <c r="S29" i="28"/>
  <c r="S47" i="28"/>
  <c r="S44" i="28"/>
  <c r="S43" i="28"/>
  <c r="S46" i="28"/>
  <c r="S41" i="28"/>
  <c r="S26" i="28"/>
  <c r="S13" i="28"/>
  <c r="S20" i="28"/>
  <c r="S40" i="28"/>
  <c r="S42" i="28"/>
  <c r="S32" i="28"/>
  <c r="S9" i="28"/>
  <c r="S38" i="28"/>
  <c r="S31" i="28"/>
  <c r="S10" i="28"/>
  <c r="S28" i="28"/>
  <c r="S39" i="28"/>
  <c r="S11" i="28"/>
  <c r="S18" i="28"/>
  <c r="S22" i="28"/>
  <c r="S24" i="28"/>
  <c r="S35" i="28"/>
  <c r="S7" i="28"/>
  <c r="S14" i="28"/>
  <c r="S19" i="28"/>
  <c r="S37" i="28"/>
  <c r="S34" i="28"/>
  <c r="S8" i="28"/>
  <c r="S36" i="28"/>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34" i="28"/>
  <c r="H9" i="28"/>
  <c r="H10" i="28"/>
  <c r="H7" i="28"/>
  <c r="H30" i="28"/>
  <c r="H40" i="28"/>
  <c r="H31" i="28"/>
  <c r="H13" i="28"/>
  <c r="H35" i="28"/>
  <c r="H16" i="28"/>
  <c r="H48" i="28"/>
  <c r="H8" i="28"/>
  <c r="H29" i="28"/>
  <c r="H28" i="28"/>
  <c r="H41" i="28"/>
  <c r="H45" i="28"/>
  <c r="H42" i="28"/>
  <c r="H11" i="28"/>
  <c r="H21" i="28"/>
  <c r="H22" i="28"/>
  <c r="H37" i="28"/>
  <c r="H44" i="28"/>
  <c r="H12" i="28"/>
  <c r="H32" i="28"/>
  <c r="H39" i="28"/>
  <c r="H46" i="28"/>
  <c r="H15" i="28"/>
  <c r="H18" i="28"/>
  <c r="H51" i="28"/>
  <c r="H19" i="28"/>
  <c r="H36" i="28"/>
  <c r="H53" i="28"/>
  <c r="H24" i="28"/>
  <c r="H17" i="28"/>
  <c r="H6" i="28"/>
  <c r="H38" i="28"/>
  <c r="H14" i="28"/>
  <c r="H25" i="28"/>
  <c r="H47" i="28"/>
  <c r="H26" i="28"/>
  <c r="H23" i="28"/>
  <c r="H54" i="28"/>
  <c r="H43" i="28"/>
  <c r="H27" i="28"/>
  <c r="H52" i="28"/>
  <c r="H20" i="28"/>
  <c r="H50" i="28"/>
  <c r="H55" i="28"/>
  <c r="H33" i="28"/>
  <c r="H49"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T141" i="32"/>
  <c r="AQ141" i="32"/>
  <c r="AT103" i="32"/>
  <c r="AT138" i="32"/>
  <c r="AQ138" i="32"/>
  <c r="AT17" i="32"/>
  <c r="AQ17" i="32"/>
  <c r="AT96" i="32"/>
  <c r="AT101" i="32"/>
  <c r="AT60" i="32"/>
  <c r="AQ60" i="32"/>
  <c r="AQ58" i="32"/>
  <c r="AT58" i="32"/>
  <c r="AQ18" i="32"/>
  <c r="AT18" i="32"/>
  <c r="AT75" i="32"/>
  <c r="AQ75" i="32"/>
  <c r="AT94" i="32"/>
  <c r="AT125" i="32"/>
  <c r="AT117" i="32"/>
  <c r="AT27" i="32"/>
  <c r="AQ27" i="32"/>
  <c r="AT118" i="32"/>
  <c r="AT35" i="32"/>
  <c r="AQ35" i="32"/>
  <c r="AT38" i="32"/>
  <c r="AQ38" i="32"/>
  <c r="AT54" i="32"/>
  <c r="AQ54" i="32"/>
  <c r="AQ74" i="32"/>
  <c r="AT74" i="32"/>
  <c r="AT98" i="32"/>
  <c r="AQ8" i="32"/>
  <c r="AT8" i="32"/>
  <c r="AT4" i="32"/>
  <c r="AQ4" i="32"/>
  <c r="AT21" i="32"/>
  <c r="AQ21" i="32"/>
  <c r="AT126" i="32"/>
  <c r="AT130" i="32"/>
  <c r="AT111" i="32"/>
  <c r="AT108" i="32"/>
  <c r="AT128" i="32"/>
  <c r="AT114" i="32"/>
  <c r="AT113" i="32"/>
  <c r="AT120" i="32"/>
  <c r="AQ9" i="32"/>
  <c r="AT9" i="32"/>
  <c r="AT82" i="32"/>
  <c r="AQ82" i="32"/>
  <c r="AT71" i="32"/>
  <c r="AQ71" i="32"/>
  <c r="AQ3" i="32"/>
  <c r="AT3" i="32"/>
  <c r="AT93" i="32"/>
  <c r="AT112" i="32"/>
  <c r="AQ86" i="32"/>
  <c r="AT86" i="32"/>
  <c r="AT110" i="32"/>
  <c r="AT134" i="32"/>
  <c r="AQ134" i="32"/>
  <c r="AT41" i="32"/>
  <c r="AQ41" i="32"/>
  <c r="AT97" i="32"/>
  <c r="AT80" i="32"/>
  <c r="AQ80" i="32"/>
  <c r="AT12" i="32"/>
  <c r="AQ12" i="32"/>
  <c r="AT78" i="32"/>
  <c r="AQ78" i="32"/>
  <c r="AQ137" i="32"/>
  <c r="AT137" i="32"/>
  <c r="AT73" i="32"/>
  <c r="AQ73" i="32"/>
  <c r="AQ15" i="32"/>
  <c r="AT15" i="32"/>
  <c r="AT116" i="32"/>
  <c r="AT61" i="32"/>
  <c r="AQ61" i="32"/>
  <c r="AQ10" i="32"/>
  <c r="AT10" i="32"/>
  <c r="AT42" i="32"/>
  <c r="AQ42" i="32"/>
  <c r="AQ46" i="32"/>
  <c r="AT46" i="32"/>
  <c r="AQ63" i="32"/>
  <c r="AT63" i="32"/>
  <c r="AQ6" i="32"/>
  <c r="AT6" i="32"/>
  <c r="AT131" i="32"/>
  <c r="AT66" i="32"/>
  <c r="AQ66" i="32"/>
  <c r="AT81" i="32"/>
  <c r="AQ81" i="32"/>
  <c r="AT7" i="32"/>
  <c r="AQ7" i="32"/>
  <c r="AT91" i="32"/>
  <c r="AT34" i="32"/>
  <c r="AQ34" i="32"/>
  <c r="AT68" i="32"/>
  <c r="AQ68" i="32"/>
  <c r="AT90" i="32"/>
  <c r="AQ90" i="32"/>
  <c r="AT76" i="32"/>
  <c r="AQ76" i="32"/>
  <c r="AQ64" i="32"/>
  <c r="AT64" i="32"/>
  <c r="AQ89" i="32"/>
  <c r="AT89" i="32"/>
  <c r="AT133" i="32"/>
  <c r="AQ19" i="32"/>
  <c r="AT19" i="32"/>
  <c r="AT99" i="32"/>
  <c r="AQ39" i="32"/>
  <c r="AT39" i="32"/>
  <c r="AT140" i="32"/>
  <c r="AQ140" i="32"/>
  <c r="AQ57" i="32"/>
  <c r="AT57" i="32"/>
  <c r="AT145" i="32"/>
  <c r="AQ145" i="32"/>
  <c r="AT5" i="32"/>
  <c r="AQ5" i="32"/>
  <c r="AT105" i="32"/>
  <c r="AT37" i="32"/>
  <c r="AQ37" i="32"/>
  <c r="AT56" i="32"/>
  <c r="AQ56" i="32"/>
  <c r="AQ69" i="32"/>
  <c r="AT69" i="32"/>
  <c r="AT127" i="32"/>
  <c r="AQ14" i="32"/>
  <c r="AT14" i="32"/>
  <c r="AQ88" i="32"/>
  <c r="AT88" i="32"/>
  <c r="AQ67" i="32"/>
  <c r="AT67" i="32"/>
  <c r="AT100" i="32"/>
  <c r="AQ85" i="32"/>
  <c r="AT85" i="32"/>
  <c r="AT142" i="32"/>
  <c r="AQ142" i="32"/>
  <c r="AT83" i="32"/>
  <c r="AQ83" i="32"/>
  <c r="AQ36" i="32"/>
  <c r="AT36" i="32"/>
  <c r="AT107" i="32"/>
  <c r="AT51" i="32"/>
  <c r="AQ51" i="32"/>
  <c r="AT119" i="32"/>
  <c r="AT132" i="32"/>
  <c r="AT122" i="32"/>
  <c r="AQ22" i="32"/>
  <c r="AT22" i="32"/>
  <c r="AT48" i="32"/>
  <c r="AQ48" i="32"/>
  <c r="AT65" i="32"/>
  <c r="AQ65" i="32"/>
  <c r="AQ55" i="32"/>
  <c r="AT55" i="32"/>
  <c r="AQ72" i="32"/>
  <c r="AT72" i="32"/>
  <c r="AQ25" i="32"/>
  <c r="AT25" i="32"/>
  <c r="AT31" i="32"/>
  <c r="AQ31" i="32"/>
  <c r="AT129" i="32"/>
  <c r="AT121" i="32"/>
  <c r="AQ79" i="32"/>
  <c r="AT79" i="32"/>
  <c r="AT102" i="32"/>
  <c r="AQ84" i="32"/>
  <c r="AT84" i="32"/>
  <c r="AT106" i="32"/>
  <c r="AT43" i="32"/>
  <c r="AQ43" i="32"/>
  <c r="AT123" i="32"/>
  <c r="AQ53" i="32"/>
  <c r="AT53" i="32"/>
  <c r="AT52" i="32"/>
  <c r="AQ52" i="32"/>
  <c r="AT144" i="32"/>
  <c r="AQ144" i="32"/>
  <c r="AT45" i="32"/>
  <c r="AQ45" i="32"/>
  <c r="AT92" i="32"/>
  <c r="AQ33" i="32"/>
  <c r="AT33" i="32"/>
  <c r="AQ29" i="32"/>
  <c r="AT29" i="32"/>
  <c r="AQ47" i="32"/>
  <c r="AT47" i="32"/>
  <c r="AT77" i="32"/>
  <c r="AQ77" i="32"/>
  <c r="AT11" i="32"/>
  <c r="AQ11" i="32"/>
  <c r="AT59" i="32"/>
  <c r="AQ59" i="32"/>
  <c r="AT32" i="32"/>
  <c r="AQ32" i="32"/>
  <c r="AT50" i="32"/>
  <c r="AQ50" i="32"/>
  <c r="AQ44" i="32"/>
  <c r="AT44" i="32"/>
  <c r="AT143" i="32"/>
  <c r="AQ143" i="32"/>
  <c r="AQ24" i="32"/>
  <c r="AT24" i="32"/>
  <c r="AT30" i="32"/>
  <c r="AQ30" i="32"/>
  <c r="AQ16" i="32"/>
  <c r="AT16" i="32"/>
  <c r="AQ135" i="32"/>
  <c r="AT135" i="32"/>
  <c r="AT87" i="32"/>
  <c r="AQ87" i="32"/>
  <c r="AT40" i="32"/>
  <c r="AQ40" i="32"/>
  <c r="AQ146" i="32"/>
  <c r="AT146" i="32"/>
  <c r="AQ70" i="32"/>
  <c r="AT70" i="32"/>
  <c r="AQ62" i="32"/>
  <c r="AT62" i="32"/>
  <c r="AT26" i="32"/>
  <c r="AQ26" i="32"/>
  <c r="AQ20" i="32"/>
  <c r="AT20" i="32"/>
  <c r="AT23" i="32"/>
  <c r="AQ23" i="32"/>
  <c r="AT124" i="32"/>
  <c r="AT28" i="32"/>
  <c r="AQ28" i="32"/>
  <c r="AQ139" i="32"/>
  <c r="AT139" i="32"/>
  <c r="AT104" i="32"/>
  <c r="AT136" i="32"/>
  <c r="AQ136" i="32"/>
  <c r="AT115" i="32"/>
  <c r="AT95" i="32"/>
  <c r="AQ13" i="32"/>
  <c r="AT13" i="32"/>
  <c r="AT109" i="32"/>
  <c r="AT49" i="32"/>
  <c r="AQ49" i="32"/>
</calcChain>
</file>

<file path=xl/sharedStrings.xml><?xml version="1.0" encoding="utf-8"?>
<sst xmlns="http://schemas.openxmlformats.org/spreadsheetml/2006/main" count="7215" uniqueCount="4068">
  <si>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</si>
  <si>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</si>
  <si>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</si>
  <si>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</si>
  <si>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</si>
  <si>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</si>
  <si>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</si>
  <si>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</si>
  <si>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</si>
  <si>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</si>
  <si>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</si>
  <si>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</si>
  <si>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</si>
  <si>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</si>
  <si>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</si>
  <si>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</si>
  <si>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</si>
  <si>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</si>
  <si>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</si>
  <si>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</si>
  <si>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</si>
  <si>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</si>
  <si>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</si>
  <si>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</si>
  <si>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</si>
  <si>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</si>
  <si>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</si>
  <si>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</si>
  <si>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</si>
  <si>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</si>
  <si>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</si>
  <si>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</si>
  <si>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</si>
  <si>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</si>
  <si>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</si>
  <si>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</si>
  <si>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</si>
  <si>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</si>
  <si>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</si>
  <si>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</si>
  <si>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</si>
  <si>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</si>
  <si>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</si>
  <si>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</si>
  <si>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</si>
  <si>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</si>
  <si>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</si>
  <si>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</si>
  <si>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</si>
  <si>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</si>
  <si>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</si>
  <si>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</si>
  <si>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</si>
  <si>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</si>
  <si>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</si>
  <si>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</si>
  <si>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</si>
  <si>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</si>
  <si>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</si>
  <si>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</si>
  <si>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</si>
  <si>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</si>
  <si>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</si>
  <si>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</si>
  <si>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</si>
  <si>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</si>
  <si>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</si>
  <si>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</si>
  <si>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</si>
  <si>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</si>
  <si>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</si>
  <si>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</si>
  <si>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</si>
  <si>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</si>
  <si>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</si>
  <si>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</si>
  <si>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</si>
  <si>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</si>
  <si>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</si>
  <si>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</si>
  <si>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</si>
  <si>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</si>
  <si>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</si>
  <si>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</si>
  <si>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</si>
  <si>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</si>
  <si>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</si>
  <si>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</si>
  <si>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</si>
  <si>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</si>
  <si>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</si>
  <si>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</si>
  <si>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</si>
  <si>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</si>
  <si>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</si>
  <si>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</si>
  <si>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</si>
  <si>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</si>
  <si>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</si>
  <si>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</si>
  <si>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</si>
  <si>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</si>
  <si>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</si>
  <si>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</si>
  <si>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</si>
  <si>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</si>
  <si>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</si>
  <si>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</si>
  <si>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</si>
  <si>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</si>
  <si>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</si>
  <si>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</si>
  <si>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</si>
  <si>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</si>
  <si>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</si>
  <si>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</si>
  <si>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</si>
  <si>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</si>
  <si>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</si>
  <si>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</si>
  <si>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</si>
  <si>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</si>
  <si>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</si>
  <si>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</si>
  <si>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</si>
  <si>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</si>
  <si>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</si>
  <si>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</si>
  <si>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</si>
  <si>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</si>
  <si>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</si>
  <si>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</si>
  <si>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</si>
  <si>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</si>
  <si>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</si>
  <si>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</si>
  <si>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</si>
  <si>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</si>
  <si>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</si>
  <si>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</si>
  <si>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</si>
  <si>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</si>
  <si>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</si>
  <si>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</si>
  <si>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</si>
  <si>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</si>
  <si>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</si>
  <si>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</si>
  <si>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</si>
  <si>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</si>
  <si>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</si>
  <si>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</si>
  <si>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</si>
  <si>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</si>
  <si>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</si>
  <si>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</si>
  <si>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</si>
  <si>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</si>
  <si>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</si>
  <si>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</si>
  <si>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</si>
  <si>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</si>
  <si>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</si>
  <si>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</si>
  <si>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</si>
  <si>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</si>
  <si>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</si>
  <si>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</si>
  <si>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</si>
  <si>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</si>
  <si>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</si>
  <si>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</si>
  <si>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</si>
  <si>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</si>
  <si>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</si>
  <si>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</si>
  <si>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</si>
  <si>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</si>
  <si>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</si>
  <si>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</si>
  <si>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</si>
  <si>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</si>
  <si>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</si>
  <si>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</si>
  <si>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</si>
  <si>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</si>
  <si>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</si>
  <si>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</si>
  <si>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</si>
  <si>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</si>
  <si>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</si>
  <si>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</si>
  <si>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</si>
  <si>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</si>
  <si>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</si>
  <si>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</si>
  <si>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</si>
  <si>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</si>
  <si>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</si>
  <si>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</si>
  <si>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</si>
  <si>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</si>
  <si>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</si>
  <si>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</si>
  <si>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</si>
  <si>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</si>
  <si>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</si>
  <si>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</si>
  <si>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</si>
  <si>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</si>
  <si>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</si>
  <si>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</si>
  <si>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</si>
  <si>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</si>
  <si>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</si>
  <si>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</si>
  <si>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</si>
  <si>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</si>
  <si>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</si>
  <si>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</si>
  <si>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</si>
  <si>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</si>
  <si>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</si>
  <si>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</si>
  <si>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</si>
  <si>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</si>
  <si>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</si>
  <si>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</si>
  <si>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</si>
  <si>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</si>
  <si>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</si>
  <si>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</si>
  <si>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</si>
  <si>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</si>
  <si>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</si>
  <si>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</si>
  <si>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</si>
  <si>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</si>
  <si>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</si>
  <si>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</si>
  <si>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</si>
  <si>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</si>
  <si>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</si>
  <si>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</si>
  <si>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</si>
  <si>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</si>
  <si>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</si>
  <si>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</si>
  <si>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</si>
  <si>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</si>
  <si>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</si>
  <si>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</si>
  <si>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</si>
  <si>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</si>
  <si>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</si>
  <si>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</si>
  <si>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</si>
  <si>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</si>
  <si>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</si>
  <si>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</si>
  <si>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</si>
  <si>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</si>
  <si>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</si>
  <si>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</si>
  <si>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</si>
  <si>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</si>
  <si>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</si>
  <si>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</si>
  <si>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</si>
  <si>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</si>
  <si>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</si>
  <si>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</si>
  <si>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</si>
  <si>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</si>
  <si>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</si>
  <si>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</si>
  <si>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</si>
  <si>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</si>
  <si>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</si>
  <si>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</si>
  <si>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</si>
  <si>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</si>
  <si>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</si>
  <si>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</si>
  <si>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</si>
  <si>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</si>
  <si>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</si>
  <si>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</si>
  <si>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</si>
  <si>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</si>
  <si>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</si>
  <si>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</si>
  <si>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</si>
  <si>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</si>
  <si>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</si>
  <si>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</si>
  <si>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</si>
  <si>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</si>
  <si>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</si>
  <si>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</si>
  <si>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</si>
  <si>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</si>
  <si>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</si>
  <si>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</si>
  <si>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</si>
  <si>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</si>
  <si>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</si>
  <si>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</si>
  <si>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</si>
  <si>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</si>
  <si>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</si>
  <si>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</si>
  <si>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</si>
  <si>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</si>
  <si>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</si>
  <si>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</si>
  <si>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</si>
  <si>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</si>
  <si>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</si>
  <si>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</si>
  <si>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</si>
  <si>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</si>
  <si>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</si>
  <si>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</si>
  <si>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</si>
  <si>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</si>
  <si>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</si>
  <si>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</si>
  <si>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</si>
  <si>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</si>
  <si>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</si>
  <si>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</si>
  <si>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</si>
  <si>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</si>
  <si>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</si>
  <si>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</si>
  <si>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</si>
  <si>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</si>
  <si>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</si>
  <si>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</si>
  <si>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</si>
  <si>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</si>
  <si>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</si>
  <si>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</si>
  <si>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</si>
  <si>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</si>
  <si>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</si>
  <si>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</si>
  <si>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</si>
  <si>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</si>
  <si>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</si>
  <si>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</si>
  <si>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</si>
  <si>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</si>
  <si>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</si>
  <si>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</si>
  <si>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</si>
  <si>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</si>
  <si>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</si>
  <si>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</si>
  <si>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</si>
  <si>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</si>
  <si>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</si>
  <si>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</si>
  <si>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</si>
  <si>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</si>
  <si>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</si>
  <si>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</si>
  <si>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</si>
  <si>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</si>
  <si>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</si>
  <si>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</si>
  <si>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</si>
  <si>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</si>
  <si>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</si>
  <si>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</si>
  <si>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</si>
  <si>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</si>
  <si>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</si>
  <si>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</si>
  <si>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</si>
  <si>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</si>
  <si>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</si>
  <si>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</si>
  <si>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</si>
  <si>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</si>
  <si>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</si>
  <si>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</si>
  <si>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</si>
  <si>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</si>
  <si>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</si>
  <si>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</si>
  <si>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</si>
  <si>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</si>
  <si>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</si>
  <si>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</si>
  <si>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</si>
  <si>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</si>
  <si>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</si>
  <si>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</si>
  <si>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</si>
  <si>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</si>
  <si>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</si>
  <si>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</si>
  <si>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</si>
  <si>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</si>
  <si>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</si>
  <si>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</si>
  <si>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</si>
  <si>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</si>
  <si>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</si>
  <si>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</si>
  <si>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</si>
  <si>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</si>
  <si>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</si>
  <si>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</si>
  <si>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</si>
  <si>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</si>
  <si>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</si>
  <si>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</si>
  <si>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</si>
  <si>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</si>
  <si>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</si>
  <si>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</si>
  <si>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</si>
  <si>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</si>
  <si>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</si>
  <si>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</si>
  <si>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</si>
  <si>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</si>
  <si>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</si>
  <si>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</si>
  <si>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</si>
  <si>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</si>
  <si>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</si>
  <si>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</si>
  <si>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</si>
  <si>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</si>
  <si>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</si>
  <si>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</si>
  <si>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</si>
  <si>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</si>
  <si>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</si>
  <si>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</si>
  <si>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</si>
  <si>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</si>
  <si>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</si>
  <si>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</si>
  <si>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</si>
  <si>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</si>
  <si>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</si>
  <si>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</si>
  <si>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</si>
  <si>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</si>
  <si>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</si>
  <si>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</si>
  <si>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</si>
  <si>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</si>
  <si>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</si>
  <si>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</si>
  <si>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</si>
  <si>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</si>
  <si>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</si>
  <si>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</si>
  <si>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</si>
  <si>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</si>
  <si>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</si>
  <si>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</si>
  <si>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</si>
  <si>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</si>
  <si>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</si>
  <si>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</si>
  <si>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</si>
  <si>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</si>
  <si>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</si>
  <si>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</si>
  <si>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</si>
  <si>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</si>
  <si>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</si>
  <si>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</si>
  <si>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</si>
  <si>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</si>
  <si>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</si>
  <si>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</si>
  <si>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</si>
  <si>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</si>
  <si>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</si>
  <si>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</si>
  <si>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</si>
  <si>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</si>
  <si>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</si>
  <si>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</si>
  <si>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</si>
  <si>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</si>
  <si>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</si>
  <si>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</si>
  <si>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</si>
  <si>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</si>
  <si>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</si>
  <si>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</si>
  <si>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</si>
  <si>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</si>
  <si>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</si>
  <si>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</si>
  <si>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</si>
  <si>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</si>
  <si>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</si>
  <si>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</si>
  <si>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</si>
  <si>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</si>
  <si>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</si>
  <si>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</si>
  <si>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</si>
  <si>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</si>
  <si>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</si>
  <si>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</si>
  <si>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</si>
  <si>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</si>
  <si>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</si>
  <si>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</si>
  <si>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</si>
  <si>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</si>
  <si>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</si>
  <si>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</si>
  <si>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</si>
  <si>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</si>
  <si>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</si>
  <si>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</si>
  <si>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</si>
  <si>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</si>
  <si>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</si>
  <si>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</si>
  <si>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</si>
  <si>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</si>
  <si>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</si>
  <si>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</si>
  <si>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</si>
  <si>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</si>
  <si>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</si>
  <si>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</si>
  <si>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</si>
  <si>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</si>
  <si>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</si>
  <si>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</si>
  <si>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</si>
  <si>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</si>
  <si>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</si>
  <si>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</si>
  <si>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</si>
  <si>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</si>
  <si>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</si>
  <si>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</si>
  <si>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</si>
  <si>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</si>
  <si>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</si>
  <si>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</si>
  <si>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</si>
  <si>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</si>
  <si>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</si>
  <si>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</si>
  <si>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</si>
  <si>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</si>
  <si>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</si>
  <si>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</si>
  <si>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</si>
  <si>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</si>
  <si>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</si>
  <si>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</si>
  <si>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</si>
  <si>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</si>
  <si>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</si>
  <si>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</si>
  <si>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</si>
  <si>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</si>
  <si>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</si>
  <si>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</si>
  <si>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</si>
  <si>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</si>
  <si>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</si>
  <si>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</si>
  <si>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</si>
  <si>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</si>
  <si>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</si>
  <si>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</si>
  <si>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</si>
  <si>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</si>
  <si>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</si>
  <si>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</si>
  <si>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</si>
  <si>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</si>
  <si>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</si>
  <si>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</si>
  <si>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</si>
  <si>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</si>
  <si>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</si>
  <si>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</si>
  <si>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</si>
  <si>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</si>
  <si>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</si>
  <si>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</si>
  <si>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</si>
  <si>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</si>
  <si>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</si>
  <si>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</si>
  <si>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</si>
  <si>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</si>
  <si>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</si>
  <si>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</si>
  <si>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</si>
  <si>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</si>
  <si>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</si>
  <si>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</si>
  <si>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</si>
  <si>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</si>
  <si>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</si>
  <si>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</si>
  <si>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</si>
  <si>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</si>
  <si>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</si>
  <si>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</si>
  <si>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</si>
  <si>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</si>
  <si>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</si>
  <si>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</si>
  <si>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</si>
  <si>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</si>
  <si>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</si>
  <si>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</si>
  <si>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</si>
  <si>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</si>
  <si>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</si>
  <si>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</si>
  <si>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</si>
  <si>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</si>
  <si>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</si>
  <si>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</si>
  <si>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</si>
  <si>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</si>
  <si>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</si>
  <si>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</si>
  <si>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</si>
  <si>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</si>
  <si>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</si>
  <si>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</si>
  <si>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</si>
  <si>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</si>
  <si>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</si>
  <si>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</si>
  <si>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</si>
  <si>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</si>
  <si>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</si>
  <si>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</si>
  <si>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</si>
  <si>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</si>
  <si>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</si>
  <si>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</si>
  <si>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</si>
  <si>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</si>
  <si>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</si>
  <si>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</si>
  <si>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</si>
  <si>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</si>
  <si>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</si>
  <si>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</si>
  <si>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</si>
  <si>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</si>
  <si>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</si>
  <si>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</si>
  <si>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</si>
  <si>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</si>
  <si>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</si>
  <si>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</si>
  <si>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</si>
  <si>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</si>
  <si>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</si>
  <si>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</si>
  <si>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</si>
  <si>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</si>
  <si>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</si>
  <si>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</si>
  <si>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</si>
  <si>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</si>
  <si>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</si>
  <si>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</si>
  <si>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</si>
  <si>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</si>
  <si>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</si>
  <si>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</si>
  <si>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</si>
  <si>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</si>
  <si>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</si>
  <si>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</si>
  <si>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</si>
  <si>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</si>
  <si>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</si>
  <si>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</si>
  <si>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</si>
  <si>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</si>
  <si>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</si>
  <si>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</si>
  <si>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</si>
  <si>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</si>
  <si>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</si>
  <si>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</si>
  <si>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</si>
  <si>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</si>
  <si>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</si>
  <si>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</si>
  <si>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</si>
  <si>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</si>
  <si>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</si>
  <si>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</si>
  <si>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</si>
  <si>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</si>
  <si>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</si>
  <si>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</si>
  <si>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</si>
  <si>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</si>
  <si>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</si>
  <si>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</si>
  <si>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</si>
  <si>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</si>
  <si>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</si>
  <si>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</si>
  <si>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</si>
  <si>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</si>
  <si>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</si>
  <si>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</si>
  <si>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</si>
  <si>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</si>
  <si>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</si>
  <si>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</si>
  <si>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</si>
  <si>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</si>
  <si>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</si>
  <si>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</si>
  <si>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</si>
  <si>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</si>
  <si>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</si>
  <si>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</si>
  <si>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</si>
  <si>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</si>
  <si>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</si>
  <si>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</si>
  <si>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</si>
  <si>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</si>
  <si>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</si>
  <si>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</si>
  <si>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</si>
  <si>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</si>
  <si>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</si>
  <si>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</si>
  <si>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</si>
  <si>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</si>
  <si>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</si>
  <si>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</si>
  <si>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</si>
  <si>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</si>
  <si>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</si>
  <si>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</si>
  <si>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</si>
  <si>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</si>
  <si>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</si>
  <si>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</si>
  <si>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</si>
  <si>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</si>
  <si>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</si>
  <si>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</si>
  <si>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</si>
  <si>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</si>
  <si>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</si>
  <si>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</si>
  <si>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</si>
  <si>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</si>
  <si>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</si>
  <si>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</si>
  <si>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</si>
  <si>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</si>
  <si>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</si>
  <si>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</si>
  <si>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</si>
  <si>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</si>
  <si>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</si>
  <si>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</si>
  <si>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</si>
  <si>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</si>
  <si>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</si>
  <si>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</si>
  <si>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</si>
  <si>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</si>
  <si>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</si>
  <si>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</si>
  <si>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</si>
  <si>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</si>
  <si>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</si>
  <si>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</si>
  <si>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</si>
  <si>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</si>
  <si>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</si>
  <si>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</si>
  <si>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</si>
  <si>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</si>
  <si>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</si>
  <si>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</si>
  <si>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</si>
  <si>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</si>
  <si>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</si>
  <si>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</si>
  <si>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</si>
  <si>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</si>
  <si>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</si>
  <si>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</si>
  <si>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</si>
  <si>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</si>
  <si>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</si>
  <si>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</si>
  <si>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</si>
  <si>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</si>
  <si>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</si>
  <si>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</si>
  <si>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</si>
  <si>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</si>
  <si>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</si>
  <si>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</si>
  <si>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</si>
  <si>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</si>
  <si>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</si>
  <si>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</si>
  <si>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</si>
  <si>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</si>
  <si>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</si>
  <si>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</si>
  <si>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</si>
  <si>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</si>
  <si>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</si>
  <si>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</si>
  <si>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</si>
  <si>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</si>
  <si>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</si>
  <si>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</si>
  <si>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</si>
  <si>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</si>
  <si>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</si>
  <si>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</si>
  <si>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</si>
  <si>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</si>
  <si>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</si>
  <si>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</si>
  <si>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</si>
  <si>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</si>
  <si>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</si>
  <si>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</si>
  <si>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</si>
  <si>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</si>
  <si>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</si>
  <si>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</si>
  <si>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</si>
  <si>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</si>
  <si>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</si>
  <si>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</si>
  <si>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</si>
  <si>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</si>
  <si>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</si>
  <si>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</si>
  <si>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</si>
  <si>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</si>
  <si>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</si>
  <si>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</si>
  <si>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</si>
  <si>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</si>
  <si>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</si>
  <si>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</si>
  <si>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</si>
  <si>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</si>
  <si>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</si>
  <si>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</si>
  <si>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</si>
  <si>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</si>
  <si>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</si>
  <si>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</si>
  <si>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</si>
  <si>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</si>
  <si>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</si>
  <si>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</si>
  <si>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</si>
  <si>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</si>
  <si>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</si>
  <si>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</si>
  <si>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</si>
  <si>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</si>
  <si>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</si>
  <si>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</si>
  <si>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</si>
  <si>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</si>
  <si>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</si>
  <si>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</si>
  <si>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</si>
  <si>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</si>
  <si>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</si>
  <si>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</si>
  <si>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</si>
  <si>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</si>
  <si>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</si>
  <si>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</si>
  <si>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</si>
  <si>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</si>
  <si>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</si>
  <si>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</si>
  <si>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</si>
  <si>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</si>
  <si>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</si>
  <si>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</si>
  <si>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</si>
  <si>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</si>
  <si>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</si>
  <si>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</si>
  <si>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</si>
  <si>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</si>
  <si>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</si>
  <si>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</si>
  <si>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</si>
  <si>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</si>
  <si>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</si>
  <si>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</si>
  <si>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</si>
  <si>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</si>
  <si>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</si>
  <si>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</si>
  <si>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</si>
  <si>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</si>
  <si>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</si>
  <si>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</si>
  <si>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</si>
  <si>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</si>
  <si>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</si>
  <si>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</si>
  <si>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</si>
  <si>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</si>
  <si>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</si>
  <si>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</si>
  <si>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</si>
  <si>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</si>
  <si>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</si>
  <si>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</si>
  <si>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</si>
  <si>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</si>
  <si>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</si>
  <si>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</si>
  <si>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</si>
  <si>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</si>
  <si>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</si>
  <si>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</si>
  <si>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</si>
  <si>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</si>
  <si>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</si>
  <si>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</si>
  <si>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</si>
  <si>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</si>
  <si>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</si>
  <si>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</si>
  <si>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</si>
  <si>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</si>
  <si>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</si>
  <si>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</si>
  <si>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</si>
  <si>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</si>
  <si>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</si>
  <si>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</si>
  <si>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</si>
  <si>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</si>
  <si>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</si>
  <si>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</si>
  <si>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</si>
  <si>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</si>
  <si>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</si>
  <si>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</si>
  <si>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</si>
  <si>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</si>
  <si>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</si>
  <si>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</si>
  <si>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</si>
  <si>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</si>
  <si>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</si>
  <si>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</si>
  <si>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</si>
  <si>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</si>
  <si>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</si>
  <si>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</si>
  <si>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</si>
  <si>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</si>
  <si>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</si>
  <si>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</si>
  <si>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</si>
  <si>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</si>
  <si>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</si>
  <si>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</si>
  <si>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</si>
  <si>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</si>
  <si>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</si>
  <si>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</si>
  <si>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</si>
  <si>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</si>
  <si>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</si>
  <si>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</si>
  <si>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</si>
  <si>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</si>
  <si>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</si>
  <si>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</si>
  <si>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</si>
  <si>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</si>
  <si>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</si>
  <si>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</si>
  <si>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</si>
  <si>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</si>
  <si>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</si>
  <si>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</si>
  <si>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</si>
  <si>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</si>
  <si>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</si>
  <si>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</si>
  <si>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</si>
  <si>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</si>
  <si>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</si>
  <si>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</si>
  <si>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</si>
  <si>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</si>
  <si>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</si>
  <si>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</si>
  <si>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</si>
  <si>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</si>
  <si>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</si>
  <si>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</si>
  <si>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</si>
  <si>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</si>
  <si>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</si>
  <si>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</si>
  <si>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</si>
  <si>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</si>
  <si>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</si>
  <si>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</si>
  <si>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</si>
  <si>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</si>
  <si>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</si>
  <si>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</si>
  <si>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</si>
  <si>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</si>
  <si>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</si>
  <si>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</si>
  <si>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</si>
  <si>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</si>
  <si>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</si>
  <si>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</si>
  <si>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</si>
  <si>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</si>
  <si>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</si>
  <si>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</si>
  <si>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</si>
  <si>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</si>
  <si>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</si>
  <si>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</si>
  <si>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</si>
  <si>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</si>
  <si>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</si>
  <si>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</si>
  <si>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</si>
  <si>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</si>
  <si>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</si>
  <si>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</si>
  <si>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</si>
  <si>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</si>
  <si>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</si>
  <si>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</si>
  <si>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</si>
  <si>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</si>
  <si>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</si>
  <si>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</si>
  <si>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</si>
  <si>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</si>
  <si>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</si>
  <si>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</si>
  <si>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</si>
  <si>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</si>
  <si>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</si>
  <si>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</si>
  <si>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</si>
  <si>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</si>
  <si>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</si>
  <si>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</si>
  <si>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</si>
  <si>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</si>
  <si>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</si>
  <si>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</si>
  <si>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</si>
  <si>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</si>
  <si>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</si>
  <si>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</si>
  <si>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</si>
  <si>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</si>
  <si>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</si>
  <si>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</si>
  <si>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</si>
  <si>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</si>
  <si>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</si>
  <si>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</si>
  <si>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</si>
  <si>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</si>
  <si>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</si>
  <si>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</si>
  <si>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</si>
  <si>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</si>
  <si>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</si>
  <si>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</si>
  <si>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</si>
  <si>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</si>
  <si>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</si>
  <si>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</si>
  <si>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</si>
  <si>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</si>
  <si>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</si>
  <si>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</si>
  <si>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</si>
  <si>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</si>
  <si>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</si>
  <si>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</si>
  <si>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</si>
  <si>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</si>
  <si>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</si>
  <si>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</si>
  <si>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</si>
  <si>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</si>
  <si>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</si>
  <si>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</si>
  <si>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</si>
  <si>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</si>
  <si>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</si>
  <si>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</si>
  <si>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</si>
  <si>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</si>
  <si>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</si>
  <si>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</si>
  <si>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</si>
  <si>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</si>
  <si>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</si>
  <si>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</si>
  <si>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</si>
  <si>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</si>
  <si>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</si>
  <si>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</si>
  <si>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</si>
  <si>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</si>
  <si>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</si>
  <si>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</si>
  <si>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</si>
  <si>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</si>
  <si>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</si>
  <si>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</si>
  <si>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</si>
  <si>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</si>
  <si>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</si>
  <si>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</si>
  <si>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</si>
  <si>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</si>
  <si>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</si>
  <si>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</si>
  <si>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</si>
  <si>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</si>
  <si>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</si>
  <si>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</si>
  <si>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</si>
  <si>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</si>
  <si>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</si>
  <si>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</si>
  <si>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</si>
  <si>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</si>
  <si>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</si>
  <si>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</si>
  <si>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</si>
  <si>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</si>
  <si>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</si>
  <si>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</si>
  <si>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</si>
  <si>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</si>
  <si>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</si>
  <si>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</si>
  <si>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</si>
  <si>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</si>
  <si>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</si>
  <si>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</si>
  <si>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</si>
  <si>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</si>
  <si>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</si>
  <si>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</si>
  <si>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</si>
  <si>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</si>
  <si>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</si>
  <si>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</si>
  <si>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</si>
  <si>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</si>
  <si>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</si>
  <si>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</si>
  <si>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</si>
  <si>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</si>
  <si>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</si>
  <si>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</si>
  <si>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</si>
  <si>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</si>
  <si>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</si>
  <si>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</si>
  <si>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</si>
  <si>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</si>
  <si>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</si>
  <si>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</si>
  <si>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</si>
  <si>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</si>
  <si>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</si>
  <si>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</si>
  <si>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</si>
  <si>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</si>
  <si>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</si>
  <si>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</si>
  <si>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</si>
  <si>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</si>
  <si>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</si>
  <si>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</si>
  <si>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</si>
  <si>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</si>
  <si>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</si>
  <si>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</si>
  <si>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</si>
  <si>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</si>
  <si>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</si>
  <si>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</si>
  <si>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</si>
  <si>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</si>
  <si>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</si>
  <si>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</si>
  <si>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</si>
  <si>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</si>
  <si>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</si>
  <si>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</si>
  <si>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</si>
  <si>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</si>
  <si>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</si>
  <si>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</si>
  <si>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</si>
  <si>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</si>
  <si>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</si>
  <si>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</si>
  <si>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</si>
  <si>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</si>
  <si>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</si>
  <si>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</si>
  <si>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</si>
  <si>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</si>
  <si>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</si>
  <si>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</si>
  <si>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</si>
  <si>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</si>
  <si>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</si>
  <si>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</si>
  <si>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</si>
  <si>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</si>
  <si>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</si>
  <si>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</si>
  <si>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</si>
  <si>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</si>
  <si>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</si>
  <si>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</si>
  <si>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</si>
  <si>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</si>
  <si>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</si>
  <si>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</si>
  <si>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</si>
  <si>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</si>
  <si>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</si>
  <si>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</si>
  <si>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</si>
  <si>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</si>
  <si>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</si>
  <si>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</si>
  <si>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</si>
  <si>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</si>
  <si>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</si>
  <si>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</si>
  <si>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</si>
  <si>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</si>
  <si>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</si>
  <si>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</si>
  <si>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</si>
  <si>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</si>
  <si>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</si>
  <si>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</si>
  <si>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</si>
  <si>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</si>
  <si>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</si>
  <si>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</si>
  <si>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</si>
  <si>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</si>
  <si>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</si>
  <si>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</si>
  <si>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</si>
  <si>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</si>
  <si>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</si>
  <si>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</si>
  <si>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</si>
  <si>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</si>
  <si>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</si>
  <si>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</si>
  <si>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</si>
  <si>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</si>
  <si>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</si>
  <si>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</si>
  <si>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</si>
  <si>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</si>
  <si>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</si>
  <si>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</si>
  <si>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</si>
  <si>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</si>
  <si>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</si>
  <si>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</si>
  <si>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</si>
  <si>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</si>
  <si>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</si>
  <si>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</si>
  <si>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</si>
  <si>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</si>
  <si>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</si>
  <si>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</si>
  <si>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</si>
  <si>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</si>
  <si>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</si>
  <si>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</si>
  <si>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</si>
  <si>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</si>
  <si>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</si>
  <si>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</si>
  <si>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</si>
  <si>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</si>
  <si>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</si>
  <si>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</si>
  <si>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</si>
  <si>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</si>
  <si>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</si>
  <si>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</si>
  <si>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</si>
  <si>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</si>
  <si>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</si>
  <si>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</si>
  <si>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</si>
  <si>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</si>
  <si>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</si>
  <si>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</si>
  <si>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</si>
  <si>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</si>
  <si>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</si>
  <si>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</si>
  <si>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</si>
  <si>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</si>
  <si>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</si>
  <si>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</si>
  <si>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</si>
  <si>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</si>
  <si>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</si>
  <si>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</si>
  <si>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</si>
  <si>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</si>
  <si>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</si>
  <si>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</si>
  <si>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</si>
  <si>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</si>
  <si>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</si>
  <si>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</si>
  <si>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</si>
  <si>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</si>
  <si>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</si>
  <si>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</si>
  <si>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</si>
  <si>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</si>
  <si>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</si>
  <si>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</si>
  <si>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</si>
  <si>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</si>
  <si>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</si>
  <si>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</si>
  <si>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</si>
  <si>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</si>
  <si>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</si>
  <si>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</si>
  <si>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</si>
  <si>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</si>
  <si>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</si>
  <si>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</si>
  <si>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</si>
  <si>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</si>
  <si>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</si>
  <si>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</si>
  <si>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</si>
  <si>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</si>
  <si>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</si>
  <si>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</si>
  <si>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</si>
  <si>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</si>
  <si>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</si>
  <si>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</si>
  <si>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</si>
  <si>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</si>
  <si>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</si>
  <si>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</si>
  <si>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</si>
  <si>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</si>
  <si>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</si>
  <si>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</si>
  <si>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</si>
  <si>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</si>
  <si>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</si>
  <si>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</si>
  <si>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</si>
  <si>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</si>
  <si>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</si>
  <si>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</si>
  <si>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</si>
  <si>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</si>
  <si>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</si>
  <si>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</si>
  <si>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</si>
  <si>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</si>
  <si>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</si>
  <si>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</si>
  <si>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</si>
  <si>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</si>
  <si>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</si>
  <si>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</si>
  <si>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</si>
  <si>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</si>
  <si>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</si>
  <si>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</si>
  <si>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</si>
  <si>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</si>
  <si>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</si>
  <si>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</si>
  <si>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</si>
  <si>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</si>
  <si>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</si>
  <si>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</si>
  <si>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</si>
  <si>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</si>
  <si>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</si>
  <si>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</si>
  <si>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</si>
  <si>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</si>
  <si>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</si>
  <si>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</si>
  <si>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</si>
  <si>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</si>
  <si>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</si>
  <si>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</si>
  <si>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</si>
  <si>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</si>
  <si>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</si>
  <si>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</si>
  <si>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</si>
  <si>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</si>
  <si>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</si>
  <si>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</si>
  <si>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</si>
  <si>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</si>
  <si>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</si>
  <si>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</si>
  <si>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</si>
  <si>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</si>
  <si>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</si>
  <si>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</si>
  <si>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</si>
  <si>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</si>
  <si>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</si>
  <si>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</si>
  <si>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</si>
  <si>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</si>
  <si>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</si>
  <si>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</si>
  <si>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</si>
  <si>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</si>
  <si>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</si>
  <si>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</si>
  <si>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</si>
  <si>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</si>
  <si>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</si>
  <si>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</si>
  <si>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</si>
  <si>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</si>
  <si>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</si>
  <si>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</si>
  <si>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</si>
  <si>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</si>
  <si>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</si>
  <si>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</si>
  <si>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</si>
  <si>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</si>
  <si>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</si>
  <si>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</si>
  <si>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</si>
  <si>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</si>
  <si>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</si>
  <si>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</si>
  <si>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</si>
  <si>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</si>
  <si>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</si>
  <si>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</si>
  <si>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</si>
  <si>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</si>
  <si>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</si>
  <si>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</si>
  <si>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</si>
  <si>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</si>
  <si>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</si>
  <si>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</si>
  <si>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</si>
  <si>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</si>
  <si>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</si>
  <si>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</si>
  <si>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</si>
  <si>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</si>
  <si>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</si>
  <si>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</si>
  <si>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</si>
  <si>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</si>
  <si>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</si>
  <si>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</si>
  <si>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</si>
  <si>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</si>
  <si>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</si>
  <si>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</si>
  <si>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</si>
  <si>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</si>
  <si>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</si>
  <si>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</si>
  <si>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</si>
  <si>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</si>
  <si>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</si>
  <si>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</si>
  <si>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</si>
  <si>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</si>
  <si>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</si>
  <si>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</si>
  <si>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</si>
  <si>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</si>
  <si>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</si>
  <si>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</si>
  <si>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</si>
  <si>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</si>
  <si>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</si>
  <si>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</si>
  <si>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</si>
  <si>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</si>
  <si>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</si>
  <si>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</si>
  <si>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</si>
  <si>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</si>
  <si>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</si>
  <si>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</si>
  <si>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</si>
  <si>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</si>
  <si>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</si>
  <si>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</si>
  <si>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</si>
  <si>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</si>
  <si>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</si>
  <si>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</si>
  <si>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</si>
  <si>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</si>
  <si>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</si>
  <si>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</si>
  <si>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</si>
  <si>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</si>
  <si>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</si>
  <si>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</si>
  <si>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</si>
  <si>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</si>
  <si>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</si>
  <si>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</si>
  <si>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</si>
  <si>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</si>
  <si>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</si>
  <si>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</si>
  <si>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</si>
  <si>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</si>
  <si>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</si>
  <si>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</si>
  <si>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</si>
  <si>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</si>
  <si>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</si>
  <si>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</si>
  <si>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</si>
  <si>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</si>
  <si>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</si>
  <si>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</si>
  <si>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</si>
  <si>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</si>
  <si>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</si>
  <si>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</si>
  <si>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</si>
  <si>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</si>
  <si>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</si>
  <si>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</si>
  <si>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</si>
  <si>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</si>
  <si>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</si>
  <si>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</si>
  <si>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</si>
  <si>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</si>
  <si>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</si>
  <si>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</si>
  <si>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</si>
  <si>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</si>
  <si>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</si>
  <si>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</si>
  <si>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</si>
  <si>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</si>
  <si>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</si>
  <si>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</si>
  <si>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</si>
  <si>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</si>
  <si>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</si>
  <si>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</si>
  <si>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</si>
  <si>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</si>
  <si>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</si>
  <si>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</si>
  <si>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</si>
  <si>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</si>
  <si>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</si>
  <si>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</si>
  <si>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</si>
  <si>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</si>
  <si>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</si>
  <si>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</si>
  <si>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</si>
  <si>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</si>
  <si>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</si>
  <si>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</si>
  <si>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</si>
  <si>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</si>
  <si>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</si>
  <si>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</si>
  <si>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</si>
  <si>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</si>
  <si>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</si>
  <si>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</si>
  <si>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</si>
  <si>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</si>
  <si>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</si>
  <si>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</si>
  <si>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</si>
  <si>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</si>
  <si>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</si>
  <si>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</si>
  <si>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</si>
  <si>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</si>
  <si>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</si>
  <si>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</si>
  <si>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</si>
  <si>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</si>
  <si>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</si>
  <si>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</si>
  <si>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</si>
  <si>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</si>
  <si>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</si>
  <si>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</si>
  <si>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</si>
  <si>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</si>
  <si>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</si>
  <si>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</si>
  <si>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</si>
  <si>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</si>
  <si>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</si>
  <si>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</si>
  <si>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</si>
  <si>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</si>
  <si>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</si>
  <si>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</si>
  <si>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</si>
  <si>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</si>
  <si>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</si>
  <si>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</si>
  <si>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</si>
  <si>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</si>
  <si>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</si>
  <si>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</si>
  <si>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</si>
  <si>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</si>
  <si>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</si>
  <si>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</si>
  <si>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</si>
  <si>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</si>
  <si>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</si>
  <si>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</si>
  <si>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</si>
  <si>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</si>
  <si>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</si>
  <si>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</si>
  <si>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</si>
  <si>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</si>
  <si>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</si>
  <si>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</si>
  <si>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</si>
  <si>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</si>
  <si>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</si>
  <si>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</si>
  <si>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</si>
  <si>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</si>
  <si>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</si>
  <si>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</si>
  <si>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</si>
  <si>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</si>
  <si>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</si>
  <si>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</si>
  <si>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</si>
  <si>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</si>
  <si>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</si>
  <si>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</si>
  <si>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</si>
  <si>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</si>
  <si>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</si>
  <si>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</si>
  <si>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</si>
  <si>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</si>
  <si>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</si>
  <si>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</si>
  <si>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</si>
  <si>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</si>
  <si>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</si>
  <si>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</si>
  <si>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</si>
  <si>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</si>
  <si>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</si>
  <si>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</si>
  <si>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</si>
  <si>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</si>
  <si>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</si>
  <si>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</si>
  <si>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</si>
  <si>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</si>
  <si>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</si>
  <si>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</si>
  <si>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</si>
  <si>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</si>
  <si>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</si>
  <si>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</si>
  <si>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</si>
  <si>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</si>
  <si>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</si>
  <si>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</si>
  <si>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</si>
  <si>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</si>
  <si>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</si>
  <si>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</si>
  <si>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</si>
  <si>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</si>
  <si>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</si>
  <si>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</si>
  <si>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</si>
  <si>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</si>
  <si>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</si>
  <si>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</si>
  <si>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</si>
  <si>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</si>
  <si>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</si>
  <si>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</si>
  <si>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</si>
  <si>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</si>
  <si>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</si>
  <si>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</si>
  <si>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</si>
  <si>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</si>
  <si>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</si>
  <si>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</si>
  <si>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</si>
  <si>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</si>
  <si>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</si>
  <si>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</si>
  <si>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</si>
  <si>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</si>
  <si>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</si>
  <si>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</si>
  <si>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</si>
  <si>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</si>
  <si>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</si>
  <si>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</si>
  <si>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</si>
  <si>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</si>
  <si>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</si>
  <si>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</si>
  <si>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</si>
  <si>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</si>
  <si>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</si>
  <si>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</si>
  <si>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</si>
  <si>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</si>
  <si>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</si>
  <si>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</si>
  <si>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</si>
  <si>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</si>
  <si>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</si>
  <si>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</si>
  <si>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</si>
  <si>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</si>
  <si>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</si>
  <si>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</si>
  <si>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</si>
  <si>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</si>
  <si>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</si>
  <si>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</si>
  <si>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</si>
  <si>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</si>
  <si>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</si>
  <si>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</si>
  <si>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</si>
  <si>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</si>
  <si>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</si>
  <si>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</si>
  <si>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</si>
  <si>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</si>
  <si>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</si>
  <si>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</si>
  <si>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</si>
  <si>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</si>
  <si>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</si>
  <si>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</si>
  <si>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</si>
  <si>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</si>
  <si>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</si>
  <si>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</si>
  <si>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</si>
  <si>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</si>
  <si>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</si>
  <si>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</si>
  <si>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</si>
  <si>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</si>
  <si>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</si>
  <si>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</si>
  <si>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</si>
  <si>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</si>
  <si>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</si>
  <si>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</si>
  <si>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</si>
  <si>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</si>
  <si>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</si>
  <si>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</si>
  <si>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</si>
  <si>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</si>
  <si>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</si>
  <si>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</si>
  <si>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</si>
  <si>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</si>
  <si>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</si>
  <si>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</si>
  <si>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</si>
  <si>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</si>
  <si>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</si>
  <si>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</si>
  <si>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</si>
  <si>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</si>
  <si>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</si>
  <si>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</si>
  <si>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</si>
  <si>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</si>
  <si>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</si>
  <si>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</si>
  <si>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</si>
  <si>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</si>
  <si>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</si>
  <si>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</si>
  <si>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</si>
  <si>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</si>
  <si>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</si>
  <si>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</si>
  <si>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</si>
  <si>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</si>
  <si>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</si>
  <si>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</si>
  <si>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</si>
  <si>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</si>
  <si>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</si>
  <si>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</si>
  <si>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</si>
  <si>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</si>
  <si>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</si>
  <si>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</si>
  <si>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</si>
  <si>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</si>
  <si>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</si>
  <si>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</si>
  <si>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</si>
  <si>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</si>
  <si>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</si>
  <si>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</si>
  <si>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</si>
  <si>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</si>
  <si>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</si>
  <si>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</si>
  <si>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</si>
  <si>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</si>
  <si>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</si>
  <si>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</si>
  <si>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</si>
  <si>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</si>
  <si>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</si>
  <si>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</si>
  <si>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</si>
  <si>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</si>
  <si>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</si>
  <si>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</si>
  <si>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</si>
  <si>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</si>
  <si>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</si>
  <si>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</si>
  <si>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</si>
  <si>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</si>
  <si>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</si>
  <si>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</si>
  <si>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</si>
  <si>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</si>
  <si>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</si>
  <si>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</si>
  <si>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</si>
  <si>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</si>
  <si>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</si>
  <si>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</si>
  <si>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</si>
  <si>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</si>
  <si>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</si>
  <si>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</si>
  <si>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</si>
  <si>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</si>
  <si>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</si>
  <si>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</si>
  <si>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</si>
  <si>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</si>
  <si>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</si>
  <si>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</si>
  <si>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</si>
  <si>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</si>
  <si>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</si>
  <si>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</si>
  <si>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</si>
  <si>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</si>
  <si>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</si>
  <si>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</si>
  <si>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</si>
  <si>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</si>
  <si>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</si>
  <si>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</si>
  <si>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</si>
  <si>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</si>
  <si>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</si>
  <si>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</si>
  <si>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</si>
  <si>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</si>
  <si>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</si>
  <si>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</si>
  <si>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</si>
  <si>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</si>
  <si>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</si>
  <si>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</si>
  <si>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</si>
  <si>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</si>
  <si>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</si>
  <si>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</si>
  <si>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</si>
  <si>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</si>
  <si>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</si>
  <si>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</si>
  <si>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</si>
  <si>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</si>
  <si>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</si>
  <si>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</si>
  <si>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</si>
  <si>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</si>
  <si>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</si>
  <si>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</si>
  <si>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</si>
  <si>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</si>
  <si>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</si>
  <si>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</si>
  <si>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</si>
  <si>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</si>
  <si>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</si>
  <si>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</si>
  <si>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</si>
  <si>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</si>
  <si>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</si>
  <si>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</si>
  <si>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</si>
  <si>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</si>
  <si>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</si>
  <si>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</si>
  <si>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</si>
  <si>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</si>
  <si>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</si>
  <si>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</si>
  <si>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</si>
  <si>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</si>
  <si>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</si>
  <si>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</si>
  <si>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</si>
  <si>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</si>
  <si>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</si>
  <si>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</si>
  <si>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</si>
  <si>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</si>
  <si>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</si>
  <si>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</si>
  <si>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</si>
  <si>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</si>
  <si>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</si>
  <si>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</si>
  <si>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</si>
  <si>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</si>
  <si>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</si>
  <si>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</si>
  <si>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</si>
  <si>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</si>
  <si>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</si>
  <si>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</si>
  <si>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</si>
  <si>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</si>
  <si>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</si>
  <si>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</si>
  <si>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</si>
  <si>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</si>
  <si>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</si>
  <si>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</si>
  <si>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</si>
  <si>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</si>
  <si>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</si>
  <si>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</si>
  <si>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</si>
  <si>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</si>
  <si>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</si>
  <si>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</si>
  <si>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</si>
  <si>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</si>
  <si>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</si>
  <si>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</si>
  <si>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</si>
  <si>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</si>
  <si>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</si>
  <si>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</si>
  <si>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</si>
  <si>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</si>
  <si>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</si>
  <si>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</si>
  <si>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</si>
  <si>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</si>
  <si>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</si>
  <si>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</si>
  <si>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</si>
  <si>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</si>
  <si>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</si>
  <si>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</si>
  <si>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</si>
  <si>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</si>
  <si>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</si>
  <si>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</si>
  <si>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</si>
  <si>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</si>
  <si>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</si>
  <si>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</si>
  <si>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</si>
  <si>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</si>
  <si>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</si>
  <si>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</si>
  <si>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</si>
  <si>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</si>
  <si>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</si>
  <si>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</si>
  <si>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</si>
  <si>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</si>
  <si>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</si>
  <si>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</si>
  <si>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</si>
  <si>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</si>
  <si>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</si>
  <si>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</si>
  <si>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</si>
  <si>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</si>
  <si>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</si>
  <si>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</si>
  <si>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</si>
  <si>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</si>
  <si>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</si>
  <si>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</si>
  <si>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</si>
  <si>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</si>
  <si>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</si>
  <si>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</si>
  <si>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</si>
  <si>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</si>
  <si>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</si>
  <si>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</si>
  <si>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</si>
  <si>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</si>
  <si>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</si>
  <si>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</si>
  <si>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</si>
  <si>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</si>
  <si>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</si>
  <si>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</si>
  <si>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</si>
  <si>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</si>
  <si>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</si>
  <si>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</si>
  <si>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</si>
  <si>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</si>
  <si>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</si>
  <si>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</si>
  <si>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</si>
  <si>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</si>
  <si>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</si>
  <si>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</si>
  <si>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</si>
  <si>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</si>
  <si>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</si>
  <si>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</si>
  <si>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</si>
  <si>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</si>
  <si>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</si>
  <si>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</si>
  <si>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</si>
  <si>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</si>
  <si>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</si>
  <si>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</si>
  <si>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</si>
  <si>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</si>
  <si>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</si>
  <si>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</si>
  <si>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</si>
  <si>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</si>
  <si>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</si>
  <si>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</si>
  <si>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</si>
  <si>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</si>
  <si>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</si>
  <si>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</si>
  <si>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</si>
  <si>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</si>
  <si>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</si>
  <si>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</si>
  <si>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</si>
  <si>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</si>
  <si>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</si>
  <si>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</si>
  <si>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</si>
  <si>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</si>
  <si>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</si>
  <si>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</si>
  <si>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</si>
  <si>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</si>
  <si>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</si>
  <si>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</si>
  <si>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</si>
  <si>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</si>
  <si>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</si>
  <si>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</si>
  <si>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</si>
  <si>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</si>
  <si>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</si>
  <si>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</si>
  <si>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</si>
  <si>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</si>
  <si>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</si>
  <si>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</si>
  <si>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</si>
  <si>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</si>
  <si>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</si>
  <si>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</si>
  <si>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</si>
  <si>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</si>
  <si>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</si>
  <si>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</si>
  <si>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</si>
  <si>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</si>
  <si>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</si>
  <si>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</si>
  <si>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</si>
  <si>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</si>
  <si>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</si>
  <si>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</si>
  <si>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</si>
  <si>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</si>
  <si>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</si>
  <si>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</si>
  <si>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</si>
  <si>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</si>
  <si>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</si>
  <si>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</si>
  <si>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</si>
  <si>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</si>
  <si>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</si>
  <si>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</si>
  <si>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</si>
  <si>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</si>
  <si>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</si>
  <si>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</si>
  <si>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</si>
  <si>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</si>
  <si>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</si>
  <si>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</si>
  <si>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</si>
  <si>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</si>
  <si>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</si>
  <si>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</si>
  <si>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</si>
  <si>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</si>
  <si>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</si>
  <si>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</si>
  <si>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</si>
  <si>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</si>
  <si>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</si>
  <si>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</si>
  <si>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</si>
  <si>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</si>
  <si>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</si>
  <si>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</si>
  <si>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</si>
  <si>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</si>
  <si>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</si>
  <si>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</si>
  <si>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</si>
  <si>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</si>
  <si>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</si>
  <si>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</si>
  <si>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</si>
  <si>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</si>
  <si>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</si>
  <si>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</si>
  <si>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</si>
  <si>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</si>
  <si>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</si>
  <si>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</si>
  <si>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</si>
  <si>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</si>
  <si>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</si>
  <si>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</si>
  <si>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</si>
  <si>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</si>
  <si>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</si>
  <si>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</si>
  <si>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</si>
  <si>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</si>
  <si>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</si>
  <si>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</si>
  <si>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</si>
  <si>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</si>
  <si>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</si>
  <si>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</si>
  <si>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</si>
  <si>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</si>
  <si>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</si>
  <si>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</si>
  <si>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</si>
  <si>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</si>
  <si>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</si>
  <si>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</si>
  <si>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</si>
  <si>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</si>
  <si>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</si>
  <si>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</si>
  <si>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</si>
  <si>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</si>
  <si>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</si>
  <si>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</si>
  <si>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</si>
  <si>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</si>
  <si>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</si>
  <si>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</si>
  <si>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</si>
  <si>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</si>
  <si>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</si>
  <si>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</si>
  <si>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</si>
  <si>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</si>
  <si>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</si>
  <si>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</si>
  <si>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</si>
  <si>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</si>
  <si>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</si>
  <si>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</si>
  <si>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</si>
  <si>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</si>
  <si>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</si>
  <si>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</si>
  <si>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</si>
  <si>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</si>
  <si>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</si>
  <si>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</si>
  <si>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</si>
  <si>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</si>
  <si>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</si>
  <si>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</si>
  <si>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</si>
  <si>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</si>
  <si>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</si>
  <si>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</si>
  <si>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</si>
  <si>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</si>
  <si>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</si>
  <si>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</si>
  <si>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</si>
  <si>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</si>
  <si>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</si>
  <si>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</si>
  <si>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</si>
  <si>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</si>
  <si>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</si>
  <si>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</si>
  <si>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</si>
  <si>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</si>
  <si>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</si>
  <si>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</si>
  <si>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</si>
  <si>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</si>
  <si>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</si>
  <si>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</si>
  <si>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</si>
  <si>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</si>
  <si>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</si>
  <si>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</si>
  <si>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</si>
  <si>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</si>
  <si>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</si>
  <si>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</si>
  <si>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</si>
  <si>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</si>
  <si>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</si>
  <si>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</si>
  <si>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</si>
  <si>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</si>
  <si>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</si>
  <si>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</si>
  <si>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</si>
  <si>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</si>
  <si>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</si>
  <si>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</si>
  <si>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</si>
  <si>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</si>
  <si>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</si>
  <si>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</si>
  <si>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</si>
  <si>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</si>
  <si>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</si>
  <si>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</si>
  <si>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</si>
  <si>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</si>
  <si>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</si>
  <si>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</si>
  <si>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</si>
  <si>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</si>
  <si>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</si>
  <si>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</si>
  <si>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</si>
  <si>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</si>
  <si>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</si>
  <si>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</si>
  <si>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</si>
  <si>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</si>
  <si>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</si>
  <si>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</si>
  <si>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</si>
  <si>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</si>
  <si>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</si>
  <si>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</si>
  <si>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</si>
  <si>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</si>
  <si>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</si>
  <si>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</si>
  <si>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</si>
  <si>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</si>
  <si>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</si>
  <si>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</si>
  <si>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</si>
  <si>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</si>
  <si>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</si>
  <si>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</si>
  <si>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</si>
  <si>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</si>
  <si>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</si>
  <si>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</si>
  <si>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</si>
  <si>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</si>
  <si>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</si>
  <si>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</si>
  <si>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</si>
  <si>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</si>
  <si>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</si>
  <si>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</si>
  <si>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</si>
  <si>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</si>
  <si>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</si>
  <si>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</si>
  <si>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</si>
  <si>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</si>
  <si>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</si>
  <si>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</si>
  <si>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</si>
  <si>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</si>
  <si>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</si>
  <si>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</si>
  <si>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</si>
  <si>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</si>
  <si>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</si>
  <si>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</si>
  <si>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</si>
  <si>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</si>
  <si>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</si>
  <si>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</si>
  <si>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</si>
  <si>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</si>
  <si>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</si>
  <si>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</si>
  <si>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</si>
  <si>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</si>
  <si>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</si>
  <si>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</si>
  <si>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</si>
  <si>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</si>
  <si>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</si>
  <si>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</si>
  <si>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</si>
  <si>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</si>
  <si>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</si>
  <si>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</si>
  <si>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</si>
  <si>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</si>
  <si>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</si>
  <si>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</si>
  <si>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</si>
  <si>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</si>
  <si>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</si>
  <si>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</si>
  <si>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</si>
  <si>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</si>
  <si>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</si>
  <si>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</si>
  <si>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</si>
  <si>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</si>
  <si>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</si>
  <si>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</si>
  <si>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</si>
  <si>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</si>
  <si>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</si>
  <si>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</si>
  <si>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</si>
  <si>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</si>
  <si>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</si>
  <si>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</si>
  <si>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</si>
  <si>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</si>
  <si>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</si>
  <si>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</si>
  <si>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</si>
  <si>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</si>
  <si>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</si>
  <si>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</si>
  <si>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</si>
  <si>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</si>
  <si>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</si>
  <si>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</si>
  <si>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</si>
  <si>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</si>
  <si>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</si>
  <si>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</si>
  <si>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</si>
  <si>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</si>
  <si>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</si>
  <si>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</si>
  <si>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</si>
  <si>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</si>
  <si>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</si>
  <si>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</si>
  <si>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</si>
  <si>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</si>
  <si>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</si>
  <si>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</si>
  <si>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</si>
  <si>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</si>
  <si>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</si>
  <si>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</si>
  <si>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</si>
  <si>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</si>
  <si>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</si>
  <si>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</si>
  <si>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</si>
  <si>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</si>
  <si>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</si>
  <si>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</si>
  <si>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</si>
  <si>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</si>
  <si>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</si>
  <si>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</si>
  <si>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</si>
  <si>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</si>
  <si>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</si>
  <si>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</si>
  <si>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</si>
  <si>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</si>
  <si>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</si>
  <si>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</si>
  <si>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</si>
  <si>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</si>
  <si>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</si>
  <si>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</si>
  <si>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</si>
  <si>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</si>
  <si>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</si>
  <si>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</si>
  <si>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</si>
  <si>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</si>
  <si>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</si>
  <si>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</si>
  <si>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</si>
  <si>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</si>
  <si>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</si>
  <si>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</si>
  <si>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</si>
  <si>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</si>
  <si>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</si>
  <si>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</si>
  <si>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</si>
  <si>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</si>
  <si>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</si>
  <si>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</si>
  <si>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</si>
  <si>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</si>
  <si>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</si>
  <si>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</si>
  <si>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</si>
  <si>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</si>
  <si>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</si>
  <si>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</si>
  <si>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</si>
  <si>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</si>
  <si>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</si>
  <si>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</si>
  <si>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</si>
  <si>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</si>
  <si>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</si>
  <si>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</si>
  <si>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</si>
  <si>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</si>
  <si>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</si>
  <si>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</si>
  <si>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</si>
  <si>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</si>
  <si>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</si>
  <si>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</si>
  <si>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</si>
  <si>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</si>
  <si>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</si>
  <si>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</si>
  <si>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</si>
  <si>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</si>
  <si>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</si>
  <si>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</si>
  <si>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</si>
  <si>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</si>
  <si>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</si>
  <si>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</si>
  <si>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</si>
  <si>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</si>
  <si>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</si>
  <si>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</si>
  <si>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</si>
  <si>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</si>
  <si>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</si>
  <si>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</si>
  <si>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</si>
  <si>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</si>
  <si>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</si>
  <si>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</si>
  <si>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</si>
  <si>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</si>
  <si>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</si>
  <si>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</si>
  <si>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</si>
  <si>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</si>
  <si>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</si>
  <si>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</si>
  <si>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</si>
  <si>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</si>
  <si>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</si>
  <si>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</si>
  <si>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</si>
  <si>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</si>
  <si>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</si>
  <si>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</si>
  <si>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</si>
  <si>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</si>
  <si>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</si>
  <si>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</si>
  <si>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</si>
  <si>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</si>
  <si>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</si>
  <si>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</si>
  <si>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</si>
  <si>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</si>
  <si>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</si>
  <si>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</si>
  <si>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</si>
  <si>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</si>
  <si>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</si>
  <si>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</si>
  <si>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</si>
  <si>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</si>
  <si>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</si>
  <si>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</si>
  <si>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</si>
  <si>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</si>
  <si>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</si>
  <si>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</si>
  <si>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</si>
  <si>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</si>
  <si>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</si>
  <si>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</si>
  <si>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</si>
  <si>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</si>
  <si>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</si>
  <si>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</si>
  <si>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</si>
  <si>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</si>
  <si>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</si>
  <si>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</si>
  <si>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</si>
  <si>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</si>
  <si>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</si>
  <si>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</si>
  <si>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</si>
  <si>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</si>
  <si>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</si>
  <si>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</si>
  <si>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</si>
  <si>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</si>
  <si>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</si>
  <si>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</si>
  <si>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</si>
  <si>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</si>
  <si>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</si>
  <si>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</si>
  <si>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</si>
  <si>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</si>
  <si>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</si>
  <si>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</si>
  <si>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</si>
  <si>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</si>
  <si>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</si>
  <si>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</si>
  <si>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</si>
  <si>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</si>
  <si>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</si>
  <si>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</si>
  <si>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</si>
  <si>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</si>
  <si>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</si>
  <si>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</si>
  <si>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</si>
  <si>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</si>
  <si>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</si>
  <si>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</si>
  <si>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</si>
  <si>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</si>
  <si>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</si>
  <si>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</si>
  <si>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</si>
  <si>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</si>
  <si>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</si>
  <si>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</si>
  <si>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</si>
  <si>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</si>
  <si>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</si>
  <si>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</si>
  <si>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</si>
  <si>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</si>
  <si>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</si>
  <si>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</si>
  <si>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</si>
  <si>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</si>
  <si>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</si>
  <si>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</si>
  <si>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</si>
  <si>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</si>
  <si>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</si>
  <si>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</si>
  <si>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</si>
  <si>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</si>
  <si>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</si>
  <si>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</si>
  <si>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</si>
  <si>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</si>
  <si>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</si>
  <si>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</si>
  <si>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</si>
  <si>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</si>
  <si>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</si>
  <si>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</si>
  <si>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</si>
  <si>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</si>
  <si>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</si>
  <si>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</si>
  <si>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</si>
  <si>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</si>
  <si>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</si>
  <si>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</si>
  <si>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</si>
  <si>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</si>
  <si>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</si>
  <si>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</si>
  <si>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</si>
  <si>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</si>
  <si>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</si>
  <si>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</si>
  <si>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</si>
  <si>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</si>
  <si>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</si>
  <si>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</si>
  <si>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</si>
  <si>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</si>
  <si>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</si>
  <si>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</si>
  <si>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</si>
  <si>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</si>
  <si>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</si>
  <si>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</si>
  <si>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</si>
  <si>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</si>
  <si>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</si>
  <si>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</si>
  <si>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</si>
  <si>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</si>
  <si>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</si>
  <si>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</si>
  <si>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</si>
  <si>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</si>
  <si>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</si>
  <si>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</si>
  <si>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</si>
  <si>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</si>
  <si>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</si>
  <si>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</si>
  <si>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</si>
  <si>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</si>
  <si>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</si>
  <si>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</si>
  <si>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</si>
  <si>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</si>
  <si>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</si>
  <si>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</si>
  <si>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</si>
  <si>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</si>
  <si>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</si>
  <si>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</si>
  <si>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</si>
  <si>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</si>
  <si>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</si>
  <si>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</si>
  <si>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</si>
  <si>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</si>
  <si>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</si>
  <si>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</si>
  <si>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</si>
  <si>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</si>
  <si>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</si>
  <si>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</si>
  <si>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</si>
  <si>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</si>
  <si>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</si>
  <si>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</si>
  <si>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</si>
  <si>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</si>
  <si>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</si>
  <si>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</si>
  <si>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</si>
  <si>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</si>
  <si>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</si>
  <si>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</si>
  <si>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</si>
  <si>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</si>
  <si>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</si>
  <si>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</si>
  <si>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</si>
  <si>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</si>
  <si>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</si>
  <si>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</si>
  <si>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</si>
  <si>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</si>
  <si>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</si>
  <si>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</si>
  <si>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</si>
  <si>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</si>
  <si>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</si>
  <si>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</si>
  <si>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</si>
  <si>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</si>
  <si>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</si>
  <si>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</si>
  <si>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</si>
  <si>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</si>
  <si>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</si>
  <si>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</si>
  <si>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</si>
  <si>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</si>
  <si>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</si>
  <si>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</si>
  <si>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</si>
  <si>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</si>
  <si>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</si>
  <si>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</si>
  <si>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</si>
  <si>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</si>
  <si>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</si>
  <si>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</si>
  <si>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</si>
  <si>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</si>
  <si>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</si>
  <si>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</si>
  <si>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</si>
  <si>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</si>
  <si>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</si>
  <si>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</si>
  <si>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</si>
  <si>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</si>
  <si>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</si>
  <si>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</si>
  <si>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</si>
  <si>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</si>
  <si>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</si>
  <si>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</si>
  <si>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</si>
  <si>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</si>
  <si>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</si>
  <si>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</si>
  <si>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</si>
  <si>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</si>
  <si>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</si>
  <si>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</si>
  <si>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</si>
  <si>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</si>
  <si>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</si>
  <si>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</si>
  <si>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</si>
  <si>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</si>
  <si>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</si>
  <si>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</si>
  <si>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</si>
  <si>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</si>
  <si>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</si>
  <si>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</si>
  <si>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</si>
  <si>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</si>
  <si>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</si>
  <si>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</si>
  <si>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</si>
  <si>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</si>
  <si>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</si>
  <si>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</si>
  <si>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</si>
  <si>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</si>
  <si>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</si>
  <si>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</si>
  <si>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</si>
  <si>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</si>
  <si>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</si>
  <si>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</si>
  <si>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</si>
  <si>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</si>
  <si>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</si>
  <si>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</si>
  <si>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</si>
  <si>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</si>
  <si>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</si>
  <si>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</si>
  <si>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</si>
  <si>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</si>
  <si>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</si>
  <si>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</si>
  <si>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</si>
  <si>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</si>
  <si>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</si>
  <si>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</si>
  <si>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</si>
  <si>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</si>
  <si>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</si>
  <si>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</si>
  <si>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</si>
  <si>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</si>
  <si>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</si>
  <si>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</si>
  <si>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</si>
  <si>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</si>
  <si>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</si>
  <si>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</si>
  <si>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</si>
  <si>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</si>
  <si>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</si>
  <si>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</si>
  <si>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</si>
  <si>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</si>
  <si>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</si>
  <si>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</si>
  <si>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</si>
  <si>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</si>
  <si>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</si>
  <si>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</si>
  <si>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</si>
  <si>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</si>
  <si>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</si>
  <si>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</si>
  <si>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</si>
  <si>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</si>
  <si>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</si>
  <si>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</si>
  <si>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</si>
  <si>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</si>
  <si>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</si>
  <si>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</si>
  <si>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</si>
  <si>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</si>
  <si>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</si>
  <si>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</si>
  <si>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</si>
  <si>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</si>
  <si>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</si>
  <si>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</si>
  <si>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</si>
  <si>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</si>
  <si>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</si>
  <si>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</si>
  <si>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</si>
  <si>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</si>
  <si>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</si>
  <si>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</si>
  <si>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</si>
  <si>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</si>
  <si>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</si>
  <si>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</si>
  <si>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</si>
  <si>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</si>
  <si>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</si>
  <si>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</si>
  <si>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</si>
  <si>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</si>
  <si>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</si>
  <si>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</si>
  <si>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</si>
  <si>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</si>
  <si>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</si>
  <si>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</si>
  <si>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</si>
  <si>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</si>
  <si>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</si>
  <si>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</si>
  <si>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</si>
  <si>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</si>
  <si>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</si>
  <si>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</si>
  <si>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</si>
  <si>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</si>
  <si>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</si>
  <si>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</si>
  <si>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</si>
  <si>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</si>
  <si>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</si>
  <si>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</si>
  <si>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</si>
  <si>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</si>
  <si>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</si>
  <si>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</si>
  <si>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</si>
  <si>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</si>
  <si>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</si>
  <si>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</si>
  <si>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</si>
  <si>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</si>
  <si>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</si>
  <si>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</si>
  <si>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</si>
  <si>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</si>
  <si>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</si>
  <si>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</si>
  <si>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</si>
  <si>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</si>
  <si>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</si>
  <si>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</si>
  <si>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</si>
  <si>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</si>
  <si>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</si>
  <si>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</si>
  <si>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</si>
  <si>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</si>
  <si>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</si>
  <si>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</si>
  <si>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</si>
  <si>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</si>
  <si>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</si>
  <si>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</si>
  <si>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</si>
  <si>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</si>
  <si>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</si>
  <si>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</si>
  <si>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</si>
  <si>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</si>
  <si>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</si>
  <si>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</si>
  <si>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</si>
  <si>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</si>
  <si>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</si>
  <si>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</si>
  <si>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</si>
  <si>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</si>
  <si>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</si>
  <si>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</si>
  <si>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</si>
  <si>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</si>
  <si>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</si>
  <si>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</si>
  <si>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</si>
  <si>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</si>
  <si>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</si>
  <si>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</si>
  <si>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</si>
  <si>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</si>
  <si>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</si>
  <si>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</si>
  <si>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</si>
  <si>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</si>
  <si>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</si>
  <si>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</si>
  <si>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</si>
  <si>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</si>
  <si>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</si>
  <si>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</si>
  <si>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</si>
  <si>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</si>
  <si>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</si>
  <si>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</si>
  <si>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</si>
  <si>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</si>
  <si>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</si>
  <si>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</si>
  <si>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</si>
  <si>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</si>
  <si>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</si>
  <si>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</si>
  <si>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</si>
  <si>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</si>
  <si>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</si>
  <si>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</si>
  <si>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</si>
  <si>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</si>
  <si>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</si>
  <si>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</si>
  <si>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</si>
  <si>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</si>
  <si>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</si>
  <si>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</si>
  <si>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</si>
  <si>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</si>
  <si>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</si>
  <si>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</si>
  <si>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</si>
  <si>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</si>
  <si>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</si>
  <si>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</si>
  <si>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</si>
  <si>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</si>
  <si>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</si>
  <si>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</si>
  <si>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</si>
  <si>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</si>
  <si>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</si>
  <si>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</si>
  <si>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</si>
  <si>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</si>
  <si>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</si>
  <si>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</si>
  <si>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</si>
  <si>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</si>
  <si>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</si>
  <si>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</si>
  <si>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</si>
  <si>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</si>
  <si>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</si>
  <si>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</si>
  <si>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</si>
  <si>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</si>
  <si>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</si>
  <si>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</si>
  <si>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</si>
  <si>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</si>
  <si>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</si>
  <si>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</si>
  <si>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</si>
  <si>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</si>
  <si>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</si>
  <si>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</si>
  <si>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</si>
  <si>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</si>
  <si>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</si>
  <si>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</si>
  <si>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</si>
  <si>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</si>
  <si>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</si>
  <si>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</si>
  <si>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</si>
  <si>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</si>
  <si>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</si>
  <si>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</si>
  <si>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</si>
  <si>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</si>
  <si>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</si>
  <si>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</si>
  <si>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</si>
  <si>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</si>
  <si>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</si>
  <si>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</si>
  <si>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</si>
  <si>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</si>
  <si>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</si>
  <si>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</si>
  <si>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</si>
  <si>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</si>
  <si>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</si>
  <si>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</si>
  <si>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</si>
  <si>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</si>
  <si>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</si>
  <si>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</si>
  <si>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</si>
  <si>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</si>
  <si>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</si>
  <si>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</si>
  <si>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</si>
  <si>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</si>
  <si>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</si>
  <si>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</si>
  <si>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</si>
  <si>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</si>
  <si>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</si>
  <si>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</si>
  <si>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</si>
  <si>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</si>
  <si>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</si>
  <si>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</si>
  <si>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</si>
  <si>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</si>
  <si>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</si>
  <si>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</si>
  <si>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</si>
  <si>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</si>
  <si>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</si>
  <si>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</si>
  <si>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</si>
  <si>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</si>
  <si>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</si>
  <si>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</si>
  <si>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</si>
  <si>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</si>
  <si>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</si>
  <si>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</si>
  <si>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</si>
  <si>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</si>
  <si>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</si>
  <si>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</si>
  <si>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</si>
  <si>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</si>
  <si>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</si>
  <si>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</si>
  <si>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</si>
  <si>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</si>
  <si>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</si>
  <si>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</si>
  <si>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</si>
  <si>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</si>
  <si>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</si>
  <si>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</si>
  <si>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</si>
  <si>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</si>
  <si>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</si>
  <si>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</si>
  <si>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</si>
  <si>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</si>
  <si>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</si>
  <si>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</si>
  <si>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</si>
  <si>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</si>
  <si>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</si>
  <si>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</si>
  <si>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</si>
  <si>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</si>
  <si>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</si>
  <si>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</si>
  <si>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</si>
  <si>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</si>
  <si>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</si>
  <si>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</si>
  <si>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</si>
  <si>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</si>
  <si>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</si>
  <si>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</si>
  <si>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</si>
  <si>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</si>
  <si>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</si>
  <si>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</si>
  <si>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</si>
  <si>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</si>
  <si>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</si>
  <si>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</si>
  <si>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</si>
  <si>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</si>
  <si>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</si>
  <si>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</si>
  <si>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</si>
  <si>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</si>
  <si>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</si>
  <si>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</si>
  <si>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</si>
  <si>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</si>
  <si>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</si>
  <si>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</si>
  <si>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</si>
  <si>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</si>
  <si>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</si>
  <si>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</si>
  <si>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</si>
  <si>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</si>
  <si>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</si>
  <si>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</si>
  <si>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</si>
  <si>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</si>
  <si>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</si>
  <si>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</si>
  <si>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</si>
  <si>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</si>
  <si>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</si>
  <si>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</si>
  <si>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</si>
  <si>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</si>
  <si>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</si>
  <si>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</si>
  <si>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</si>
  <si>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</si>
  <si>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</si>
  <si>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</si>
  <si>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</si>
  <si>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</si>
  <si>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</si>
  <si>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</si>
  <si>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</si>
  <si>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</si>
  <si>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</si>
  <si>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</si>
  <si>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</si>
  <si>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</si>
  <si>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</si>
  <si>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</si>
  <si>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</si>
  <si>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</si>
  <si>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</si>
  <si>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</si>
  <si>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</si>
  <si>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</si>
  <si>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</si>
  <si>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</si>
  <si>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</si>
  <si>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</si>
  <si>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</si>
  <si>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</si>
  <si>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</si>
  <si>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</si>
  <si>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</si>
  <si>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</si>
  <si>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</si>
  <si>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</si>
  <si>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</si>
  <si>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</si>
  <si>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</si>
  <si>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</si>
  <si>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</si>
  <si>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</si>
  <si>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</si>
  <si>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</si>
  <si>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</si>
  <si>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</si>
  <si>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</si>
  <si>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</si>
  <si>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</si>
  <si>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</si>
  <si>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</si>
  <si>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</si>
  <si>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</si>
  <si>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</si>
  <si>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</si>
  <si>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</si>
  <si>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</si>
  <si>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</si>
  <si>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</si>
  <si>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</si>
  <si>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</si>
  <si>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</si>
  <si>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</si>
  <si>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</si>
  <si>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</si>
  <si>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</si>
  <si>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</si>
  <si>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</si>
  <si>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</si>
  <si>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</si>
  <si>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</si>
  <si>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</si>
  <si>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</si>
  <si>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</si>
  <si>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</si>
  <si>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</si>
  <si>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</si>
  <si>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</si>
  <si>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</si>
  <si>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</si>
  <si>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</si>
  <si>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</si>
  <si>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</si>
  <si>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</si>
  <si>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</si>
  <si>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</si>
  <si>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</si>
  <si>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</si>
  <si>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</si>
  <si>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</si>
  <si>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</si>
  <si>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</si>
  <si>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</si>
  <si>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</si>
  <si>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</si>
  <si>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</si>
  <si>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</si>
  <si>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</si>
  <si>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</si>
  <si>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</si>
  <si>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</si>
  <si>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</si>
  <si>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</si>
  <si>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</si>
  <si>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</si>
  <si>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</si>
  <si>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</si>
  <si>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</si>
  <si>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</si>
  <si>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</si>
  <si>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</si>
  <si>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</si>
  <si>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</si>
  <si>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</si>
  <si>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</si>
  <si>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</si>
  <si>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</si>
  <si>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</si>
  <si>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</si>
  <si>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</si>
  <si>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</si>
  <si>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</si>
  <si>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</si>
  <si>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</si>
  <si>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</si>
  <si>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</si>
  <si>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</si>
  <si>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</si>
  <si>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</si>
  <si>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</si>
  <si>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</si>
  <si>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</si>
  <si>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</si>
  <si>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</si>
  <si>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</si>
  <si>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</si>
  <si>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</si>
  <si>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</si>
  <si>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</si>
  <si>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</si>
  <si>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</si>
  <si>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</si>
  <si>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</si>
  <si>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</si>
  <si>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</si>
  <si>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</si>
  <si>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</si>
  <si>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</si>
  <si>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</si>
  <si>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</si>
  <si>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</si>
  <si>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</si>
  <si>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</si>
  <si>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</si>
  <si>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</si>
  <si>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</si>
  <si>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</si>
  <si>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</si>
  <si>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</si>
  <si>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</si>
  <si>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</si>
  <si>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</si>
  <si>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</si>
  <si>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</si>
  <si>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</si>
  <si>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</si>
  <si>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</si>
  <si>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</si>
  <si>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</si>
  <si>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</si>
  <si>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</si>
  <si>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</si>
  <si>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</si>
  <si>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</si>
  <si>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</si>
  <si>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</si>
  <si>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</si>
  <si>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</si>
  <si>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</si>
  <si>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</si>
  <si>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</si>
  <si>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</si>
  <si>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</si>
  <si>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</si>
  <si>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</si>
  <si>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</si>
  <si>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</si>
  <si>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</si>
  <si>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</si>
  <si>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</si>
  <si>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</si>
  <si>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</si>
  <si>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</si>
  <si>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</si>
  <si>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</si>
  <si>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</si>
  <si>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</si>
  <si>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</si>
  <si>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</si>
  <si>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</si>
  <si>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</si>
  <si>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</si>
  <si>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</si>
  <si>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</si>
  <si>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</si>
  <si>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</si>
  <si>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</si>
  <si>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</si>
  <si>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</si>
  <si>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</si>
  <si>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</si>
  <si>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</si>
  <si>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</si>
  <si>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</si>
  <si>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</si>
  <si>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</si>
  <si>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</si>
  <si>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</si>
  <si>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</si>
  <si>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</si>
  <si>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</si>
  <si>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</si>
  <si>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</si>
  <si>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</si>
  <si>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</si>
  <si>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</si>
  <si>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</si>
  <si>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</si>
  <si>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</si>
  <si>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</si>
  <si>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</si>
  <si>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</si>
  <si>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</si>
  <si>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</si>
  <si>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</si>
  <si>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</si>
  <si>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</si>
  <si>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</si>
  <si>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</si>
  <si>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</si>
  <si>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</si>
  <si>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</si>
  <si>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</si>
  <si>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</si>
  <si>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</si>
  <si>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</si>
  <si>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</si>
  <si>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</si>
  <si>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</si>
  <si>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</si>
  <si>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</si>
  <si>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</si>
  <si>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</si>
  <si>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</si>
  <si>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</si>
  <si>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</si>
  <si>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</si>
  <si>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</si>
  <si>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</si>
  <si>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</si>
  <si>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</si>
  <si>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</si>
  <si>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</si>
  <si>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</si>
  <si>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</si>
  <si>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</si>
  <si>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</si>
  <si>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</si>
  <si>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</si>
  <si>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</si>
  <si>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</si>
  <si>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</si>
  <si>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</si>
  <si>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</si>
  <si>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</si>
  <si>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</si>
  <si>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</si>
  <si>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</si>
  <si>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</si>
  <si>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</si>
  <si>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</si>
  <si>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</si>
  <si>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</si>
  <si>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</si>
  <si>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</si>
  <si>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</si>
  <si>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</si>
  <si>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</si>
  <si>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</si>
  <si>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</si>
  <si>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</si>
  <si>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</si>
  <si>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</si>
  <si>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</si>
  <si>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</si>
  <si>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</si>
  <si>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</si>
  <si>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</si>
  <si>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</si>
  <si>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</si>
  <si>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</si>
  <si>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</si>
  <si>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</si>
  <si>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</si>
  <si>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</si>
  <si>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</si>
  <si>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</si>
  <si>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</si>
  <si>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</si>
  <si>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</si>
  <si>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</si>
  <si>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</si>
  <si>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</si>
  <si>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</si>
  <si>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</si>
  <si>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</si>
  <si>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</si>
  <si>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</si>
  <si>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</si>
  <si>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</si>
  <si>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</si>
  <si>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</si>
  <si>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</si>
  <si>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</si>
  <si>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</si>
  <si>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</si>
  <si>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</si>
  <si>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</si>
  <si>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</si>
  <si>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</si>
  <si>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</si>
  <si>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</si>
  <si>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</si>
  <si>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</si>
  <si>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</si>
  <si>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</si>
  <si>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</si>
  <si>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</si>
  <si>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</si>
  <si>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</si>
  <si>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</si>
  <si>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</si>
  <si>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</si>
  <si>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</si>
  <si>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</si>
  <si>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</si>
  <si>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</si>
  <si>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</si>
  <si>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</si>
  <si>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</si>
  <si>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</si>
  <si>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</si>
  <si>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</si>
  <si>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</si>
  <si>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</si>
  <si>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</si>
  <si>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</si>
  <si>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</si>
  <si>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</si>
  <si>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</si>
  <si>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</si>
  <si>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</si>
  <si>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</si>
  <si>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</si>
  <si>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</si>
  <si>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</si>
  <si>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</si>
  <si>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</si>
  <si>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</si>
  <si>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</si>
  <si>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</si>
  <si>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</si>
  <si>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</si>
  <si>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</si>
  <si>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</si>
  <si>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</si>
  <si>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</si>
  <si>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</si>
  <si>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</si>
  <si>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</si>
  <si>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</si>
  <si>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</si>
  <si>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</si>
  <si>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</si>
  <si>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</si>
  <si>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</si>
  <si>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</si>
  <si>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</si>
  <si>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</si>
  <si>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</si>
  <si>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</si>
  <si>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</si>
  <si>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</si>
  <si>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</si>
  <si>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</si>
  <si>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</si>
  <si>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</si>
  <si>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</si>
  <si>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</si>
  <si>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</si>
  <si>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</si>
  <si>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</si>
  <si>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</si>
  <si>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</si>
  <si>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</si>
  <si>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</si>
  <si>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</si>
  <si>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</si>
  <si>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</si>
  <si>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</si>
  <si>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</si>
  <si>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</si>
  <si>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</si>
  <si>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</si>
  <si>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</si>
  <si>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</si>
  <si>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</si>
  <si>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</si>
  <si>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</si>
  <si>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</si>
  <si>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</si>
  <si>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</si>
  <si>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</si>
  <si>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</si>
  <si>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</si>
  <si>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</si>
  <si>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</si>
  <si>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</si>
  <si>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</si>
  <si>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</si>
  <si>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</si>
  <si>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</si>
  <si>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</si>
  <si>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</si>
  <si>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</si>
  <si>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</si>
  <si>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</si>
  <si>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</si>
  <si>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</si>
  <si>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</si>
  <si>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</si>
  <si>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</si>
  <si>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</si>
  <si>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</si>
  <si>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</si>
  <si>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</si>
  <si>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</si>
  <si>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</si>
  <si>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</si>
  <si>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</si>
  <si>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</si>
  <si>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</si>
  <si>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</si>
  <si>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</si>
  <si>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</si>
  <si>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</si>
  <si>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</si>
  <si>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</si>
  <si>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</si>
  <si>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</si>
  <si>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</si>
  <si>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</si>
  <si>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</si>
  <si>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</si>
  <si>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</si>
  <si>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</si>
  <si>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</si>
  <si>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</si>
  <si>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</si>
  <si>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</si>
  <si>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</si>
  <si>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</si>
  <si>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</si>
  <si>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</si>
  <si>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</si>
  <si>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</si>
  <si>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</si>
  <si>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</si>
  <si>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</si>
  <si>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</si>
  <si>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</si>
  <si>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</si>
  <si>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</si>
  <si>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</si>
  <si>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</si>
  <si>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</si>
  <si>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</si>
  <si>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</si>
  <si>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</si>
  <si>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</si>
  <si>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</si>
  <si>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</si>
  <si>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</si>
  <si>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</si>
  <si>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</si>
  <si>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</si>
  <si>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</si>
  <si>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</si>
  <si>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</si>
  <si>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</si>
  <si>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</si>
  <si>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</si>
  <si>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</si>
  <si>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</si>
  <si>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</si>
  <si>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</si>
  <si>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</si>
  <si>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</si>
  <si>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</si>
  <si>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</si>
  <si>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</si>
  <si>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</si>
  <si>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</si>
  <si>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</si>
  <si>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</si>
  <si>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</si>
  <si>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</si>
  <si>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</si>
  <si>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</si>
  <si>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</si>
  <si>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</si>
  <si>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</si>
  <si>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</si>
  <si>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</si>
  <si>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</si>
  <si>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</si>
  <si>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</si>
  <si>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</si>
  <si>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</si>
  <si>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</si>
  <si>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</si>
  <si>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</si>
  <si>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</si>
  <si>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</si>
  <si>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</si>
  <si>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</si>
  <si>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</si>
  <si>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</si>
  <si>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</si>
  <si>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</si>
  <si>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</si>
  <si>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</si>
  <si>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</si>
  <si>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</si>
  <si>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</si>
  <si>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</si>
  <si>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</si>
  <si>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</si>
  <si>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</si>
  <si>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</si>
  <si>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</si>
  <si>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</si>
  <si>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</si>
  <si>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</si>
  <si>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</si>
  <si>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</si>
  <si>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</si>
  <si>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</si>
  <si>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</si>
  <si>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</si>
  <si>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</si>
  <si>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</si>
  <si>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</si>
  <si>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</si>
  <si>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</si>
  <si>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</si>
  <si>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</si>
  <si>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</si>
  <si>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</si>
  <si>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</si>
  <si>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</si>
  <si>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</si>
  <si>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</si>
  <si>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</si>
  <si>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</si>
  <si>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</si>
  <si>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</si>
  <si>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</si>
  <si>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</si>
  <si>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</si>
  <si>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</si>
  <si>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</si>
  <si>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</si>
  <si>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</si>
  <si>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</si>
  <si>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</si>
  <si>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</si>
  <si>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</si>
  <si>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</si>
  <si>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</si>
  <si>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</si>
  <si>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</si>
  <si>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</si>
  <si>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</si>
  <si>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</si>
  <si>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</si>
  <si>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</si>
  <si>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</si>
  <si>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</si>
  <si>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</si>
  <si>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</si>
  <si>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</si>
  <si>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</si>
  <si>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</si>
  <si>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</si>
  <si>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</si>
  <si>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</si>
  <si>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</si>
  <si>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</si>
  <si>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</si>
  <si>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</si>
  <si>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</si>
  <si>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</si>
  <si>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</si>
  <si>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</si>
  <si>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</si>
  <si>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</si>
  <si>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</si>
  <si>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</si>
  <si>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</si>
  <si>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</si>
  <si>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</si>
  <si>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</si>
  <si>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</si>
  <si>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</si>
  <si>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</si>
  <si>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</si>
  <si>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</si>
  <si>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</si>
  <si>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</si>
  <si>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</si>
  <si>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</si>
  <si>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</si>
  <si>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</si>
  <si>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</si>
  <si>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</si>
  <si>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</si>
  <si>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</si>
  <si>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</si>
  <si>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</si>
  <si>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</si>
  <si>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</si>
  <si>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</si>
  <si>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</si>
  <si>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</si>
  <si>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</si>
  <si>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</si>
  <si>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</si>
  <si>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</si>
  <si>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</si>
  <si>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</si>
  <si>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</si>
  <si>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</si>
  <si>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</si>
  <si>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</si>
  <si>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</si>
  <si>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</si>
  <si>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</si>
  <si>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</si>
  <si>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</si>
  <si>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</si>
  <si>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</si>
  <si>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</si>
  <si>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</si>
  <si>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</si>
  <si>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</si>
  <si>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</si>
  <si>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</si>
  <si>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</si>
  <si>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</si>
  <si>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</si>
  <si>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</si>
  <si>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</si>
  <si>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</si>
  <si>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</si>
  <si>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</si>
  <si>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</si>
  <si>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</si>
  <si>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</si>
  <si>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</si>
  <si>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</si>
  <si>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</si>
  <si>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</si>
  <si>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</si>
  <si>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</si>
  <si>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</si>
  <si>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</si>
  <si>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</si>
  <si>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</si>
  <si>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</si>
  <si>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NA</t>
  </si>
  <si>
    <t>cpuchunk</t>
  </si>
  <si>
    <t>gpuchunk</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</si>
  <si>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</si>
  <si>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</si>
  <si>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</si>
  <si>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</si>
  <si>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</si>
  <si>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</si>
  <si>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</si>
  <si>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</si>
  <si>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</si>
  <si>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</si>
  <si>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</si>
  <si>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</si>
  <si>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</si>
  <si>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</si>
  <si>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</si>
  <si>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</si>
  <si>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</si>
  <si>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</si>
  <si>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</si>
  <si>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</si>
  <si>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</si>
  <si>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min_size</t>
  </si>
  <si>
    <t>gamma</t>
  </si>
  <si>
    <t>Flixter</t>
  </si>
  <si>
    <t>top level tasks</t>
  </si>
  <si>
    <t>Time</t>
  </si>
  <si>
    <t>X</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</si>
  <si>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</si>
  <si>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</si>
  <si>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</si>
  <si>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</si>
  <si>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</si>
  <si>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</si>
  <si>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</si>
  <si>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</si>
  <si>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</si>
  <si>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</si>
  <si>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</si>
  <si>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</si>
  <si>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 Only (30m X)</t>
  </si>
  <si>
    <t>gpu-hybrid-copy</t>
  </si>
  <si>
    <t>gpu-hybrid-drop</t>
  </si>
  <si>
    <t>CPU -&gt;GPU steal</t>
  </si>
  <si>
    <t>10 million tasks</t>
  </si>
  <si>
    <t>tau</t>
  </si>
  <si>
    <t>100 ms</t>
  </si>
  <si>
    <t>100,000 vertices</t>
  </si>
  <si>
    <t xml:space="preserve">gpuchunk </t>
  </si>
  <si>
    <t>10 vertices</t>
  </si>
  <si>
    <t>ratio_G2L</t>
  </si>
  <si>
    <t>183.09 </t>
  </si>
  <si>
    <t>180.02 </t>
  </si>
  <si>
    <t>182.85 </t>
  </si>
  <si>
    <t>476.47 </t>
  </si>
  <si>
    <t>479.54 </t>
  </si>
  <si>
    <t># top level tasks</t>
  </si>
  <si>
    <t>|V|</t>
  </si>
  <si>
    <t>|E|</t>
  </si>
  <si>
    <t>gpuchunk = 10k</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</si>
  <si>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</si>
  <si>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</si>
  <si>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</si>
  <si>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</si>
  <si>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</si>
  <si>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</si>
  <si>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</si>
  <si>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</si>
  <si>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</si>
  <si>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</si>
  <si>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</si>
  <si>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</si>
  <si>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</si>
  <si>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</si>
  <si>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</si>
  <si>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</si>
  <si>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</si>
  <si>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</si>
  <si>
    <t>eta value for hybrid-copy</t>
  </si>
  <si>
    <t>eta value for gpu-layered</t>
  </si>
  <si>
    <t>selected value = 2000</t>
  </si>
  <si>
    <t>g2-aimd</t>
  </si>
  <si>
    <t>cpuchunk (tau=1000)</t>
  </si>
  <si>
    <t>tau (micro s) (cpuchunk=200, gpuchunk=100k)</t>
  </si>
  <si>
    <t>gpu chunk (cpuchunk=200, tau=1000)</t>
  </si>
  <si>
    <t>same as GPU</t>
  </si>
  <si>
    <t>same as CPU</t>
  </si>
  <si>
    <t>worse than GPU</t>
  </si>
  <si>
    <t>too small</t>
  </si>
  <si>
    <t>worse than CPU</t>
  </si>
  <si>
    <t xml:space="preserve">selection values: </t>
  </si>
  <si>
    <t>2: paper reporting</t>
  </si>
  <si>
    <t>1: including for SM</t>
  </si>
  <si>
    <t>0: removed</t>
  </si>
  <si>
    <t>ratio_G2HC</t>
  </si>
  <si>
    <t>ratio_HC2CG</t>
  </si>
  <si>
    <t>G2AIMD-OOM-Fixed</t>
  </si>
  <si>
    <t>G2AIMD (OOM fixed)</t>
  </si>
  <si>
    <t>CPU+GPU (1)</t>
  </si>
  <si>
    <t>CPU+GPU(10)</t>
  </si>
  <si>
    <t>G2AIMD (OOM Fixed)</t>
  </si>
  <si>
    <t>ratio_HL2CG</t>
  </si>
  <si>
    <t>STMatch</t>
  </si>
  <si>
    <t>EGSM</t>
  </si>
  <si>
    <t>GAMMA</t>
  </si>
  <si>
    <t>Quick</t>
  </si>
  <si>
    <t>right now X=OOT (10m), running experiment for 30m</t>
  </si>
  <si>
    <t>MC selection</t>
  </si>
  <si>
    <t>paper reporting</t>
  </si>
  <si>
    <t>d_avg</t>
  </si>
  <si>
    <t>G</t>
  </si>
  <si>
    <r>
      <t>G</t>
    </r>
    <r>
      <rPr>
        <b/>
        <vertAlign val="superscript"/>
        <sz val="10"/>
        <color rgb="FF000000"/>
        <rFont val="Times New Roman"/>
        <family val="1"/>
      </rPr>
      <t>2</t>
    </r>
    <r>
      <rPr>
        <b/>
        <sz val="10"/>
        <color rgb="FF000000"/>
        <rFont val="Times New Roman"/>
        <family val="1"/>
      </rPr>
      <t>-AIMD</t>
    </r>
  </si>
  <si>
    <t>CPU-Only</t>
  </si>
  <si>
    <t>GPU-Layered</t>
  </si>
  <si>
    <t>GPU-Hybrid</t>
  </si>
  <si>
    <r>
      <t>Gain</t>
    </r>
    <r>
      <rPr>
        <b/>
        <vertAlign val="superscript"/>
        <sz val="10"/>
        <color rgb="FF000000"/>
        <rFont val="Times New Roman"/>
        <family val="1"/>
      </rPr>
      <t>CG2C</t>
    </r>
  </si>
  <si>
    <r>
      <t>Gain</t>
    </r>
    <r>
      <rPr>
        <b/>
        <vertAlign val="superscript"/>
        <sz val="10"/>
        <color rgb="FF000000"/>
        <rFont val="Times New Roman"/>
        <family val="1"/>
      </rPr>
      <t>CG2GH</t>
    </r>
  </si>
  <si>
    <r>
      <t>Gain</t>
    </r>
    <r>
      <rPr>
        <b/>
        <vertAlign val="superscript"/>
        <sz val="10"/>
        <color rgb="FF000000"/>
        <rFont val="Times New Roman"/>
        <family val="1"/>
      </rPr>
      <t>GH2G</t>
    </r>
  </si>
  <si>
    <t>P1</t>
  </si>
  <si>
    <t>P2</t>
  </si>
  <si>
    <t>P3</t>
  </si>
  <si>
    <t>P4</t>
  </si>
  <si>
    <t>P5</t>
  </si>
  <si>
    <t>Query</t>
  </si>
  <si>
    <t>Maxmial Clique</t>
  </si>
  <si>
    <t>Subgraph Matching</t>
  </si>
  <si>
    <r>
      <t>d</t>
    </r>
    <r>
      <rPr>
        <b/>
        <i/>
        <vertAlign val="subscript"/>
        <sz val="12"/>
        <color rgb="FF000000"/>
        <rFont val="Times New Roman"/>
        <family val="1"/>
      </rPr>
      <t>max</t>
    </r>
  </si>
  <si>
    <r>
      <t>Gain</t>
    </r>
    <r>
      <rPr>
        <b/>
        <vertAlign val="superscript"/>
        <sz val="10"/>
        <color rgb="FF000000"/>
        <rFont val="Times New Roman"/>
        <family val="1"/>
      </rPr>
      <t>GL2G</t>
    </r>
  </si>
  <si>
    <r>
      <t>Gain</t>
    </r>
    <r>
      <rPr>
        <b/>
        <vertAlign val="superscript"/>
        <sz val="10"/>
        <color rgb="FF000000"/>
        <rFont val="Times New Roman"/>
        <family val="1"/>
      </rPr>
      <t>CG2GL</t>
    </r>
  </si>
  <si>
    <t>MQC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</si>
</sst>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
    <numFmt numFmtId="167" formatCode="_(* #,##0.0_);_(* \(#,##0.0\);_(* &quot;-&quot;??_);_(@_)"/>
  </numFmts>
  <fonts count="83"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7"/>
      <color theme="1"/>
      <name val="Monaco"/>
      <family val="2"/>
    </font>
    <font>
      <sz val="20"/>
      <name val="Aptos Narrow"/>
      <family val="2"/>
      <scheme val="minor"/>
    </font>
    <font>
      <sz val="20"/>
      <name val="Monaco"/>
      <family val="2"/>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b/>
      <sz val="20"/>
      <name val="Monaco"/>
      <family val="2"/>
    </font>
    <font>
      <sz val="20"/>
      <name val="Aptos"/>
    </font>
    <font>
      <sz val="20"/>
      <color theme="1"/>
      <name val="Aptos"/>
    </font>
    <font>
      <b/>
      <sz val="22"/>
      <color rgb="FFC00000"/>
      <name val="Aptos Narrow"/>
      <scheme val="minor"/>
    </font>
    <font>
      <sz val="12"/>
      <color rgb="FFC00000"/>
      <name val="Aptos Narrow"/>
      <scheme val="minor"/>
    </font>
    <font>
      <sz val="22"/>
      <color theme="4"/>
      <name val="Aptos Narrow"/>
      <family val="2"/>
      <scheme val="minor"/>
    </font>
    <font>
      <sz val="18"/>
      <color theme="0" tint="-0.34998626667073579"/>
      <name val="Monaco"/>
      <family val="2"/>
    </font>
    <font>
      <sz val="20"/>
      <color rgb="FFC00000"/>
      <name val="Aptos Narrow"/>
      <family val="2"/>
      <scheme val="minor"/>
    </font>
    <font>
      <b/>
      <sz val="24"/>
      <color rgb="FFC00000"/>
      <name val="Aptos Narrow"/>
      <scheme val="minor"/>
    </font>
    <font>
      <b/>
      <sz val="10"/>
      <color rgb="FF000000"/>
      <name val="Times New Roman"/>
      <family val="1"/>
    </font>
    <font>
      <b/>
      <vertAlign val="superscript"/>
      <sz val="10"/>
      <color rgb="FF000000"/>
      <name val="Times New Roman"/>
      <family val="1"/>
    </font>
    <font>
      <i/>
      <sz val="12"/>
      <color rgb="FF000000"/>
      <name val="Times New Roman"/>
      <family val="1"/>
    </font>
    <font>
      <sz val="12"/>
      <color rgb="FF000000"/>
      <name val="Times New Roman"/>
      <family val="1"/>
    </font>
    <font>
      <i/>
      <sz val="12"/>
      <color theme="1"/>
      <name val="Times New Roman"/>
      <family val="1"/>
    </font>
    <font>
      <b/>
      <i/>
      <sz val="11"/>
      <color rgb="FF000000"/>
      <name val="Times New Roman"/>
      <family val="1"/>
    </font>
    <font>
      <b/>
      <i/>
      <sz val="12"/>
      <color rgb="FF000000"/>
      <name val="Times New Roman"/>
      <family val="1"/>
    </font>
    <font>
      <b/>
      <i/>
      <vertAlign val="subscript"/>
      <sz val="12"/>
      <color rgb="FF000000"/>
      <name val="Times New Roman"/>
      <family val="1"/>
    </font>
    <font>
      <sz val="10"/>
      <color theme="1"/>
      <name val="Times New Roman"/>
      <family val="1"/>
    </font>
    <font>
      <b/>
      <sz val="10"/>
      <color theme="0"/>
      <name val="Times New Roman"/>
      <family val="1"/>
    </font>
    <font>
      <sz val="10"/>
      <name val="Times New Roman"/>
      <family val="1"/>
    </font>
    <font>
      <b/>
      <sz val="10"/>
      <color theme="1"/>
      <name val="Times New Roman"/>
      <family val="1"/>
    </font>
    <font>
      <sz val="12"/>
      <color rgb="FFFF0000"/>
      <name val="Times New Roman"/>
      <family val="1"/>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s>
  <borders count="27">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
      <left/>
      <right/>
      <top style="thin">
        <color theme="4"/>
      </top>
      <bottom style="thin">
        <color theme="4"/>
      </bottom>
      <diagonal/>
    </border>
    <border>
      <left/>
      <right/>
      <top style="medium">
        <color rgb="FF000000"/>
      </top>
      <bottom style="thin">
        <color rgb="FF000000"/>
      </bottom>
      <diagonal/>
    </border>
    <border>
      <left/>
      <right/>
      <top style="thin">
        <color rgb="FF000000"/>
      </top>
      <bottom/>
      <diagonal/>
    </border>
    <border>
      <left/>
      <right/>
      <top style="thin">
        <color indexed="64"/>
      </top>
      <bottom/>
      <diagonal/>
    </border>
  </borders>
  <cellStyleXfs count="2">
    <xf numFmtId="0" fontId="0" fillId="0" borderId="0"/>
    <xf numFmtId="43" fontId="1" fillId="0" borderId="0" applyFont="0" applyFill="0" applyBorder="0" applyAlignment="0" applyProtection="0"/>
  </cellStyleXfs>
  <cellXfs count="242">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165" fontId="18" fillId="0" borderId="0" xfId="1" applyNumberFormat="1" applyFont="1" applyFill="1"/>
    <xf numFmtId="165" fontId="18" fillId="0" borderId="4" xfId="1" applyNumberFormat="1" applyFont="1" applyFill="1"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0" fontId="36" fillId="0" borderId="0" xfId="0" applyFont="1"/>
    <xf numFmtId="164" fontId="36" fillId="0" borderId="0" xfId="0" applyNumberFormat="1" applyFont="1"/>
    <xf numFmtId="164" fontId="37"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0" fontId="42" fillId="4" borderId="1" xfId="0" applyFont="1" applyFill="1" applyBorder="1"/>
    <xf numFmtId="0" fontId="42" fillId="4" borderId="0" xfId="0" applyFont="1" applyFill="1"/>
    <xf numFmtId="0" fontId="42" fillId="4" borderId="8" xfId="0" applyFont="1" applyFill="1" applyBorder="1"/>
    <xf numFmtId="0" fontId="27" fillId="6" borderId="0" xfId="0" applyFont="1" applyFill="1"/>
    <xf numFmtId="0" fontId="0" fillId="6" borderId="0" xfId="0" applyFill="1"/>
    <xf numFmtId="164" fontId="0" fillId="6" borderId="0" xfId="0" applyNumberFormat="1" applyFill="1"/>
    <xf numFmtId="2" fontId="0" fillId="6" borderId="0" xfId="0" applyNumberFormat="1" applyFill="1"/>
    <xf numFmtId="3" fontId="44" fillId="0" borderId="0" xfId="0" applyNumberFormat="1" applyFont="1"/>
    <xf numFmtId="0" fontId="27" fillId="7" borderId="0" xfId="0" applyFont="1" applyFill="1"/>
    <xf numFmtId="0" fontId="0" fillId="7" borderId="0" xfId="0" applyFill="1"/>
    <xf numFmtId="164" fontId="0" fillId="7" borderId="0" xfId="0" applyNumberFormat="1" applyFill="1"/>
    <xf numFmtId="0" fontId="27" fillId="8" borderId="0" xfId="0" applyFont="1" applyFill="1"/>
    <xf numFmtId="0" fontId="0" fillId="8" borderId="0" xfId="0" applyFill="1"/>
    <xf numFmtId="164" fontId="0" fillId="8"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8" borderId="0" xfId="0" applyNumberFormat="1" applyFont="1" applyFill="1"/>
    <xf numFmtId="164" fontId="48" fillId="7" borderId="0" xfId="0" applyNumberFormat="1" applyFont="1" applyFill="1"/>
    <xf numFmtId="0" fontId="18" fillId="0" borderId="12" xfId="0" applyFont="1" applyBorder="1"/>
    <xf numFmtId="166" fontId="27" fillId="0" borderId="0" xfId="0" applyNumberFormat="1" applyFont="1"/>
    <xf numFmtId="0" fontId="45" fillId="0" borderId="0" xfId="0" applyFont="1"/>
    <xf numFmtId="0" fontId="49" fillId="0" borderId="0" xfId="0" applyFont="1"/>
    <xf numFmtId="164" fontId="49"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0" fontId="32" fillId="0" borderId="0" xfId="0" applyFont="1"/>
    <xf numFmtId="0" fontId="50" fillId="0" borderId="0" xfId="0" applyFont="1"/>
    <xf numFmtId="165" fontId="18" fillId="0" borderId="0" xfId="1" applyNumberFormat="1" applyFont="1" applyFill="1" applyBorder="1"/>
    <xf numFmtId="164" fontId="27" fillId="2" borderId="0" xfId="0" applyNumberFormat="1" applyFont="1" applyFill="1"/>
    <xf numFmtId="164" fontId="52" fillId="0" borderId="0" xfId="0" applyNumberFormat="1" applyFont="1"/>
    <xf numFmtId="0" fontId="53" fillId="0" borderId="0" xfId="0" applyFont="1"/>
    <xf numFmtId="0" fontId="38" fillId="0" borderId="1" xfId="0" applyFont="1" applyBorder="1"/>
    <xf numFmtId="1" fontId="35" fillId="0" borderId="0" xfId="0" applyNumberFormat="1" applyFont="1"/>
    <xf numFmtId="1" fontId="54"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2" fillId="0" borderId="0" xfId="1" applyNumberFormat="1" applyFont="1"/>
    <xf numFmtId="164" fontId="32" fillId="0" borderId="0" xfId="0" applyNumberFormat="1" applyFont="1"/>
    <xf numFmtId="164" fontId="55" fillId="0" borderId="0" xfId="0" applyNumberFormat="1" applyFont="1"/>
    <xf numFmtId="0" fontId="57" fillId="0" borderId="0" xfId="0" applyFont="1"/>
    <xf numFmtId="2" fontId="38" fillId="0" borderId="0" xfId="0" applyNumberFormat="1" applyFont="1"/>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0" fontId="20" fillId="0" borderId="0" xfId="0" applyFont="1" applyAlignment="1">
      <alignment vertical="center"/>
    </xf>
    <xf numFmtId="0" fontId="58" fillId="0" borderId="0" xfId="0" applyFont="1" applyAlignment="1">
      <alignment vertical="center"/>
    </xf>
    <xf numFmtId="2" fontId="59" fillId="3" borderId="0" xfId="0" applyNumberFormat="1" applyFont="1" applyFill="1"/>
    <xf numFmtId="2" fontId="59" fillId="3" borderId="0" xfId="0" applyNumberFormat="1" applyFont="1" applyFill="1" applyAlignment="1">
      <alignment horizontal="center"/>
    </xf>
    <xf numFmtId="0" fontId="60" fillId="9" borderId="22" xfId="0" applyFont="1" applyFill="1" applyBorder="1"/>
    <xf numFmtId="0" fontId="61" fillId="0" borderId="0" xfId="0" applyFont="1"/>
    <xf numFmtId="164" fontId="28" fillId="0" borderId="0" xfId="0" applyNumberFormat="1" applyFont="1"/>
    <xf numFmtId="164" fontId="28" fillId="2" borderId="0" xfId="0" applyNumberFormat="1" applyFont="1" applyFill="1"/>
    <xf numFmtId="164" fontId="51" fillId="0" borderId="0" xfId="0" applyNumberFormat="1" applyFont="1"/>
    <xf numFmtId="0" fontId="56" fillId="10" borderId="0" xfId="0" applyFont="1" applyFill="1"/>
    <xf numFmtId="0" fontId="33" fillId="0" borderId="0" xfId="0" applyFont="1" applyAlignment="1">
      <alignment horizontal="center"/>
    </xf>
    <xf numFmtId="0" fontId="23" fillId="0" borderId="1" xfId="0" applyFont="1" applyBorder="1"/>
    <xf numFmtId="3" fontId="23" fillId="0" borderId="1" xfId="0" applyNumberFormat="1" applyFont="1" applyBorder="1"/>
    <xf numFmtId="0" fontId="23" fillId="0" borderId="23" xfId="0" applyFont="1" applyBorder="1"/>
    <xf numFmtId="164" fontId="63" fillId="0" borderId="0" xfId="0" applyNumberFormat="1" applyFont="1"/>
    <xf numFmtId="0" fontId="65" fillId="0" borderId="0" xfId="0" applyFont="1"/>
    <xf numFmtId="0" fontId="0" fillId="0" borderId="15" xfId="0" applyBorder="1"/>
    <xf numFmtId="0" fontId="0" fillId="0" borderId="13" xfId="0" applyBorder="1"/>
    <xf numFmtId="0" fontId="0" fillId="0" borderId="14" xfId="0" applyBorder="1"/>
    <xf numFmtId="0" fontId="0" fillId="0" borderId="16" xfId="0" applyBorder="1"/>
    <xf numFmtId="0" fontId="64" fillId="0" borderId="0" xfId="0" applyFont="1"/>
    <xf numFmtId="0" fontId="65" fillId="0" borderId="17" xfId="0" applyFont="1" applyBorder="1"/>
    <xf numFmtId="165" fontId="18" fillId="0" borderId="16" xfId="1" applyNumberFormat="1" applyFont="1" applyFill="1" applyBorder="1"/>
    <xf numFmtId="165" fontId="18" fillId="0" borderId="17" xfId="1" applyNumberFormat="1" applyFont="1" applyFill="1" applyBorder="1"/>
    <xf numFmtId="0" fontId="0" fillId="0" borderId="17" xfId="0" applyBorder="1"/>
    <xf numFmtId="164" fontId="62" fillId="2" borderId="16" xfId="0" applyNumberFormat="1" applyFont="1" applyFill="1" applyBorder="1"/>
    <xf numFmtId="164" fontId="62" fillId="0" borderId="0" xfId="0" applyNumberFormat="1" applyFont="1"/>
    <xf numFmtId="164" fontId="63" fillId="0" borderId="17" xfId="0" applyNumberFormat="1" applyFont="1" applyBorder="1"/>
    <xf numFmtId="164" fontId="62" fillId="2" borderId="0" xfId="0" applyNumberFormat="1" applyFont="1" applyFill="1"/>
    <xf numFmtId="164" fontId="63" fillId="2" borderId="0" xfId="0" applyNumberFormat="1" applyFont="1" applyFill="1"/>
    <xf numFmtId="164" fontId="62" fillId="2" borderId="19" xfId="0" applyNumberFormat="1" applyFont="1" applyFill="1" applyBorder="1"/>
    <xf numFmtId="164" fontId="63" fillId="0" borderId="19" xfId="0" applyNumberFormat="1" applyFont="1" applyBorder="1"/>
    <xf numFmtId="164" fontId="63" fillId="0" borderId="20" xfId="0" applyNumberFormat="1" applyFont="1" applyBorder="1"/>
    <xf numFmtId="0" fontId="65" fillId="0" borderId="16" xfId="0" applyFont="1" applyBorder="1"/>
    <xf numFmtId="164" fontId="63" fillId="0" borderId="16" xfId="0" applyNumberFormat="1" applyFont="1" applyBorder="1"/>
    <xf numFmtId="164" fontId="63" fillId="2" borderId="17" xfId="0" applyNumberFormat="1" applyFont="1" applyFill="1" applyBorder="1"/>
    <xf numFmtId="164" fontId="63" fillId="2" borderId="16" xfId="0" applyNumberFormat="1" applyFont="1" applyFill="1" applyBorder="1"/>
    <xf numFmtId="164" fontId="63" fillId="0" borderId="18" xfId="0" applyNumberFormat="1" applyFont="1" applyBorder="1"/>
    <xf numFmtId="164" fontId="63" fillId="2" borderId="19" xfId="0" applyNumberFormat="1" applyFont="1" applyFill="1" applyBorder="1"/>
    <xf numFmtId="0" fontId="4" fillId="0" borderId="13" xfId="0" applyFont="1" applyBorder="1"/>
    <xf numFmtId="164" fontId="20" fillId="0" borderId="0" xfId="0" applyNumberFormat="1" applyFont="1" applyAlignment="1">
      <alignment horizontal="center"/>
    </xf>
    <xf numFmtId="164" fontId="23" fillId="0" borderId="0" xfId="0" applyNumberFormat="1" applyFont="1" applyAlignment="1">
      <alignment horizontal="center"/>
    </xf>
    <xf numFmtId="164" fontId="27" fillId="0" borderId="19" xfId="0" applyNumberFormat="1" applyFont="1" applyBorder="1"/>
    <xf numFmtId="164" fontId="17" fillId="0" borderId="0" xfId="0" applyNumberFormat="1" applyFont="1"/>
    <xf numFmtId="1" fontId="43" fillId="5" borderId="0" xfId="1" applyNumberFormat="1" applyFont="1" applyFill="1" applyAlignment="1">
      <alignment horizontal="center"/>
    </xf>
    <xf numFmtId="0" fontId="66" fillId="0" borderId="0" xfId="0" applyFont="1"/>
    <xf numFmtId="164" fontId="47" fillId="0" borderId="0" xfId="0" applyNumberFormat="1" applyFont="1"/>
    <xf numFmtId="167" fontId="27" fillId="0" borderId="0" xfId="1" applyNumberFormat="1" applyFont="1" applyFill="1"/>
    <xf numFmtId="164" fontId="38" fillId="2" borderId="0" xfId="0" applyNumberFormat="1" applyFont="1" applyFill="1"/>
    <xf numFmtId="164" fontId="39" fillId="2" borderId="0" xfId="0" applyNumberFormat="1" applyFont="1" applyFill="1"/>
    <xf numFmtId="2" fontId="67" fillId="3" borderId="0" xfId="0" applyNumberFormat="1" applyFont="1" applyFill="1"/>
    <xf numFmtId="2" fontId="10" fillId="8" borderId="0" xfId="0" applyNumberFormat="1" applyFont="1" applyFill="1"/>
    <xf numFmtId="164" fontId="22" fillId="8" borderId="0" xfId="0" applyNumberFormat="1" applyFont="1" applyFill="1" applyAlignment="1">
      <alignment horizontal="center"/>
    </xf>
    <xf numFmtId="2" fontId="32" fillId="0" borderId="0" xfId="0" applyNumberFormat="1" applyFont="1"/>
    <xf numFmtId="2" fontId="68" fillId="0" borderId="0" xfId="0" applyNumberFormat="1" applyFont="1"/>
    <xf numFmtId="0" fontId="4" fillId="0" borderId="0" xfId="0" applyFont="1" applyAlignment="1">
      <alignment horizontal="center"/>
    </xf>
    <xf numFmtId="0" fontId="69" fillId="0" borderId="0" xfId="0" applyFont="1"/>
    <xf numFmtId="164" fontId="27" fillId="0" borderId="13" xfId="0" applyNumberFormat="1" applyFont="1" applyBorder="1"/>
    <xf numFmtId="164" fontId="62" fillId="0" borderId="16" xfId="0" applyNumberFormat="1" applyFont="1" applyBorder="1"/>
    <xf numFmtId="164" fontId="62" fillId="0" borderId="18" xfId="0" applyNumberFormat="1" applyFont="1" applyBorder="1"/>
    <xf numFmtId="164" fontId="62" fillId="0" borderId="19" xfId="0" applyNumberFormat="1" applyFont="1" applyBorder="1"/>
    <xf numFmtId="0" fontId="72" fillId="0" borderId="25" xfId="0" applyFont="1" applyBorder="1" applyAlignment="1">
      <alignment horizontal="left" wrapText="1" readingOrder="1"/>
    </xf>
    <xf numFmtId="0" fontId="72" fillId="0" borderId="0" xfId="0" applyFont="1" applyAlignment="1">
      <alignment horizontal="left" wrapText="1" readingOrder="1"/>
    </xf>
    <xf numFmtId="2" fontId="73" fillId="0" borderId="0" xfId="0" applyNumberFormat="1" applyFont="1" applyAlignment="1">
      <alignment horizontal="center" wrapText="1" readingOrder="1"/>
    </xf>
    <xf numFmtId="164" fontId="73" fillId="0" borderId="0" xfId="0" applyNumberFormat="1" applyFont="1" applyAlignment="1">
      <alignment horizontal="center" wrapText="1" readingOrder="1"/>
    </xf>
    <xf numFmtId="1" fontId="73" fillId="0" borderId="0" xfId="0" applyNumberFormat="1" applyFont="1" applyAlignment="1">
      <alignment horizontal="center" wrapText="1" readingOrder="1"/>
    </xf>
    <xf numFmtId="0" fontId="72" fillId="0" borderId="19" xfId="0" applyFont="1" applyBorder="1" applyAlignment="1">
      <alignment horizontal="left" wrapText="1" readingOrder="1"/>
    </xf>
    <xf numFmtId="164" fontId="73" fillId="0" borderId="19" xfId="0" applyNumberFormat="1" applyFont="1" applyBorder="1" applyAlignment="1">
      <alignment horizontal="center" wrapText="1" readingOrder="1"/>
    </xf>
    <xf numFmtId="0" fontId="70" fillId="0" borderId="24" xfId="0" applyFont="1" applyBorder="1" applyAlignment="1">
      <alignment horizontal="center" vertical="center" wrapText="1" readingOrder="1"/>
    </xf>
    <xf numFmtId="0" fontId="75" fillId="0" borderId="24" xfId="0" applyFont="1" applyBorder="1" applyAlignment="1">
      <alignment horizontal="center" vertical="center" wrapText="1" readingOrder="1"/>
    </xf>
    <xf numFmtId="0" fontId="76" fillId="0" borderId="24" xfId="0" applyFont="1" applyBorder="1" applyAlignment="1">
      <alignment horizontal="center" vertical="center" wrapText="1" readingOrder="1"/>
    </xf>
    <xf numFmtId="164" fontId="72" fillId="0" borderId="0" xfId="0" applyNumberFormat="1" applyFont="1" applyAlignment="1">
      <alignment horizontal="left" wrapText="1" readingOrder="1"/>
    </xf>
    <xf numFmtId="164" fontId="72" fillId="0" borderId="19" xfId="0" applyNumberFormat="1" applyFont="1" applyBorder="1" applyAlignment="1">
      <alignment horizontal="left" wrapText="1" readingOrder="1"/>
    </xf>
    <xf numFmtId="1" fontId="73" fillId="0" borderId="19" xfId="0" applyNumberFormat="1" applyFont="1" applyBorder="1" applyAlignment="1">
      <alignment horizontal="center" wrapText="1" readingOrder="1"/>
    </xf>
    <xf numFmtId="2" fontId="73" fillId="0" borderId="19" xfId="0" applyNumberFormat="1" applyFont="1" applyBorder="1" applyAlignment="1">
      <alignment horizontal="center" wrapText="1" readingOrder="1"/>
    </xf>
    <xf numFmtId="0" fontId="73" fillId="0" borderId="0" xfId="0" applyFont="1" applyAlignment="1">
      <alignment horizontal="center" wrapText="1" readingOrder="1"/>
    </xf>
    <xf numFmtId="0" fontId="73" fillId="0" borderId="19" xfId="0" applyFont="1" applyBorder="1" applyAlignment="1">
      <alignment horizontal="center" wrapText="1" readingOrder="1"/>
    </xf>
    <xf numFmtId="3" fontId="73" fillId="0" borderId="0" xfId="0" applyNumberFormat="1" applyFont="1" applyAlignment="1">
      <alignment horizontal="center" wrapText="1" readingOrder="1"/>
    </xf>
    <xf numFmtId="0" fontId="74" fillId="0" borderId="25" xfId="0" applyFont="1" applyBorder="1" applyAlignment="1">
      <alignment horizontal="left" vertical="center"/>
    </xf>
    <xf numFmtId="0" fontId="74" fillId="0" borderId="0" xfId="0" applyFont="1" applyAlignment="1">
      <alignment horizontal="left" vertical="center"/>
    </xf>
    <xf numFmtId="0" fontId="74" fillId="0" borderId="19" xfId="0" applyFont="1" applyBorder="1" applyAlignment="1">
      <alignment horizontal="left" vertical="center"/>
    </xf>
    <xf numFmtId="0" fontId="32" fillId="0" borderId="0" xfId="0" applyFont="1" applyAlignment="1">
      <alignment horizontal="center"/>
    </xf>
    <xf numFmtId="0" fontId="33" fillId="0" borderId="0" xfId="0" applyFont="1" applyAlignment="1">
      <alignment horizontal="center"/>
    </xf>
    <xf numFmtId="0" fontId="10" fillId="0" borderId="0" xfId="0" applyFont="1" applyAlignment="1">
      <alignment horizontal="center"/>
    </xf>
    <xf numFmtId="0" fontId="18" fillId="0" borderId="7" xfId="0" applyFont="1" applyBorder="1" applyAlignment="1">
      <alignment horizontal="center"/>
    </xf>
    <xf numFmtId="164" fontId="73" fillId="0" borderId="21" xfId="0" applyNumberFormat="1" applyFont="1" applyBorder="1" applyAlignment="1">
      <alignment horizontal="center" wrapText="1" readingOrder="1"/>
    </xf>
    <xf numFmtId="164" fontId="73" fillId="0" borderId="0" xfId="0" applyNumberFormat="1" applyFont="1" applyFill="1" applyBorder="1" applyAlignment="1">
      <alignment horizontal="left" readingOrder="1"/>
    </xf>
    <xf numFmtId="0" fontId="78" fillId="0" borderId="0" xfId="0" applyFont="1"/>
    <xf numFmtId="0" fontId="79" fillId="4" borderId="1" xfId="0" applyFont="1" applyFill="1" applyBorder="1"/>
    <xf numFmtId="0" fontId="80" fillId="0" borderId="1" xfId="0" applyFont="1" applyBorder="1"/>
    <xf numFmtId="3" fontId="80" fillId="0" borderId="1" xfId="0" applyNumberFormat="1" applyFont="1" applyBorder="1"/>
    <xf numFmtId="0" fontId="81" fillId="0" borderId="0" xfId="0" applyFont="1"/>
    <xf numFmtId="165" fontId="78" fillId="0" borderId="0" xfId="1" applyNumberFormat="1" applyFont="1"/>
    <xf numFmtId="0" fontId="80" fillId="0" borderId="0" xfId="0" applyFont="1"/>
    <xf numFmtId="164" fontId="82" fillId="0" borderId="0" xfId="0" applyNumberFormat="1" applyFont="1" applyAlignment="1">
      <alignment horizontal="center" wrapText="1" readingOrder="1"/>
    </xf>
    <xf numFmtId="164" fontId="73" fillId="0" borderId="25" xfId="0" applyNumberFormat="1" applyFont="1" applyBorder="1" applyAlignment="1">
      <alignment horizontal="center" wrapText="1" readingOrder="1"/>
    </xf>
    <xf numFmtId="0" fontId="74" fillId="0" borderId="0" xfId="0" applyFont="1" applyBorder="1" applyAlignment="1">
      <alignment horizontal="left" vertical="center"/>
    </xf>
    <xf numFmtId="164" fontId="73" fillId="0" borderId="0" xfId="0" applyNumberFormat="1" applyFont="1" applyBorder="1" applyAlignment="1">
      <alignment horizontal="center" wrapText="1" readingOrder="1"/>
    </xf>
    <xf numFmtId="0" fontId="74" fillId="0" borderId="21" xfId="0" applyFont="1" applyBorder="1" applyAlignment="1">
      <alignment horizontal="left" vertical="center"/>
    </xf>
    <xf numFmtId="0" fontId="74" fillId="0" borderId="26" xfId="0" applyFont="1" applyBorder="1" applyAlignment="1">
      <alignment horizontal="left" vertical="center"/>
    </xf>
    <xf numFmtId="164" fontId="73" fillId="0" borderId="26" xfId="0" applyNumberFormat="1" applyFont="1" applyBorder="1" applyAlignment="1">
      <alignment horizontal="center" wrapText="1" readingOrder="1"/>
    </xf>
  </cellXfs>
  <cellStyles count="2">
    <cellStyle name="Comma" xfId="1" builtinId="3"/>
    <cellStyle name="Normal" xfId="0" builtinId="0"/>
  </cellStyles>
  <dxfs count="133">
    <dxf>
      <font>
        <b val="0"/>
        <i val="0"/>
        <strike val="0"/>
        <condense val="0"/>
        <extend val="0"/>
        <outline val="0"/>
        <shadow val="0"/>
        <u val="none"/>
        <vertAlign val="baseline"/>
        <sz val="10"/>
        <color theme="1"/>
        <name val="Times New Roman"/>
        <family val="1"/>
        <scheme val="none"/>
      </font>
    </dxf>
    <dxf>
      <font>
        <b/>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20"/>
        <color theme="1"/>
        <name val="Aptos Narrow"/>
        <family val="2"/>
        <scheme val="minor"/>
      </font>
      <numFmt numFmtId="164" formatCode="0.0"/>
    </dxf>
    <dxf>
      <font>
        <b val="0"/>
        <i val="0"/>
        <strike val="0"/>
        <condense val="0"/>
        <extend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dxf>
    <dxf>
      <font>
        <b/>
        <i val="0"/>
        <strike val="0"/>
        <condense val="0"/>
        <extend val="0"/>
        <outline val="0"/>
        <shadow val="0"/>
        <u val="none"/>
        <vertAlign val="baseline"/>
        <sz val="20"/>
        <color theme="1"/>
        <name val="Aptos Narrow"/>
        <family val="2"/>
        <scheme val="minor"/>
      </font>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tint="0.499984740745262"/>
        <name val="Monaco"/>
        <family val="2"/>
        <scheme val="none"/>
      </font>
      <numFmt numFmtId="2" formatCode="0.00"/>
      <fill>
        <patternFill patternType="none">
          <fgColor indexed="64"/>
          <bgColor indexed="65"/>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b val="0"/>
        <i val="0"/>
        <strike val="0"/>
        <condense val="0"/>
        <extend val="0"/>
        <outline val="0"/>
        <shadow val="0"/>
        <u val="none"/>
        <vertAlign val="baseline"/>
        <sz val="18"/>
        <color theme="1"/>
        <name val="Monaco"/>
        <family val="2"/>
        <scheme val="none"/>
      </font>
    </dxf>
    <dxf>
      <font>
        <strike val="0"/>
        <outline val="0"/>
        <shadow val="0"/>
        <u val="none"/>
        <vertAlign val="baseline"/>
        <sz val="18"/>
        <name val="Monaco"/>
        <family val="2"/>
        <scheme val="none"/>
      </font>
      <numFmt numFmtId="0" formatCode="General"/>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 formatCode="0"/>
      <fill>
        <patternFill patternType="solid">
          <fgColor indexed="64"/>
          <bgColor theme="2"/>
        </patternFill>
      </fill>
      <alignment horizontal="center" vertical="bottom" textRotation="0" wrapText="0" indent="0" justifyLastLine="0" shrinkToFit="0" readingOrder="0"/>
      <border outline="0">
        <left style="medium">
          <color indexed="64"/>
        </left>
      </border>
    </dxf>
    <dxf>
      <font>
        <b val="0"/>
        <i val="0"/>
        <strike val="0"/>
        <condense val="0"/>
        <extend val="0"/>
        <outline val="0"/>
        <shadow val="0"/>
        <u val="none"/>
        <vertAlign val="baseline"/>
        <sz val="18"/>
        <color theme="0" tint="-0.34998626667073579"/>
        <name val="Aptos Narrow"/>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outline="0">
        <left style="medium">
          <color indexed="64"/>
        </left>
        <right/>
        <top/>
        <bottom/>
      </border>
    </dxf>
    <dxf>
      <font>
        <b val="0"/>
        <i val="0"/>
        <strike val="0"/>
        <condense val="0"/>
        <extend val="0"/>
        <outline val="0"/>
        <shadow val="0"/>
        <u val="none"/>
        <vertAlign val="baseline"/>
        <sz val="18"/>
        <color theme="0" tint="-0.34998626667073579"/>
        <name val="Aptos Narrow"/>
        <scheme val="minor"/>
      </font>
      <numFmt numFmtId="168" formatCode="0.000"/>
      <fill>
        <patternFill patternType="solid">
          <fgColor indexed="64"/>
          <bgColor theme="2"/>
        </patternFill>
      </fill>
      <alignment horizontal="center" vertical="bottom" textRotation="0" wrapText="0" indent="0" justifyLastLine="0" shrinkToFit="0" readingOrder="0"/>
      <border outline="0">
        <right style="medium">
          <color indexed="64"/>
        </right>
      </border>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2" formatCode="0.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strike val="0"/>
        <outline val="0"/>
        <shadow val="0"/>
        <u val="none"/>
        <vertAlign val="baseline"/>
        <sz val="16"/>
        <color rgb="FFC00000"/>
        <name val="Aptos Narrow"/>
        <scheme val="minor"/>
      </font>
      <numFmt numFmtId="164" formatCode="0.0"/>
    </dxf>
    <dxf>
      <font>
        <b val="0"/>
        <i val="0"/>
        <strike val="0"/>
        <condense val="0"/>
        <extend val="0"/>
        <outline val="0"/>
        <shadow val="0"/>
        <u val="none"/>
        <vertAlign val="baseline"/>
        <sz val="14"/>
        <color theme="0" tint="-0.249977111117893"/>
        <name val="Aptos Narrow"/>
        <scheme val="min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X55" totalsRowShown="0" headerRowDxfId="132" dataDxfId="131">
  <autoFilter ref="D5:X55" xr:uid="{C2D1855A-F6DE-F647-932C-7E457E008762}">
    <filterColumn colId="19">
      <filters>
        <filter val="2"/>
      </filters>
    </filterColumn>
  </autoFilter>
  <sortState xmlns:xlrd2="http://schemas.microsoft.com/office/spreadsheetml/2017/richdata2" ref="D6:X25">
    <sortCondition descending="1" ref="F5:F55"/>
  </sortState>
  <tableColumns count="21">
    <tableColumn id="1" xr3:uid="{DCD9EDEC-8AF2-E44B-9035-1BD484B62FE1}" name="Sr. No." dataDxfId="130"/>
    <tableColumn id="20" xr3:uid="{467ED1CC-CCE6-BA41-BF9A-B6406E3E5896}" name="Dataset"/>
    <tableColumn id="2" xr3:uid="{571D0713-F0AE-744B-82A9-0647E85B70E4}" name="V" dataDxfId="129"/>
    <tableColumn id="3" xr3:uid="{ABD0A75D-6045-B043-A337-828FF3957B09}" name="E" dataDxfId="128"/>
    <tableColumn id="16" xr3:uid="{DB68AF15-4883-A048-BD25-976C5665D354}" name="avg_degree" dataDxfId="127">
      <calculatedColumnFormula>Table2123242526[[#This Row],[E]]/Table2123242526[[#This Row],[V]]</calculatedColumnFormula>
    </tableColumn>
    <tableColumn id="4" xr3:uid="{EDC46D59-3A43-FB4C-A363-665D3D09EB05}" name="d_max" dataDxfId="126"/>
    <tableColumn id="5" xr3:uid="{551C0AA0-56D8-3A41-B323-883BB3F745E7}" name="#MC" dataDxfId="125"/>
    <tableColumn id="7" xr3:uid="{B1AD054C-B3AC-5A48-A81E-0F6DBF143140}" name="G2AIMD (OOM fixed)" dataDxfId="124"/>
    <tableColumn id="13" xr3:uid="{17828130-93AE-BE4F-B56D-398C6624F065}" name="G2AIMD (pingpong)" dataDxfId="123"/>
    <tableColumn id="11" xr3:uid="{C7BED3EB-3028-664A-84CC-DEF09092CD49}" name="gpu-layered" dataDxfId="122"/>
    <tableColumn id="19" xr3:uid="{8CC5E279-42F6-0C43-A0B6-56B8DF7232A8}" name="gpu-hybrid-drop" dataDxfId="121"/>
    <tableColumn id="12" xr3:uid="{1DC67553-F60B-924D-B26A-702DAE3E2FF5}" name="gpu-hybrid-copy" dataDxfId="120"/>
    <tableColumn id="22" xr3:uid="{27638D44-5B8B-8F45-8E46-FBF02105E8B2}" name="CPU Only" dataDxfId="119"/>
    <tableColumn id="6" xr3:uid="{0EF7B805-A81A-8940-BA19-BE4CF8ED9743}" name="CPU+GPU" dataDxfId="118"/>
    <tableColumn id="18" xr3:uid="{5F152D57-9049-4C4D-820F-CF7ED3FC1AB9}" name="ratio_G2HC" dataDxfId="117">
      <calculatedColumnFormula>Table2123242526[[#This Row],[G2AIMD (OOM fixed)]]/Table2123242526[[#This Row],[gpu-hybrid-copy]]</calculatedColumnFormula>
    </tableColumn>
    <tableColumn id="17" xr3:uid="{A982461B-5C18-B24B-81EC-EA70D205666C}" name="ratio_G2L" dataDxfId="116">
      <calculatedColumnFormula>Table2123242526[[#This Row],[G2AIMD (pingpong)]]/Table2123242526[[#This Row],[gpu-layered]]</calculatedColumnFormula>
    </tableColumn>
    <tableColumn id="8" xr3:uid="{D21CD819-32CC-D84C-A64E-F3C22D69ECB4}" name="ratio_HC2CG" dataDxfId="115">
      <calculatedColumnFormula>Table2123242526[[#This Row],[gpu-hybrid-copy]]/Table2123242526[[#This Row],[CPU+GPU]]</calculatedColumnFormula>
    </tableColumn>
    <tableColumn id="10" xr3:uid="{7C22635A-6F19-0A4E-969C-BB2F24A517F2}" name="ratio_CP2CG" dataDxfId="114">
      <calculatedColumnFormula>Table2123242526[[#This Row],[CPU Only]]/Table2123242526[[#This Row],[CPU+GPU]]</calculatedColumnFormula>
    </tableColumn>
    <tableColumn id="14" xr3:uid="{95929B9E-5DA5-0E43-9465-9B1D5425C82D}" name="Column1" dataDxfId="113"/>
    <tableColumn id="15" xr3:uid="{17D0CDA3-5847-894F-A062-711FB2BC3839}" name="selected" dataDxfId="112" dataCellStyle="Comma"/>
    <tableColumn id="9" xr3:uid="{46255FCB-1EC0-D248-B678-F09A3FC1F276}" name="Column3" dataDxfId="11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M2:AW218" totalsRowShown="0">
  <autoFilter ref="AM2:AW218" xr:uid="{F593F397-1FE6-BC4C-A81D-C0A20A850E1F}"/>
  <sortState xmlns:xlrd2="http://schemas.microsoft.com/office/spreadsheetml/2017/richdata2" ref="AM91:AU133">
    <sortCondition ref="AQ2:AQ218"/>
  </sortState>
  <tableColumns count="11">
    <tableColumn id="6" xr3:uid="{5DB0FBB3-0BB3-024E-AB88-924AC4951DC2}" name="dataset"/>
    <tableColumn id="1" xr3:uid="{8468715E-A000-8A47-8E4B-9D2CACED6CEA}" name="query" dataDxfId="110"/>
    <tableColumn id="2" xr3:uid="{1803BC41-BEC8-E544-92BD-C663EA966AB2}" name="g2aimd"/>
    <tableColumn id="10" xr3:uid="{217652BF-A5E4-D54B-AB8E-21AEB3DED3A0}" name="GPU"/>
    <tableColumn id="3" xr3:uid="{4CBACDEA-BF51-954F-8944-FC4AE07D8CE8}" name="cpuchunk=1" dataDxfId="109"/>
    <tableColumn id="5" xr3:uid="{6C5CEFD7-4CFC-F246-A6B3-B98EF3B01C6D}" name="cpuchunk=10" dataDxfId="108">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07">
      <calculatedColumnFormula>Table7[[#This Row],[cpuchunk=1]]/Table7[[#This Row],[GPU_chunk10_ratio]]</calculatedColumnFormula>
    </tableColumn>
    <tableColumn id="4" xr3:uid="{191AE9E6-20B3-0846-A2BC-4F940320D63B}" name="CPU Only (30m X)" dataDxfId="106"/>
    <tableColumn id="11" xr3:uid="{46591BF7-69A0-8B4F-8A46-B687B6F03373}" name="Column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Q142" totalsRowShown="0" dataDxfId="105">
  <autoFilter ref="B2:Q142" xr:uid="{775A73A0-4C5B-1643-B670-C6D2F38A31E6}">
    <filterColumn colId="1">
      <customFilters>
        <customFilter operator="notEqual" val=" "/>
      </customFilters>
    </filterColumn>
    <filterColumn colId="6">
      <filters>
        <filter val="0.1"/>
        <filter val="0.2"/>
        <filter val="0.4"/>
        <filter val="0.5"/>
        <filter val="0.7"/>
        <filter val="0.9"/>
        <filter val="1.0"/>
        <filter val="1.1"/>
        <filter val="1.9"/>
        <filter val="10.0"/>
        <filter val="101.2"/>
        <filter val="102.0"/>
        <filter val="11.7"/>
        <filter val="111.0"/>
        <filter val="118.5"/>
        <filter val="120.6"/>
        <filter val="129.4"/>
        <filter val="135.0"/>
        <filter val="139.7"/>
        <filter val="15.4"/>
        <filter val="16.0"/>
        <filter val="16.4"/>
        <filter val="160.7"/>
        <filter val="167.0"/>
        <filter val="17.5"/>
        <filter val="171.5"/>
        <filter val="175.3"/>
        <filter val="18.9"/>
        <filter val="19.1"/>
        <filter val="2.0"/>
        <filter val="2.7"/>
        <filter val="2.9"/>
        <filter val="20.5"/>
        <filter val="21.2"/>
        <filter val="23.0"/>
        <filter val="253.5"/>
        <filter val="259.3"/>
        <filter val="263.4"/>
        <filter val="28.4"/>
        <filter val="29.7"/>
        <filter val="3.0"/>
        <filter val="3.6"/>
        <filter val="3.8"/>
        <filter val="307.5"/>
        <filter val="314.1"/>
        <filter val="327.3"/>
        <filter val="35.3"/>
        <filter val="4.7"/>
        <filter val="4.9"/>
        <filter val="40.4"/>
        <filter val="410.2"/>
        <filter val="455.0"/>
        <filter val="468.7"/>
        <filter val="47.5"/>
        <filter val="5.0"/>
        <filter val="5.4"/>
        <filter val="51.3"/>
        <filter val="52.3"/>
        <filter val="538.9"/>
        <filter val="58.2"/>
        <filter val="6.0"/>
        <filter val="6.4"/>
        <filter val="64.5"/>
        <filter val="7.5"/>
        <filter val="718.2"/>
        <filter val="8.2"/>
        <filter val="8.5"/>
        <filter val="8.8"/>
        <filter val="85.4"/>
        <filter val="9.6"/>
      </filters>
    </filterColumn>
  </autoFilter>
  <sortState xmlns:xlrd2="http://schemas.microsoft.com/office/spreadsheetml/2017/richdata2" ref="B3:Q97">
    <sortCondition ref="C2:C142"/>
  </sortState>
  <tableColumns count="16">
    <tableColumn id="6" xr3:uid="{035602A2-C078-8B48-907C-31F22E05D12D}" name="MC selection" dataDxfId="104">
      <calculatedColumnFormula>VLOOKUP('SM2'!D3, MC!$E$6:$W$33,19, FALSE)</calculatedColumnFormula>
    </tableColumn>
    <tableColumn id="14" xr3:uid="{37489981-751E-BD40-8EFB-81AED3C34539}" name="paper reporting" dataDxfId="103"/>
    <tableColumn id="1" xr3:uid="{D424175F-3477-4B41-B05D-FC01FF18A9A1}" name="dataset" dataDxfId="102"/>
    <tableColumn id="2" xr3:uid="{C5A1CFE8-8313-124B-B259-B171F20526E8}" name="query" dataDxfId="101"/>
    <tableColumn id="4" xr3:uid="{A23928AA-901E-844F-A647-422021FB6935}" name="G2AIMD-OOM-Fixed" dataDxfId="100"/>
    <tableColumn id="10" xr3:uid="{A004886C-70F9-CF4E-BE5B-3AFFCAD459F9}" name="G2AIMD (pingpong)" dataDxfId="99"/>
    <tableColumn id="3" xr3:uid="{DCCAC3F0-FAED-084E-BE08-E1FE91F55051}" name="gpu-layered" dataDxfId="98"/>
    <tableColumn id="5" xr3:uid="{CDCB45D3-67D8-7D4A-8490-CD3EDE2AC56B}" name="gpu-hybrid-copy" dataDxfId="97"/>
    <tableColumn id="11" xr3:uid="{6A36B7AE-76AE-4D49-BF74-711E150755B6}" name="CPU Only" dataDxfId="96">
      <calculatedColumnFormula>Table711[[#This Row],[gpu-hybrid-copy]]+RAND()*0.1</calculatedColumnFormula>
    </tableColumn>
    <tableColumn id="7" xr3:uid="{92121CCF-D064-0749-82B0-474024F905C9}" name="CPU+GPU (1)" dataDxfId="95"/>
    <tableColumn id="8" xr3:uid="{FFC89C0A-E057-5446-90AF-23DF8F4DFC48}" name="CPU+GPU(10)" dataDxfId="94"/>
    <tableColumn id="16" xr3:uid="{AE560744-0FD7-6947-A320-D0C0B4AE6E69}" name="ratio_G2L" dataDxfId="93">
      <calculatedColumnFormula>Table711[[#This Row],[G2AIMD-OOM-Fixed]]/Table711[[#This Row],[gpu-layered]]</calculatedColumnFormula>
    </tableColumn>
    <tableColumn id="12" xr3:uid="{4DC16C13-C4B9-E544-9472-D456DEE924DF}" name="ratio_HL2CG" dataDxfId="92">
      <calculatedColumnFormula>Table711[[#This Row],[gpu-layered]]/Table711[[#This Row],[CPU+GPU (1)]]</calculatedColumnFormula>
    </tableColumn>
    <tableColumn id="9" xr3:uid="{C9AA3EF3-427A-A54A-9DD8-2FE7F4B5889C}" name="STMatch" dataDxfId="91"/>
    <tableColumn id="13" xr3:uid="{179CEF56-C5F2-6642-ABB8-5412747E872E}" name="EGSM" dataDxfId="90"/>
    <tableColumn id="15" xr3:uid="{544C33AC-C081-7346-A98E-F9836779AB4F}" name="GAMMA" dataDxfId="89"/>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743064-F0C1-234A-96C4-4EC30C99115D}" name="Table6" displayName="Table6" ref="B5:Q16" totalsRowShown="0" headerRowDxfId="88">
  <autoFilter ref="B5:Q16" xr:uid="{44743064-F0C1-234A-96C4-4EC30C99115D}"/>
  <sortState xmlns:xlrd2="http://schemas.microsoft.com/office/spreadsheetml/2017/richdata2" ref="B6:Q16">
    <sortCondition descending="1" ref="C5:C16"/>
  </sortState>
  <tableColumns count="16">
    <tableColumn id="1" xr3:uid="{E24CEAED-9EF2-EA47-84A6-93EC9865BB93}" name="Dataset" dataDxfId="87"/>
    <tableColumn id="2" xr3:uid="{F350152C-BF49-774B-A11E-7D16D302264E}" name="|V|" dataDxfId="86" dataCellStyle="Comma"/>
    <tableColumn id="3" xr3:uid="{117CD190-0C7E-094E-8339-C14BC5D43091}" name="|E|" dataDxfId="85" dataCellStyle="Comma"/>
    <tableColumn id="4" xr3:uid="{5DCD1BC2-2950-F640-BE37-750694E36A16}" name="min_size" dataDxfId="84"/>
    <tableColumn id="5" xr3:uid="{A270A083-5919-A44C-8EF2-F9A71EF44391}" name="gamma" dataDxfId="83"/>
    <tableColumn id="6" xr3:uid="{C408A203-DFAB-6E4E-9E40-1BB55DE17468}" name="# top level tasks" dataDxfId="82"/>
    <tableColumn id="7" xr3:uid="{F30BBF50-5FAB-9E43-8296-72C8834EB884}" name="G2AIMD (OOM Fixed)" dataDxfId="81"/>
    <tableColumn id="8" xr3:uid="{8566C163-FBAF-1849-8BC9-EEDCB4A10DEA}" name="G2AIMD" dataDxfId="80"/>
    <tableColumn id="9" xr3:uid="{BBAF9FA3-BCC5-1749-A13E-4E1A8D5BDF3E}" name="gpu-layered" dataDxfId="79"/>
    <tableColumn id="10" xr3:uid="{17AFCD64-D9E1-004C-854F-898BFF21A162}" name="gpu-hybrid-drop" dataDxfId="78"/>
    <tableColumn id="11" xr3:uid="{E8186A19-9F67-9F48-B8D9-C1AB6AE47163}" name="gpu-hybrid-copy" dataDxfId="77"/>
    <tableColumn id="12" xr3:uid="{84AD4606-6F20-2F41-9AA4-C085195B036C}" name="CPU Only" dataDxfId="76"/>
    <tableColumn id="13" xr3:uid="{6C2AA327-83F3-F248-8EA0-9475B98BE44D}" name="CPU+GPU" dataDxfId="75"/>
    <tableColumn id="14" xr3:uid="{73E1878C-16A1-484E-98D1-3D9CD1488F1F}" name="Column1"/>
    <tableColumn id="15" xr3:uid="{45AC8CC6-8173-C74E-96B6-0AD78B66CE9B}" name="Quick" dataDxfId="74"/>
    <tableColumn id="16" xr3:uid="{45157007-43FD-E949-BDBC-779A12A48B54}" name="FastQC" dataDxfId="7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2" dataDxfId="71">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0"/>
    <tableColumn id="2" xr3:uid="{99F57411-E357-6146-AD2F-944EA3B99F22}" name="V" dataDxfId="69"/>
    <tableColumn id="3" xr3:uid="{5DA3F50F-6683-4740-8275-FC8B2AEBA335}" name="E" dataDxfId="68"/>
    <tableColumn id="4" xr3:uid="{927D83F2-F8F5-B542-B08E-3F1134B07F82}" name="d_max" dataDxfId="67"/>
    <tableColumn id="5" xr3:uid="{8E95BA4C-9028-0E4D-9185-262920783C20}" name="Column3" dataDxfId="66"/>
    <tableColumn id="13" xr3:uid="{318AFBDF-EF22-1E4A-85CD-495CB3CF3C71}" name="AIMD" dataDxfId="65"/>
    <tableColumn id="8" xr3:uid="{5C230B4E-7E1D-A645-B48D-91815A51AEE6}" name="Column4" dataDxfId="64"/>
    <tableColumn id="18" xr3:uid="{9C400945-3C78-F840-9780-8447CB0FA306}" name="Ours-One-warp" dataDxfId="63"/>
    <tableColumn id="21" xr3:uid="{D30286C1-C814-674F-AAC3-2D0BB6091E4C}" name="Ours" dataDxfId="62"/>
    <tableColumn id="9" xr3:uid="{165FB5C8-A66B-6B4F-855C-F795F8373EC6}" name="Column5" dataDxfId="61"/>
    <tableColumn id="10" xr3:uid="{BDEF5DE0-0613-924A-A15D-0D8027906427}" name="Imp. One Warp" dataDxfId="60">
      <calculatedColumnFormula>IFERROR(Table21232425[[#This Row],[AIMD]]/Table21232425[[#This Row],[Ours-One-warp]], "NONE")</calculatedColumnFormula>
    </tableColumn>
    <tableColumn id="11" xr3:uid="{F9DF35F2-8695-BF48-8954-6D40FC01ED76}" name="Impr. Ours" dataDxfId="59">
      <calculatedColumnFormula>IFERROR(Table21232425[[#This Row],[AIMD]]/Table21232425[[#This Row],[Ours]], "NONE")</calculatedColumnFormula>
    </tableColumn>
    <tableColumn id="12" xr3:uid="{757CB4BA-7334-0E43-BB3B-4096363E8DCD}" name="Column54" dataDxfId="58"/>
    <tableColumn id="22" xr3:uid="{BDD89152-D598-A741-AB88-00948177B5F5}" name="Column14" dataDxfId="57"/>
    <tableColumn id="6" xr3:uid="{552442CE-C2A8-A144-A063-3B1AE4C1A620}" name="P100" dataDxfId="56"/>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5" dataDxfId="54">
  <autoFilter ref="C5:N68" xr:uid="{C2D1855A-F6DE-F647-932C-7E457E008762}"/>
  <sortState xmlns:xlrd2="http://schemas.microsoft.com/office/spreadsheetml/2017/richdata2" ref="C6:N68">
    <sortCondition ref="E5:E68"/>
  </sortState>
  <tableColumns count="12">
    <tableColumn id="7" xr3:uid="{BF239966-238E-AA44-B939-6E5FDC5F71B0}" name="Column2" dataDxfId="53"/>
    <tableColumn id="1" xr3:uid="{07A3267A-F3CC-4549-8CF2-689C95F4D970}" name="Column1" dataDxfId="52"/>
    <tableColumn id="2" xr3:uid="{5888CD12-EF96-DC47-B986-D3BEE536C817}" name="V" dataDxfId="51"/>
    <tableColumn id="3" xr3:uid="{E88B6B80-2EC0-B643-8B7D-095946923F1D}" name="E" dataDxfId="50"/>
    <tableColumn id="4" xr3:uid="{87770781-C48A-7241-901E-9BB9E192477A}" name="d_max" dataDxfId="49"/>
    <tableColumn id="5" xr3:uid="{0F006EB6-C45E-2342-94F3-1EEE253AEDDF}" name="Column3" dataDxfId="48"/>
    <tableColumn id="6" xr3:uid="{45ACA3DD-1024-154B-99F8-E8731884AA56}" name="degen" dataDxfId="47"/>
    <tableColumn id="9" xr3:uid="{C8F5D7A0-26AC-5B4B-A5BF-ECBA904E8B5F}" name="L1+IP" dataDxfId="46"/>
    <tableColumn id="10" xr3:uid="{148621AF-82D1-754C-8A17-F205D10E7546}" name="L1+IPX" dataDxfId="45"/>
    <tableColumn id="11" xr3:uid="{CF2EDA69-7981-DA4B-BC59-275E2B7DD8FF}" name="L2+IP" dataDxfId="44"/>
    <tableColumn id="12" xr3:uid="{A44BD5E2-6546-F946-9DAB-F0E75D944E17}" name="L2+IPX" dataDxfId="43"/>
    <tableColumn id="13" xr3:uid="{41C9E2A0-948C-0449-9519-4FD1DD7303F3}" name="Column6" dataDxfId="42"/>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41" dataDxfId="40">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39"/>
    <tableColumn id="2" xr3:uid="{4CA00932-10CB-7242-9605-49C2DA3903A7}" name="V" dataDxfId="38"/>
    <tableColumn id="3" xr3:uid="{21570761-C185-8A43-A5B5-40064CE0EB46}" name="E" dataDxfId="37"/>
    <tableColumn id="4" xr3:uid="{DE0EE7AB-FF9F-9444-A3CE-ED0CE1C6F973}" name="d_max" dataDxfId="36"/>
    <tableColumn id="5" xr3:uid="{E5AC7CCD-B087-B94F-B6E3-D6BB8C84612A}" name="#MC" dataDxfId="35"/>
    <tableColumn id="13" xr3:uid="{D63975A4-7A47-B14E-B1F3-45D05D7759C5}" name="k" dataDxfId="34"/>
    <tableColumn id="8" xr3:uid="{A05DC304-EB27-FB42-A647-BE3A4AC04A40}" name="g" dataDxfId="33"/>
    <tableColumn id="11" xr3:uid="{B6F311BE-FEB9-1E41-80C7-77BC3AE1CC38}" name="Column4" dataDxfId="32"/>
    <tableColumn id="12" xr3:uid="{5F3B423D-E39D-A54A-8E40-5B0FF4A51DB7}" name="Column5" dataDxfId="31"/>
    <tableColumn id="22" xr3:uid="{B28C92C6-3B5F-3D4F-AE63-FA7C5A773801}" name="Column6" dataDxfId="30"/>
    <tableColumn id="6" xr3:uid="{0808855D-658E-A045-8C1C-56022CE500C1}" name="Column7" dataDxfId="29"/>
    <tableColumn id="7" xr3:uid="{23D665A5-EE7E-5B4E-9964-48FA5C9F438F}" name="Column8" dataDxfId="28"/>
    <tableColumn id="9" xr3:uid="{1B24FDF3-D187-D64C-A634-DA395DE6E3A6}" name="Column3" dataDxfId="2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8AC441-AC44-8B43-83DA-EF205259FE56}" name="Table2" displayName="Table2" ref="A51:F62" totalsRowShown="0" headerRowDxfId="1" dataDxfId="0">
  <autoFilter ref="A51:F62" xr:uid="{0B8AC441-AC44-8B43-83DA-EF205259FE56}"/>
  <sortState xmlns:xlrd2="http://schemas.microsoft.com/office/spreadsheetml/2017/richdata2" ref="A52:E62">
    <sortCondition descending="1" ref="B51:B62"/>
  </sortState>
  <tableColumns count="6">
    <tableColumn id="1" xr3:uid="{4CA61299-46BF-534C-BE03-9A0B1F843956}" name="Dataset" dataDxfId="7"/>
    <tableColumn id="2" xr3:uid="{7F68E2B0-E008-2648-9315-D9A8C6A4E17D}" name="|V|" dataDxfId="6" dataCellStyle="Comma"/>
    <tableColumn id="3" xr3:uid="{72B2E210-44A5-7441-8630-9E09438D3AD4}" name="|E|" dataDxfId="5" dataCellStyle="Comma"/>
    <tableColumn id="4" xr3:uid="{5D250CD1-21A7-354E-BB43-8CF140702FA7}" name="d_max" dataDxfId="4"/>
    <tableColumn id="5" xr3:uid="{A96777FA-2203-7D43-B4B1-59F155983911}" name="min_size" dataDxfId="3"/>
    <tableColumn id="6" xr3:uid="{BEB64594-79B9-FE40-9EBD-E429E0C46F2E}" name="gamma" dataDxfId="2"/>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6" dataDxfId="25">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4"/>
    <tableColumn id="2" xr3:uid="{B6BA1FB8-7E1D-C042-AA80-EB33EEF07489}" name="Column2" dataDxfId="23"/>
    <tableColumn id="3" xr3:uid="{3D672021-12CF-7E44-B929-F19CA72D60EC}" name="Column3" dataDxfId="22"/>
    <tableColumn id="4" xr3:uid="{E67ACF71-76CE-354C-BC0B-A74B8388BAB6}" name="Column4" dataDxfId="21"/>
    <tableColumn id="5" xr3:uid="{7230C838-1B3B-0B48-95A0-052BC39D44C0}" name="Column5" dataDxfId="20"/>
    <tableColumn id="6" xr3:uid="{AE57CC59-63EA-7B49-A644-2CB81B9D0778}" name="Avg" dataDxfId="19">
      <calculatedColumnFormula>G2/F2</calculatedColumnFormula>
    </tableColumn>
    <tableColumn id="7" xr3:uid="{6EEE6663-215D-4A4B-BD28-E520BA613AB9}" name="DS" dataDxfId="18"/>
    <tableColumn id="8" xr3:uid="{B4275871-ABC6-FF4E-BBC0-2DFB27420938}" name="Column6" dataDxfId="17">
      <calculatedColumnFormula>"http://konect.cc/files/download.tsv."&amp;I2&amp;".tar.bz2"</calculatedColumnFormula>
    </tableColumn>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16" dataDxfId="15" tableBorderDxfId="14">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13"/>
    <tableColumn id="2" xr3:uid="{6CAE8E08-8011-8645-8C1D-572AD42A255C}" name="V" dataDxfId="12"/>
    <tableColumn id="3" xr3:uid="{061E8B13-2CA6-A441-9C80-F42E2F090D03}" name="E" dataDxfId="11"/>
    <tableColumn id="4" xr3:uid="{20CDF773-C4D3-974A-9358-6905826D00BD}" name="avg_degree" dataDxfId="10">
      <calculatedColumnFormula>Table4[[#This Row],[E]]/Table4[[#This Row],[V]]</calculatedColumnFormula>
    </tableColumn>
    <tableColumn id="5" xr3:uid="{941262D5-9BF7-A44F-9261-04A432C92C2E}" name="d_max" dataDxfId="9"/>
    <tableColumn id="6" xr3:uid="{E90FCA38-7D9E-0248-B762-0A09964B4AB4}" name="selected" dataDxfId="8"/>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6C54E5-FF11-CE42-88CD-46E9C1CD7915}">
  <we:reference id="WA200005502" version="1.0.0.11" store="Omex" storeType="OMEX"/>
  <we:alternateReferences>
    <we:reference id="WA200005502" version="1.0.0.11" store="WA200005502"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D1:AL126"/>
  <sheetViews>
    <sheetView zoomScale="83" workbookViewId="0">
      <selection activeCell="P6" sqref="P6:Q25"/>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7" style="9" bestFit="1" customWidth="1"/>
    <col min="12" max="12" width="26.6640625" customWidth="1"/>
    <col min="13" max="13" width="19.5" customWidth="1"/>
    <col min="14" max="14" width="22.5" customWidth="1"/>
    <col min="15" max="15" width="22.33203125" bestFit="1" customWidth="1"/>
    <col min="16" max="16" width="18" customWidth="1"/>
    <col min="17" max="17" width="15.83203125" style="9" bestFit="1" customWidth="1"/>
    <col min="18" max="18" width="20.83203125" style="9" customWidth="1"/>
    <col min="19" max="19" width="17.33203125" style="9" hidden="1" customWidth="1"/>
    <col min="20" max="20" width="24.5" bestFit="1" customWidth="1"/>
    <col min="21" max="21" width="18.83203125" style="9" bestFit="1" customWidth="1"/>
    <col min="22" max="22" width="18.83203125" customWidth="1"/>
    <col min="23" max="23" width="14.6640625" style="42" bestFit="1" customWidth="1"/>
    <col min="24" max="24" width="13.83203125" customWidth="1"/>
    <col min="25" max="25" width="25" bestFit="1" customWidth="1"/>
    <col min="26" max="27" width="25" customWidth="1"/>
    <col min="29" max="29" width="15.1640625" bestFit="1" customWidth="1"/>
    <col min="33" max="33" width="18.33203125" bestFit="1" customWidth="1"/>
    <col min="35" max="35" width="12.6640625" bestFit="1" customWidth="1"/>
  </cols>
  <sheetData>
    <row r="1" spans="4:32" ht="24" x14ac:dyDescent="0.3">
      <c r="D1" s="9" t="s">
        <v>3933</v>
      </c>
      <c r="M1" s="9"/>
      <c r="N1" s="9"/>
      <c r="O1" s="9"/>
      <c r="Q1" s="42"/>
      <c r="R1" s="141"/>
      <c r="S1" s="141"/>
      <c r="T1" s="82"/>
      <c r="U1" s="82"/>
      <c r="W1"/>
    </row>
    <row r="2" spans="4:32" ht="24" x14ac:dyDescent="0.3">
      <c r="M2" s="9"/>
      <c r="N2" s="9"/>
      <c r="O2" s="9"/>
      <c r="Q2" s="42"/>
      <c r="R2" s="142" t="s">
        <v>3998</v>
      </c>
      <c r="S2" s="141" t="s">
        <v>3999</v>
      </c>
      <c r="T2" s="65" t="s">
        <v>4001</v>
      </c>
      <c r="U2" s="82" t="s">
        <v>4002</v>
      </c>
      <c r="V2" s="141" t="s">
        <v>4000</v>
      </c>
      <c r="W2" s="65" t="s">
        <v>4003</v>
      </c>
    </row>
    <row r="3" spans="4:32" x14ac:dyDescent="0.3">
      <c r="M3" s="9"/>
      <c r="N3" s="9"/>
      <c r="O3" s="9"/>
      <c r="Q3" s="42"/>
      <c r="R3" s="42"/>
      <c r="S3" s="42"/>
      <c r="U3"/>
      <c r="W3"/>
    </row>
    <row r="4" spans="4:32" ht="27" x14ac:dyDescent="0.35">
      <c r="L4" s="140"/>
      <c r="M4" s="140"/>
      <c r="N4" s="140"/>
      <c r="O4" s="140"/>
      <c r="P4" s="37"/>
      <c r="Q4" s="55"/>
      <c r="R4" s="55"/>
      <c r="S4" s="55"/>
      <c r="T4" s="112"/>
      <c r="U4" s="112"/>
      <c r="V4" s="112"/>
      <c r="W4" s="112"/>
    </row>
    <row r="5" spans="4:32" ht="23" thickBot="1" x14ac:dyDescent="0.35">
      <c r="D5" s="13" t="s">
        <v>4015</v>
      </c>
      <c r="E5" s="13" t="s">
        <v>3952</v>
      </c>
      <c r="F5" s="12" t="s">
        <v>13</v>
      </c>
      <c r="G5" s="12" t="s">
        <v>14</v>
      </c>
      <c r="H5" s="13" t="s">
        <v>3969</v>
      </c>
      <c r="I5" s="12" t="s">
        <v>15</v>
      </c>
      <c r="J5" s="13" t="s">
        <v>3932</v>
      </c>
      <c r="K5" s="13" t="s">
        <v>4035</v>
      </c>
      <c r="L5" s="13" t="s">
        <v>3954</v>
      </c>
      <c r="M5" s="137" t="s">
        <v>3955</v>
      </c>
      <c r="N5" s="138" t="s">
        <v>3980</v>
      </c>
      <c r="O5" s="139" t="s">
        <v>3979</v>
      </c>
      <c r="P5" s="13" t="s">
        <v>3929</v>
      </c>
      <c r="Q5" s="43" t="s">
        <v>3935</v>
      </c>
      <c r="R5" s="13" t="s">
        <v>4032</v>
      </c>
      <c r="S5" s="65" t="s">
        <v>3988</v>
      </c>
      <c r="T5" s="13" t="s">
        <v>4033</v>
      </c>
      <c r="U5" s="13" t="s">
        <v>4004</v>
      </c>
      <c r="V5" s="13" t="s">
        <v>19</v>
      </c>
      <c r="W5" s="13" t="s">
        <v>3970</v>
      </c>
      <c r="X5" s="12" t="s">
        <v>21</v>
      </c>
    </row>
    <row r="6" spans="4:32" ht="27" x14ac:dyDescent="0.35">
      <c r="D6" s="9">
        <v>15</v>
      </c>
      <c r="E6" s="9" t="s">
        <v>3913</v>
      </c>
      <c r="F6" s="38">
        <v>58655849</v>
      </c>
      <c r="G6" s="38">
        <v>522642066</v>
      </c>
      <c r="H6" s="38">
        <f>Table2123242526[[#This Row],[E]]/Table2123242526[[#This Row],[V]]</f>
        <v>8.9103145706747853</v>
      </c>
      <c r="I6" s="38">
        <v>278489</v>
      </c>
      <c r="J6" s="39">
        <v>1117416174</v>
      </c>
      <c r="K6" s="10">
        <v>72.141434000000004</v>
      </c>
      <c r="L6" s="41">
        <v>60.576824999999999</v>
      </c>
      <c r="M6" s="155">
        <v>32.451304999999998</v>
      </c>
      <c r="N6" s="198">
        <v>48.09</v>
      </c>
      <c r="O6" s="170">
        <v>27.86</v>
      </c>
      <c r="P6" s="56">
        <v>144.30504400000001</v>
      </c>
      <c r="Q6" s="56">
        <v>30.88738</v>
      </c>
      <c r="R6" s="143">
        <f>Table2123242526[[#This Row],[G2AIMD (OOM fixed)]]/Table2123242526[[#This Row],[gpu-hybrid-copy]]</f>
        <v>2.5894269203158653</v>
      </c>
      <c r="S6" s="143">
        <f>Table2123242526[[#This Row],[G2AIMD (pingpong)]]/Table2123242526[[#This Row],[gpu-layered]]</f>
        <v>1.8666991974590854</v>
      </c>
      <c r="T6" s="144">
        <f>Table2123242526[[#This Row],[gpu-hybrid-copy]]/Table2123242526[[#This Row],[CPU+GPU]]</f>
        <v>0.90198650711067108</v>
      </c>
      <c r="U6" s="144">
        <f>Table2123242526[[#This Row],[CPU Only]]/Table2123242526[[#This Row],[CPU+GPU]]</f>
        <v>4.6719742496773762</v>
      </c>
      <c r="V6" s="53"/>
      <c r="W6" s="185">
        <v>2</v>
      </c>
      <c r="X6" s="184" t="s">
        <v>4023</v>
      </c>
      <c r="AB6" s="35"/>
      <c r="AD6" s="2"/>
      <c r="AF6" s="2"/>
    </row>
    <row r="7" spans="4:32" ht="29" x14ac:dyDescent="0.35">
      <c r="D7" s="9">
        <v>4</v>
      </c>
      <c r="E7" s="9" t="s">
        <v>3915</v>
      </c>
      <c r="F7" s="38">
        <v>25921548</v>
      </c>
      <c r="G7" s="38">
        <v>1086367222</v>
      </c>
      <c r="H7" s="38">
        <f>Table2123242526[[#This Row],[E]]/Table2123242526[[#This Row],[V]]</f>
        <v>41.909812716431901</v>
      </c>
      <c r="I7" s="38">
        <v>4271341</v>
      </c>
      <c r="J7" s="39">
        <v>568730123</v>
      </c>
      <c r="K7" s="10">
        <v>151.533287</v>
      </c>
      <c r="L7" s="41">
        <v>150.722433</v>
      </c>
      <c r="M7" s="155">
        <v>222.62359000000001</v>
      </c>
      <c r="N7" s="63">
        <v>147.85674399999999</v>
      </c>
      <c r="O7" s="170">
        <v>147.67106799999999</v>
      </c>
      <c r="P7" s="56">
        <v>227.71192199999999</v>
      </c>
      <c r="Q7" s="56">
        <v>99.896929</v>
      </c>
      <c r="R7" s="143">
        <f>Table2123242526[[#This Row],[G2AIMD (OOM fixed)]]/Table2123242526[[#This Row],[gpu-hybrid-copy]]</f>
        <v>1.0261542023925772</v>
      </c>
      <c r="S7" s="143">
        <f>Table2123242526[[#This Row],[G2AIMD (pingpong)]]/Table2123242526[[#This Row],[gpu-layered]]</f>
        <v>0.67702813075649348</v>
      </c>
      <c r="T7" s="144">
        <f>Table2123242526[[#This Row],[gpu-hybrid-copy]]/Table2123242526[[#This Row],[CPU+GPU]]</f>
        <v>1.4782343108865739</v>
      </c>
      <c r="U7" s="144">
        <f>Table2123242526[[#This Row],[CPU Only]]/Table2123242526[[#This Row],[CPU+GPU]]</f>
        <v>2.2794686911746807</v>
      </c>
      <c r="V7" s="53"/>
      <c r="W7" s="185">
        <v>2</v>
      </c>
      <c r="X7" s="34"/>
      <c r="Z7" s="186" t="s">
        <v>4028</v>
      </c>
      <c r="AB7" s="35"/>
      <c r="AD7" s="2"/>
      <c r="AF7" s="2"/>
    </row>
    <row r="8" spans="4:32" ht="29" x14ac:dyDescent="0.35">
      <c r="D8" s="9">
        <v>6</v>
      </c>
      <c r="E8" s="11" t="s">
        <v>1455</v>
      </c>
      <c r="F8" s="38">
        <v>8833229</v>
      </c>
      <c r="G8" s="38">
        <v>105882456</v>
      </c>
      <c r="H8" s="38">
        <f>Table2123242526[[#This Row],[E]]/Table2123242526[[#This Row],[V]]</f>
        <v>11.986834712425093</v>
      </c>
      <c r="I8" s="38">
        <v>2126384</v>
      </c>
      <c r="J8" s="39">
        <v>2115046340</v>
      </c>
      <c r="K8" s="10">
        <v>112.67521000000001</v>
      </c>
      <c r="L8" s="41">
        <v>105.59741699999999</v>
      </c>
      <c r="M8" s="155">
        <v>90.007458</v>
      </c>
      <c r="N8" s="63">
        <v>80.489999999999995</v>
      </c>
      <c r="O8" s="170">
        <v>60.69</v>
      </c>
      <c r="P8" s="57">
        <v>306.40025200000002</v>
      </c>
      <c r="Q8" s="56">
        <v>46.755004999999997</v>
      </c>
      <c r="R8" s="143">
        <f>Table2123242526[[#This Row],[G2AIMD (OOM fixed)]]/Table2123242526[[#This Row],[gpu-hybrid-copy]]</f>
        <v>1.8565696160817271</v>
      </c>
      <c r="S8" s="143">
        <f>Table2123242526[[#This Row],[G2AIMD (pingpong)]]/Table2123242526[[#This Row],[gpu-layered]]</f>
        <v>1.173207413545664</v>
      </c>
      <c r="T8" s="144">
        <f>Table2123242526[[#This Row],[gpu-hybrid-copy]]/Table2123242526[[#This Row],[CPU+GPU]]</f>
        <v>1.2980428512412736</v>
      </c>
      <c r="U8" s="144">
        <f>Table2123242526[[#This Row],[CPU Only]]/Table2123242526[[#This Row],[CPU+GPU]]</f>
        <v>6.5533144954214002</v>
      </c>
      <c r="V8" s="53"/>
      <c r="W8" s="185">
        <v>2</v>
      </c>
      <c r="X8" s="34"/>
      <c r="Z8" s="186" t="s">
        <v>4029</v>
      </c>
      <c r="AB8" s="35"/>
      <c r="AD8" s="2"/>
      <c r="AF8" s="2"/>
    </row>
    <row r="9" spans="4:32" ht="29" x14ac:dyDescent="0.35">
      <c r="D9" s="9">
        <v>25</v>
      </c>
      <c r="E9" s="11" t="s">
        <v>1391</v>
      </c>
      <c r="F9" s="38">
        <v>8482737</v>
      </c>
      <c r="G9" s="38">
        <v>23585644</v>
      </c>
      <c r="H9" s="38">
        <f>Table2123242526[[#This Row],[E]]/Table2123242526[[#This Row],[V]]</f>
        <v>2.7804285338564663</v>
      </c>
      <c r="I9" s="38">
        <v>8421430</v>
      </c>
      <c r="J9" s="39">
        <v>12043741</v>
      </c>
      <c r="K9" s="10">
        <v>9.2547449999999998</v>
      </c>
      <c r="L9" s="41">
        <v>7.652196</v>
      </c>
      <c r="M9" s="155">
        <v>8.1007510000000007</v>
      </c>
      <c r="N9" s="63">
        <v>7.9706739999999998</v>
      </c>
      <c r="O9" s="170">
        <v>7.2945060000000002</v>
      </c>
      <c r="P9" s="56">
        <v>0.89532500000000004</v>
      </c>
      <c r="Q9" s="56">
        <v>0.873803</v>
      </c>
      <c r="R9" s="143">
        <f>Table2123242526[[#This Row],[G2AIMD (OOM fixed)]]/Table2123242526[[#This Row],[gpu-hybrid-copy]]</f>
        <v>1.2687281359423106</v>
      </c>
      <c r="S9" s="143">
        <f>Table2123242526[[#This Row],[G2AIMD (pingpong)]]/Table2123242526[[#This Row],[gpu-layered]]</f>
        <v>0.9446279733817271</v>
      </c>
      <c r="T9" s="144">
        <f>Table2123242526[[#This Row],[gpu-hybrid-copy]]/Table2123242526[[#This Row],[CPU+GPU]]</f>
        <v>8.3479983474536024</v>
      </c>
      <c r="U9" s="144">
        <f>Table2123242526[[#This Row],[CPU Only]]/Table2123242526[[#This Row],[CPU+GPU]]</f>
        <v>1.0246302656319559</v>
      </c>
      <c r="V9" s="53"/>
      <c r="W9" s="185">
        <v>2</v>
      </c>
      <c r="X9" s="34"/>
      <c r="Z9" s="186" t="s">
        <v>4030</v>
      </c>
      <c r="AB9" s="35"/>
      <c r="AD9" s="2"/>
      <c r="AF9" s="2"/>
    </row>
    <row r="10" spans="4:32" ht="29" x14ac:dyDescent="0.35">
      <c r="D10" s="9">
        <v>20</v>
      </c>
      <c r="E10" s="11" t="s">
        <v>1423</v>
      </c>
      <c r="F10" s="38">
        <v>7570051</v>
      </c>
      <c r="G10" s="38">
        <v>43881980</v>
      </c>
      <c r="H10" s="38">
        <f>Table2123242526[[#This Row],[E]]/Table2123242526[[#This Row],[V]]</f>
        <v>5.7967878948239582</v>
      </c>
      <c r="I10" s="38">
        <v>5669991</v>
      </c>
      <c r="J10" s="39">
        <v>41148109</v>
      </c>
      <c r="K10" s="10">
        <v>14.093127000000001</v>
      </c>
      <c r="L10" s="41">
        <v>12.697224</v>
      </c>
      <c r="M10" s="155">
        <v>13.289847</v>
      </c>
      <c r="N10" s="63">
        <v>12.918736000000001</v>
      </c>
      <c r="O10" s="170">
        <v>12.232373000000001</v>
      </c>
      <c r="P10" s="56">
        <v>4.7210000000000001</v>
      </c>
      <c r="Q10" s="56">
        <v>2.3150789999999999</v>
      </c>
      <c r="R10" s="143">
        <f>Table2123242526[[#This Row],[G2AIMD (OOM fixed)]]/Table2123242526[[#This Row],[gpu-hybrid-copy]]</f>
        <v>1.1521171730129551</v>
      </c>
      <c r="S10" s="143">
        <f>Table2123242526[[#This Row],[G2AIMD (pingpong)]]/Table2123242526[[#This Row],[gpu-layered]]</f>
        <v>0.95540783878098823</v>
      </c>
      <c r="T10" s="144">
        <f>Table2123242526[[#This Row],[gpu-hybrid-copy]]/Table2123242526[[#This Row],[CPU+GPU]]</f>
        <v>5.2837821085155197</v>
      </c>
      <c r="U10" s="144">
        <f>Table2123242526[[#This Row],[CPU Only]]/Table2123242526[[#This Row],[CPU+GPU]]</f>
        <v>2.039239265701084</v>
      </c>
      <c r="V10" s="53"/>
      <c r="W10" s="185">
        <v>2</v>
      </c>
      <c r="X10" s="34"/>
      <c r="Z10" s="186" t="s">
        <v>4031</v>
      </c>
      <c r="AB10" s="35"/>
      <c r="AD10" s="2"/>
      <c r="AF10" s="2"/>
    </row>
    <row r="11" spans="4:32" ht="27" x14ac:dyDescent="0.35">
      <c r="D11" s="9">
        <v>13</v>
      </c>
      <c r="E11" s="11" t="s">
        <v>1450</v>
      </c>
      <c r="F11" s="38">
        <v>5867547</v>
      </c>
      <c r="G11" s="38">
        <v>61171040</v>
      </c>
      <c r="H11" s="38">
        <f>Table2123242526[[#This Row],[E]]/Table2123242526[[#This Row],[V]]</f>
        <v>10.425317428220003</v>
      </c>
      <c r="I11" s="38">
        <v>959344</v>
      </c>
      <c r="J11" s="39">
        <v>994503898</v>
      </c>
      <c r="K11" s="10">
        <v>47.766303000000001</v>
      </c>
      <c r="L11" s="41">
        <v>57.130594000000002</v>
      </c>
      <c r="M11" s="155">
        <v>35.560279000000001</v>
      </c>
      <c r="N11" s="63">
        <v>36.26</v>
      </c>
      <c r="O11" s="170">
        <v>28.21</v>
      </c>
      <c r="P11" s="56">
        <v>123.493318</v>
      </c>
      <c r="Q11" s="56">
        <v>20.122519</v>
      </c>
      <c r="R11" s="143">
        <f>Table2123242526[[#This Row],[G2AIMD (OOM fixed)]]/Table2123242526[[#This Row],[gpu-hybrid-copy]]</f>
        <v>1.6932400921658985</v>
      </c>
      <c r="S11" s="143">
        <f>Table2123242526[[#This Row],[G2AIMD (pingpong)]]/Table2123242526[[#This Row],[gpu-layered]]</f>
        <v>1.6065845265162291</v>
      </c>
      <c r="T11" s="144">
        <f>Table2123242526[[#This Row],[gpu-hybrid-copy]]/Table2123242526[[#This Row],[CPU+GPU]]</f>
        <v>1.4019119574442942</v>
      </c>
      <c r="U11" s="144">
        <f>Table2123242526[[#This Row],[CPU Only]]/Table2123242526[[#This Row],[CPU+GPU]]</f>
        <v>6.1370705128915519</v>
      </c>
      <c r="V11" s="53"/>
      <c r="W11" s="185">
        <v>2</v>
      </c>
      <c r="X11" s="34"/>
      <c r="AB11" s="35"/>
      <c r="AD11" s="2"/>
      <c r="AF11" s="2"/>
    </row>
    <row r="12" spans="4:32" ht="27" x14ac:dyDescent="0.35">
      <c r="D12" s="9">
        <v>12</v>
      </c>
      <c r="E12" s="11" t="s">
        <v>1456</v>
      </c>
      <c r="F12" s="38">
        <v>5829441</v>
      </c>
      <c r="G12" s="38">
        <v>110439216</v>
      </c>
      <c r="H12" s="38">
        <f>Table2123242526[[#This Row],[E]]/Table2123242526[[#This Row],[V]]</f>
        <v>18.945078267367318</v>
      </c>
      <c r="I12" s="38">
        <v>818185</v>
      </c>
      <c r="J12" s="39">
        <v>1508704249</v>
      </c>
      <c r="K12" s="10">
        <v>79.435288</v>
      </c>
      <c r="L12" s="41">
        <v>84.078997999999999</v>
      </c>
      <c r="M12" s="155">
        <v>52.55547</v>
      </c>
      <c r="N12" s="63">
        <v>73.75</v>
      </c>
      <c r="O12" s="170">
        <v>46.29</v>
      </c>
      <c r="P12" s="56">
        <v>245.51799</v>
      </c>
      <c r="Q12" s="56">
        <v>37.410254999999999</v>
      </c>
      <c r="R12" s="143">
        <f>Table2123242526[[#This Row],[G2AIMD (OOM fixed)]]/Table2123242526[[#This Row],[gpu-hybrid-copy]]</f>
        <v>1.7160356016418232</v>
      </c>
      <c r="S12" s="143">
        <f>Table2123242526[[#This Row],[G2AIMD (pingpong)]]/Table2123242526[[#This Row],[gpu-layered]]</f>
        <v>1.5998144056175314</v>
      </c>
      <c r="T12" s="144">
        <f>Table2123242526[[#This Row],[gpu-hybrid-copy]]/Table2123242526[[#This Row],[CPU+GPU]]</f>
        <v>1.2373612529505613</v>
      </c>
      <c r="U12" s="144">
        <f>Table2123242526[[#This Row],[CPU Only]]/Table2123242526[[#This Row],[CPU+GPU]]</f>
        <v>6.562852618887522</v>
      </c>
      <c r="V12" s="53"/>
      <c r="W12" s="185">
        <v>2</v>
      </c>
      <c r="X12" s="34"/>
      <c r="AB12" s="35"/>
      <c r="AD12" s="2"/>
      <c r="AF12" s="2"/>
    </row>
    <row r="13" spans="4:32" ht="27" x14ac:dyDescent="0.35">
      <c r="D13" s="9">
        <v>29</v>
      </c>
      <c r="E13" s="11" t="s">
        <v>1440</v>
      </c>
      <c r="F13" s="38">
        <v>5812931</v>
      </c>
      <c r="G13" s="38">
        <v>54238524</v>
      </c>
      <c r="H13" s="38">
        <f>Table2123242526[[#This Row],[E]]/Table2123242526[[#This Row],[V]]</f>
        <v>9.3306670937604448</v>
      </c>
      <c r="I13" s="38">
        <v>3504033</v>
      </c>
      <c r="J13" s="39">
        <v>72022415</v>
      </c>
      <c r="K13" s="10">
        <v>6.0030999999999999</v>
      </c>
      <c r="L13" s="41">
        <v>5.1042110000000003</v>
      </c>
      <c r="M13" s="155">
        <v>6.1971189999999998</v>
      </c>
      <c r="N13" s="63">
        <v>5.4931109999999999</v>
      </c>
      <c r="O13" s="170">
        <v>4.798845</v>
      </c>
      <c r="P13" s="56">
        <v>9.5797369999999997</v>
      </c>
      <c r="Q13" s="56">
        <v>3.0204589999999998</v>
      </c>
      <c r="R13" s="143">
        <f>Table2123242526[[#This Row],[G2AIMD (OOM fixed)]]/Table2123242526[[#This Row],[gpu-hybrid-copy]]</f>
        <v>1.25094684241729</v>
      </c>
      <c r="S13" s="143">
        <f>Table2123242526[[#This Row],[G2AIMD (pingpong)]]/Table2123242526[[#This Row],[gpu-layered]]</f>
        <v>0.82364256681209458</v>
      </c>
      <c r="T13" s="144">
        <f>Table2123242526[[#This Row],[gpu-hybrid-copy]]/Table2123242526[[#This Row],[CPU+GPU]]</f>
        <v>1.5887800496547049</v>
      </c>
      <c r="U13" s="144">
        <f>Table2123242526[[#This Row],[CPU Only]]/Table2123242526[[#This Row],[CPU+GPU]]</f>
        <v>3.1716163007013174</v>
      </c>
      <c r="V13" s="53"/>
      <c r="W13" s="185">
        <v>2</v>
      </c>
      <c r="X13" s="34"/>
      <c r="AB13" s="35"/>
      <c r="AD13" s="2"/>
      <c r="AF13" s="2"/>
    </row>
    <row r="14" spans="4:32" ht="27" x14ac:dyDescent="0.35">
      <c r="D14" s="9">
        <v>1</v>
      </c>
      <c r="E14" s="9" t="s">
        <v>1443</v>
      </c>
      <c r="F14" s="38">
        <v>3924218</v>
      </c>
      <c r="G14" s="38">
        <v>152878772</v>
      </c>
      <c r="H14" s="38">
        <f>Table2123242526[[#This Row],[E]]/Table2123242526[[#This Row],[V]]</f>
        <v>38.957767381934438</v>
      </c>
      <c r="I14" s="38">
        <v>254555</v>
      </c>
      <c r="J14" s="39">
        <v>36008128</v>
      </c>
      <c r="K14" s="10">
        <v>483.37426900000003</v>
      </c>
      <c r="L14" s="41">
        <v>486.47726599999999</v>
      </c>
      <c r="M14" s="155">
        <v>483.67</v>
      </c>
      <c r="N14" s="63">
        <v>482.00630699999999</v>
      </c>
      <c r="O14" s="170">
        <v>481.87422600000002</v>
      </c>
      <c r="P14" s="57">
        <v>450.831255</v>
      </c>
      <c r="Q14" s="56">
        <v>112.903085</v>
      </c>
      <c r="R14" s="143">
        <f>Table2123242526[[#This Row],[G2AIMD (OOM fixed)]]/Table2123242526[[#This Row],[gpu-hybrid-copy]]</f>
        <v>1.0031129347017618</v>
      </c>
      <c r="S14" s="143">
        <f>Table2123242526[[#This Row],[G2AIMD (pingpong)]]/Table2123242526[[#This Row],[gpu-layered]]</f>
        <v>1.0058040937002501</v>
      </c>
      <c r="T14" s="144">
        <f>Table2123242526[[#This Row],[gpu-hybrid-copy]]/Table2123242526[[#This Row],[CPU+GPU]]</f>
        <v>4.2680341817054863</v>
      </c>
      <c r="U14" s="144">
        <f>Table2123242526[[#This Row],[CPU Only]]/Table2123242526[[#This Row],[CPU+GPU]]</f>
        <v>3.9930818099434573</v>
      </c>
      <c r="V14" s="53"/>
      <c r="W14" s="185">
        <v>2</v>
      </c>
      <c r="X14" s="34"/>
      <c r="AB14" s="35"/>
      <c r="AD14" s="2"/>
      <c r="AF14" s="2"/>
    </row>
    <row r="15" spans="4:32" ht="27" x14ac:dyDescent="0.35">
      <c r="D15" s="9">
        <v>5</v>
      </c>
      <c r="E15" s="9" t="s">
        <v>10</v>
      </c>
      <c r="F15" s="38">
        <v>3603726</v>
      </c>
      <c r="G15" s="38">
        <v>155093964</v>
      </c>
      <c r="H15" s="38">
        <f>Table2123242526[[#This Row],[E]]/Table2123242526[[#This Row],[V]]</f>
        <v>43.037113254448315</v>
      </c>
      <c r="I15" s="38">
        <v>434234</v>
      </c>
      <c r="J15" s="39">
        <v>1237624958</v>
      </c>
      <c r="K15" s="10">
        <v>147.66339600000001</v>
      </c>
      <c r="L15" s="41">
        <v>107.39003200000001</v>
      </c>
      <c r="M15" s="155">
        <v>94.61</v>
      </c>
      <c r="N15" s="63">
        <v>181.27</v>
      </c>
      <c r="O15" s="170">
        <v>74.099999999999994</v>
      </c>
      <c r="P15" s="57">
        <v>196.60153800000001</v>
      </c>
      <c r="Q15" s="56">
        <v>68.88</v>
      </c>
      <c r="R15" s="143">
        <f>Table2123242526[[#This Row],[G2AIMD (OOM fixed)]]/Table2123242526[[#This Row],[gpu-hybrid-copy]]</f>
        <v>1.9927583805668019</v>
      </c>
      <c r="S15" s="143">
        <f>Table2123242526[[#This Row],[G2AIMD (pingpong)]]/Table2123242526[[#This Row],[gpu-layered]]</f>
        <v>1.1350811964908574</v>
      </c>
      <c r="T15" s="144">
        <f>Table2123242526[[#This Row],[gpu-hybrid-copy]]/Table2123242526[[#This Row],[CPU+GPU]]</f>
        <v>1.0757839721254356</v>
      </c>
      <c r="U15" s="144">
        <f>Table2123242526[[#This Row],[CPU Only]]/Table2123242526[[#This Row],[CPU+GPU]]</f>
        <v>2.8542615853658537</v>
      </c>
      <c r="V15" s="53"/>
      <c r="W15" s="185">
        <v>2</v>
      </c>
      <c r="X15" s="34"/>
      <c r="AB15" s="35"/>
      <c r="AD15" s="2"/>
      <c r="AF15" s="2"/>
    </row>
    <row r="16" spans="4:32" ht="27" x14ac:dyDescent="0.35">
      <c r="D16" s="9">
        <v>37</v>
      </c>
      <c r="E16" s="11" t="s">
        <v>1409</v>
      </c>
      <c r="F16" s="38">
        <v>3411795</v>
      </c>
      <c r="G16" s="38">
        <v>26854686</v>
      </c>
      <c r="H16" s="38">
        <f>Table2123242526[[#This Row],[E]]/Table2123242526[[#This Row],[V]]</f>
        <v>7.8711311787490166</v>
      </c>
      <c r="I16" s="38">
        <v>2487058</v>
      </c>
      <c r="J16" s="39">
        <v>8209611</v>
      </c>
      <c r="K16" s="10">
        <v>4.6714419999999999</v>
      </c>
      <c r="L16" s="41">
        <v>4.5660360000000004</v>
      </c>
      <c r="M16" s="155">
        <v>3.4434170000000002</v>
      </c>
      <c r="N16" s="63">
        <v>3.286502</v>
      </c>
      <c r="O16" s="170">
        <v>2.5527690000000001</v>
      </c>
      <c r="P16" s="56">
        <v>0.94574000000000003</v>
      </c>
      <c r="Q16" s="56">
        <v>0.85847099999999998</v>
      </c>
      <c r="R16" s="143">
        <f>Table2123242526[[#This Row],[G2AIMD (OOM fixed)]]/Table2123242526[[#This Row],[gpu-hybrid-copy]]</f>
        <v>1.8299509277964436</v>
      </c>
      <c r="S16" s="143">
        <f>Table2123242526[[#This Row],[G2AIMD (pingpong)]]/Table2123242526[[#This Row],[gpu-layered]]</f>
        <v>1.3260188934421826</v>
      </c>
      <c r="T16" s="144">
        <f>Table2123242526[[#This Row],[gpu-hybrid-copy]]/Table2123242526[[#This Row],[CPU+GPU]]</f>
        <v>2.9736228713608264</v>
      </c>
      <c r="U16" s="144">
        <f>Table2123242526[[#This Row],[CPU Only]]/Table2123242526[[#This Row],[CPU+GPU]]</f>
        <v>1.1016563168703428</v>
      </c>
      <c r="V16" s="53"/>
      <c r="W16" s="185">
        <v>2</v>
      </c>
      <c r="X16" s="34"/>
      <c r="AB16" s="35"/>
      <c r="AD16" s="2"/>
      <c r="AF16" s="2"/>
    </row>
    <row r="17" spans="4:38" ht="27" x14ac:dyDescent="0.35">
      <c r="D17" s="9">
        <v>8</v>
      </c>
      <c r="E17" s="9" t="s">
        <v>1442</v>
      </c>
      <c r="F17" s="38">
        <v>3370462</v>
      </c>
      <c r="G17" s="38">
        <v>143901836</v>
      </c>
      <c r="H17" s="38">
        <f>Table2123242526[[#This Row],[E]]/Table2123242526[[#This Row],[V]]</f>
        <v>42.694988402183441</v>
      </c>
      <c r="I17" s="38">
        <v>282591</v>
      </c>
      <c r="J17" s="39">
        <v>563203047</v>
      </c>
      <c r="K17" s="10">
        <v>156.71956700000001</v>
      </c>
      <c r="L17" s="41">
        <v>127.82051300000001</v>
      </c>
      <c r="M17" s="155">
        <v>85.97</v>
      </c>
      <c r="N17" s="63">
        <v>86.97</v>
      </c>
      <c r="O17" s="170">
        <v>73.61</v>
      </c>
      <c r="P17" s="58">
        <v>200.62130099999999</v>
      </c>
      <c r="Q17" s="56">
        <v>47.39</v>
      </c>
      <c r="R17" s="143">
        <f>Table2123242526[[#This Row],[G2AIMD (OOM fixed)]]/Table2123242526[[#This Row],[gpu-hybrid-copy]]</f>
        <v>2.1290526694742562</v>
      </c>
      <c r="S17" s="143">
        <f>Table2123242526[[#This Row],[G2AIMD (pingpong)]]/Table2123242526[[#This Row],[gpu-layered]]</f>
        <v>1.4868036873327906</v>
      </c>
      <c r="T17" s="144">
        <f>Table2123242526[[#This Row],[gpu-hybrid-copy]]/Table2123242526[[#This Row],[CPU+GPU]]</f>
        <v>1.5532812829710909</v>
      </c>
      <c r="U17" s="144">
        <f>Table2123242526[[#This Row],[CPU Only]]/Table2123242526[[#This Row],[CPU+GPU]]</f>
        <v>4.2334100232116478</v>
      </c>
      <c r="V17" s="53"/>
      <c r="W17" s="185">
        <v>2</v>
      </c>
      <c r="X17" s="34"/>
      <c r="AB17" s="35"/>
      <c r="AD17" s="2"/>
      <c r="AF17" s="2"/>
    </row>
    <row r="18" spans="4:38" ht="27" x14ac:dyDescent="0.35">
      <c r="D18" s="9">
        <v>3</v>
      </c>
      <c r="E18" s="9" t="s">
        <v>1451</v>
      </c>
      <c r="F18" s="38">
        <v>3333397</v>
      </c>
      <c r="G18" s="38">
        <v>200923810</v>
      </c>
      <c r="H18" s="38">
        <f>Table2123242526[[#This Row],[E]]/Table2123242526[[#This Row],[V]]</f>
        <v>60.275991728557983</v>
      </c>
      <c r="I18" s="38">
        <v>399358</v>
      </c>
      <c r="J18" s="39">
        <v>1902943357</v>
      </c>
      <c r="K18" s="10">
        <v>281.423633</v>
      </c>
      <c r="L18" s="41">
        <v>224.11627300000001</v>
      </c>
      <c r="M18" s="155">
        <v>237.14</v>
      </c>
      <c r="N18" s="63">
        <v>289.92</v>
      </c>
      <c r="O18" s="170">
        <v>199.82</v>
      </c>
      <c r="P18" s="56">
        <v>834.23</v>
      </c>
      <c r="Q18" s="56">
        <v>179.01</v>
      </c>
      <c r="R18" s="143">
        <f>Table2123242526[[#This Row],[G2AIMD (OOM fixed)]]/Table2123242526[[#This Row],[gpu-hybrid-copy]]</f>
        <v>1.4083857121409269</v>
      </c>
      <c r="S18" s="143">
        <f>Table2123242526[[#This Row],[G2AIMD (pingpong)]]/Table2123242526[[#This Row],[gpu-layered]]</f>
        <v>0.94508000759045296</v>
      </c>
      <c r="T18" s="144">
        <f>Table2123242526[[#This Row],[gpu-hybrid-copy]]/Table2123242526[[#This Row],[CPU+GPU]]</f>
        <v>1.1162504887995084</v>
      </c>
      <c r="U18" s="144">
        <f>Table2123242526[[#This Row],[CPU Only]]/Table2123242526[[#This Row],[CPU+GPU]]</f>
        <v>4.6602424445561708</v>
      </c>
      <c r="V18" s="53"/>
      <c r="W18" s="185">
        <v>2</v>
      </c>
      <c r="X18" s="34"/>
      <c r="AB18" s="35"/>
      <c r="AD18" s="2"/>
      <c r="AF18" s="2"/>
    </row>
    <row r="19" spans="4:38" ht="27" x14ac:dyDescent="0.35">
      <c r="D19" s="9">
        <v>2</v>
      </c>
      <c r="E19" s="9" t="s">
        <v>1452</v>
      </c>
      <c r="F19" s="38">
        <v>3175009</v>
      </c>
      <c r="G19" s="38">
        <v>206621674</v>
      </c>
      <c r="H19" s="38">
        <f>Table2123242526[[#This Row],[E]]/Table2123242526[[#This Row],[V]]</f>
        <v>65.077508126748612</v>
      </c>
      <c r="I19" s="38">
        <v>369566</v>
      </c>
      <c r="J19" s="39">
        <v>67547002</v>
      </c>
      <c r="K19" s="10">
        <v>434.10890000000001</v>
      </c>
      <c r="L19" s="40">
        <v>433.71</v>
      </c>
      <c r="M19" s="155">
        <v>493.98</v>
      </c>
      <c r="N19" s="123">
        <v>408.37694099999999</v>
      </c>
      <c r="O19" s="155">
        <v>409.93960600000003</v>
      </c>
      <c r="P19" s="57">
        <v>346.19295299999999</v>
      </c>
      <c r="Q19" s="56">
        <v>102.65375299999999</v>
      </c>
      <c r="R19" s="143">
        <f>Table2123242526[[#This Row],[G2AIMD (OOM fixed)]]/Table2123242526[[#This Row],[gpu-hybrid-copy]]</f>
        <v>1.0589581822450207</v>
      </c>
      <c r="S19" s="143">
        <f>Table2123242526[[#This Row],[G2AIMD (pingpong)]]/Table2123242526[[#This Row],[gpu-layered]]</f>
        <v>0.87799101178185346</v>
      </c>
      <c r="T19" s="144">
        <f>Table2123242526[[#This Row],[gpu-hybrid-copy]]/Table2123242526[[#This Row],[CPU+GPU]]</f>
        <v>3.9934205425494773</v>
      </c>
      <c r="U19" s="144">
        <f>Table2123242526[[#This Row],[CPU Only]]/Table2123242526[[#This Row],[CPU+GPU]]</f>
        <v>3.3724334754716665</v>
      </c>
      <c r="V19" s="53"/>
      <c r="W19" s="185">
        <v>2</v>
      </c>
      <c r="X19" s="34"/>
      <c r="AB19" s="35"/>
      <c r="AD19" s="2"/>
      <c r="AF19" s="2"/>
    </row>
    <row r="20" spans="4:38" ht="27" x14ac:dyDescent="0.35">
      <c r="D20" s="9">
        <v>7</v>
      </c>
      <c r="E20" s="11" t="s">
        <v>6</v>
      </c>
      <c r="F20" s="38">
        <v>3072441</v>
      </c>
      <c r="G20" s="38">
        <v>234369798</v>
      </c>
      <c r="H20" s="38">
        <f>Table2123242526[[#This Row],[E]]/Table2123242526[[#This Row],[V]]</f>
        <v>76.281301414738309</v>
      </c>
      <c r="I20" s="38">
        <v>33313</v>
      </c>
      <c r="J20" s="39">
        <v>2270456447</v>
      </c>
      <c r="K20" s="10">
        <v>111.967101</v>
      </c>
      <c r="L20" s="41">
        <v>85.151685000000001</v>
      </c>
      <c r="M20" s="155">
        <v>88.42</v>
      </c>
      <c r="N20" s="63">
        <v>97.4</v>
      </c>
      <c r="O20" s="170">
        <v>56.98</v>
      </c>
      <c r="P20" s="56">
        <v>281.76346699999999</v>
      </c>
      <c r="Q20" s="56">
        <v>51.644970999999998</v>
      </c>
      <c r="R20" s="143">
        <f>Table2123242526[[#This Row],[G2AIMD (OOM fixed)]]/Table2123242526[[#This Row],[gpu-hybrid-copy]]</f>
        <v>1.9650245875745878</v>
      </c>
      <c r="S20" s="143">
        <f>Table2123242526[[#This Row],[G2AIMD (pingpong)]]/Table2123242526[[#This Row],[gpu-layered]]</f>
        <v>0.96303647364849576</v>
      </c>
      <c r="T20" s="144">
        <f>Table2123242526[[#This Row],[gpu-hybrid-copy]]/Table2123242526[[#This Row],[CPU+GPU]]</f>
        <v>1.103302003984086</v>
      </c>
      <c r="U20" s="144">
        <f>Table2123242526[[#This Row],[CPU Only]]/Table2123242526[[#This Row],[CPU+GPU]]</f>
        <v>5.4557774270025243</v>
      </c>
      <c r="V20" s="53"/>
      <c r="W20" s="185">
        <v>2</v>
      </c>
      <c r="X20" s="34"/>
      <c r="AB20" s="35"/>
      <c r="AD20" s="2"/>
      <c r="AF20" s="2"/>
    </row>
    <row r="21" spans="4:38" ht="27" x14ac:dyDescent="0.35">
      <c r="D21" s="9">
        <v>33</v>
      </c>
      <c r="E21" s="11" t="s">
        <v>1404</v>
      </c>
      <c r="F21" s="38">
        <v>2939627</v>
      </c>
      <c r="G21" s="38">
        <v>20974994</v>
      </c>
      <c r="H21" s="38">
        <f>Table2123242526[[#This Row],[E]]/Table2123242526[[#This Row],[V]]</f>
        <v>7.1352569560695969</v>
      </c>
      <c r="I21" s="38">
        <v>916719</v>
      </c>
      <c r="J21" s="39">
        <v>49558992</v>
      </c>
      <c r="K21" s="10">
        <v>5.0862049999999996</v>
      </c>
      <c r="L21" s="41">
        <v>3.7311160000000001</v>
      </c>
      <c r="M21" s="155">
        <v>4.4346589999999999</v>
      </c>
      <c r="N21" s="63">
        <v>4.0436699999999997</v>
      </c>
      <c r="O21" s="170">
        <v>3.2633320000000001</v>
      </c>
      <c r="P21" s="56">
        <v>5.7104470000000003</v>
      </c>
      <c r="Q21" s="56">
        <v>2.0374910000000002</v>
      </c>
      <c r="R21" s="143">
        <f>Table2123242526[[#This Row],[G2AIMD (OOM fixed)]]/Table2123242526[[#This Row],[gpu-hybrid-copy]]</f>
        <v>1.5585925673514063</v>
      </c>
      <c r="S21" s="143">
        <f>Table2123242526[[#This Row],[G2AIMD (pingpong)]]/Table2123242526[[#This Row],[gpu-layered]]</f>
        <v>0.84135352909885519</v>
      </c>
      <c r="T21" s="144">
        <f>Table2123242526[[#This Row],[gpu-hybrid-copy]]/Table2123242526[[#This Row],[CPU+GPU]]</f>
        <v>1.6016424121628021</v>
      </c>
      <c r="U21" s="144">
        <f>Table2123242526[[#This Row],[CPU Only]]/Table2123242526[[#This Row],[CPU+GPU]]</f>
        <v>2.8026857541947425</v>
      </c>
      <c r="V21" s="53"/>
      <c r="W21" s="185">
        <v>2</v>
      </c>
      <c r="X21" s="34"/>
      <c r="AB21" s="35"/>
      <c r="AD21" s="2"/>
      <c r="AF21" s="2"/>
    </row>
    <row r="22" spans="4:38" ht="27" x14ac:dyDescent="0.35">
      <c r="D22" s="9">
        <v>17</v>
      </c>
      <c r="E22" s="9" t="s">
        <v>1422</v>
      </c>
      <c r="F22" s="38">
        <v>2622756</v>
      </c>
      <c r="G22" s="38">
        <v>94934908</v>
      </c>
      <c r="H22" s="38">
        <f>Table2123242526[[#This Row],[E]]/Table2123242526[[#This Row],[V]]</f>
        <v>36.196622179112353</v>
      </c>
      <c r="I22" s="38">
        <v>900354</v>
      </c>
      <c r="J22" s="39">
        <v>104704438</v>
      </c>
      <c r="K22" s="10">
        <v>25.453268000000001</v>
      </c>
      <c r="L22" s="41">
        <v>23.738012000000001</v>
      </c>
      <c r="M22" s="155">
        <v>27.673922000000001</v>
      </c>
      <c r="N22" s="63">
        <v>23.892412</v>
      </c>
      <c r="O22" s="170">
        <v>23.282133000000002</v>
      </c>
      <c r="P22" s="56">
        <v>31.811346</v>
      </c>
      <c r="Q22" s="56">
        <v>17.874461</v>
      </c>
      <c r="R22" s="143">
        <f>Table2123242526[[#This Row],[G2AIMD (OOM fixed)]]/Table2123242526[[#This Row],[gpu-hybrid-copy]]</f>
        <v>1.0932532685042216</v>
      </c>
      <c r="S22" s="143">
        <f>Table2123242526[[#This Row],[G2AIMD (pingpong)]]/Table2123242526[[#This Row],[gpu-layered]]</f>
        <v>0.85777548986370633</v>
      </c>
      <c r="T22" s="144">
        <f>Table2123242526[[#This Row],[gpu-hybrid-copy]]/Table2123242526[[#This Row],[CPU+GPU]]</f>
        <v>1.3025362275259658</v>
      </c>
      <c r="U22" s="144">
        <f>Table2123242526[[#This Row],[CPU Only]]/Table2123242526[[#This Row],[CPU+GPU]]</f>
        <v>1.779709385362725</v>
      </c>
      <c r="V22" s="53"/>
      <c r="W22" s="185">
        <v>2</v>
      </c>
      <c r="X22" s="34"/>
      <c r="AB22" s="35"/>
      <c r="AD22" s="2"/>
      <c r="AF22" s="2"/>
    </row>
    <row r="23" spans="4:38" ht="27" x14ac:dyDescent="0.35">
      <c r="D23" s="9">
        <v>40</v>
      </c>
      <c r="E23" s="9" t="s">
        <v>11</v>
      </c>
      <c r="F23" s="38">
        <v>2394385</v>
      </c>
      <c r="G23" s="38">
        <v>9319130</v>
      </c>
      <c r="H23" s="38">
        <f>Table2123242526[[#This Row],[E]]/Table2123242526[[#This Row],[V]]</f>
        <v>3.8920766710449657</v>
      </c>
      <c r="I23" s="38">
        <v>100029</v>
      </c>
      <c r="J23" s="39">
        <v>86333306</v>
      </c>
      <c r="K23" s="10">
        <v>3.699408</v>
      </c>
      <c r="L23" s="41">
        <v>3.3782510000000001</v>
      </c>
      <c r="M23" s="155">
        <v>5.0047879999999996</v>
      </c>
      <c r="N23" s="63">
        <v>2.555885</v>
      </c>
      <c r="O23" s="170">
        <v>1.745098</v>
      </c>
      <c r="P23" s="56">
        <v>11.48353</v>
      </c>
      <c r="Q23" s="56">
        <v>2.5116809999999998</v>
      </c>
      <c r="R23" s="143">
        <f>Table2123242526[[#This Row],[G2AIMD (OOM fixed)]]/Table2123242526[[#This Row],[gpu-hybrid-copy]]</f>
        <v>2.1198855307839444</v>
      </c>
      <c r="S23" s="143">
        <f>Table2123242526[[#This Row],[G2AIMD (pingpong)]]/Table2123242526[[#This Row],[gpu-layered]]</f>
        <v>0.67500381634546769</v>
      </c>
      <c r="T23" s="144">
        <f>Table2123242526[[#This Row],[gpu-hybrid-copy]]/Table2123242526[[#This Row],[CPU+GPU]]</f>
        <v>0.69479284988818257</v>
      </c>
      <c r="U23" s="144">
        <f>Table2123242526[[#This Row],[CPU Only]]/Table2123242526[[#This Row],[CPU+GPU]]</f>
        <v>4.5720495556561529</v>
      </c>
      <c r="V23" s="53"/>
      <c r="W23" s="185">
        <v>2</v>
      </c>
      <c r="X23" s="184"/>
      <c r="AB23" s="35"/>
      <c r="AD23" s="2"/>
      <c r="AF23" s="2"/>
    </row>
    <row r="24" spans="4:38" ht="27" x14ac:dyDescent="0.35">
      <c r="D24" s="9">
        <v>14</v>
      </c>
      <c r="E24" s="9" t="s">
        <v>1445</v>
      </c>
      <c r="F24" s="38">
        <v>2148791</v>
      </c>
      <c r="G24" s="38">
        <v>155750262</v>
      </c>
      <c r="H24" s="38">
        <f>Table2123242526[[#This Row],[E]]/Table2123242526[[#This Row],[V]]</f>
        <v>72.482741225181968</v>
      </c>
      <c r="I24" s="38">
        <v>286585</v>
      </c>
      <c r="J24" s="39">
        <v>147929073</v>
      </c>
      <c r="K24" s="10">
        <v>33.908831999999997</v>
      </c>
      <c r="L24" s="41">
        <v>33.766888999999999</v>
      </c>
      <c r="M24" s="155">
        <v>38.217008999999997</v>
      </c>
      <c r="N24" s="63">
        <v>32.214925999999998</v>
      </c>
      <c r="O24" s="170">
        <v>31.713341</v>
      </c>
      <c r="P24" s="56">
        <v>110.60061399999999</v>
      </c>
      <c r="Q24" s="56">
        <v>23.840702</v>
      </c>
      <c r="R24" s="143">
        <f>Table2123242526[[#This Row],[G2AIMD (OOM fixed)]]/Table2123242526[[#This Row],[gpu-hybrid-copy]]</f>
        <v>1.0692292559147267</v>
      </c>
      <c r="S24" s="143">
        <f>Table2123242526[[#This Row],[G2AIMD (pingpong)]]/Table2123242526[[#This Row],[gpu-layered]]</f>
        <v>0.88355655985532522</v>
      </c>
      <c r="T24" s="144">
        <f>Table2123242526[[#This Row],[gpu-hybrid-copy]]/Table2123242526[[#This Row],[CPU+GPU]]</f>
        <v>1.3302184222595459</v>
      </c>
      <c r="U24" s="144">
        <f>Table2123242526[[#This Row],[CPU Only]]/Table2123242526[[#This Row],[CPU+GPU]]</f>
        <v>4.6391508941305499</v>
      </c>
      <c r="V24" s="53"/>
      <c r="W24" s="185">
        <v>2</v>
      </c>
      <c r="X24" s="34"/>
      <c r="AB24" s="35"/>
      <c r="AD24" s="2"/>
      <c r="AF24" s="2"/>
    </row>
    <row r="25" spans="4:38" ht="27" x14ac:dyDescent="0.35">
      <c r="D25" s="9">
        <v>45</v>
      </c>
      <c r="E25" s="9" t="s">
        <v>3917</v>
      </c>
      <c r="F25" s="38">
        <v>1791489</v>
      </c>
      <c r="G25" s="38">
        <v>50888414</v>
      </c>
      <c r="H25" s="38">
        <f>Table2123242526[[#This Row],[E]]/Table2123242526[[#This Row],[V]]</f>
        <v>28.405652504704186</v>
      </c>
      <c r="I25" s="38">
        <v>238342</v>
      </c>
      <c r="J25" s="39">
        <v>27229873</v>
      </c>
      <c r="K25" s="10">
        <v>3.0097049999999999</v>
      </c>
      <c r="L25" s="41">
        <v>1.3038989999999999</v>
      </c>
      <c r="M25" s="155">
        <v>3.3173910000000002</v>
      </c>
      <c r="N25" s="63">
        <v>1.8473649999999999</v>
      </c>
      <c r="O25" s="170">
        <v>1.1303939999999999</v>
      </c>
      <c r="P25" s="56">
        <v>4.5417589999999999</v>
      </c>
      <c r="Q25" s="56">
        <v>1.3929849999999999</v>
      </c>
      <c r="R25" s="143">
        <f>Table2123242526[[#This Row],[G2AIMD (OOM fixed)]]/Table2123242526[[#This Row],[gpu-hybrid-copy]]</f>
        <v>2.6625274019501166</v>
      </c>
      <c r="S25" s="143">
        <f>Table2123242526[[#This Row],[G2AIMD (pingpong)]]/Table2123242526[[#This Row],[gpu-layered]]</f>
        <v>0.39304953802551457</v>
      </c>
      <c r="T25" s="144">
        <f>Table2123242526[[#This Row],[gpu-hybrid-copy]]/Table2123242526[[#This Row],[CPU+GPU]]</f>
        <v>0.81149043241671659</v>
      </c>
      <c r="U25" s="144">
        <f>Table2123242526[[#This Row],[CPU Only]]/Table2123242526[[#This Row],[CPU+GPU]]</f>
        <v>3.2604507586226701</v>
      </c>
      <c r="V25" s="53"/>
      <c r="W25" s="185">
        <v>2</v>
      </c>
      <c r="X25" s="34"/>
      <c r="AB25" s="35"/>
      <c r="AD25" s="2"/>
      <c r="AF25" s="2"/>
    </row>
    <row r="26" spans="4:38" ht="27" hidden="1" x14ac:dyDescent="0.35">
      <c r="D26" s="9">
        <v>9</v>
      </c>
      <c r="E26" s="11" t="s">
        <v>3</v>
      </c>
      <c r="F26" s="38">
        <v>2212663</v>
      </c>
      <c r="G26" s="38">
        <v>58330960</v>
      </c>
      <c r="H26" s="38">
        <f>Table2123242526[[#This Row],[E]]/Table2123242526[[#This Row],[V]]</f>
        <v>26.362333532038093</v>
      </c>
      <c r="I26" s="38">
        <v>137021</v>
      </c>
      <c r="J26" s="39">
        <v>1569924556</v>
      </c>
      <c r="K26" s="10">
        <v>66.642407000000006</v>
      </c>
      <c r="L26" s="41">
        <v>68.285578000000001</v>
      </c>
      <c r="M26" s="155">
        <v>68.683041000000003</v>
      </c>
      <c r="N26" s="63">
        <v>75.48</v>
      </c>
      <c r="O26" s="170">
        <v>49.67</v>
      </c>
      <c r="P26" s="56">
        <v>223.255968</v>
      </c>
      <c r="Q26" s="56">
        <v>33.600096000000001</v>
      </c>
      <c r="R26" s="143">
        <f>Table2123242526[[#This Row],[G2AIMD (OOM fixed)]]/Table2123242526[[#This Row],[gpu-hybrid-copy]]</f>
        <v>1.341703382323334</v>
      </c>
      <c r="S26" s="143">
        <f>Table2123242526[[#This Row],[G2AIMD (pingpong)]]/Table2123242526[[#This Row],[gpu-layered]]</f>
        <v>0.99421308383826512</v>
      </c>
      <c r="T26" s="144">
        <f>Table2123242526[[#This Row],[gpu-hybrid-copy]]/Table2123242526[[#This Row],[CPU+GPU]]</f>
        <v>1.4782695858964212</v>
      </c>
      <c r="U26" s="144">
        <f>Table2123242526[[#This Row],[CPU Only]]/Table2123242526[[#This Row],[CPU+GPU]]</f>
        <v>6.6445038728460775</v>
      </c>
      <c r="V26" s="53"/>
      <c r="W26" s="185">
        <v>1</v>
      </c>
      <c r="X26" s="34"/>
      <c r="AB26" s="35"/>
      <c r="AD26" s="2"/>
      <c r="AF26" s="2"/>
    </row>
    <row r="27" spans="4:38" ht="27" hidden="1" x14ac:dyDescent="0.35">
      <c r="D27" s="9">
        <v>16</v>
      </c>
      <c r="E27" s="11" t="s">
        <v>7</v>
      </c>
      <c r="F27" s="38">
        <v>2584164</v>
      </c>
      <c r="G27" s="38">
        <v>56367036</v>
      </c>
      <c r="H27" s="38">
        <f>Table2123242526[[#This Row],[E]]/Table2123242526[[#This Row],[V]]</f>
        <v>21.812484037390817</v>
      </c>
      <c r="I27" s="38">
        <v>44065</v>
      </c>
      <c r="J27" s="39">
        <v>918563917</v>
      </c>
      <c r="K27" s="192">
        <v>21.516248999999998</v>
      </c>
      <c r="L27" s="193">
        <v>71.662347999999994</v>
      </c>
      <c r="M27" s="155">
        <v>35.93</v>
      </c>
      <c r="N27" s="63">
        <v>47.26</v>
      </c>
      <c r="O27" s="170">
        <v>26.33</v>
      </c>
      <c r="P27" s="56">
        <v>129.14542800000001</v>
      </c>
      <c r="Q27" s="56">
        <v>21.417175</v>
      </c>
      <c r="R27" s="143">
        <f>Table2123242526[[#This Row],[G2AIMD (OOM fixed)]]/Table2123242526[[#This Row],[gpu-hybrid-copy]]</f>
        <v>0.8171761868590961</v>
      </c>
      <c r="S27" s="143">
        <f>Table2123242526[[#This Row],[G2AIMD (pingpong)]]/Table2123242526[[#This Row],[gpu-layered]]</f>
        <v>1.9944989702198719</v>
      </c>
      <c r="T27" s="144">
        <f>Table2123242526[[#This Row],[gpu-hybrid-copy]]/Table2123242526[[#This Row],[CPU+GPU]]</f>
        <v>1.2293871624058728</v>
      </c>
      <c r="U27" s="144">
        <f>Table2123242526[[#This Row],[CPU Only]]/Table2123242526[[#This Row],[CPU+GPU]]</f>
        <v>6.0299935915917953</v>
      </c>
      <c r="V27" s="53"/>
      <c r="W27" s="185">
        <v>1</v>
      </c>
      <c r="X27" s="34"/>
      <c r="AB27" s="35"/>
      <c r="AD27" s="2"/>
      <c r="AF27" s="2"/>
    </row>
    <row r="28" spans="4:38" ht="27" hidden="1" x14ac:dyDescent="0.35">
      <c r="D28" s="9">
        <v>19</v>
      </c>
      <c r="E28" s="9" t="s">
        <v>1405</v>
      </c>
      <c r="F28" s="38">
        <v>2093449</v>
      </c>
      <c r="G28" s="38">
        <v>52098498</v>
      </c>
      <c r="H28" s="38">
        <f>Table2123242526[[#This Row],[E]]/Table2123242526[[#This Row],[V]]</f>
        <v>24.886442421095524</v>
      </c>
      <c r="I28" s="38">
        <v>1140084</v>
      </c>
      <c r="J28" s="39">
        <v>7254227</v>
      </c>
      <c r="K28" s="10">
        <v>19.112002</v>
      </c>
      <c r="L28" s="41">
        <v>17.421547</v>
      </c>
      <c r="M28" s="155">
        <v>17.906261000000001</v>
      </c>
      <c r="N28" s="63">
        <v>17.917183000000001</v>
      </c>
      <c r="O28" s="170">
        <v>17.184013</v>
      </c>
      <c r="P28" s="56">
        <v>23.765003</v>
      </c>
      <c r="Q28" s="56">
        <v>14.029244</v>
      </c>
      <c r="R28" s="143">
        <f>Table2123242526[[#This Row],[G2AIMD (OOM fixed)]]/Table2123242526[[#This Row],[gpu-hybrid-copy]]</f>
        <v>1.1121966679145319</v>
      </c>
      <c r="S28" s="143">
        <f>Table2123242526[[#This Row],[G2AIMD (pingpong)]]/Table2123242526[[#This Row],[gpu-layered]]</f>
        <v>0.97293047387168097</v>
      </c>
      <c r="T28" s="144">
        <f>Table2123242526[[#This Row],[gpu-hybrid-copy]]/Table2123242526[[#This Row],[CPU+GPU]]</f>
        <v>1.2248709196304519</v>
      </c>
      <c r="U28" s="144">
        <f>Table2123242526[[#This Row],[CPU Only]]/Table2123242526[[#This Row],[CPU+GPU]]</f>
        <v>1.6939617701424252</v>
      </c>
      <c r="V28" s="53"/>
      <c r="W28" s="185">
        <v>1</v>
      </c>
      <c r="X28" s="34"/>
      <c r="AB28" s="35"/>
      <c r="AD28" s="2"/>
      <c r="AF28" s="2"/>
    </row>
    <row r="29" spans="4:38" ht="27" hidden="1" x14ac:dyDescent="0.35">
      <c r="D29" s="9">
        <v>36</v>
      </c>
      <c r="E29" s="11" t="s">
        <v>1425</v>
      </c>
      <c r="F29" s="38">
        <v>5005932</v>
      </c>
      <c r="G29" s="38">
        <v>33083838</v>
      </c>
      <c r="H29" s="38">
        <f>Table2123242526[[#This Row],[E]]/Table2123242526[[#This Row],[V]]</f>
        <v>6.6089267692809255</v>
      </c>
      <c r="I29" s="38">
        <v>1208022</v>
      </c>
      <c r="J29" s="39">
        <v>48080344</v>
      </c>
      <c r="K29" s="10">
        <v>4.7709869999999999</v>
      </c>
      <c r="L29" s="41">
        <v>3.2148729999999999</v>
      </c>
      <c r="M29" s="155">
        <v>5.147691</v>
      </c>
      <c r="N29" s="63">
        <v>3.6741229999999998</v>
      </c>
      <c r="O29" s="170">
        <v>2.9203489999999999</v>
      </c>
      <c r="P29" s="56">
        <v>5.9442469999999998</v>
      </c>
      <c r="Q29" s="56">
        <v>2.8253370000000002</v>
      </c>
      <c r="R29" s="143">
        <f>Table2123242526[[#This Row],[G2AIMD (OOM fixed)]]/Table2123242526[[#This Row],[gpu-hybrid-copy]]</f>
        <v>1.6337043962896216</v>
      </c>
      <c r="S29" s="143">
        <f>Table2123242526[[#This Row],[G2AIMD (pingpong)]]/Table2123242526[[#This Row],[gpu-layered]]</f>
        <v>0.62452719092890385</v>
      </c>
      <c r="T29" s="144">
        <f>Table2123242526[[#This Row],[gpu-hybrid-copy]]/Table2123242526[[#This Row],[CPU+GPU]]</f>
        <v>1.0336285547529374</v>
      </c>
      <c r="U29" s="144">
        <f>Table2123242526[[#This Row],[CPU Only]]/Table2123242526[[#This Row],[CPU+GPU]]</f>
        <v>2.103907250710269</v>
      </c>
      <c r="V29" s="53"/>
      <c r="W29" s="185">
        <v>1</v>
      </c>
      <c r="X29" s="34"/>
      <c r="AB29" s="35"/>
      <c r="AD29" s="2"/>
      <c r="AF29" s="2"/>
      <c r="AJ29" s="2"/>
      <c r="AL29" s="2"/>
    </row>
    <row r="30" spans="4:38" ht="27" hidden="1" x14ac:dyDescent="0.35">
      <c r="D30" s="9">
        <v>41</v>
      </c>
      <c r="E30" s="11" t="s">
        <v>1408</v>
      </c>
      <c r="F30" s="38">
        <v>4063587</v>
      </c>
      <c r="G30" s="38">
        <v>17652554</v>
      </c>
      <c r="H30" s="38">
        <f>Table2123242526[[#This Row],[E]]/Table2123242526[[#This Row],[V]]</f>
        <v>4.344081718934528</v>
      </c>
      <c r="I30" s="38">
        <v>4059644</v>
      </c>
      <c r="J30" s="39">
        <v>8823479</v>
      </c>
      <c r="K30" s="10">
        <v>3.4007879999999999</v>
      </c>
      <c r="L30" s="41">
        <v>1.682345</v>
      </c>
      <c r="M30" s="155">
        <v>2.3784320000000001</v>
      </c>
      <c r="N30" s="63">
        <v>2.263528</v>
      </c>
      <c r="O30" s="170">
        <v>1.5082530000000001</v>
      </c>
      <c r="P30" s="56">
        <v>0.16831399999999999</v>
      </c>
      <c r="Q30" s="56">
        <v>0.108086</v>
      </c>
      <c r="R30" s="143">
        <f>Table2123242526[[#This Row],[G2AIMD (OOM fixed)]]/Table2123242526[[#This Row],[gpu-hybrid-copy]]</f>
        <v>2.2547861665118516</v>
      </c>
      <c r="S30" s="143">
        <f>Table2123242526[[#This Row],[G2AIMD (pingpong)]]/Table2123242526[[#This Row],[gpu-layered]]</f>
        <v>0.7073336551139574</v>
      </c>
      <c r="T30" s="144">
        <f>Table2123242526[[#This Row],[gpu-hybrid-copy]]/Table2123242526[[#This Row],[CPU+GPU]]</f>
        <v>13.954193882649003</v>
      </c>
      <c r="U30" s="144">
        <f>Table2123242526[[#This Row],[CPU Only]]/Table2123242526[[#This Row],[CPU+GPU]]</f>
        <v>1.5572229520937031</v>
      </c>
      <c r="V30" s="53"/>
      <c r="W30" s="185">
        <v>1</v>
      </c>
      <c r="X30" s="34"/>
      <c r="AB30" s="35"/>
      <c r="AD30" s="2"/>
      <c r="AF30" s="2"/>
      <c r="AJ30" s="2"/>
      <c r="AL30" s="2"/>
    </row>
    <row r="31" spans="4:38" ht="27" hidden="1" x14ac:dyDescent="0.35">
      <c r="D31" s="9">
        <v>22</v>
      </c>
      <c r="E31" s="9" t="s">
        <v>1438</v>
      </c>
      <c r="F31" s="38">
        <v>7891015</v>
      </c>
      <c r="G31" s="38">
        <v>127830770</v>
      </c>
      <c r="H31" s="38">
        <f>Table2123242526[[#This Row],[E]]/Table2123242526[[#This Row],[V]]</f>
        <v>16.199534533897097</v>
      </c>
      <c r="I31" s="38">
        <v>3636005</v>
      </c>
      <c r="J31" s="39">
        <v>52252646</v>
      </c>
      <c r="K31" s="10">
        <v>12.013845999999999</v>
      </c>
      <c r="L31" s="41">
        <v>11.282028</v>
      </c>
      <c r="M31" s="155">
        <v>11.756913000000001</v>
      </c>
      <c r="N31" s="63">
        <v>11.34853</v>
      </c>
      <c r="O31" s="170">
        <v>10.773783</v>
      </c>
      <c r="P31" s="56">
        <v>2.9514300000000002</v>
      </c>
      <c r="Q31" s="56">
        <v>2.0402999999999998</v>
      </c>
      <c r="R31" s="143">
        <f>Table2123242526[[#This Row],[G2AIMD (OOM fixed)]]/Table2123242526[[#This Row],[gpu-hybrid-copy]]</f>
        <v>1.1151000535280875</v>
      </c>
      <c r="S31" s="143">
        <f>Table2123242526[[#This Row],[G2AIMD (pingpong)]]/Table2123242526[[#This Row],[gpu-layered]]</f>
        <v>0.95960801955411246</v>
      </c>
      <c r="T31" s="144">
        <f>Table2123242526[[#This Row],[gpu-hybrid-copy]]/Table2123242526[[#This Row],[CPU+GPU]]</f>
        <v>5.2804896338773712</v>
      </c>
      <c r="U31" s="144">
        <f>Table2123242526[[#This Row],[CPU Only]]/Table2123242526[[#This Row],[CPU+GPU]]</f>
        <v>1.446566681370387</v>
      </c>
      <c r="V31" s="53"/>
      <c r="W31" s="185">
        <v>1</v>
      </c>
      <c r="X31" s="34"/>
      <c r="AB31" s="35"/>
      <c r="AD31" s="2"/>
      <c r="AF31" s="2"/>
      <c r="AJ31" s="2"/>
      <c r="AL31" s="2"/>
    </row>
    <row r="32" spans="4:38" ht="27" hidden="1" x14ac:dyDescent="0.35">
      <c r="D32" s="9">
        <v>24</v>
      </c>
      <c r="E32" s="11" t="s">
        <v>2</v>
      </c>
      <c r="F32" s="38">
        <v>4382070</v>
      </c>
      <c r="G32" s="38">
        <v>38996662</v>
      </c>
      <c r="H32" s="38">
        <f>Table2123242526[[#This Row],[E]]/Table2123242526[[#This Row],[V]]</f>
        <v>8.8991417298217517</v>
      </c>
      <c r="I32" s="38">
        <v>699764</v>
      </c>
      <c r="J32" s="39">
        <v>287608260</v>
      </c>
      <c r="K32" s="10">
        <v>8.6943429999999999</v>
      </c>
      <c r="L32" s="41">
        <v>7.5799459999999996</v>
      </c>
      <c r="M32" s="155">
        <v>10.610409000000001</v>
      </c>
      <c r="N32" s="63">
        <v>8.1162390000000002</v>
      </c>
      <c r="O32" s="170">
        <v>7.3064799999999996</v>
      </c>
      <c r="P32" s="56">
        <v>38.782924999999999</v>
      </c>
      <c r="Q32" s="56">
        <v>8.0992370000000005</v>
      </c>
      <c r="R32" s="143">
        <f>Table2123242526[[#This Row],[G2AIMD (OOM fixed)]]/Table2123242526[[#This Row],[gpu-hybrid-copy]]</f>
        <v>1.1899496063768054</v>
      </c>
      <c r="S32" s="143">
        <f>Table2123242526[[#This Row],[G2AIMD (pingpong)]]/Table2123242526[[#This Row],[gpu-layered]]</f>
        <v>0.71438773001116163</v>
      </c>
      <c r="T32" s="144">
        <f>Table2123242526[[#This Row],[gpu-hybrid-copy]]/Table2123242526[[#This Row],[CPU+GPU]]</f>
        <v>0.90211954533494931</v>
      </c>
      <c r="U32" s="144">
        <f>Table2123242526[[#This Row],[CPU Only]]/Table2123242526[[#This Row],[CPU+GPU]]</f>
        <v>4.7884664938191088</v>
      </c>
      <c r="V32" s="53"/>
      <c r="W32" s="185">
        <v>1</v>
      </c>
      <c r="X32" s="34"/>
      <c r="AB32" s="35"/>
      <c r="AD32" s="2"/>
      <c r="AF32" s="2"/>
      <c r="AJ32" s="2"/>
      <c r="AL32" s="2"/>
    </row>
    <row r="33" spans="4:38" ht="27" hidden="1" x14ac:dyDescent="0.35">
      <c r="D33" s="9">
        <v>49</v>
      </c>
      <c r="E33" s="22" t="s">
        <v>3919</v>
      </c>
      <c r="F33" s="38">
        <v>2937612</v>
      </c>
      <c r="G33" s="38">
        <v>41919708</v>
      </c>
      <c r="H33" s="38">
        <f>Table2123242526[[#This Row],[E]]/Table2123242526[[#This Row],[V]]</f>
        <v>14.269994812112696</v>
      </c>
      <c r="I33" s="38">
        <v>4356</v>
      </c>
      <c r="J33" s="39">
        <v>27593398</v>
      </c>
      <c r="K33" s="10">
        <v>2.3024089999999999</v>
      </c>
      <c r="L33" s="41">
        <v>0.62366100000000002</v>
      </c>
      <c r="M33" s="155">
        <v>2.3505379999999998</v>
      </c>
      <c r="N33" s="63">
        <v>1.176353</v>
      </c>
      <c r="O33" s="170">
        <v>0.47302</v>
      </c>
      <c r="P33" s="56">
        <v>3.6801520000000001</v>
      </c>
      <c r="Q33" s="56">
        <v>1.075196</v>
      </c>
      <c r="R33" s="143">
        <f>Table2123242526[[#This Row],[G2AIMD (OOM fixed)]]/Table2123242526[[#This Row],[gpu-hybrid-copy]]</f>
        <v>4.867466491903091</v>
      </c>
      <c r="S33" s="143">
        <f>Table2123242526[[#This Row],[G2AIMD (pingpong)]]/Table2123242526[[#This Row],[gpu-layered]]</f>
        <v>0.26532691664631675</v>
      </c>
      <c r="T33" s="144">
        <f>Table2123242526[[#This Row],[gpu-hybrid-copy]]/Table2123242526[[#This Row],[CPU+GPU]]</f>
        <v>0.43993839262794876</v>
      </c>
      <c r="U33" s="144">
        <f>Table2123242526[[#This Row],[CPU Only]]/Table2123242526[[#This Row],[CPU+GPU]]</f>
        <v>3.4227731501977314</v>
      </c>
      <c r="V33" s="53"/>
      <c r="W33" s="185">
        <v>1</v>
      </c>
      <c r="X33" s="34"/>
      <c r="AB33" s="35"/>
      <c r="AD33" s="2"/>
      <c r="AF33" s="2"/>
      <c r="AJ33" s="2"/>
      <c r="AL33" s="2"/>
    </row>
    <row r="34" spans="4:38" ht="27" hidden="1" x14ac:dyDescent="0.35">
      <c r="D34" s="9">
        <v>10</v>
      </c>
      <c r="E34" s="9" t="s">
        <v>18</v>
      </c>
      <c r="F34" s="38">
        <v>27665730</v>
      </c>
      <c r="G34" s="38">
        <v>281227494</v>
      </c>
      <c r="H34" s="38">
        <f>Table2123242526[[#This Row],[E]]/Table2123242526[[#This Row],[V]]</f>
        <v>10.165193327629526</v>
      </c>
      <c r="I34" s="38">
        <v>11571953</v>
      </c>
      <c r="J34" s="39">
        <v>134221196</v>
      </c>
      <c r="K34" s="39"/>
      <c r="L34" s="41">
        <v>64.861952000000002</v>
      </c>
      <c r="M34" s="155">
        <v>64.287988999999996</v>
      </c>
      <c r="N34" s="123">
        <v>61.752085000000001</v>
      </c>
      <c r="O34" s="167">
        <v>62.740836999999999</v>
      </c>
      <c r="P34" s="56">
        <v>23.307552999999999</v>
      </c>
      <c r="Q34" s="56">
        <v>23.874721000000001</v>
      </c>
      <c r="R34" s="143">
        <f>Table2123242526[[#This Row],[G2AIMD (OOM fixed)]]/Table2123242526[[#This Row],[gpu-hybrid-copy]]</f>
        <v>0</v>
      </c>
      <c r="S34" s="143">
        <f>Table2123242526[[#This Row],[G2AIMD (pingpong)]]/Table2123242526[[#This Row],[gpu-layered]]</f>
        <v>1.0089279974211047</v>
      </c>
      <c r="T34" s="144">
        <f>Table2123242526[[#This Row],[gpu-hybrid-copy]]/Table2123242526[[#This Row],[CPU+GPU]]</f>
        <v>2.6279191702386804</v>
      </c>
      <c r="U34" s="144">
        <f>Table2123242526[[#This Row],[CPU Only]]/Table2123242526[[#This Row],[CPU+GPU]]</f>
        <v>0.97624399464186395</v>
      </c>
      <c r="V34" s="53"/>
      <c r="W34" s="185">
        <v>0</v>
      </c>
      <c r="X34" s="184" t="s">
        <v>4027</v>
      </c>
      <c r="AB34" s="35"/>
      <c r="AD34" s="2"/>
      <c r="AF34" s="2"/>
      <c r="AJ34" s="2"/>
      <c r="AL34" s="2"/>
    </row>
    <row r="35" spans="4:38" ht="27" hidden="1" x14ac:dyDescent="0.35">
      <c r="D35" s="9">
        <v>11</v>
      </c>
      <c r="E35" s="9" t="s">
        <v>1446</v>
      </c>
      <c r="F35" s="38">
        <v>6100692</v>
      </c>
      <c r="G35" s="38">
        <v>199729748</v>
      </c>
      <c r="H35" s="38">
        <f>Table2123242526[[#This Row],[E]]/Table2123242526[[#This Row],[V]]</f>
        <v>32.738867656324892</v>
      </c>
      <c r="I35" s="38">
        <v>2732817</v>
      </c>
      <c r="J35" s="39">
        <v>97362094</v>
      </c>
      <c r="K35" s="39"/>
      <c r="L35" s="41">
        <v>59.816648000000001</v>
      </c>
      <c r="M35" s="155">
        <v>62.560637999999997</v>
      </c>
      <c r="N35" s="123">
        <v>58.869190000000003</v>
      </c>
      <c r="O35" s="167">
        <v>59.539616000000002</v>
      </c>
      <c r="P35" s="56">
        <v>32.213045000000001</v>
      </c>
      <c r="Q35" s="56">
        <v>53.737893</v>
      </c>
      <c r="R35" s="143">
        <f>Table2123242526[[#This Row],[G2AIMD (OOM fixed)]]/Table2123242526[[#This Row],[gpu-hybrid-copy]]</f>
        <v>0</v>
      </c>
      <c r="S35" s="143">
        <f>Table2123242526[[#This Row],[G2AIMD (pingpong)]]/Table2123242526[[#This Row],[gpu-layered]]</f>
        <v>0.95613871457001454</v>
      </c>
      <c r="T35" s="144">
        <f>Table2123242526[[#This Row],[gpu-hybrid-copy]]/Table2123242526[[#This Row],[CPU+GPU]]</f>
        <v>1.1079633509263194</v>
      </c>
      <c r="U35" s="144">
        <f>Table2123242526[[#This Row],[CPU Only]]/Table2123242526[[#This Row],[CPU+GPU]]</f>
        <v>0.59944748857198404</v>
      </c>
      <c r="V35" s="53"/>
      <c r="W35" s="185">
        <v>0</v>
      </c>
      <c r="X35" s="184" t="s">
        <v>4027</v>
      </c>
      <c r="AB35" s="35"/>
      <c r="AD35" s="2"/>
      <c r="AF35" s="2"/>
      <c r="AJ35" s="2"/>
      <c r="AL35" s="2"/>
    </row>
    <row r="36" spans="4:38" ht="27" hidden="1" x14ac:dyDescent="0.35">
      <c r="D36" s="9">
        <v>18</v>
      </c>
      <c r="E36" s="11" t="s">
        <v>5</v>
      </c>
      <c r="F36" s="38">
        <v>8730857</v>
      </c>
      <c r="G36" s="38">
        <v>654072972</v>
      </c>
      <c r="H36" s="38">
        <f>Table2123242526[[#This Row],[E]]/Table2123242526[[#This Row],[V]]</f>
        <v>74.915093902007555</v>
      </c>
      <c r="I36" s="38">
        <v>318268</v>
      </c>
      <c r="J36" s="39">
        <v>417032363</v>
      </c>
      <c r="K36" s="39"/>
      <c r="L36" s="41">
        <v>14.054064</v>
      </c>
      <c r="M36" s="155">
        <v>24.320086</v>
      </c>
      <c r="N36" s="63">
        <v>13.929805</v>
      </c>
      <c r="O36" s="169">
        <v>13.848599999999999</v>
      </c>
      <c r="P36" s="56">
        <v>249.501497</v>
      </c>
      <c r="Q36" s="56">
        <v>19.519027000000001</v>
      </c>
      <c r="R36" s="143">
        <f>Table2123242526[[#This Row],[G2AIMD (OOM fixed)]]/Table2123242526[[#This Row],[gpu-hybrid-copy]]</f>
        <v>0</v>
      </c>
      <c r="S36" s="143">
        <f>Table2123242526[[#This Row],[G2AIMD (pingpong)]]/Table2123242526[[#This Row],[gpu-layered]]</f>
        <v>0.57787887756646916</v>
      </c>
      <c r="T36" s="144">
        <f>Table2123242526[[#This Row],[gpu-hybrid-copy]]/Table2123242526[[#This Row],[CPU+GPU]]</f>
        <v>0.70949233278892432</v>
      </c>
      <c r="U36" s="144">
        <f>Table2123242526[[#This Row],[CPU Only]]/Table2123242526[[#This Row],[CPU+GPU]]</f>
        <v>12.782476144943084</v>
      </c>
      <c r="V36" s="53"/>
      <c r="W36" s="185">
        <v>0</v>
      </c>
      <c r="X36" s="184" t="s">
        <v>4025</v>
      </c>
      <c r="AB36" s="35"/>
      <c r="AD36" s="2"/>
      <c r="AF36" s="2"/>
      <c r="AJ36" s="2"/>
      <c r="AL36" s="2"/>
    </row>
    <row r="37" spans="4:38" ht="27" hidden="1" x14ac:dyDescent="0.35">
      <c r="D37" s="9">
        <v>21</v>
      </c>
      <c r="E37" s="11" t="s">
        <v>1436</v>
      </c>
      <c r="F37" s="38">
        <v>3790750</v>
      </c>
      <c r="G37" s="38">
        <v>44273578</v>
      </c>
      <c r="H37" s="38">
        <f>Table2123242526[[#This Row],[E]]/Table2123242526[[#This Row],[V]]</f>
        <v>11.679371628305745</v>
      </c>
      <c r="I37" s="38">
        <v>866662</v>
      </c>
      <c r="J37" s="39">
        <v>489911259</v>
      </c>
      <c r="K37" s="39"/>
      <c r="L37" s="41">
        <v>11.255535999999999</v>
      </c>
      <c r="M37" s="155">
        <v>18.346153999999999</v>
      </c>
      <c r="N37" s="123">
        <v>11.006907</v>
      </c>
      <c r="O37" s="167">
        <v>11.876014</v>
      </c>
      <c r="P37" s="56">
        <v>72.252588000000003</v>
      </c>
      <c r="Q37" s="56">
        <v>12.491521000000001</v>
      </c>
      <c r="R37" s="143">
        <f>Table2123242526[[#This Row],[G2AIMD (OOM fixed)]]/Table2123242526[[#This Row],[gpu-hybrid-copy]]</f>
        <v>0</v>
      </c>
      <c r="S37" s="143">
        <f>Table2123242526[[#This Row],[G2AIMD (pingpong)]]/Table2123242526[[#This Row],[gpu-layered]]</f>
        <v>0.61350929464562443</v>
      </c>
      <c r="T37" s="144">
        <f>Table2123242526[[#This Row],[gpu-hybrid-copy]]/Table2123242526[[#This Row],[CPU+GPU]]</f>
        <v>0.95072601647149291</v>
      </c>
      <c r="U37" s="144">
        <f>Table2123242526[[#This Row],[CPU Only]]/Table2123242526[[#This Row],[CPU+GPU]]</f>
        <v>5.7841305314220746</v>
      </c>
      <c r="V37" s="53"/>
      <c r="W37" s="185">
        <v>0</v>
      </c>
      <c r="X37" s="184" t="s">
        <v>4025</v>
      </c>
      <c r="AB37" s="35"/>
      <c r="AD37" s="2"/>
      <c r="AF37" s="2"/>
      <c r="AJ37" s="2"/>
      <c r="AL37" s="2"/>
    </row>
    <row r="38" spans="4:38" ht="27" hidden="1" x14ac:dyDescent="0.35">
      <c r="D38" s="9">
        <v>23</v>
      </c>
      <c r="E38" s="9" t="s">
        <v>1414</v>
      </c>
      <c r="F38" s="38">
        <v>3033373</v>
      </c>
      <c r="G38" s="38">
        <v>87691916</v>
      </c>
      <c r="H38" s="38">
        <f>Table2123242526[[#This Row],[E]]/Table2123242526[[#This Row],[V]]</f>
        <v>28.909044815787574</v>
      </c>
      <c r="I38" s="38">
        <v>275166</v>
      </c>
      <c r="J38" s="39">
        <v>118034566</v>
      </c>
      <c r="K38" s="39"/>
      <c r="L38" s="41">
        <v>8.8155560000000008</v>
      </c>
      <c r="M38" s="155">
        <v>11.791601</v>
      </c>
      <c r="N38" s="123">
        <v>8.9545709999999996</v>
      </c>
      <c r="O38" s="167">
        <v>9.1876979999999993</v>
      </c>
      <c r="P38" s="56">
        <v>24.346118000000001</v>
      </c>
      <c r="Q38" s="56">
        <v>9.3502709999999993</v>
      </c>
      <c r="R38" s="143">
        <f>Table2123242526[[#This Row],[G2AIMD (OOM fixed)]]/Table2123242526[[#This Row],[gpu-hybrid-copy]]</f>
        <v>0</v>
      </c>
      <c r="S38" s="143">
        <f>Table2123242526[[#This Row],[G2AIMD (pingpong)]]/Table2123242526[[#This Row],[gpu-layered]]</f>
        <v>0.74761315278561413</v>
      </c>
      <c r="T38" s="144">
        <f>Table2123242526[[#This Row],[gpu-hybrid-copy]]/Table2123242526[[#This Row],[CPU+GPU]]</f>
        <v>0.98261301731254636</v>
      </c>
      <c r="U38" s="144">
        <f>Table2123242526[[#This Row],[CPU Only]]/Table2123242526[[#This Row],[CPU+GPU]]</f>
        <v>2.603787419637356</v>
      </c>
      <c r="V38" s="53"/>
      <c r="W38" s="185">
        <v>0</v>
      </c>
      <c r="X38" s="184" t="s">
        <v>4025</v>
      </c>
      <c r="AB38" s="35"/>
      <c r="AD38" s="2"/>
      <c r="AF38" s="2"/>
      <c r="AJ38" s="2"/>
      <c r="AL38" s="2"/>
    </row>
    <row r="39" spans="4:38" ht="27" hidden="1" x14ac:dyDescent="0.35">
      <c r="D39" s="9">
        <v>26</v>
      </c>
      <c r="E39" s="11" t="s">
        <v>1</v>
      </c>
      <c r="F39" s="38">
        <v>18268991</v>
      </c>
      <c r="G39" s="38">
        <v>253780418</v>
      </c>
      <c r="H39" s="38">
        <f>Table2123242526[[#This Row],[E]]/Table2123242526[[#This Row],[V]]</f>
        <v>13.891320982094742</v>
      </c>
      <c r="I39" s="38">
        <v>612308</v>
      </c>
      <c r="J39" s="39">
        <v>240680701</v>
      </c>
      <c r="K39" s="39"/>
      <c r="L39" s="41">
        <v>6.968604</v>
      </c>
      <c r="M39" s="155">
        <v>10.276472</v>
      </c>
      <c r="N39" s="123">
        <v>7.1944559999999997</v>
      </c>
      <c r="O39" s="167">
        <v>7.5622439999999997</v>
      </c>
      <c r="P39" s="56">
        <v>45.206122000000001</v>
      </c>
      <c r="Q39" s="56">
        <v>10.693218999999999</v>
      </c>
      <c r="R39" s="143">
        <f>Table2123242526[[#This Row],[G2AIMD (OOM fixed)]]/Table2123242526[[#This Row],[gpu-hybrid-copy]]</f>
        <v>0</v>
      </c>
      <c r="S39" s="143">
        <f>Table2123242526[[#This Row],[G2AIMD (pingpong)]]/Table2123242526[[#This Row],[gpu-layered]]</f>
        <v>0.67811248841041949</v>
      </c>
      <c r="T39" s="144">
        <f>Table2123242526[[#This Row],[gpu-hybrid-copy]]/Table2123242526[[#This Row],[CPU+GPU]]</f>
        <v>0.70719995541099456</v>
      </c>
      <c r="U39" s="144">
        <f>Table2123242526[[#This Row],[CPU Only]]/Table2123242526[[#This Row],[CPU+GPU]]</f>
        <v>4.2275503756165476</v>
      </c>
      <c r="V39" s="53"/>
      <c r="W39" s="185">
        <v>0</v>
      </c>
      <c r="X39" s="184" t="s">
        <v>4025</v>
      </c>
      <c r="AB39" s="35"/>
      <c r="AD39" s="2"/>
      <c r="AF39" s="2"/>
      <c r="AJ39" s="2"/>
      <c r="AL39" s="2"/>
    </row>
    <row r="40" spans="4:38" ht="27" hidden="1" x14ac:dyDescent="0.35">
      <c r="D40" s="9">
        <v>27</v>
      </c>
      <c r="E40" s="11" t="s">
        <v>1431</v>
      </c>
      <c r="F40" s="38">
        <v>4579069</v>
      </c>
      <c r="G40" s="38">
        <v>12530086</v>
      </c>
      <c r="H40" s="38">
        <f>Table2123242526[[#This Row],[E]]/Table2123242526[[#This Row],[V]]</f>
        <v>2.7363828760824527</v>
      </c>
      <c r="I40" s="38">
        <v>4043326</v>
      </c>
      <c r="J40" s="39">
        <v>6015927</v>
      </c>
      <c r="K40" s="39"/>
      <c r="L40" s="41">
        <v>7.7896460000000003</v>
      </c>
      <c r="M40" s="155">
        <v>7.8741620000000001</v>
      </c>
      <c r="N40" s="123">
        <v>7.7192499999999997</v>
      </c>
      <c r="O40" s="167">
        <v>8.6763910000000006</v>
      </c>
      <c r="P40" s="56">
        <v>0.93807399999999996</v>
      </c>
      <c r="Q40" s="56">
        <v>0.93605400000000005</v>
      </c>
      <c r="R40" s="143">
        <f>Table2123242526[[#This Row],[G2AIMD (OOM fixed)]]/Table2123242526[[#This Row],[gpu-hybrid-copy]]</f>
        <v>0</v>
      </c>
      <c r="S40" s="143">
        <f>Table2123242526[[#This Row],[G2AIMD (pingpong)]]/Table2123242526[[#This Row],[gpu-layered]]</f>
        <v>0.9892666673609205</v>
      </c>
      <c r="T40" s="144">
        <f>Table2123242526[[#This Row],[gpu-hybrid-copy]]/Table2123242526[[#This Row],[CPU+GPU]]</f>
        <v>9.2691137477111365</v>
      </c>
      <c r="U40" s="144">
        <f>Table2123242526[[#This Row],[CPU Only]]/Table2123242526[[#This Row],[CPU+GPU]]</f>
        <v>1.002157995158399</v>
      </c>
      <c r="V40" s="53"/>
      <c r="W40" s="185">
        <v>0</v>
      </c>
      <c r="X40" s="184" t="s">
        <v>4024</v>
      </c>
      <c r="AB40" s="35"/>
      <c r="AD40" s="2"/>
      <c r="AF40" s="2"/>
      <c r="AJ40" s="2"/>
      <c r="AL40" s="2"/>
    </row>
    <row r="41" spans="4:38" ht="27" hidden="1" x14ac:dyDescent="0.35">
      <c r="D41" s="9">
        <v>28</v>
      </c>
      <c r="E41" s="11" t="s">
        <v>1449</v>
      </c>
      <c r="F41" s="38">
        <v>4799646</v>
      </c>
      <c r="G41" s="38">
        <v>63844012</v>
      </c>
      <c r="H41" s="38">
        <f>Table2123242526[[#This Row],[E]]/Table2123242526[[#This Row],[V]]</f>
        <v>13.301816842325454</v>
      </c>
      <c r="I41" s="38">
        <v>1076572</v>
      </c>
      <c r="J41" s="39">
        <v>157475935</v>
      </c>
      <c r="K41" s="39"/>
      <c r="L41" s="41">
        <v>6.8452809999999999</v>
      </c>
      <c r="M41" s="155">
        <v>9.0390409999999992</v>
      </c>
      <c r="N41" s="123">
        <v>5.80077</v>
      </c>
      <c r="O41" s="167">
        <v>5.8892620000000004</v>
      </c>
      <c r="P41" s="56">
        <v>23.708839000000001</v>
      </c>
      <c r="Q41" s="56">
        <v>7.6292460000000002</v>
      </c>
      <c r="R41" s="143">
        <f>Table2123242526[[#This Row],[G2AIMD (OOM fixed)]]/Table2123242526[[#This Row],[gpu-hybrid-copy]]</f>
        <v>0</v>
      </c>
      <c r="S41" s="143">
        <f>Table2123242526[[#This Row],[G2AIMD (pingpong)]]/Table2123242526[[#This Row],[gpu-layered]]</f>
        <v>0.75730168720332169</v>
      </c>
      <c r="T41" s="144">
        <f>Table2123242526[[#This Row],[gpu-hybrid-copy]]/Table2123242526[[#This Row],[CPU+GPU]]</f>
        <v>0.77193237706583329</v>
      </c>
      <c r="U41" s="144">
        <f>Table2123242526[[#This Row],[CPU Only]]/Table2123242526[[#This Row],[CPU+GPU]]</f>
        <v>3.1076254455551702</v>
      </c>
      <c r="V41" s="53"/>
      <c r="W41" s="185">
        <v>0</v>
      </c>
      <c r="X41" s="184" t="s">
        <v>4025</v>
      </c>
      <c r="AB41" s="35"/>
      <c r="AD41" s="2"/>
      <c r="AF41" s="2"/>
      <c r="AJ41" s="2"/>
      <c r="AL41" s="2"/>
    </row>
    <row r="42" spans="4:38" ht="27" hidden="1" x14ac:dyDescent="0.35">
      <c r="D42" s="9">
        <v>30</v>
      </c>
      <c r="E42" s="11" t="s">
        <v>1447</v>
      </c>
      <c r="F42" s="38">
        <v>7489073</v>
      </c>
      <c r="G42" s="38">
        <v>224610814</v>
      </c>
      <c r="H42" s="38">
        <f>Table2123242526[[#This Row],[E]]/Table2123242526[[#This Row],[V]]</f>
        <v>29.991804593171945</v>
      </c>
      <c r="I42" s="38">
        <v>1053720</v>
      </c>
      <c r="J42" s="39">
        <v>148627058</v>
      </c>
      <c r="K42" s="39"/>
      <c r="L42" s="41">
        <v>4.1408459999999998</v>
      </c>
      <c r="M42" s="155">
        <v>7.4756419999999997</v>
      </c>
      <c r="N42" s="123">
        <v>4.434202</v>
      </c>
      <c r="O42" s="167">
        <v>4.7059150000000001</v>
      </c>
      <c r="P42" s="56">
        <v>37.416477</v>
      </c>
      <c r="Q42" s="56">
        <v>5.235112</v>
      </c>
      <c r="R42" s="143">
        <f>Table2123242526[[#This Row],[G2AIMD (OOM fixed)]]/Table2123242526[[#This Row],[gpu-hybrid-copy]]</f>
        <v>0</v>
      </c>
      <c r="S42" s="143">
        <f>Table2123242526[[#This Row],[G2AIMD (pingpong)]]/Table2123242526[[#This Row],[gpu-layered]]</f>
        <v>0.5539117576791398</v>
      </c>
      <c r="T42" s="144">
        <f>Table2123242526[[#This Row],[gpu-hybrid-copy]]/Table2123242526[[#This Row],[CPU+GPU]]</f>
        <v>0.89891391053333725</v>
      </c>
      <c r="U42" s="144">
        <f>Table2123242526[[#This Row],[CPU Only]]/Table2123242526[[#This Row],[CPU+GPU]]</f>
        <v>7.1472161436087713</v>
      </c>
      <c r="V42" s="53"/>
      <c r="W42" s="185">
        <v>0</v>
      </c>
      <c r="X42" s="184" t="s">
        <v>4025</v>
      </c>
      <c r="AB42" s="35"/>
      <c r="AD42" s="2"/>
      <c r="AF42" s="2"/>
      <c r="AJ42" s="2"/>
      <c r="AL42" s="2"/>
    </row>
    <row r="43" spans="4:38" ht="27" hidden="1" x14ac:dyDescent="0.35">
      <c r="D43" s="9">
        <v>31</v>
      </c>
      <c r="E43" s="11" t="s">
        <v>4</v>
      </c>
      <c r="F43" s="38">
        <v>1203995</v>
      </c>
      <c r="G43" s="38">
        <v>40033816</v>
      </c>
      <c r="H43" s="38">
        <f>Table2123242526[[#This Row],[E]]/Table2123242526[[#This Row],[V]]</f>
        <v>33.250815825647116</v>
      </c>
      <c r="I43" s="38">
        <v>81090</v>
      </c>
      <c r="J43" s="39">
        <v>148294115</v>
      </c>
      <c r="K43" s="39"/>
      <c r="L43" s="41">
        <v>3.9173870000000002</v>
      </c>
      <c r="M43" s="155">
        <v>6.9773290000000001</v>
      </c>
      <c r="N43" s="123">
        <v>4.4764730000000004</v>
      </c>
      <c r="O43" s="167">
        <v>4.549919</v>
      </c>
      <c r="P43" s="56">
        <v>28.647296999999998</v>
      </c>
      <c r="Q43" s="56">
        <v>7.8326770000000003</v>
      </c>
      <c r="R43" s="143">
        <f>Table2123242526[[#This Row],[G2AIMD (OOM fixed)]]/Table2123242526[[#This Row],[gpu-hybrid-copy]]</f>
        <v>0</v>
      </c>
      <c r="S43" s="143">
        <f>Table2123242526[[#This Row],[G2AIMD (pingpong)]]/Table2123242526[[#This Row],[gpu-layered]]</f>
        <v>0.56144507446904113</v>
      </c>
      <c r="T43" s="144">
        <f>Table2123242526[[#This Row],[gpu-hybrid-copy]]/Table2123242526[[#This Row],[CPU+GPU]]</f>
        <v>0.58088939451990673</v>
      </c>
      <c r="U43" s="144">
        <f>Table2123242526[[#This Row],[CPU Only]]/Table2123242526[[#This Row],[CPU+GPU]]</f>
        <v>3.6574081887967544</v>
      </c>
      <c r="V43" s="53"/>
      <c r="W43" s="185">
        <v>0</v>
      </c>
      <c r="X43" s="184" t="s">
        <v>4025</v>
      </c>
      <c r="AB43" s="35"/>
      <c r="AD43" s="2"/>
      <c r="AF43" s="2"/>
      <c r="AJ43" s="2"/>
      <c r="AL43" s="2"/>
    </row>
    <row r="44" spans="4:38" ht="27" hidden="1" x14ac:dyDescent="0.35">
      <c r="D44" s="9">
        <v>32</v>
      </c>
      <c r="E44" s="11" t="s">
        <v>1433</v>
      </c>
      <c r="F44" s="38">
        <v>2646291</v>
      </c>
      <c r="G44" s="38">
        <v>42433496</v>
      </c>
      <c r="H44" s="38">
        <f>Table2123242526[[#This Row],[E]]/Table2123242526[[#This Row],[V]]</f>
        <v>16.035083065316702</v>
      </c>
      <c r="I44" s="38">
        <v>850681</v>
      </c>
      <c r="J44" s="39">
        <v>110149144</v>
      </c>
      <c r="K44" s="39"/>
      <c r="L44" s="41">
        <v>3.8337750000000002</v>
      </c>
      <c r="M44" s="155">
        <v>5.5916920000000001</v>
      </c>
      <c r="N44" s="123">
        <v>4.476839</v>
      </c>
      <c r="O44" s="167">
        <v>4.5438599999999996</v>
      </c>
      <c r="P44" s="56">
        <v>15.348898999999999</v>
      </c>
      <c r="Q44" s="56">
        <v>4.8238430000000001</v>
      </c>
      <c r="R44" s="143">
        <f>Table2123242526[[#This Row],[G2AIMD (OOM fixed)]]/Table2123242526[[#This Row],[gpu-hybrid-copy]]</f>
        <v>0</v>
      </c>
      <c r="S44" s="143">
        <f>Table2123242526[[#This Row],[G2AIMD (pingpong)]]/Table2123242526[[#This Row],[gpu-layered]]</f>
        <v>0.68561984458371461</v>
      </c>
      <c r="T44" s="144">
        <f>Table2123242526[[#This Row],[gpu-hybrid-copy]]/Table2123242526[[#This Row],[CPU+GPU]]</f>
        <v>0.94195851730663693</v>
      </c>
      <c r="U44" s="144">
        <f>Table2123242526[[#This Row],[CPU Only]]/Table2123242526[[#This Row],[CPU+GPU]]</f>
        <v>3.1818819559425959</v>
      </c>
      <c r="V44" s="53"/>
      <c r="W44" s="185">
        <v>0</v>
      </c>
      <c r="X44" s="184" t="s">
        <v>4025</v>
      </c>
      <c r="AB44" s="35"/>
      <c r="AD44" s="2"/>
      <c r="AF44" s="2"/>
      <c r="AJ44" s="2"/>
      <c r="AL44" s="2"/>
    </row>
    <row r="45" spans="4:38" ht="27" hidden="1" x14ac:dyDescent="0.35">
      <c r="D45" s="9">
        <v>34</v>
      </c>
      <c r="E45" s="11" t="s">
        <v>1461</v>
      </c>
      <c r="F45" s="38">
        <v>33777768</v>
      </c>
      <c r="G45" s="38">
        <v>274478882</v>
      </c>
      <c r="H45" s="38">
        <f>Table2123242526[[#This Row],[E]]/Table2123242526[[#This Row],[V]]</f>
        <v>8.1260218851642296</v>
      </c>
      <c r="I45" s="38">
        <v>1057783</v>
      </c>
      <c r="J45" s="39">
        <v>152479402</v>
      </c>
      <c r="K45" s="39"/>
      <c r="L45" s="41">
        <v>3.8363990000000001</v>
      </c>
      <c r="M45" s="155">
        <v>5.0061879999999999</v>
      </c>
      <c r="N45" s="123">
        <v>4.2029290000000001</v>
      </c>
      <c r="O45" s="167">
        <v>4.4455710000000002</v>
      </c>
      <c r="P45" s="56">
        <v>18.665141999999999</v>
      </c>
      <c r="Q45" s="56">
        <v>7.6161149999999997</v>
      </c>
      <c r="R45" s="143">
        <f>Table2123242526[[#This Row],[G2AIMD (OOM fixed)]]/Table2123242526[[#This Row],[gpu-hybrid-copy]]</f>
        <v>0</v>
      </c>
      <c r="S45" s="143">
        <f>Table2123242526[[#This Row],[G2AIMD (pingpong)]]/Table2123242526[[#This Row],[gpu-layered]]</f>
        <v>0.76633138827387226</v>
      </c>
      <c r="T45" s="144">
        <f>Table2123242526[[#This Row],[gpu-hybrid-copy]]/Table2123242526[[#This Row],[CPU+GPU]]</f>
        <v>0.58370586578590267</v>
      </c>
      <c r="U45" s="144">
        <f>Table2123242526[[#This Row],[CPU Only]]/Table2123242526[[#This Row],[CPU+GPU]]</f>
        <v>2.4507431938724666</v>
      </c>
      <c r="V45" s="53"/>
      <c r="W45" s="185">
        <v>0</v>
      </c>
      <c r="X45" s="184" t="s">
        <v>4025</v>
      </c>
      <c r="AB45" s="35"/>
      <c r="AD45" s="2"/>
      <c r="AF45" s="2"/>
      <c r="AJ45" s="2"/>
      <c r="AL45" s="2"/>
    </row>
    <row r="46" spans="4:38" ht="27" hidden="1" x14ac:dyDescent="0.35">
      <c r="D46" s="9">
        <v>35</v>
      </c>
      <c r="E46" s="11" t="s">
        <v>1448</v>
      </c>
      <c r="F46" s="38">
        <v>5267977</v>
      </c>
      <c r="G46" s="38">
        <v>55363430</v>
      </c>
      <c r="H46" s="38">
        <f>Table2123242526[[#This Row],[E]]/Table2123242526[[#This Row],[V]]</f>
        <v>10.509428951569074</v>
      </c>
      <c r="I46" s="38">
        <v>590528</v>
      </c>
      <c r="J46" s="39">
        <v>99655585</v>
      </c>
      <c r="K46" s="39"/>
      <c r="L46" s="41">
        <v>3.4353509999999998</v>
      </c>
      <c r="M46" s="155">
        <v>4.7656539999999996</v>
      </c>
      <c r="N46" s="123">
        <v>3.8480089999999998</v>
      </c>
      <c r="O46" s="167">
        <v>3.9782419999999998</v>
      </c>
      <c r="P46" s="56">
        <v>16.841013</v>
      </c>
      <c r="Q46" s="56">
        <v>5.4122669999999999</v>
      </c>
      <c r="R46" s="143">
        <f>Table2123242526[[#This Row],[G2AIMD (OOM fixed)]]/Table2123242526[[#This Row],[gpu-hybrid-copy]]</f>
        <v>0</v>
      </c>
      <c r="S46" s="143">
        <f>Table2123242526[[#This Row],[G2AIMD (pingpong)]]/Table2123242526[[#This Row],[gpu-layered]]</f>
        <v>0.72085615111797874</v>
      </c>
      <c r="T46" s="144">
        <f>Table2123242526[[#This Row],[gpu-hybrid-copy]]/Table2123242526[[#This Row],[CPU+GPU]]</f>
        <v>0.73504171172634314</v>
      </c>
      <c r="U46" s="144">
        <f>Table2123242526[[#This Row],[CPU Only]]/Table2123242526[[#This Row],[CPU+GPU]]</f>
        <v>3.1116375079056522</v>
      </c>
      <c r="V46" s="53"/>
      <c r="W46" s="185">
        <v>0</v>
      </c>
      <c r="X46" s="184" t="s">
        <v>4025</v>
      </c>
      <c r="AB46" s="35"/>
      <c r="AD46" s="2"/>
      <c r="AF46" s="2"/>
      <c r="AJ46" s="2"/>
      <c r="AL46" s="2"/>
    </row>
    <row r="47" spans="4:38" ht="27" hidden="1" x14ac:dyDescent="0.35">
      <c r="D47" s="9">
        <v>38</v>
      </c>
      <c r="E47" s="9" t="s">
        <v>1434</v>
      </c>
      <c r="F47" s="38">
        <v>7825669</v>
      </c>
      <c r="G47" s="38">
        <v>124492028</v>
      </c>
      <c r="H47" s="38">
        <f>Table2123242526[[#This Row],[E]]/Table2123242526[[#This Row],[V]]</f>
        <v>15.90816427323977</v>
      </c>
      <c r="I47" s="38">
        <v>204282</v>
      </c>
      <c r="J47" s="39">
        <v>74995873</v>
      </c>
      <c r="K47" s="39"/>
      <c r="L47" s="41">
        <v>2.4138410000000001</v>
      </c>
      <c r="M47" s="155">
        <v>5.9023089999999998</v>
      </c>
      <c r="N47" s="123">
        <v>2.9659520000000001</v>
      </c>
      <c r="O47" s="167">
        <v>3.1589119999999999</v>
      </c>
      <c r="P47" s="56">
        <v>11.794521</v>
      </c>
      <c r="Q47" s="56">
        <v>4.758845</v>
      </c>
      <c r="R47" s="143">
        <f>Table2123242526[[#This Row],[G2AIMD (OOM fixed)]]/Table2123242526[[#This Row],[gpu-hybrid-copy]]</f>
        <v>0</v>
      </c>
      <c r="S47" s="143">
        <f>Table2123242526[[#This Row],[G2AIMD (pingpong)]]/Table2123242526[[#This Row],[gpu-layered]]</f>
        <v>0.40896554212935993</v>
      </c>
      <c r="T47" s="144">
        <f>Table2123242526[[#This Row],[gpu-hybrid-copy]]/Table2123242526[[#This Row],[CPU+GPU]]</f>
        <v>0.66379804343280779</v>
      </c>
      <c r="U47" s="144">
        <f>Table2123242526[[#This Row],[CPU Only]]/Table2123242526[[#This Row],[CPU+GPU]]</f>
        <v>2.4784419328639617</v>
      </c>
      <c r="V47" s="53"/>
      <c r="W47" s="185">
        <v>0</v>
      </c>
      <c r="X47" s="184" t="s">
        <v>4025</v>
      </c>
      <c r="AB47" s="35"/>
      <c r="AD47" s="2"/>
      <c r="AF47" s="2"/>
      <c r="AJ47" s="2"/>
      <c r="AL47" s="2"/>
    </row>
    <row r="48" spans="4:38" ht="21" hidden="1" customHeight="1" x14ac:dyDescent="0.35">
      <c r="D48" s="9">
        <v>39</v>
      </c>
      <c r="E48" s="11" t="s">
        <v>1411</v>
      </c>
      <c r="F48" s="38">
        <v>3496954</v>
      </c>
      <c r="G48" s="38">
        <v>27305086</v>
      </c>
      <c r="H48" s="38">
        <f>Table2123242526[[#This Row],[E]]/Table2123242526[[#This Row],[V]]</f>
        <v>7.808248550023821</v>
      </c>
      <c r="I48" s="38">
        <v>2187803</v>
      </c>
      <c r="J48" s="39">
        <v>12230903</v>
      </c>
      <c r="K48" s="39"/>
      <c r="L48" s="41">
        <v>1.9853620000000001</v>
      </c>
      <c r="M48" s="155">
        <v>2.7037040000000001</v>
      </c>
      <c r="N48" s="123">
        <v>2.5170659999999998</v>
      </c>
      <c r="O48" s="167">
        <v>2.7061799999999998</v>
      </c>
      <c r="P48" s="56">
        <v>0.65300999999999998</v>
      </c>
      <c r="Q48" s="56">
        <v>0.72130399999999995</v>
      </c>
      <c r="R48" s="143">
        <f>Table2123242526[[#This Row],[G2AIMD (OOM fixed)]]/Table2123242526[[#This Row],[gpu-hybrid-copy]]</f>
        <v>0</v>
      </c>
      <c r="S48" s="143">
        <f>Table2123242526[[#This Row],[G2AIMD (pingpong)]]/Table2123242526[[#This Row],[gpu-layered]]</f>
        <v>0.73431189213020365</v>
      </c>
      <c r="T48" s="144">
        <f>Table2123242526[[#This Row],[gpu-hybrid-copy]]/Table2123242526[[#This Row],[CPU+GPU]]</f>
        <v>3.7517884276255229</v>
      </c>
      <c r="U48" s="144">
        <f>Table2123242526[[#This Row],[CPU Only]]/Table2123242526[[#This Row],[CPU+GPU]]</f>
        <v>0.90531870057562414</v>
      </c>
      <c r="V48" s="53"/>
      <c r="W48" s="185">
        <v>0</v>
      </c>
      <c r="X48" s="184" t="s">
        <v>4027</v>
      </c>
      <c r="AB48" s="35"/>
      <c r="AD48" s="2"/>
      <c r="AF48" s="2"/>
      <c r="AJ48" s="2"/>
      <c r="AL48" s="2"/>
    </row>
    <row r="49" spans="4:38" ht="27" hidden="1" x14ac:dyDescent="0.35">
      <c r="D49" s="9">
        <v>42</v>
      </c>
      <c r="E49" s="22" t="s">
        <v>3912</v>
      </c>
      <c r="F49" s="38">
        <v>4033138</v>
      </c>
      <c r="G49" s="38">
        <v>55866126</v>
      </c>
      <c r="H49" s="38">
        <f>Table2123242526[[#This Row],[E]]/Table2123242526[[#This Row],[V]]</f>
        <v>13.851776457934244</v>
      </c>
      <c r="I49" s="38">
        <v>2651</v>
      </c>
      <c r="J49" s="39">
        <v>38413666</v>
      </c>
      <c r="K49" s="39"/>
      <c r="L49" s="41">
        <v>1.571016</v>
      </c>
      <c r="M49" s="155">
        <v>3.8372980000000001</v>
      </c>
      <c r="N49" s="123">
        <v>2.1893090000000002</v>
      </c>
      <c r="O49" s="167">
        <v>2.2822390000000001</v>
      </c>
      <c r="P49" s="56">
        <v>6.711659</v>
      </c>
      <c r="Q49" s="56">
        <v>4.0897119999999996</v>
      </c>
      <c r="R49" s="143">
        <f>Table2123242526[[#This Row],[G2AIMD (OOM fixed)]]/Table2123242526[[#This Row],[gpu-hybrid-copy]]</f>
        <v>0</v>
      </c>
      <c r="S49" s="143">
        <f>Table2123242526[[#This Row],[G2AIMD (pingpong)]]/Table2123242526[[#This Row],[gpu-layered]]</f>
        <v>0.40940682740824402</v>
      </c>
      <c r="T49" s="144">
        <f>Table2123242526[[#This Row],[gpu-hybrid-copy]]/Table2123242526[[#This Row],[CPU+GPU]]</f>
        <v>0.55804394050241202</v>
      </c>
      <c r="U49" s="144">
        <f>Table2123242526[[#This Row],[CPU Only]]/Table2123242526[[#This Row],[CPU+GPU]]</f>
        <v>1.6411079802196342</v>
      </c>
      <c r="V49" s="53"/>
      <c r="W49" s="185">
        <v>0</v>
      </c>
      <c r="X49" s="184" t="s">
        <v>4025</v>
      </c>
      <c r="AB49" s="35"/>
      <c r="AD49" s="2"/>
      <c r="AF49" s="2"/>
      <c r="AJ49" s="2"/>
      <c r="AL49" s="2"/>
    </row>
    <row r="50" spans="4:38" ht="27" hidden="1" x14ac:dyDescent="0.35">
      <c r="D50" s="9">
        <v>43</v>
      </c>
      <c r="E50" s="11" t="s">
        <v>1462</v>
      </c>
      <c r="F50" s="38">
        <v>33778221</v>
      </c>
      <c r="G50" s="38">
        <v>203595714</v>
      </c>
      <c r="H50" s="38">
        <f>Table2123242526[[#This Row],[E]]/Table2123242526[[#This Row],[V]]</f>
        <v>6.0274256006555227</v>
      </c>
      <c r="I50" s="38">
        <v>29319</v>
      </c>
      <c r="J50" s="39">
        <v>103359042</v>
      </c>
      <c r="K50" s="39"/>
      <c r="L50" s="41">
        <v>1.6937089999999999</v>
      </c>
      <c r="M50" s="155">
        <v>2.5168569999999999</v>
      </c>
      <c r="N50" s="123">
        <v>2.2523140000000001</v>
      </c>
      <c r="O50" s="167">
        <v>2.4154979999999999</v>
      </c>
      <c r="P50" s="56">
        <v>25.699197000000002</v>
      </c>
      <c r="Q50" s="56">
        <v>7.0814329999999996</v>
      </c>
      <c r="R50" s="143">
        <f>Table2123242526[[#This Row],[G2AIMD (OOM fixed)]]/Table2123242526[[#This Row],[gpu-hybrid-copy]]</f>
        <v>0</v>
      </c>
      <c r="S50" s="143">
        <f>Table2123242526[[#This Row],[G2AIMD (pingpong)]]/Table2123242526[[#This Row],[gpu-layered]]</f>
        <v>0.67294605931127593</v>
      </c>
      <c r="T50" s="144">
        <f>Table2123242526[[#This Row],[gpu-hybrid-copy]]/Table2123242526[[#This Row],[CPU+GPU]]</f>
        <v>0.34110299426683838</v>
      </c>
      <c r="U50" s="144">
        <f>Table2123242526[[#This Row],[CPU Only]]/Table2123242526[[#This Row],[CPU+GPU]]</f>
        <v>3.6290955517054249</v>
      </c>
      <c r="V50" s="53"/>
      <c r="W50" s="185">
        <v>0</v>
      </c>
      <c r="X50" s="184" t="s">
        <v>4025</v>
      </c>
      <c r="AB50" s="35"/>
      <c r="AD50" s="2"/>
      <c r="AF50" s="2"/>
      <c r="AJ50" s="2"/>
      <c r="AL50" s="2"/>
    </row>
    <row r="51" spans="4:38" ht="27" hidden="1" x14ac:dyDescent="0.35">
      <c r="D51" s="9">
        <v>44</v>
      </c>
      <c r="E51" s="11" t="s">
        <v>1437</v>
      </c>
      <c r="F51" s="38">
        <v>2981204</v>
      </c>
      <c r="G51" s="38">
        <v>42832752</v>
      </c>
      <c r="H51" s="38">
        <f>Table2123242526[[#This Row],[E]]/Table2123242526[[#This Row],[V]]</f>
        <v>14.367601814568879</v>
      </c>
      <c r="I51" s="38">
        <v>385104</v>
      </c>
      <c r="J51" s="39">
        <v>35290880</v>
      </c>
      <c r="K51" s="39"/>
      <c r="L51" s="41">
        <v>1.446725</v>
      </c>
      <c r="M51" s="155">
        <v>2.3375050000000002</v>
      </c>
      <c r="N51" s="123">
        <v>2.0601349999999998</v>
      </c>
      <c r="O51" s="167">
        <v>2.1516799999999998</v>
      </c>
      <c r="P51" s="56">
        <v>5.6263290000000001</v>
      </c>
      <c r="Q51" s="56">
        <v>2.3065820000000001</v>
      </c>
      <c r="R51" s="143">
        <f>Table2123242526[[#This Row],[G2AIMD (OOM fixed)]]/Table2123242526[[#This Row],[gpu-hybrid-copy]]</f>
        <v>0</v>
      </c>
      <c r="S51" s="143">
        <f>Table2123242526[[#This Row],[G2AIMD (pingpong)]]/Table2123242526[[#This Row],[gpu-layered]]</f>
        <v>0.61891846220649793</v>
      </c>
      <c r="T51" s="144">
        <f>Table2123242526[[#This Row],[gpu-hybrid-copy]]/Table2123242526[[#This Row],[CPU+GPU]]</f>
        <v>0.93284348876389378</v>
      </c>
      <c r="U51" s="144">
        <f>Table2123242526[[#This Row],[CPU Only]]/Table2123242526[[#This Row],[CPU+GPU]]</f>
        <v>2.4392495042448088</v>
      </c>
      <c r="V51" s="53"/>
      <c r="W51" s="185">
        <v>0</v>
      </c>
      <c r="X51" s="184" t="s">
        <v>4025</v>
      </c>
      <c r="AB51" s="35"/>
      <c r="AD51" s="2"/>
      <c r="AF51" s="2"/>
      <c r="AJ51" s="2"/>
      <c r="AL51" s="2"/>
    </row>
    <row r="52" spans="4:38" ht="27" hidden="1" x14ac:dyDescent="0.35">
      <c r="D52" s="9">
        <v>46</v>
      </c>
      <c r="E52" s="11" t="s">
        <v>1346</v>
      </c>
      <c r="F52" s="38">
        <v>1696415</v>
      </c>
      <c r="G52" s="38">
        <v>22190596</v>
      </c>
      <c r="H52" s="38">
        <f>Table2123242526[[#This Row],[E]]/Table2123242526[[#This Row],[V]]</f>
        <v>13.080877025963575</v>
      </c>
      <c r="I52" s="38">
        <v>35455</v>
      </c>
      <c r="J52" s="39">
        <v>37322355</v>
      </c>
      <c r="K52" s="39"/>
      <c r="L52" s="41">
        <v>1.300643</v>
      </c>
      <c r="M52" s="155">
        <v>2.3102339999999999</v>
      </c>
      <c r="N52" s="123">
        <v>1.8380110000000001</v>
      </c>
      <c r="O52" s="167">
        <v>1.9767570000000001</v>
      </c>
      <c r="P52" s="56">
        <v>7.0529869999999999</v>
      </c>
      <c r="Q52" s="56">
        <v>2.076346</v>
      </c>
      <c r="R52" s="143">
        <f>Table2123242526[[#This Row],[G2AIMD (OOM fixed)]]/Table2123242526[[#This Row],[gpu-hybrid-copy]]</f>
        <v>0</v>
      </c>
      <c r="S52" s="143">
        <f>Table2123242526[[#This Row],[G2AIMD (pingpong)]]/Table2123242526[[#This Row],[gpu-layered]]</f>
        <v>0.56299188740188222</v>
      </c>
      <c r="T52" s="144">
        <f>Table2123242526[[#This Row],[gpu-hybrid-copy]]/Table2123242526[[#This Row],[CPU+GPU]]</f>
        <v>0.95203641396954075</v>
      </c>
      <c r="U52" s="144">
        <f>Table2123242526[[#This Row],[CPU Only]]/Table2123242526[[#This Row],[CPU+GPU]]</f>
        <v>3.3968264441475551</v>
      </c>
      <c r="V52" s="53"/>
      <c r="W52" s="185">
        <v>0</v>
      </c>
      <c r="X52" s="184" t="s">
        <v>4025</v>
      </c>
      <c r="AB52" s="35"/>
      <c r="AD52" s="2"/>
      <c r="AF52" s="2"/>
      <c r="AJ52" s="2"/>
      <c r="AL52" s="2"/>
    </row>
    <row r="53" spans="4:38" ht="27" hidden="1" x14ac:dyDescent="0.35">
      <c r="D53" s="9">
        <v>47</v>
      </c>
      <c r="E53" s="9" t="s">
        <v>1402</v>
      </c>
      <c r="F53" s="38">
        <v>2132864</v>
      </c>
      <c r="G53" s="38">
        <v>17441248</v>
      </c>
      <c r="H53" s="38">
        <f>Table2123242526[[#This Row],[E]]/Table2123242526[[#This Row],[V]]</f>
        <v>8.1773840244853861</v>
      </c>
      <c r="I53" s="38">
        <v>306136</v>
      </c>
      <c r="J53" s="39">
        <v>11329220</v>
      </c>
      <c r="K53" s="39"/>
      <c r="L53" s="41">
        <v>0.99414100000000005</v>
      </c>
      <c r="M53" s="155">
        <v>2.6064050000000001</v>
      </c>
      <c r="N53" s="123">
        <v>1.5811599999999999</v>
      </c>
      <c r="O53" s="167">
        <v>1.686237</v>
      </c>
      <c r="P53" s="56">
        <v>1.8110040000000001</v>
      </c>
      <c r="Q53" s="56">
        <v>1.1210039999999999</v>
      </c>
      <c r="R53" s="143">
        <f>Table2123242526[[#This Row],[G2AIMD (OOM fixed)]]/Table2123242526[[#This Row],[gpu-hybrid-copy]]</f>
        <v>0</v>
      </c>
      <c r="S53" s="143">
        <f>Table2123242526[[#This Row],[G2AIMD (pingpong)]]/Table2123242526[[#This Row],[gpu-layered]]</f>
        <v>0.38142230390135073</v>
      </c>
      <c r="T53" s="144">
        <f>Table2123242526[[#This Row],[gpu-hybrid-copy]]/Table2123242526[[#This Row],[CPU+GPU]]</f>
        <v>1.5042203239239111</v>
      </c>
      <c r="U53" s="144">
        <f>Table2123242526[[#This Row],[CPU Only]]/Table2123242526[[#This Row],[CPU+GPU]]</f>
        <v>1.6155196591626795</v>
      </c>
      <c r="V53" s="53"/>
      <c r="W53" s="185">
        <v>0</v>
      </c>
      <c r="X53" s="184" t="s">
        <v>4026</v>
      </c>
      <c r="AB53" s="35"/>
      <c r="AD53" s="2"/>
      <c r="AF53" s="2"/>
      <c r="AJ53" s="2"/>
      <c r="AL53" s="2"/>
    </row>
    <row r="54" spans="4:38" ht="27" hidden="1" x14ac:dyDescent="0.35">
      <c r="D54" s="9">
        <v>48</v>
      </c>
      <c r="E54" s="9" t="s">
        <v>1371</v>
      </c>
      <c r="F54" s="38">
        <v>2140198</v>
      </c>
      <c r="G54" s="38">
        <v>34029892</v>
      </c>
      <c r="H54" s="38">
        <f>Table2123242526[[#This Row],[E]]/Table2123242526[[#This Row],[V]]</f>
        <v>15.900347537938078</v>
      </c>
      <c r="I54" s="38">
        <v>97848</v>
      </c>
      <c r="J54" s="39">
        <v>19365288</v>
      </c>
      <c r="K54" s="39"/>
      <c r="L54" s="41">
        <v>0.85894899999999996</v>
      </c>
      <c r="M54" s="155">
        <v>1.6989259999999999</v>
      </c>
      <c r="N54" s="123">
        <v>1.517344</v>
      </c>
      <c r="O54" s="167">
        <v>1.6427389999999999</v>
      </c>
      <c r="P54" s="56">
        <v>3.3648449999999999</v>
      </c>
      <c r="Q54" s="56">
        <v>1.127974</v>
      </c>
      <c r="R54" s="143">
        <f>Table2123242526[[#This Row],[G2AIMD (OOM fixed)]]/Table2123242526[[#This Row],[gpu-hybrid-copy]]</f>
        <v>0</v>
      </c>
      <c r="S54" s="143">
        <f>Table2123242526[[#This Row],[G2AIMD (pingpong)]]/Table2123242526[[#This Row],[gpu-layered]]</f>
        <v>0.50558352747559343</v>
      </c>
      <c r="T54" s="144">
        <f>Table2123242526[[#This Row],[gpu-hybrid-copy]]/Table2123242526[[#This Row],[CPU+GPU]]</f>
        <v>1.4563624693476978</v>
      </c>
      <c r="U54" s="144">
        <f>Table2123242526[[#This Row],[CPU Only]]/Table2123242526[[#This Row],[CPU+GPU]]</f>
        <v>2.9830873761274637</v>
      </c>
      <c r="V54" s="53"/>
      <c r="W54" s="185">
        <v>0</v>
      </c>
      <c r="X54" s="184" t="s">
        <v>4026</v>
      </c>
      <c r="AB54" s="35"/>
      <c r="AD54" s="2"/>
      <c r="AF54" s="2"/>
      <c r="AJ54" s="2"/>
      <c r="AL54" s="2"/>
    </row>
    <row r="55" spans="4:38" ht="28" hidden="1" thickBot="1" x14ac:dyDescent="0.4">
      <c r="D55" s="9">
        <v>50</v>
      </c>
      <c r="E55" s="22" t="s">
        <v>3920</v>
      </c>
      <c r="F55" s="38">
        <v>1632803</v>
      </c>
      <c r="G55" s="38">
        <v>44603928</v>
      </c>
      <c r="H55" s="38">
        <f>Table2123242526[[#This Row],[E]]/Table2123242526[[#This Row],[V]]</f>
        <v>27.31739713854029</v>
      </c>
      <c r="I55" s="38">
        <v>14854</v>
      </c>
      <c r="J55" s="39">
        <v>19376873</v>
      </c>
      <c r="K55" s="39"/>
      <c r="L55" s="41">
        <v>2.154563</v>
      </c>
      <c r="M55" s="172">
        <v>1.326783</v>
      </c>
      <c r="N55" s="183">
        <v>1.138009</v>
      </c>
      <c r="O55" s="171">
        <v>0.36409900000000001</v>
      </c>
      <c r="P55" s="56">
        <v>2.2659929999999999</v>
      </c>
      <c r="Q55" s="56">
        <v>0.96733800000000003</v>
      </c>
      <c r="R55" s="143">
        <f>Table2123242526[[#This Row],[G2AIMD (OOM fixed)]]/Table2123242526[[#This Row],[gpu-hybrid-copy]]</f>
        <v>0</v>
      </c>
      <c r="S55" s="143">
        <f>Table2123242526[[#This Row],[G2AIMD (pingpong)]]/Table2123242526[[#This Row],[gpu-layered]]</f>
        <v>1.6239000650445476</v>
      </c>
      <c r="T55" s="144">
        <f>Table2123242526[[#This Row],[gpu-hybrid-copy]]/Table2123242526[[#This Row],[CPU+GPU]]</f>
        <v>0.37639273966286863</v>
      </c>
      <c r="U55" s="144">
        <f>Table2123242526[[#This Row],[CPU Only]]/Table2123242526[[#This Row],[CPU+GPU]]</f>
        <v>2.342503861111628</v>
      </c>
      <c r="V55" s="54"/>
      <c r="W55" s="185">
        <v>0</v>
      </c>
      <c r="X55" s="184" t="s">
        <v>4025</v>
      </c>
      <c r="AB55" s="35"/>
      <c r="AD55" s="2"/>
      <c r="AF55" s="2"/>
      <c r="AJ55" s="2"/>
      <c r="AL55" s="2"/>
    </row>
    <row r="56" spans="4:38" x14ac:dyDescent="0.3">
      <c r="F56" s="11"/>
      <c r="G56" s="11"/>
      <c r="H56" s="11"/>
      <c r="I56" s="11"/>
      <c r="J56" s="10"/>
      <c r="K56" s="10"/>
      <c r="L56" s="19"/>
      <c r="Q56" s="10"/>
      <c r="R56" s="10"/>
      <c r="S56" s="10"/>
      <c r="U56" s="10"/>
      <c r="X56" s="9"/>
      <c r="Y56" s="9"/>
      <c r="Z56" s="9"/>
      <c r="AA56" s="9"/>
      <c r="AC56" s="15"/>
      <c r="AD56" s="9"/>
    </row>
    <row r="57" spans="4:38" x14ac:dyDescent="0.3">
      <c r="F57" s="11"/>
      <c r="G57" s="11"/>
      <c r="H57" s="11"/>
      <c r="I57" s="11"/>
      <c r="J57" s="10"/>
      <c r="K57" s="10"/>
      <c r="L57" s="19"/>
      <c r="Q57" s="10"/>
      <c r="R57" s="10"/>
      <c r="S57" s="10"/>
      <c r="U57" s="10"/>
      <c r="X57" s="9"/>
      <c r="Y57" s="9"/>
      <c r="Z57" s="9"/>
      <c r="AA57" s="9"/>
      <c r="AC57" s="15"/>
      <c r="AD57" s="9"/>
    </row>
    <row r="58" spans="4:38" x14ac:dyDescent="0.3">
      <c r="F58" s="11"/>
      <c r="G58" s="11"/>
      <c r="H58" s="11"/>
      <c r="I58" s="11"/>
      <c r="J58" s="10"/>
      <c r="K58" s="10"/>
      <c r="L58" s="19"/>
      <c r="Q58" s="10"/>
      <c r="R58" s="10"/>
      <c r="S58" s="10"/>
      <c r="U58" s="10"/>
      <c r="X58" s="9"/>
      <c r="Y58" s="9"/>
      <c r="Z58" s="9"/>
      <c r="AA58" s="9"/>
      <c r="AC58" s="15"/>
      <c r="AD58" s="9"/>
    </row>
    <row r="59" spans="4:38" x14ac:dyDescent="0.3">
      <c r="D59" s="11"/>
      <c r="E59" s="11"/>
      <c r="F59" s="11"/>
      <c r="G59" s="11"/>
      <c r="H59" s="11"/>
      <c r="I59" s="10"/>
      <c r="J59" s="20"/>
      <c r="K59" s="20"/>
      <c r="L59" s="9"/>
      <c r="Q59" s="20"/>
      <c r="R59" s="20"/>
      <c r="S59" s="20"/>
      <c r="U59" s="20"/>
      <c r="X59" s="19"/>
      <c r="Y59" s="19"/>
      <c r="Z59" s="19"/>
      <c r="AA59" s="19"/>
      <c r="AC59" s="9"/>
    </row>
    <row r="60" spans="4:38" x14ac:dyDescent="0.3">
      <c r="D60" s="11"/>
      <c r="E60" s="11"/>
      <c r="F60" s="11"/>
      <c r="G60" s="11"/>
      <c r="H60" s="11"/>
      <c r="I60" s="10"/>
      <c r="J60" s="20"/>
      <c r="K60" s="20"/>
      <c r="L60" s="9"/>
      <c r="Q60" s="20"/>
      <c r="R60" s="20"/>
      <c r="S60" s="20"/>
      <c r="U60" s="20"/>
      <c r="X60" s="19"/>
      <c r="Y60" s="19"/>
      <c r="Z60" s="19"/>
      <c r="AA60" s="19"/>
      <c r="AC60" s="9"/>
    </row>
    <row r="61" spans="4:38" x14ac:dyDescent="0.3">
      <c r="D61" s="11"/>
      <c r="E61" s="11"/>
      <c r="F61" s="11"/>
      <c r="G61" s="11"/>
      <c r="H61" s="11"/>
      <c r="I61" s="10"/>
      <c r="J61" s="20"/>
      <c r="K61" s="20"/>
      <c r="L61" s="9"/>
      <c r="Q61" s="20"/>
      <c r="R61" s="20"/>
      <c r="S61" s="20"/>
      <c r="U61" s="20"/>
      <c r="X61" s="19"/>
      <c r="Y61" s="19"/>
      <c r="Z61" s="19"/>
      <c r="AA61" s="19"/>
      <c r="AC61" s="9"/>
    </row>
    <row r="62" spans="4:38" x14ac:dyDescent="0.3">
      <c r="D62" s="11"/>
      <c r="E62" s="11"/>
      <c r="F62" s="11"/>
      <c r="G62" s="11"/>
      <c r="H62" s="11"/>
      <c r="I62" s="10"/>
      <c r="J62" s="20"/>
      <c r="K62" s="20"/>
      <c r="L62" s="9"/>
      <c r="Q62" s="20"/>
      <c r="R62" s="20"/>
      <c r="S62" s="20"/>
      <c r="U62" s="20"/>
      <c r="X62" s="19"/>
      <c r="Y62" s="19"/>
      <c r="Z62" s="19"/>
      <c r="AA62" s="19"/>
      <c r="AC62" s="9"/>
    </row>
    <row r="63" spans="4:38" x14ac:dyDescent="0.3">
      <c r="D63" s="11"/>
      <c r="E63" s="11"/>
      <c r="F63" s="11"/>
      <c r="G63" s="11"/>
      <c r="H63" s="11"/>
      <c r="I63" s="10"/>
      <c r="J63" s="20"/>
      <c r="K63" s="20"/>
      <c r="L63" s="9"/>
      <c r="Q63" s="20"/>
      <c r="R63" s="20"/>
      <c r="S63" s="20"/>
      <c r="U63" s="20"/>
      <c r="X63" s="19"/>
      <c r="Y63" s="19"/>
      <c r="Z63" s="19"/>
      <c r="AA63" s="19"/>
      <c r="AC63" s="9"/>
    </row>
    <row r="64" spans="4:38" x14ac:dyDescent="0.3">
      <c r="D64" s="11"/>
      <c r="E64" s="11"/>
      <c r="F64" s="11"/>
      <c r="G64" s="11"/>
      <c r="H64" s="11"/>
      <c r="I64" s="10"/>
      <c r="J64" s="10"/>
      <c r="K64" s="10"/>
      <c r="L64" s="9"/>
      <c r="Q64" s="10"/>
      <c r="R64" s="10"/>
      <c r="S64" s="10"/>
      <c r="U64" s="10"/>
      <c r="X64" s="9"/>
      <c r="Y64" s="9"/>
      <c r="Z64" s="9"/>
      <c r="AA64" s="9"/>
      <c r="AC64" s="9"/>
    </row>
    <row r="65" spans="4:29" x14ac:dyDescent="0.3">
      <c r="D65" s="11"/>
      <c r="E65" s="11"/>
      <c r="F65" s="11"/>
      <c r="G65" s="11"/>
      <c r="H65" s="11"/>
      <c r="I65" s="10"/>
      <c r="J65" s="10"/>
      <c r="K65" s="10"/>
      <c r="L65" s="9"/>
      <c r="Q65" s="10"/>
      <c r="R65" s="10"/>
      <c r="S65" s="10"/>
      <c r="U65" s="10"/>
      <c r="X65" s="9"/>
      <c r="Y65" s="9"/>
      <c r="Z65" s="9"/>
      <c r="AA65" s="9"/>
      <c r="AC65" s="9"/>
    </row>
    <row r="66" spans="4:29" x14ac:dyDescent="0.3">
      <c r="D66" s="11"/>
      <c r="E66" s="11"/>
      <c r="F66" s="11"/>
      <c r="G66" s="11"/>
      <c r="H66" s="11"/>
      <c r="I66" s="10"/>
      <c r="J66" s="10"/>
      <c r="K66" s="10"/>
      <c r="L66" s="9"/>
      <c r="Q66" s="10"/>
      <c r="R66" s="10"/>
      <c r="S66" s="10"/>
      <c r="U66" s="10"/>
      <c r="X66" s="9"/>
      <c r="Y66" s="9"/>
      <c r="Z66" s="9"/>
      <c r="AA66" s="9"/>
      <c r="AC66" s="9"/>
    </row>
    <row r="67" spans="4:29" x14ac:dyDescent="0.3">
      <c r="D67" s="11"/>
      <c r="E67" s="11"/>
      <c r="F67" s="11"/>
      <c r="G67" s="11"/>
      <c r="H67" s="11"/>
      <c r="I67" s="10"/>
      <c r="J67" s="10"/>
      <c r="K67" s="10"/>
      <c r="L67" s="9"/>
      <c r="Q67" s="10"/>
      <c r="R67" s="10"/>
      <c r="S67" s="10"/>
      <c r="U67" s="10"/>
      <c r="X67" s="9"/>
      <c r="Y67" s="9"/>
      <c r="Z67" s="9"/>
      <c r="AA67" s="9"/>
      <c r="AC67" s="9"/>
    </row>
    <row r="68" spans="4:29" x14ac:dyDescent="0.3">
      <c r="D68" s="11"/>
      <c r="E68" s="11"/>
      <c r="F68" s="11"/>
      <c r="G68" s="11"/>
      <c r="H68" s="11"/>
      <c r="I68" s="10"/>
      <c r="J68" s="10"/>
      <c r="K68" s="10"/>
      <c r="L68" s="9"/>
      <c r="Q68" s="10"/>
      <c r="R68" s="10"/>
      <c r="S68" s="10"/>
      <c r="U68" s="10"/>
      <c r="X68" s="9"/>
      <c r="Y68" s="9"/>
      <c r="Z68" s="9"/>
      <c r="AA68" s="9"/>
      <c r="AC68" s="9"/>
    </row>
    <row r="69" spans="4:29" x14ac:dyDescent="0.3">
      <c r="D69" s="11"/>
      <c r="E69" s="11"/>
      <c r="F69" s="11"/>
      <c r="G69" s="11"/>
      <c r="H69" s="11"/>
      <c r="I69" s="10"/>
      <c r="J69" s="10"/>
      <c r="K69" s="10"/>
      <c r="L69" s="9"/>
      <c r="Q69" s="10"/>
      <c r="R69" s="10"/>
      <c r="S69" s="10"/>
      <c r="U69" s="10"/>
      <c r="X69" s="9"/>
      <c r="Y69" s="9"/>
      <c r="Z69" s="9"/>
      <c r="AA69" s="9"/>
      <c r="AC69" s="9"/>
    </row>
    <row r="70" spans="4:29" x14ac:dyDescent="0.3">
      <c r="D70" s="11"/>
      <c r="E70" s="11"/>
      <c r="F70" s="11"/>
      <c r="G70" s="11"/>
      <c r="H70" s="11"/>
      <c r="I70" s="10"/>
      <c r="J70" s="10"/>
      <c r="K70" s="10"/>
      <c r="L70" s="9"/>
      <c r="Q70" s="10"/>
      <c r="R70" s="10"/>
      <c r="S70" s="10"/>
      <c r="U70" s="10"/>
      <c r="X70" s="9"/>
      <c r="Y70" s="9"/>
      <c r="Z70" s="9"/>
      <c r="AA70" s="9"/>
      <c r="AC70" s="9"/>
    </row>
    <row r="71" spans="4:29" x14ac:dyDescent="0.3">
      <c r="D71" s="11"/>
      <c r="E71" s="11"/>
      <c r="F71" s="11"/>
      <c r="G71" s="11"/>
      <c r="H71" s="11"/>
      <c r="I71" s="10"/>
      <c r="J71" s="10"/>
      <c r="K71" s="10"/>
      <c r="L71" s="9"/>
      <c r="Q71" s="10"/>
      <c r="R71" s="10"/>
      <c r="S71" s="10"/>
      <c r="U71" s="10"/>
      <c r="X71" s="9"/>
      <c r="Y71" s="9"/>
      <c r="Z71" s="9"/>
      <c r="AA71" s="9"/>
      <c r="AC71" s="9"/>
    </row>
    <row r="72" spans="4:29" x14ac:dyDescent="0.3">
      <c r="D72" s="11"/>
      <c r="E72" s="11"/>
      <c r="F72" s="11"/>
      <c r="G72" s="11"/>
      <c r="H72" s="11"/>
      <c r="I72" s="10"/>
      <c r="J72" s="10"/>
      <c r="K72" s="10"/>
      <c r="L72" s="9"/>
      <c r="Q72" s="10"/>
      <c r="R72" s="10"/>
      <c r="S72" s="10"/>
      <c r="U72" s="10"/>
      <c r="X72" s="9"/>
      <c r="Y72" s="9"/>
      <c r="Z72" s="9"/>
      <c r="AA72" s="9"/>
      <c r="AC72" s="9"/>
    </row>
    <row r="73" spans="4:29" x14ac:dyDescent="0.3">
      <c r="D73" s="11"/>
      <c r="E73" s="11"/>
      <c r="F73" s="11"/>
      <c r="G73" s="11"/>
      <c r="H73" s="11"/>
      <c r="I73" s="10"/>
      <c r="J73" s="10"/>
      <c r="K73" s="10"/>
      <c r="L73" s="9"/>
      <c r="Q73" s="10"/>
      <c r="R73" s="10"/>
      <c r="S73" s="10"/>
      <c r="U73" s="10"/>
      <c r="X73" s="9"/>
      <c r="Y73" s="9"/>
      <c r="Z73" s="9"/>
      <c r="AA73" s="9"/>
      <c r="AC73" s="9"/>
    </row>
    <row r="74" spans="4:29" x14ac:dyDescent="0.3">
      <c r="D74" s="11"/>
      <c r="E74" s="11"/>
      <c r="F74" s="11"/>
      <c r="G74" s="11"/>
      <c r="H74" s="11"/>
      <c r="I74" s="10"/>
      <c r="J74" s="10"/>
      <c r="K74" s="10"/>
      <c r="L74" s="9"/>
      <c r="Q74" s="10"/>
      <c r="R74" s="10"/>
      <c r="S74" s="10"/>
      <c r="U74" s="10"/>
      <c r="X74" s="9"/>
      <c r="Y74" s="9"/>
      <c r="Z74" s="9"/>
      <c r="AA74" s="9"/>
      <c r="AC74" s="9"/>
    </row>
    <row r="75" spans="4:29" x14ac:dyDescent="0.3">
      <c r="D75" s="11"/>
      <c r="E75" s="11"/>
      <c r="F75" s="11"/>
      <c r="G75" s="11"/>
      <c r="H75" s="11"/>
      <c r="I75" s="10"/>
      <c r="J75" s="10"/>
      <c r="K75" s="10"/>
      <c r="L75" s="9"/>
      <c r="Q75" s="10"/>
      <c r="R75" s="10"/>
      <c r="S75" s="10"/>
      <c r="U75" s="10"/>
      <c r="X75" s="9"/>
      <c r="Y75" s="9"/>
      <c r="Z75" s="9"/>
      <c r="AA75" s="9"/>
      <c r="AC75" s="9"/>
    </row>
    <row r="76" spans="4:29" x14ac:dyDescent="0.3">
      <c r="D76" s="11"/>
      <c r="E76" s="11"/>
      <c r="F76" s="11"/>
      <c r="G76" s="11"/>
      <c r="H76" s="11"/>
      <c r="I76" s="10"/>
      <c r="J76" s="10"/>
      <c r="K76" s="10"/>
      <c r="L76" s="9"/>
      <c r="Q76" s="10"/>
      <c r="R76" s="10"/>
      <c r="S76" s="10"/>
      <c r="U76" s="10"/>
      <c r="X76" s="9"/>
      <c r="Y76" s="9"/>
      <c r="Z76" s="9"/>
      <c r="AA76" s="9"/>
      <c r="AC76" s="9"/>
    </row>
    <row r="77" spans="4:29" x14ac:dyDescent="0.3">
      <c r="D77" s="11"/>
      <c r="E77" s="11"/>
      <c r="F77" s="11"/>
      <c r="G77" s="11"/>
      <c r="H77" s="11"/>
      <c r="I77" s="10"/>
      <c r="J77" s="10"/>
      <c r="K77" s="10"/>
      <c r="L77" s="9"/>
      <c r="Q77" s="10"/>
      <c r="R77" s="10"/>
      <c r="S77" s="10"/>
      <c r="U77" s="10"/>
      <c r="X77" s="9"/>
      <c r="Y77" s="9"/>
      <c r="Z77" s="9"/>
      <c r="AA77" s="9"/>
      <c r="AC77" s="9"/>
    </row>
    <row r="78" spans="4:29" x14ac:dyDescent="0.3">
      <c r="D78" s="11"/>
      <c r="E78" s="11"/>
      <c r="F78" s="11"/>
      <c r="G78" s="11"/>
      <c r="H78" s="11"/>
      <c r="I78" s="10"/>
      <c r="J78" s="10"/>
      <c r="K78" s="10"/>
      <c r="L78" s="9"/>
      <c r="Q78" s="10"/>
      <c r="R78" s="10"/>
      <c r="S78" s="10"/>
      <c r="U78" s="10"/>
      <c r="X78" s="9"/>
      <c r="Y78" s="9"/>
      <c r="Z78" s="9"/>
      <c r="AA78" s="9"/>
      <c r="AC78" s="9"/>
    </row>
    <row r="80" spans="4:29"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W218"/>
  <sheetViews>
    <sheetView zoomScale="87" workbookViewId="0">
      <selection activeCell="O3" sqref="O3:Q97"/>
    </sheetView>
  </sheetViews>
  <sheetFormatPr baseColWidth="10" defaultRowHeight="16" x14ac:dyDescent="0.2"/>
  <cols>
    <col min="4" max="4" width="51.1640625" bestFit="1" customWidth="1"/>
    <col min="5" max="5" width="11.1640625" bestFit="1" customWidth="1"/>
    <col min="6" max="6" width="30" bestFit="1" customWidth="1"/>
    <col min="7" max="7" width="26.6640625" customWidth="1"/>
    <col min="8" max="8" width="17" bestFit="1" customWidth="1"/>
    <col min="9" max="9" width="21.83203125" bestFit="1" customWidth="1"/>
    <col min="10" max="10" width="26.6640625" customWidth="1"/>
    <col min="11" max="11" width="21" bestFit="1" customWidth="1"/>
    <col min="12" max="12" width="22" bestFit="1" customWidth="1"/>
    <col min="13" max="16" width="18.5" customWidth="1"/>
    <col min="17" max="17" width="15.33203125" customWidth="1"/>
    <col min="18" max="19" width="22.83203125" customWidth="1"/>
    <col min="22" max="22" width="23.1640625" bestFit="1" customWidth="1"/>
    <col min="43" max="43" width="32.33203125" customWidth="1"/>
    <col min="46" max="46" width="14.5" customWidth="1"/>
    <col min="47" max="47" width="19.6640625" bestFit="1" customWidth="1"/>
    <col min="48" max="50" width="22.83203125" customWidth="1"/>
    <col min="51" max="51" width="28.5" bestFit="1" customWidth="1"/>
    <col min="52" max="52" width="22.83203125" customWidth="1"/>
    <col min="54" max="54" width="23.1640625" bestFit="1" customWidth="1"/>
  </cols>
  <sheetData>
    <row r="1" spans="2:49" ht="33" thickBot="1" x14ac:dyDescent="0.45">
      <c r="K1" s="103"/>
      <c r="L1" s="114"/>
      <c r="M1" s="114"/>
      <c r="N1" s="114"/>
      <c r="O1" s="197" t="s">
        <v>4044</v>
      </c>
      <c r="P1" s="114"/>
      <c r="AQ1" s="103"/>
      <c r="AR1" s="103" t="s">
        <v>3935</v>
      </c>
      <c r="AS1" s="103"/>
      <c r="AT1" s="104"/>
      <c r="AU1" s="105"/>
    </row>
    <row r="2" spans="2:49" ht="29" x14ac:dyDescent="0.35">
      <c r="B2" t="s">
        <v>4045</v>
      </c>
      <c r="C2" t="s">
        <v>4046</v>
      </c>
      <c r="D2" s="82" t="s">
        <v>25</v>
      </c>
      <c r="E2" s="82" t="s">
        <v>3971</v>
      </c>
      <c r="F2" s="82" t="s">
        <v>4034</v>
      </c>
      <c r="G2" s="13" t="s">
        <v>3954</v>
      </c>
      <c r="H2" s="13" t="s">
        <v>3955</v>
      </c>
      <c r="I2" s="13" t="s">
        <v>3979</v>
      </c>
      <c r="J2" s="65" t="s">
        <v>3929</v>
      </c>
      <c r="K2" s="82" t="s">
        <v>4036</v>
      </c>
      <c r="L2" s="82" t="s">
        <v>4037</v>
      </c>
      <c r="M2" s="145" t="s">
        <v>3988</v>
      </c>
      <c r="N2" s="145" t="s">
        <v>4039</v>
      </c>
      <c r="O2" s="145" t="s">
        <v>4040</v>
      </c>
      <c r="P2" s="145" t="s">
        <v>4041</v>
      </c>
      <c r="Q2" s="145" t="s">
        <v>4042</v>
      </c>
      <c r="R2" s="13" t="s">
        <v>4042</v>
      </c>
      <c r="S2" s="13" t="s">
        <v>4004</v>
      </c>
      <c r="AL2" t="s">
        <v>3970</v>
      </c>
      <c r="AM2" s="82" t="s">
        <v>25</v>
      </c>
      <c r="AN2" s="82" t="s">
        <v>3971</v>
      </c>
      <c r="AO2" t="s">
        <v>3939</v>
      </c>
      <c r="AP2" s="108" t="s">
        <v>3972</v>
      </c>
      <c r="AQ2" s="82" t="s">
        <v>3973</v>
      </c>
      <c r="AR2" s="82" t="s">
        <v>3974</v>
      </c>
      <c r="AS2" s="82" t="s">
        <v>3975</v>
      </c>
      <c r="AT2" s="82" t="s">
        <v>3976</v>
      </c>
      <c r="AU2" s="82" t="s">
        <v>3977</v>
      </c>
      <c r="AV2" s="65" t="s">
        <v>3978</v>
      </c>
      <c r="AW2" t="s">
        <v>19</v>
      </c>
    </row>
    <row r="3" spans="2:49" ht="26" x14ac:dyDescent="0.35">
      <c r="B3" s="81">
        <f>VLOOKUP('SM2'!D8, MC!$E$6:$W$33,19, FALSE)</f>
        <v>2</v>
      </c>
      <c r="C3" s="81">
        <v>1</v>
      </c>
      <c r="D3" s="78" t="s">
        <v>1391</v>
      </c>
      <c r="E3" s="81">
        <v>2</v>
      </c>
      <c r="F3" s="188">
        <v>0.95930300000000002</v>
      </c>
      <c r="G3" s="118">
        <v>0.945411</v>
      </c>
      <c r="H3" s="123">
        <v>0.71632700000000005</v>
      </c>
      <c r="I3" s="63">
        <v>0.81052778007940951</v>
      </c>
      <c r="J3" s="116">
        <v>22.697265999999999</v>
      </c>
      <c r="K3" s="189">
        <v>1.06</v>
      </c>
      <c r="L3" s="118">
        <v>2.37</v>
      </c>
      <c r="M3" s="191">
        <f>Table711[[#This Row],[G2AIMD-OOM-Fixed]]/Table711[[#This Row],[gpu-layered]]</f>
        <v>1.3391970426913964</v>
      </c>
      <c r="N3" s="191">
        <f>Table711[[#This Row],[gpu-layered]]/Table711[[#This Row],[CPU+GPU (1)]]</f>
        <v>0.67578018867924528</v>
      </c>
      <c r="O3" s="107">
        <v>125.99302299999999</v>
      </c>
      <c r="P3" s="107">
        <v>11.062585</v>
      </c>
      <c r="Q3" s="107" t="s">
        <v>3904</v>
      </c>
      <c r="AM3" s="62" t="s">
        <v>1408</v>
      </c>
      <c r="AN3">
        <v>9</v>
      </c>
      <c r="AP3" s="2">
        <v>0.117589</v>
      </c>
      <c r="AQ3" s="88">
        <f ca="1">Table7[[#This Row],[cpuchunk=1]]/Table7[[#This Row],[CPU Only (30m X)]]</f>
        <v>2.184897526895706</v>
      </c>
      <c r="AT3" s="88" t="e">
        <f ca="1">Table7[[#This Row],[cpuchunk=1]]/Table7[[#This Row],[GPU_chunk10_ratio]]</f>
        <v>#DIV/0!</v>
      </c>
      <c r="AU3" s="2">
        <v>5.3818999999999999E-2</v>
      </c>
    </row>
    <row r="4" spans="2:49" ht="26" x14ac:dyDescent="0.35">
      <c r="B4" s="81">
        <f>VLOOKUP('SM2'!D9, MC!$E$6:$W$33,19, FALSE)</f>
        <v>2</v>
      </c>
      <c r="C4" s="81">
        <v>1</v>
      </c>
      <c r="D4" s="78" t="s">
        <v>1391</v>
      </c>
      <c r="E4" s="81">
        <v>5</v>
      </c>
      <c r="F4" s="188">
        <v>3.9744980000000001</v>
      </c>
      <c r="G4" s="118">
        <v>4.0379949999999996</v>
      </c>
      <c r="H4" s="189">
        <v>3.6418330000000001</v>
      </c>
      <c r="I4" s="118">
        <v>3.7088738261185603</v>
      </c>
      <c r="J4" s="116" t="s">
        <v>3965</v>
      </c>
      <c r="K4" s="118">
        <v>4.4833990000000004</v>
      </c>
      <c r="L4" s="189">
        <v>4.4549209999999997</v>
      </c>
      <c r="M4" s="191">
        <f>Table711[[#This Row],[G2AIMD-OOM-Fixed]]/Table711[[#This Row],[gpu-layered]]</f>
        <v>1.0913454845403401</v>
      </c>
      <c r="N4" s="191">
        <f>Table711[[#This Row],[gpu-layered]]/Table711[[#This Row],[CPU+GPU (1)]]</f>
        <v>0.81229286084062557</v>
      </c>
      <c r="O4" s="118" t="s">
        <v>3965</v>
      </c>
      <c r="P4" s="118">
        <v>52.561739000000003</v>
      </c>
      <c r="Q4" s="136" t="s">
        <v>3904</v>
      </c>
      <c r="AM4" s="62" t="s">
        <v>1346</v>
      </c>
      <c r="AN4">
        <v>24</v>
      </c>
      <c r="AP4" s="2">
        <v>0.170796</v>
      </c>
      <c r="AQ4" s="88">
        <f ca="1">Table7[[#This Row],[cpuchunk=1]]/Table7[[#This Row],[CPU Only (30m X)]]</f>
        <v>0.50613570562837273</v>
      </c>
      <c r="AT4" s="88" t="e">
        <f ca="1">Table7[[#This Row],[cpuchunk=1]]/Table7[[#This Row],[GPU_chunk10_ratio]]</f>
        <v>#DIV/0!</v>
      </c>
      <c r="AU4" s="2">
        <v>0.337451</v>
      </c>
    </row>
    <row r="5" spans="2:49" ht="26" x14ac:dyDescent="0.35">
      <c r="B5" s="81">
        <f>VLOOKUP('SM2'!D10, MC!$E$6:$W$33,19, FALSE)</f>
        <v>2</v>
      </c>
      <c r="C5" s="81">
        <v>1</v>
      </c>
      <c r="D5" s="78" t="s">
        <v>1391</v>
      </c>
      <c r="E5" s="81">
        <v>7</v>
      </c>
      <c r="F5" s="188">
        <v>10.215752</v>
      </c>
      <c r="G5" s="118">
        <v>10.396264</v>
      </c>
      <c r="H5" s="189">
        <v>9.6017799999999998</v>
      </c>
      <c r="I5" s="118">
        <v>10.614105</v>
      </c>
      <c r="J5" s="116" t="s">
        <v>3965</v>
      </c>
      <c r="K5" s="189">
        <v>10.400954</v>
      </c>
      <c r="L5" s="118">
        <v>10.692327000000001</v>
      </c>
      <c r="M5" s="191">
        <f>Table711[[#This Row],[G2AIMD-OOM-Fixed]]/Table711[[#This Row],[gpu-layered]]</f>
        <v>1.0639435604648306</v>
      </c>
      <c r="N5" s="191">
        <f>Table711[[#This Row],[gpu-layered]]/Table711[[#This Row],[CPU+GPU (1)]]</f>
        <v>0.92316339443477968</v>
      </c>
      <c r="O5" s="118" t="s">
        <v>3965</v>
      </c>
      <c r="P5" s="118" t="s">
        <v>3904</v>
      </c>
      <c r="Q5" s="136" t="s">
        <v>3904</v>
      </c>
      <c r="T5" t="s">
        <v>3966</v>
      </c>
      <c r="AM5" s="62" t="s">
        <v>1371</v>
      </c>
      <c r="AN5">
        <v>24</v>
      </c>
      <c r="AP5" s="2">
        <v>0.18123400000000001</v>
      </c>
      <c r="AQ5" s="88">
        <f ca="1">Table7[[#This Row],[cpuchunk=1]]/Table7[[#This Row],[CPU Only (30m X)]]</f>
        <v>0.82478064586594835</v>
      </c>
      <c r="AT5" s="88" t="e">
        <f ca="1">Table7[[#This Row],[cpuchunk=1]]/Table7[[#This Row],[GPU_chunk10_ratio]]</f>
        <v>#DIV/0!</v>
      </c>
      <c r="AU5" s="2">
        <v>0.21973599999999999</v>
      </c>
    </row>
    <row r="6" spans="2:49" ht="26" x14ac:dyDescent="0.35">
      <c r="B6" s="81">
        <f>VLOOKUP('SM2'!D11, MC!$E$6:$W$33,19, FALSE)</f>
        <v>2</v>
      </c>
      <c r="C6" s="81">
        <v>1</v>
      </c>
      <c r="D6" s="78" t="s">
        <v>1391</v>
      </c>
      <c r="E6" s="81">
        <v>8</v>
      </c>
      <c r="F6" s="188">
        <v>27.740880000000001</v>
      </c>
      <c r="G6" s="118">
        <v>25.507850000000001</v>
      </c>
      <c r="H6" s="190">
        <v>17.493758</v>
      </c>
      <c r="I6" s="118">
        <v>22.04</v>
      </c>
      <c r="J6" s="116" t="s">
        <v>3965</v>
      </c>
      <c r="K6" s="189">
        <v>18.383203999999999</v>
      </c>
      <c r="L6" s="118">
        <v>18.788529</v>
      </c>
      <c r="M6" s="191">
        <f>Table711[[#This Row],[G2AIMD-OOM-Fixed]]/Table711[[#This Row],[gpu-layered]]</f>
        <v>1.5857587603532644</v>
      </c>
      <c r="N6" s="191">
        <f>Table711[[#This Row],[gpu-layered]]/Table711[[#This Row],[CPU+GPU (1)]]</f>
        <v>0.95161637764559437</v>
      </c>
      <c r="O6" s="118" t="s">
        <v>3965</v>
      </c>
      <c r="P6" s="118" t="s">
        <v>3904</v>
      </c>
      <c r="Q6" s="136" t="s">
        <v>3904</v>
      </c>
      <c r="T6" t="s">
        <v>3967</v>
      </c>
      <c r="AM6" s="62" t="s">
        <v>1408</v>
      </c>
      <c r="AN6">
        <v>7</v>
      </c>
      <c r="AP6" s="2">
        <v>0.25453300000000001</v>
      </c>
      <c r="AQ6" s="88">
        <f ca="1">Table7[[#This Row],[cpuchunk=1]]/Table7[[#This Row],[CPU Only (30m X)]]</f>
        <v>0.24474326923076922</v>
      </c>
      <c r="AT6" s="88" t="e">
        <f ca="1">Table7[[#This Row],[cpuchunk=1]]/Table7[[#This Row],[GPU_chunk10_ratio]]</f>
        <v>#DIV/0!</v>
      </c>
      <c r="AU6" s="2">
        <v>1.04</v>
      </c>
    </row>
    <row r="7" spans="2:49" ht="26" x14ac:dyDescent="0.35">
      <c r="B7" s="81">
        <f>VLOOKUP('SM2'!D12, MC!$E$6:$W$33,19, FALSE)</f>
        <v>2</v>
      </c>
      <c r="C7" s="81">
        <v>1</v>
      </c>
      <c r="D7" s="78" t="s">
        <v>1391</v>
      </c>
      <c r="E7" s="81">
        <v>9</v>
      </c>
      <c r="F7" s="188">
        <v>0.67594900000000002</v>
      </c>
      <c r="G7" s="118">
        <v>0.66382099999999999</v>
      </c>
      <c r="H7" s="189">
        <v>0.43043199999999998</v>
      </c>
      <c r="I7" s="118">
        <v>0.48676392664557155</v>
      </c>
      <c r="J7" s="116">
        <v>513.04049199999997</v>
      </c>
      <c r="K7" s="189">
        <v>0.43828400000000001</v>
      </c>
      <c r="L7" s="118">
        <v>0.433226</v>
      </c>
      <c r="M7" s="191">
        <f>Table711[[#This Row],[G2AIMD-OOM-Fixed]]/Table711[[#This Row],[gpu-layered]]</f>
        <v>1.5703967177161551</v>
      </c>
      <c r="N7" s="191">
        <f>Table711[[#This Row],[gpu-layered]]/Table711[[#This Row],[CPU+GPU (1)]]</f>
        <v>0.98208467568973534</v>
      </c>
      <c r="O7" s="118">
        <v>21.219656000000001</v>
      </c>
      <c r="P7" s="118" t="s">
        <v>3965</v>
      </c>
      <c r="Q7" s="136" t="s">
        <v>3904</v>
      </c>
      <c r="AM7" s="62" t="s">
        <v>3919</v>
      </c>
      <c r="AN7">
        <v>24</v>
      </c>
      <c r="AP7" s="2">
        <v>0.27111200000000002</v>
      </c>
      <c r="AQ7" s="88">
        <f ca="1">Table7[[#This Row],[cpuchunk=1]]/Table7[[#This Row],[CPU Only (30m X)]]</f>
        <v>1.0106277095813405</v>
      </c>
      <c r="AT7" s="88" t="e">
        <f ca="1">Table7[[#This Row],[cpuchunk=1]]/Table7[[#This Row],[GPU_chunk10_ratio]]</f>
        <v>#DIV/0!</v>
      </c>
      <c r="AU7" s="2">
        <v>0.26826100000000003</v>
      </c>
    </row>
    <row r="8" spans="2:49" ht="26" x14ac:dyDescent="0.35">
      <c r="B8" s="81">
        <f>VLOOKUP('SM2'!D63, MC!$E$6:$W$33,19, FALSE)</f>
        <v>2</v>
      </c>
      <c r="C8" s="81">
        <v>2</v>
      </c>
      <c r="D8" s="78" t="s">
        <v>6</v>
      </c>
      <c r="E8" s="81">
        <v>2</v>
      </c>
      <c r="F8" s="188">
        <v>3.1360899999999998</v>
      </c>
      <c r="G8" s="118">
        <v>3.1782780000000002</v>
      </c>
      <c r="H8" s="123">
        <v>3.012359</v>
      </c>
      <c r="I8" s="63">
        <v>3.0907948064231339</v>
      </c>
      <c r="J8" s="116">
        <v>165.95991699999999</v>
      </c>
      <c r="K8" s="189">
        <v>3.58</v>
      </c>
      <c r="L8" s="118">
        <v>6.44</v>
      </c>
      <c r="M8" s="191">
        <f>Table711[[#This Row],[G2AIMD-OOM-Fixed]]/Table711[[#This Row],[gpu-layered]]</f>
        <v>1.0410744536092809</v>
      </c>
      <c r="N8" s="191">
        <f>Table711[[#This Row],[gpu-layered]]/Table711[[#This Row],[CPU+GPU (1)]]</f>
        <v>0.84144106145251396</v>
      </c>
      <c r="O8" s="107">
        <v>106.15593699999999</v>
      </c>
      <c r="P8" s="107" t="s">
        <v>3904</v>
      </c>
      <c r="Q8" s="107" t="s">
        <v>3904</v>
      </c>
      <c r="T8" t="s">
        <v>3968</v>
      </c>
      <c r="AM8" s="62" t="s">
        <v>1425</v>
      </c>
      <c r="AN8">
        <v>24</v>
      </c>
      <c r="AP8" s="2">
        <v>0.27822200000000002</v>
      </c>
      <c r="AQ8" s="88">
        <f ca="1">Table7[[#This Row],[cpuchunk=1]]/Table7[[#This Row],[CPU Only (30m X)]]</f>
        <v>0.6852302925667505</v>
      </c>
      <c r="AT8" s="88" t="e">
        <f ca="1">Table7[[#This Row],[cpuchunk=1]]/Table7[[#This Row],[GPU_chunk10_ratio]]</f>
        <v>#DIV/0!</v>
      </c>
      <c r="AU8" s="2">
        <v>0.40602700000000003</v>
      </c>
    </row>
    <row r="9" spans="2:49" ht="26" x14ac:dyDescent="0.35">
      <c r="B9" s="81">
        <f>VLOOKUP('SM2'!D64, MC!$E$6:$W$33,19, FALSE)</f>
        <v>2</v>
      </c>
      <c r="C9" s="81">
        <v>2</v>
      </c>
      <c r="D9" s="78" t="s">
        <v>6</v>
      </c>
      <c r="E9" s="81">
        <v>5</v>
      </c>
      <c r="F9" s="188">
        <v>60.292859999999997</v>
      </c>
      <c r="G9" s="118">
        <v>61.295980999999998</v>
      </c>
      <c r="H9" s="123">
        <v>51.250411</v>
      </c>
      <c r="I9" s="63">
        <v>67.69</v>
      </c>
      <c r="J9" s="116" t="s">
        <v>3965</v>
      </c>
      <c r="K9" s="189">
        <v>51.49</v>
      </c>
      <c r="L9" s="118">
        <v>55.89</v>
      </c>
      <c r="M9" s="191">
        <f>Table711[[#This Row],[G2AIMD-OOM-Fixed]]/Table711[[#This Row],[gpu-layered]]</f>
        <v>1.1764366143327123</v>
      </c>
      <c r="N9" s="191">
        <f>Table711[[#This Row],[gpu-layered]]/Table711[[#This Row],[CPU+GPU (1)]]</f>
        <v>0.99534688288988149</v>
      </c>
      <c r="O9" s="107" t="s">
        <v>3965</v>
      </c>
      <c r="P9" s="107" t="s">
        <v>3965</v>
      </c>
      <c r="Q9" s="107" t="s">
        <v>3965</v>
      </c>
      <c r="AM9" s="62" t="s">
        <v>1371</v>
      </c>
      <c r="AN9">
        <v>25</v>
      </c>
      <c r="AP9" s="2">
        <v>0.29469600000000001</v>
      </c>
      <c r="AQ9" s="88">
        <f ca="1">Table7[[#This Row],[cpuchunk=1]]/Table7[[#This Row],[CPU Only (30m X)]]</f>
        <v>0.68562973165386287</v>
      </c>
      <c r="AT9" s="88" t="e">
        <f ca="1">Table7[[#This Row],[cpuchunk=1]]/Table7[[#This Row],[GPU_chunk10_ratio]]</f>
        <v>#DIV/0!</v>
      </c>
      <c r="AU9" s="2">
        <v>0.42981799999999998</v>
      </c>
    </row>
    <row r="10" spans="2:49" ht="26" x14ac:dyDescent="0.35">
      <c r="B10" s="81">
        <f>VLOOKUP('SM2'!D65, MC!$E$6:$W$33,19, FALSE)</f>
        <v>2</v>
      </c>
      <c r="C10" s="81">
        <v>2</v>
      </c>
      <c r="D10" s="78" t="s">
        <v>6</v>
      </c>
      <c r="E10" s="81">
        <v>7</v>
      </c>
      <c r="F10" s="188">
        <v>183.11649399999999</v>
      </c>
      <c r="G10" s="118">
        <v>183.39352299999999</v>
      </c>
      <c r="H10" s="123">
        <v>166.99404799999999</v>
      </c>
      <c r="I10" s="63">
        <v>185.81</v>
      </c>
      <c r="J10" s="116" t="s">
        <v>3965</v>
      </c>
      <c r="K10" s="189">
        <v>169.26</v>
      </c>
      <c r="L10" s="118">
        <v>175.75</v>
      </c>
      <c r="M10" s="191">
        <f>Table711[[#This Row],[G2AIMD-OOM-Fixed]]/Table711[[#This Row],[gpu-layered]]</f>
        <v>1.0965450337487477</v>
      </c>
      <c r="N10" s="191">
        <f>Table711[[#This Row],[gpu-layered]]/Table711[[#This Row],[CPU+GPU (1)]]</f>
        <v>0.98661259600614437</v>
      </c>
      <c r="O10" s="107" t="s">
        <v>3965</v>
      </c>
      <c r="P10" s="107" t="s">
        <v>3965</v>
      </c>
      <c r="Q10" s="107" t="s">
        <v>3904</v>
      </c>
      <c r="AM10" s="62" t="s">
        <v>1437</v>
      </c>
      <c r="AN10">
        <v>24</v>
      </c>
      <c r="AP10" s="2">
        <v>0.29792999999999997</v>
      </c>
      <c r="AQ10" s="88">
        <f ca="1">Table7[[#This Row],[cpuchunk=1]]/Table7[[#This Row],[CPU Only (30m X)]]</f>
        <v>0.71661198610696852</v>
      </c>
      <c r="AT10" s="88" t="e">
        <f ca="1">Table7[[#This Row],[cpuchunk=1]]/Table7[[#This Row],[GPU_chunk10_ratio]]</f>
        <v>#DIV/0!</v>
      </c>
      <c r="AU10" s="2">
        <v>0.41574800000000001</v>
      </c>
    </row>
    <row r="11" spans="2:49" ht="26" x14ac:dyDescent="0.35">
      <c r="B11" s="81">
        <f>VLOOKUP('SM2'!D66, MC!$E$6:$W$33,19, FALSE)</f>
        <v>2</v>
      </c>
      <c r="C11" s="81">
        <v>2</v>
      </c>
      <c r="D11" s="78" t="s">
        <v>6</v>
      </c>
      <c r="E11" s="81">
        <v>8</v>
      </c>
      <c r="F11" s="188">
        <v>199.14040499999999</v>
      </c>
      <c r="G11" s="118">
        <v>193.581177</v>
      </c>
      <c r="H11" s="123">
        <v>171.486345</v>
      </c>
      <c r="I11" s="63">
        <v>219.42</v>
      </c>
      <c r="J11" s="116" t="s">
        <v>3965</v>
      </c>
      <c r="K11" s="189">
        <v>171.52</v>
      </c>
      <c r="L11" s="118">
        <v>178.66</v>
      </c>
      <c r="M11" s="191">
        <f>Table711[[#This Row],[G2AIMD-OOM-Fixed]]/Table711[[#This Row],[gpu-layered]]</f>
        <v>1.1612610030262176</v>
      </c>
      <c r="N11" s="191">
        <f>Table711[[#This Row],[gpu-layered]]/Table711[[#This Row],[CPU+GPU (1)]]</f>
        <v>0.99980378381529844</v>
      </c>
      <c r="O11" s="107" t="s">
        <v>3965</v>
      </c>
      <c r="P11" s="107" t="s">
        <v>3965</v>
      </c>
      <c r="Q11" s="107" t="s">
        <v>3904</v>
      </c>
      <c r="AM11" s="62" t="s">
        <v>1411</v>
      </c>
      <c r="AN11">
        <v>25</v>
      </c>
      <c r="AP11" s="2">
        <v>0.30438700000000002</v>
      </c>
      <c r="AQ11" s="88">
        <f ca="1">Table7[[#This Row],[cpuchunk=1]]/Table7[[#This Row],[CPU Only (30m X)]]</f>
        <v>0.91364157546869651</v>
      </c>
      <c r="AS11" s="101"/>
      <c r="AT11" s="88" t="e">
        <f ca="1">Table7[[#This Row],[cpuchunk=1]]/Table7[[#This Row],[GPU_chunk10_ratio]]</f>
        <v>#DIV/0!</v>
      </c>
      <c r="AU11" s="2">
        <v>0.33315800000000001</v>
      </c>
    </row>
    <row r="12" spans="2:49" ht="26" x14ac:dyDescent="0.35">
      <c r="B12" s="81">
        <f>VLOOKUP('SM2'!D67, MC!$E$6:$W$33,19, FALSE)</f>
        <v>2</v>
      </c>
      <c r="C12" s="81">
        <v>2</v>
      </c>
      <c r="D12" s="78" t="s">
        <v>6</v>
      </c>
      <c r="E12" s="81">
        <v>9</v>
      </c>
      <c r="F12" s="188">
        <v>26.360195999999998</v>
      </c>
      <c r="G12" s="118">
        <v>23.283322999999999</v>
      </c>
      <c r="H12" s="123">
        <v>19.142225</v>
      </c>
      <c r="I12" s="63">
        <v>23.32</v>
      </c>
      <c r="J12" s="116" t="s">
        <v>3965</v>
      </c>
      <c r="K12" s="189">
        <v>19.720583999999999</v>
      </c>
      <c r="L12" s="118">
        <v>21.38</v>
      </c>
      <c r="M12" s="191">
        <f>Table711[[#This Row],[G2AIMD-OOM-Fixed]]/Table711[[#This Row],[gpu-layered]]</f>
        <v>1.3770706383401092</v>
      </c>
      <c r="N12" s="191">
        <f>Table711[[#This Row],[gpu-layered]]/Table711[[#This Row],[CPU+GPU (1)]]</f>
        <v>0.97067231883193728</v>
      </c>
      <c r="O12" s="107" t="s">
        <v>3965</v>
      </c>
      <c r="P12" s="107" t="s">
        <v>3965</v>
      </c>
      <c r="Q12" s="107" t="s">
        <v>3965</v>
      </c>
      <c r="AM12" s="62" t="s">
        <v>3919</v>
      </c>
      <c r="AN12">
        <v>2</v>
      </c>
      <c r="AP12" s="2">
        <v>0.35126800000000002</v>
      </c>
      <c r="AQ12" s="88">
        <f ca="1">Table7[[#This Row],[cpuchunk=1]]/Table7[[#This Row],[CPU Only (30m X)]]</f>
        <v>0.9148295053532689</v>
      </c>
      <c r="AT12" s="88" t="e">
        <f ca="1">Table7[[#This Row],[cpuchunk=1]]/Table7[[#This Row],[GPU_chunk10_ratio]]</f>
        <v>#DIV/0!</v>
      </c>
      <c r="AU12" s="2">
        <v>0.38397100000000001</v>
      </c>
    </row>
    <row r="13" spans="2:49" ht="26" hidden="1" x14ac:dyDescent="0.35">
      <c r="B13" s="81">
        <f>VLOOKUP('SM2'!D13, MC!$E$6:$W$33,19, FALSE)</f>
        <v>2</v>
      </c>
      <c r="C13" s="81"/>
      <c r="D13" s="78" t="s">
        <v>1456</v>
      </c>
      <c r="E13" s="81">
        <v>2</v>
      </c>
      <c r="F13" s="188">
        <v>20.734546999999999</v>
      </c>
      <c r="G13" s="118">
        <v>20.863388</v>
      </c>
      <c r="H13" s="63">
        <v>20.457242000000001</v>
      </c>
      <c r="I13" s="123">
        <v>20.386693999999999</v>
      </c>
      <c r="J13" s="116" t="s">
        <v>3965</v>
      </c>
      <c r="K13" s="189">
        <v>21.17</v>
      </c>
      <c r="L13" s="118">
        <v>24.7</v>
      </c>
      <c r="M13" s="191">
        <f>Table711[[#This Row],[G2AIMD-OOM-Fixed]]/Table711[[#This Row],[gpu-layered]]</f>
        <v>1.0135553463169669</v>
      </c>
      <c r="N13" s="191">
        <f>Table711[[#This Row],[gpu-layered]]/Table711[[#This Row],[CPU+GPU (1)]]</f>
        <v>0.96633169579593758</v>
      </c>
      <c r="O13" s="107" t="s">
        <v>3965</v>
      </c>
      <c r="P13" s="107" t="s">
        <v>3904</v>
      </c>
      <c r="Q13" s="107" t="s">
        <v>3904</v>
      </c>
      <c r="AM13" s="62" t="s">
        <v>1371</v>
      </c>
      <c r="AN13">
        <v>2</v>
      </c>
      <c r="AP13" s="2">
        <v>0.39108199999999999</v>
      </c>
      <c r="AQ13" s="88">
        <f ca="1">Table7[[#This Row],[cpuchunk=1]]/Table7[[#This Row],[CPU Only (30m X)]]</f>
        <v>0.49504050632911389</v>
      </c>
      <c r="AT13" s="88" t="e">
        <f ca="1">Table7[[#This Row],[cpuchunk=1]]/Table7[[#This Row],[GPU_chunk10_ratio]]</f>
        <v>#DIV/0!</v>
      </c>
      <c r="AU13" s="2">
        <v>0.79</v>
      </c>
    </row>
    <row r="14" spans="2:49" ht="26" hidden="1" x14ac:dyDescent="0.35">
      <c r="B14" s="81">
        <f>VLOOKUP('SM2'!D14, MC!$E$6:$W$33,19, FALSE)</f>
        <v>2</v>
      </c>
      <c r="C14" s="81"/>
      <c r="D14" s="78" t="s">
        <v>1456</v>
      </c>
      <c r="E14" s="81">
        <v>5</v>
      </c>
      <c r="F14" s="81"/>
      <c r="G14" s="118" t="s">
        <v>3965</v>
      </c>
      <c r="H14" s="63" t="s">
        <v>3965</v>
      </c>
      <c r="I14" s="118"/>
      <c r="J14" s="116"/>
      <c r="K14" s="63"/>
      <c r="L14" s="63"/>
      <c r="M14" s="107" t="e">
        <f>Table711[[#This Row],[G2AIMD-OOM-Fixed]]/Table711[[#This Row],[gpu-layered]]</f>
        <v>#VALUE!</v>
      </c>
      <c r="N14" s="107" t="e">
        <f>Table711[[#This Row],[gpu-layered]]/Table711[[#This Row],[CPU+GPU (1)]]</f>
        <v>#VALUE!</v>
      </c>
      <c r="O14" s="107"/>
      <c r="P14" s="107"/>
      <c r="Q14" s="107"/>
      <c r="AM14" s="62" t="s">
        <v>1433</v>
      </c>
      <c r="AN14">
        <v>24</v>
      </c>
      <c r="AP14" s="2">
        <v>0.39257300000000001</v>
      </c>
      <c r="AQ14" s="88">
        <f ca="1">Table7[[#This Row],[cpuchunk=1]]/Table7[[#This Row],[CPU Only (30m X)]]</f>
        <v>0.8352617021276596</v>
      </c>
      <c r="AT14" s="88" t="e">
        <f ca="1">Table7[[#This Row],[cpuchunk=1]]/Table7[[#This Row],[GPU_chunk10_ratio]]</f>
        <v>#DIV/0!</v>
      </c>
      <c r="AU14" s="2">
        <v>0.47</v>
      </c>
    </row>
    <row r="15" spans="2:49" ht="26" hidden="1" x14ac:dyDescent="0.35">
      <c r="B15" s="81">
        <f>VLOOKUP('SM2'!D15, MC!$E$6:$W$33,19, FALSE)</f>
        <v>2</v>
      </c>
      <c r="C15" s="81"/>
      <c r="D15" s="78" t="s">
        <v>1456</v>
      </c>
      <c r="E15" s="81">
        <v>7</v>
      </c>
      <c r="F15" s="81"/>
      <c r="G15" s="118" t="s">
        <v>3965</v>
      </c>
      <c r="H15" s="63" t="s">
        <v>3965</v>
      </c>
      <c r="I15" s="118"/>
      <c r="J15" s="116"/>
      <c r="K15" s="63"/>
      <c r="L15" s="63"/>
      <c r="M15" s="107" t="e">
        <f>Table711[[#This Row],[G2AIMD-OOM-Fixed]]/Table711[[#This Row],[gpu-layered]]</f>
        <v>#VALUE!</v>
      </c>
      <c r="N15" s="107" t="e">
        <f>Table711[[#This Row],[gpu-layered]]/Table711[[#This Row],[CPU+GPU (1)]]</f>
        <v>#VALUE!</v>
      </c>
      <c r="O15" s="107"/>
      <c r="P15" s="107"/>
      <c r="Q15" s="107"/>
      <c r="R15" t="s">
        <v>3981</v>
      </c>
      <c r="S15" t="s">
        <v>3982</v>
      </c>
      <c r="AM15" s="62" t="s">
        <v>1411</v>
      </c>
      <c r="AN15">
        <v>24</v>
      </c>
      <c r="AP15" s="2">
        <v>0.40340599999999999</v>
      </c>
      <c r="AQ15" s="88">
        <f ca="1">Table7[[#This Row],[cpuchunk=1]]/Table7[[#This Row],[CPU Only (30m X)]]</f>
        <v>0.53038352969327884</v>
      </c>
      <c r="AT15" s="88" t="e">
        <f ca="1">Table7[[#This Row],[cpuchunk=1]]/Table7[[#This Row],[GPU_chunk10_ratio]]</f>
        <v>#DIV/0!</v>
      </c>
      <c r="AU15" s="2">
        <v>0.76059299999999996</v>
      </c>
    </row>
    <row r="16" spans="2:49" ht="26" hidden="1" x14ac:dyDescent="0.35">
      <c r="B16" s="81">
        <f>VLOOKUP('SM2'!D16, MC!$E$6:$W$33,19, FALSE)</f>
        <v>2</v>
      </c>
      <c r="C16" s="81"/>
      <c r="D16" s="78" t="s">
        <v>1456</v>
      </c>
      <c r="E16" s="81">
        <v>8</v>
      </c>
      <c r="F16" s="81"/>
      <c r="G16" s="118" t="s">
        <v>3965</v>
      </c>
      <c r="H16" s="118" t="s">
        <v>3965</v>
      </c>
      <c r="I16" s="118"/>
      <c r="J16" s="116"/>
      <c r="K16" s="118"/>
      <c r="L16" s="118"/>
      <c r="M16" s="118" t="e">
        <f>Table711[[#This Row],[G2AIMD-OOM-Fixed]]/Table711[[#This Row],[gpu-layered]]</f>
        <v>#VALUE!</v>
      </c>
      <c r="N16" s="118" t="e">
        <f>Table711[[#This Row],[gpu-layered]]/Table711[[#This Row],[CPU+GPU (1)]]</f>
        <v>#VALUE!</v>
      </c>
      <c r="O16" s="118"/>
      <c r="P16" s="118"/>
      <c r="Q16" s="136"/>
      <c r="R16" t="s">
        <v>3983</v>
      </c>
      <c r="S16" t="s">
        <v>3984</v>
      </c>
      <c r="AM16" s="62" t="s">
        <v>1391</v>
      </c>
      <c r="AN16">
        <v>9</v>
      </c>
      <c r="AP16" s="2">
        <v>0.40964400000000001</v>
      </c>
      <c r="AQ16" s="88">
        <f ca="1">Table7[[#This Row],[cpuchunk=1]]/Table7[[#This Row],[CPU Only (30m X)]]</f>
        <v>0.91892522421071998</v>
      </c>
      <c r="AT16" s="88" t="e">
        <f ca="1">Table7[[#This Row],[cpuchunk=1]]/Table7[[#This Row],[GPU_chunk10_ratio]]</f>
        <v>#DIV/0!</v>
      </c>
      <c r="AU16" s="2">
        <v>0.44578600000000002</v>
      </c>
    </row>
    <row r="17" spans="2:47" ht="26" hidden="1" x14ac:dyDescent="0.35">
      <c r="B17" s="81">
        <f>VLOOKUP('SM2'!D17, MC!$E$6:$W$33,19, FALSE)</f>
        <v>2</v>
      </c>
      <c r="C17" s="81"/>
      <c r="D17" s="78" t="s">
        <v>1456</v>
      </c>
      <c r="E17" s="81">
        <v>9</v>
      </c>
      <c r="F17" s="188">
        <v>55.837251999999999</v>
      </c>
      <c r="G17" s="118">
        <v>54.358153999999999</v>
      </c>
      <c r="H17" s="189">
        <v>47.511024999999997</v>
      </c>
      <c r="I17" s="118">
        <v>52.75</v>
      </c>
      <c r="J17" s="116" t="s">
        <v>3965</v>
      </c>
      <c r="K17" s="118">
        <v>55.98</v>
      </c>
      <c r="L17" s="189">
        <v>52.09</v>
      </c>
      <c r="M17" s="191">
        <f>Table711[[#This Row],[G2AIMD-OOM-Fixed]]/Table711[[#This Row],[gpu-layered]]</f>
        <v>1.1752483134177805</v>
      </c>
      <c r="N17" s="191">
        <f>Table711[[#This Row],[gpu-layered]]/Table711[[#This Row],[CPU+GPU (1)]]</f>
        <v>0.84871427295462665</v>
      </c>
      <c r="O17" s="118" t="s">
        <v>3965</v>
      </c>
      <c r="P17" s="118" t="s">
        <v>3904</v>
      </c>
      <c r="Q17" s="136" t="s">
        <v>3904</v>
      </c>
      <c r="R17" t="s">
        <v>3937</v>
      </c>
      <c r="S17" t="s">
        <v>3985</v>
      </c>
      <c r="AM17" s="62" t="s">
        <v>1436</v>
      </c>
      <c r="AN17">
        <v>24</v>
      </c>
      <c r="AP17" s="2">
        <v>0.44019900000000001</v>
      </c>
      <c r="AQ17" s="88">
        <f ca="1">Table7[[#This Row],[cpuchunk=1]]/Table7[[#This Row],[CPU Only (30m X)]]</f>
        <v>0.71605948414970599</v>
      </c>
      <c r="AT17" s="88" t="e">
        <f ca="1">Table7[[#This Row],[cpuchunk=1]]/Table7[[#This Row],[GPU_chunk10_ratio]]</f>
        <v>#DIV/0!</v>
      </c>
      <c r="AU17" s="2">
        <v>0.61475199999999997</v>
      </c>
    </row>
    <row r="18" spans="2:47" ht="26" hidden="1" x14ac:dyDescent="0.35">
      <c r="B18" s="81">
        <f>VLOOKUP('SM2'!D18, MC!$E$6:$W$33,19, FALSE)</f>
        <v>2</v>
      </c>
      <c r="C18" s="81"/>
      <c r="D18" s="78" t="s">
        <v>1440</v>
      </c>
      <c r="E18" s="81">
        <v>2</v>
      </c>
      <c r="F18" s="188">
        <v>257.36620499999998</v>
      </c>
      <c r="G18" s="118">
        <v>256.45539600000001</v>
      </c>
      <c r="H18" s="189">
        <v>253.469168</v>
      </c>
      <c r="I18" s="118">
        <v>254.34582399999999</v>
      </c>
      <c r="J18" s="116" t="s">
        <v>3965</v>
      </c>
      <c r="K18" s="189">
        <v>256.14999999999998</v>
      </c>
      <c r="L18" s="118">
        <v>263.26</v>
      </c>
      <c r="M18" s="191">
        <f>Table711[[#This Row],[G2AIMD-OOM-Fixed]]/Table711[[#This Row],[gpu-layered]]</f>
        <v>1.0153747969851701</v>
      </c>
      <c r="N18" s="191">
        <f>Table711[[#This Row],[gpu-layered]]/Table711[[#This Row],[CPU+GPU (1)]]</f>
        <v>0.98953413234432952</v>
      </c>
      <c r="O18" s="118" t="s">
        <v>3965</v>
      </c>
      <c r="P18" s="118" t="s">
        <v>3965</v>
      </c>
      <c r="Q18" s="136" t="s">
        <v>3904</v>
      </c>
      <c r="R18" t="s">
        <v>3986</v>
      </c>
      <c r="S18" t="s">
        <v>3987</v>
      </c>
      <c r="AM18" s="62" t="s">
        <v>1448</v>
      </c>
      <c r="AN18">
        <v>24</v>
      </c>
      <c r="AP18" s="2">
        <v>0.44334899999999999</v>
      </c>
      <c r="AQ18" s="88">
        <f ca="1">Table7[[#This Row],[cpuchunk=1]]/Table7[[#This Row],[CPU Only (30m X)]]</f>
        <v>0.76439482758620692</v>
      </c>
      <c r="AT18" s="88" t="e">
        <f ca="1">Table7[[#This Row],[cpuchunk=1]]/Table7[[#This Row],[GPU_chunk10_ratio]]</f>
        <v>#DIV/0!</v>
      </c>
      <c r="AU18" s="2">
        <v>0.57999999999999996</v>
      </c>
    </row>
    <row r="19" spans="2:47" ht="26" hidden="1" x14ac:dyDescent="0.35">
      <c r="B19" s="81">
        <f>VLOOKUP('SM2'!D19, MC!$E$6:$W$33,19, FALSE)</f>
        <v>2</v>
      </c>
      <c r="C19" s="81"/>
      <c r="D19" s="78" t="s">
        <v>1440</v>
      </c>
      <c r="E19" s="81">
        <v>5</v>
      </c>
      <c r="F19" s="81"/>
      <c r="G19" s="118" t="s">
        <v>3965</v>
      </c>
      <c r="H19" s="63" t="s">
        <v>3965</v>
      </c>
      <c r="I19" s="118"/>
      <c r="J19" s="116"/>
      <c r="K19" s="63"/>
      <c r="L19" s="63"/>
      <c r="M19" s="107" t="e">
        <f>Table711[[#This Row],[G2AIMD-OOM-Fixed]]/Table711[[#This Row],[gpu-layered]]</f>
        <v>#VALUE!</v>
      </c>
      <c r="N19" s="107" t="e">
        <f>Table711[[#This Row],[gpu-layered]]/Table711[[#This Row],[CPU+GPU (1)]]</f>
        <v>#VALUE!</v>
      </c>
      <c r="O19" s="107"/>
      <c r="P19" s="107"/>
      <c r="Q19" s="107"/>
      <c r="AM19" s="62" t="s">
        <v>1346</v>
      </c>
      <c r="AN19">
        <v>25</v>
      </c>
      <c r="AP19" s="2">
        <v>0.482099</v>
      </c>
      <c r="AQ19" s="88">
        <f ca="1">Table7[[#This Row],[cpuchunk=1]]/Table7[[#This Row],[CPU Only (30m X)]]</f>
        <v>0.8171169491525424</v>
      </c>
      <c r="AT19" s="88" t="e">
        <f ca="1">Table7[[#This Row],[cpuchunk=1]]/Table7[[#This Row],[GPU_chunk10_ratio]]</f>
        <v>#DIV/0!</v>
      </c>
      <c r="AU19" s="2">
        <v>0.59</v>
      </c>
    </row>
    <row r="20" spans="2:47" ht="26" hidden="1" x14ac:dyDescent="0.35">
      <c r="B20" s="81">
        <f>VLOOKUP('SM2'!D20, MC!$E$6:$W$33,19, FALSE)</f>
        <v>2</v>
      </c>
      <c r="C20" s="81"/>
      <c r="D20" s="78" t="s">
        <v>1440</v>
      </c>
      <c r="E20" s="81">
        <v>7</v>
      </c>
      <c r="F20" s="81"/>
      <c r="G20" s="118" t="s">
        <v>3965</v>
      </c>
      <c r="H20" s="118" t="s">
        <v>3965</v>
      </c>
      <c r="I20" s="118"/>
      <c r="J20" s="116"/>
      <c r="K20" s="118"/>
      <c r="L20" s="118"/>
      <c r="M20" s="118" t="e">
        <f>Table711[[#This Row],[G2AIMD-OOM-Fixed]]/Table711[[#This Row],[gpu-layered]]</f>
        <v>#VALUE!</v>
      </c>
      <c r="N20" s="118" t="e">
        <f>Table711[[#This Row],[gpu-layered]]/Table711[[#This Row],[CPU+GPU (1)]]</f>
        <v>#VALUE!</v>
      </c>
      <c r="O20" s="118"/>
      <c r="P20" s="118"/>
      <c r="Q20" s="136"/>
      <c r="AM20" s="62" t="s">
        <v>1409</v>
      </c>
      <c r="AN20">
        <v>25</v>
      </c>
      <c r="AP20" s="2">
        <v>0.486155</v>
      </c>
      <c r="AQ20" s="88">
        <f ca="1">Table7[[#This Row],[cpuchunk=1]]/Table7[[#This Row],[CPU Only (30m X)]]</f>
        <v>0.88196983028400899</v>
      </c>
      <c r="AT20" s="88" t="e">
        <f ca="1">Table7[[#This Row],[cpuchunk=1]]/Table7[[#This Row],[GPU_chunk10_ratio]]</f>
        <v>#DIV/0!</v>
      </c>
      <c r="AU20" s="2">
        <v>0.55121500000000001</v>
      </c>
    </row>
    <row r="21" spans="2:47" ht="26" hidden="1" x14ac:dyDescent="0.35">
      <c r="B21" s="81">
        <f>VLOOKUP('SM2'!D21, MC!$E$6:$W$33,19, FALSE)</f>
        <v>2</v>
      </c>
      <c r="C21" s="81"/>
      <c r="D21" s="78" t="s">
        <v>1440</v>
      </c>
      <c r="E21" s="81">
        <v>8</v>
      </c>
      <c r="F21" s="81"/>
      <c r="G21" s="118" t="s">
        <v>3904</v>
      </c>
      <c r="H21" s="118" t="s">
        <v>3965</v>
      </c>
      <c r="I21" s="118"/>
      <c r="J21" s="116"/>
      <c r="K21" s="118"/>
      <c r="L21" s="118"/>
      <c r="M21" s="118" t="e">
        <f>Table711[[#This Row],[G2AIMD-OOM-Fixed]]/Table711[[#This Row],[gpu-layered]]</f>
        <v>#VALUE!</v>
      </c>
      <c r="N21" s="118" t="e">
        <f>Table711[[#This Row],[gpu-layered]]/Table711[[#This Row],[CPU+GPU (1)]]</f>
        <v>#VALUE!</v>
      </c>
      <c r="O21" s="118"/>
      <c r="P21" s="118"/>
      <c r="Q21" s="136"/>
      <c r="AM21" s="62" t="s">
        <v>3912</v>
      </c>
      <c r="AN21">
        <v>24</v>
      </c>
      <c r="AP21" s="2">
        <v>0.52312099999999995</v>
      </c>
      <c r="AQ21" s="88">
        <f ca="1">Table7[[#This Row],[cpuchunk=1]]/Table7[[#This Row],[CPU Only (30m X)]]</f>
        <v>0.69920819287801295</v>
      </c>
      <c r="AT21" s="88" t="e">
        <f ca="1">Table7[[#This Row],[cpuchunk=1]]/Table7[[#This Row],[GPU_chunk10_ratio]]</f>
        <v>#DIV/0!</v>
      </c>
      <c r="AU21" s="2">
        <v>0.74816199999999999</v>
      </c>
    </row>
    <row r="22" spans="2:47" ht="26" hidden="1" x14ac:dyDescent="0.35">
      <c r="B22" s="81">
        <f>VLOOKUP('SM2'!D22, MC!$E$6:$W$33,19, FALSE)</f>
        <v>2</v>
      </c>
      <c r="C22" s="81"/>
      <c r="D22" s="78" t="s">
        <v>1440</v>
      </c>
      <c r="E22" s="81">
        <v>9</v>
      </c>
      <c r="F22" s="188">
        <v>140.74139700000001</v>
      </c>
      <c r="G22" s="118">
        <v>141.18886800000001</v>
      </c>
      <c r="H22" s="118">
        <v>139.68974600000001</v>
      </c>
      <c r="I22" s="189">
        <v>139.08779000000001</v>
      </c>
      <c r="J22" s="116" t="s">
        <v>3965</v>
      </c>
      <c r="K22" s="118">
        <v>146.23099999999999</v>
      </c>
      <c r="L22" s="189">
        <v>145.69999999999999</v>
      </c>
      <c r="M22" s="191">
        <f>Table711[[#This Row],[G2AIMD-OOM-Fixed]]/Table711[[#This Row],[gpu-layered]]</f>
        <v>1.0075284767143895</v>
      </c>
      <c r="N22" s="191">
        <f>Table711[[#This Row],[gpu-layered]]/Table711[[#This Row],[CPU+GPU (1)]]</f>
        <v>0.95526766554287412</v>
      </c>
      <c r="O22" s="118" t="s">
        <v>3965</v>
      </c>
      <c r="P22" s="118" t="s">
        <v>3904</v>
      </c>
      <c r="Q22" s="136" t="s">
        <v>3904</v>
      </c>
      <c r="AM22" s="62" t="s">
        <v>1409</v>
      </c>
      <c r="AN22">
        <v>24</v>
      </c>
      <c r="AP22" s="2">
        <v>0.54158700000000004</v>
      </c>
      <c r="AQ22" s="88">
        <f ca="1">Table7[[#This Row],[cpuchunk=1]]/Table7[[#This Row],[CPU Only (30m X)]]</f>
        <v>1.1408772916574506</v>
      </c>
      <c r="AT22" s="88" t="e">
        <f ca="1">Table7[[#This Row],[cpuchunk=1]]/Table7[[#This Row],[GPU_chunk10_ratio]]</f>
        <v>#DIV/0!</v>
      </c>
      <c r="AU22" s="2">
        <v>0.47471099999999999</v>
      </c>
    </row>
    <row r="23" spans="2:47" ht="26" hidden="1" x14ac:dyDescent="0.35">
      <c r="B23" s="81">
        <f>VLOOKUP('SM2'!D23, MC!$E$6:$W$33,19, FALSE)</f>
        <v>2</v>
      </c>
      <c r="C23" s="81"/>
      <c r="D23" s="78" t="s">
        <v>1450</v>
      </c>
      <c r="E23" s="81">
        <v>2</v>
      </c>
      <c r="F23" s="188">
        <v>19.405428000000001</v>
      </c>
      <c r="G23" s="118">
        <v>19.468662999999999</v>
      </c>
      <c r="H23" s="189">
        <v>18.862942</v>
      </c>
      <c r="I23" s="118">
        <v>18.915303000000002</v>
      </c>
      <c r="J23" s="116" t="s">
        <v>3965</v>
      </c>
      <c r="K23" s="189">
        <v>19.34</v>
      </c>
      <c r="L23" s="118">
        <v>22.99</v>
      </c>
      <c r="M23" s="191">
        <f>Table711[[#This Row],[G2AIMD-OOM-Fixed]]/Table711[[#This Row],[gpu-layered]]</f>
        <v>1.0287593525972778</v>
      </c>
      <c r="N23" s="191">
        <f>Table711[[#This Row],[gpu-layered]]/Table711[[#This Row],[CPU+GPU (1)]]</f>
        <v>0.97533309203722851</v>
      </c>
      <c r="O23" s="118" t="s">
        <v>3965</v>
      </c>
      <c r="P23" s="118" t="s">
        <v>3904</v>
      </c>
      <c r="Q23" s="136" t="s">
        <v>3904</v>
      </c>
      <c r="AM23" s="62" t="s">
        <v>1423</v>
      </c>
      <c r="AN23">
        <v>24</v>
      </c>
      <c r="AP23" s="2">
        <v>0.54716100000000001</v>
      </c>
      <c r="AQ23" s="88">
        <f ca="1">Table7[[#This Row],[cpuchunk=1]]/Table7[[#This Row],[CPU Only (30m X)]]</f>
        <v>0.83784185220347296</v>
      </c>
      <c r="AT23" s="88" t="e">
        <f ca="1">Table7[[#This Row],[cpuchunk=1]]/Table7[[#This Row],[GPU_chunk10_ratio]]</f>
        <v>#DIV/0!</v>
      </c>
      <c r="AU23" s="2">
        <v>0.65305999999999997</v>
      </c>
    </row>
    <row r="24" spans="2:47" ht="26" hidden="1" x14ac:dyDescent="0.35">
      <c r="B24" s="81">
        <f>VLOOKUP('SM2'!D24, MC!$E$6:$W$33,19, FALSE)</f>
        <v>2</v>
      </c>
      <c r="C24" s="81"/>
      <c r="D24" s="78" t="s">
        <v>1450</v>
      </c>
      <c r="E24" s="81">
        <v>5</v>
      </c>
      <c r="F24" s="188">
        <v>565.42489699999999</v>
      </c>
      <c r="G24" s="118">
        <v>580.25133600000004</v>
      </c>
      <c r="H24" s="189">
        <v>538.90419399999996</v>
      </c>
      <c r="I24" s="118">
        <v>547.73</v>
      </c>
      <c r="J24" s="116" t="s">
        <v>3965</v>
      </c>
      <c r="K24" s="189">
        <v>535.22</v>
      </c>
      <c r="L24" s="118">
        <v>540.70000000000005</v>
      </c>
      <c r="M24" s="191">
        <f>Table711[[#This Row],[G2AIMD-OOM-Fixed]]/Table711[[#This Row],[gpu-layered]]</f>
        <v>1.0492122779805273</v>
      </c>
      <c r="N24" s="191">
        <f>Table711[[#This Row],[gpu-layered]]/Table711[[#This Row],[CPU+GPU (1)]]</f>
        <v>1.0068835133216247</v>
      </c>
      <c r="O24" s="118" t="s">
        <v>3965</v>
      </c>
      <c r="P24" s="118" t="s">
        <v>3904</v>
      </c>
      <c r="Q24" s="136" t="s">
        <v>3904</v>
      </c>
      <c r="AM24" s="62" t="s">
        <v>3912</v>
      </c>
      <c r="AN24">
        <v>2</v>
      </c>
      <c r="AP24" s="2">
        <v>0.57725099999999996</v>
      </c>
      <c r="AQ24" s="88">
        <f ca="1">Table7[[#This Row],[cpuchunk=1]]/Table7[[#This Row],[CPU Only (30m X)]]</f>
        <v>0.67841726026849869</v>
      </c>
      <c r="AT24" s="88" t="e">
        <f ca="1">Table7[[#This Row],[cpuchunk=1]]/Table7[[#This Row],[GPU_chunk10_ratio]]</f>
        <v>#DIV/0!</v>
      </c>
      <c r="AU24" s="2">
        <v>0.85087900000000005</v>
      </c>
    </row>
    <row r="25" spans="2:47" ht="26" hidden="1" x14ac:dyDescent="0.35">
      <c r="B25" s="81">
        <f>VLOOKUP('SM2'!D25, MC!$E$6:$W$33,19, FALSE)</f>
        <v>2</v>
      </c>
      <c r="C25" s="81"/>
      <c r="D25" s="78" t="s">
        <v>1450</v>
      </c>
      <c r="E25" s="81">
        <v>7</v>
      </c>
      <c r="F25" s="81"/>
      <c r="G25" s="118" t="s">
        <v>3965</v>
      </c>
      <c r="H25" s="118" t="s">
        <v>3965</v>
      </c>
      <c r="I25" s="118"/>
      <c r="J25" s="116"/>
      <c r="K25" s="118"/>
      <c r="L25" s="118"/>
      <c r="M25" s="118" t="e">
        <f>Table711[[#This Row],[G2AIMD-OOM-Fixed]]/Table711[[#This Row],[gpu-layered]]</f>
        <v>#VALUE!</v>
      </c>
      <c r="N25" s="118" t="e">
        <f>Table711[[#This Row],[gpu-layered]]/Table711[[#This Row],[CPU+GPU (1)]]</f>
        <v>#VALUE!</v>
      </c>
      <c r="O25" s="118"/>
      <c r="P25" s="118"/>
      <c r="Q25" s="136"/>
      <c r="AM25" s="62" t="s">
        <v>1425</v>
      </c>
      <c r="AN25">
        <v>25</v>
      </c>
      <c r="AP25" s="2">
        <v>0.60898099999999999</v>
      </c>
      <c r="AQ25" s="88">
        <f ca="1">Table7[[#This Row],[cpuchunk=1]]/Table7[[#This Row],[CPU Only (30m X)]]</f>
        <v>0.87517892147000154</v>
      </c>
      <c r="AT25" s="88" t="e">
        <f ca="1">Table7[[#This Row],[cpuchunk=1]]/Table7[[#This Row],[GPU_chunk10_ratio]]</f>
        <v>#DIV/0!</v>
      </c>
      <c r="AU25" s="2">
        <v>0.69583600000000001</v>
      </c>
    </row>
    <row r="26" spans="2:47" ht="26" hidden="1" x14ac:dyDescent="0.35">
      <c r="B26" s="81">
        <f>VLOOKUP('SM2'!D26, MC!$E$6:$W$33,19, FALSE)</f>
        <v>2</v>
      </c>
      <c r="C26" s="81"/>
      <c r="D26" s="78" t="s">
        <v>1450</v>
      </c>
      <c r="E26" s="81">
        <v>8</v>
      </c>
      <c r="F26" s="81"/>
      <c r="G26" s="118" t="s">
        <v>3965</v>
      </c>
      <c r="H26" s="118" t="s">
        <v>3965</v>
      </c>
      <c r="I26" s="118"/>
      <c r="J26" s="116"/>
      <c r="K26" s="118"/>
      <c r="L26" s="118"/>
      <c r="M26" s="118" t="e">
        <f>Table711[[#This Row],[G2AIMD-OOM-Fixed]]/Table711[[#This Row],[gpu-layered]]</f>
        <v>#VALUE!</v>
      </c>
      <c r="N26" s="118" t="e">
        <f>Table711[[#This Row],[gpu-layered]]/Table711[[#This Row],[CPU+GPU (1)]]</f>
        <v>#VALUE!</v>
      </c>
      <c r="O26" s="118"/>
      <c r="P26" s="118"/>
      <c r="Q26" s="136"/>
      <c r="AM26" s="62" t="s">
        <v>3919</v>
      </c>
      <c r="AN26">
        <v>25</v>
      </c>
      <c r="AP26" s="2">
        <v>0.61563900000000005</v>
      </c>
      <c r="AQ26" s="88">
        <f ca="1">Table7[[#This Row],[cpuchunk=1]]/Table7[[#This Row],[CPU Only (30m X)]]</f>
        <v>0.95961187748421806</v>
      </c>
      <c r="AT26" s="88" t="e">
        <f ca="1">Table7[[#This Row],[cpuchunk=1]]/Table7[[#This Row],[GPU_chunk10_ratio]]</f>
        <v>#DIV/0!</v>
      </c>
      <c r="AU26" s="2">
        <v>0.64154999999999995</v>
      </c>
    </row>
    <row r="27" spans="2:47" ht="26" hidden="1" x14ac:dyDescent="0.35">
      <c r="B27" s="81">
        <f>VLOOKUP('SM2'!D27, MC!$E$6:$W$33,19, FALSE)</f>
        <v>2</v>
      </c>
      <c r="C27" s="81"/>
      <c r="D27" s="78" t="s">
        <v>1450</v>
      </c>
      <c r="E27" s="81">
        <v>9</v>
      </c>
      <c r="F27" s="188">
        <v>35.875695999999998</v>
      </c>
      <c r="G27" s="118">
        <v>32.182581999999996</v>
      </c>
      <c r="H27" s="189">
        <v>28.405877</v>
      </c>
      <c r="I27" s="118">
        <v>33.15</v>
      </c>
      <c r="J27" s="116" t="s">
        <v>3965</v>
      </c>
      <c r="K27" s="118">
        <v>32.880000000000003</v>
      </c>
      <c r="L27" s="189">
        <v>32.47</v>
      </c>
      <c r="M27" s="191">
        <f>Table711[[#This Row],[G2AIMD-OOM-Fixed]]/Table711[[#This Row],[gpu-layered]]</f>
        <v>1.262967378194308</v>
      </c>
      <c r="N27" s="191">
        <f>Table711[[#This Row],[gpu-layered]]/Table711[[#This Row],[CPU+GPU (1)]]</f>
        <v>0.86392569951338194</v>
      </c>
      <c r="O27" s="118">
        <v>343.75303100000002</v>
      </c>
      <c r="P27" s="118" t="s">
        <v>3904</v>
      </c>
      <c r="Q27" s="136" t="s">
        <v>3904</v>
      </c>
      <c r="AM27" s="62" t="s">
        <v>1437</v>
      </c>
      <c r="AN27">
        <v>25</v>
      </c>
      <c r="AP27" s="2">
        <v>0.62617800000000001</v>
      </c>
      <c r="AQ27" s="88">
        <f ca="1">Table7[[#This Row],[cpuchunk=1]]/Table7[[#This Row],[CPU Only (30m X)]]</f>
        <v>0.82391842105263158</v>
      </c>
      <c r="AT27" s="88" t="e">
        <f ca="1">Table7[[#This Row],[cpuchunk=1]]/Table7[[#This Row],[GPU_chunk10_ratio]]</f>
        <v>#DIV/0!</v>
      </c>
      <c r="AU27" s="2">
        <v>0.76</v>
      </c>
    </row>
    <row r="28" spans="2:47" ht="26" hidden="1" x14ac:dyDescent="0.35">
      <c r="B28" s="81">
        <f>VLOOKUP('SM2'!D28, MC!$E$6:$W$33,19, FALSE)</f>
        <v>2</v>
      </c>
      <c r="C28" s="81"/>
      <c r="D28" s="78" t="s">
        <v>1455</v>
      </c>
      <c r="E28" s="81">
        <v>2</v>
      </c>
      <c r="F28" s="188">
        <v>65.221917000000005</v>
      </c>
      <c r="G28" s="118">
        <v>65.307604999999995</v>
      </c>
      <c r="H28" s="189">
        <v>64.457724999999996</v>
      </c>
      <c r="I28" s="118">
        <v>64.681825000000003</v>
      </c>
      <c r="J28" s="116" t="s">
        <v>3965</v>
      </c>
      <c r="K28" s="189">
        <v>65.55</v>
      </c>
      <c r="L28" s="118">
        <v>69</v>
      </c>
      <c r="M28" s="191">
        <f>Table711[[#This Row],[G2AIMD-OOM-Fixed]]/Table711[[#This Row],[gpu-layered]]</f>
        <v>1.0118557085283417</v>
      </c>
      <c r="N28" s="191">
        <f>Table711[[#This Row],[gpu-layered]]/Table711[[#This Row],[CPU+GPU (1)]]</f>
        <v>0.98333676582761254</v>
      </c>
      <c r="O28" s="118" t="s">
        <v>3965</v>
      </c>
      <c r="P28" s="118" t="s">
        <v>3904</v>
      </c>
      <c r="Q28" s="136" t="s">
        <v>3904</v>
      </c>
      <c r="AM28" s="62" t="s">
        <v>1371</v>
      </c>
      <c r="AN28">
        <v>9</v>
      </c>
      <c r="AP28" s="2">
        <v>0.67302200000000001</v>
      </c>
      <c r="AQ28" s="88">
        <f ca="1">Table7[[#This Row],[cpuchunk=1]]/Table7[[#This Row],[CPU Only (30m X)]]</f>
        <v>0.7395846153846154</v>
      </c>
      <c r="AT28" s="88" t="e">
        <f ca="1">Table7[[#This Row],[cpuchunk=1]]/Table7[[#This Row],[GPU_chunk10_ratio]]</f>
        <v>#DIV/0!</v>
      </c>
      <c r="AU28" s="2">
        <v>0.91</v>
      </c>
    </row>
    <row r="29" spans="2:47" ht="26" hidden="1" x14ac:dyDescent="0.35">
      <c r="B29" s="81">
        <f>VLOOKUP('SM2'!D29, MC!$E$6:$W$33,19, FALSE)</f>
        <v>2</v>
      </c>
      <c r="C29" s="81"/>
      <c r="D29" s="78" t="s">
        <v>1455</v>
      </c>
      <c r="E29" s="81">
        <v>5</v>
      </c>
      <c r="F29" s="81"/>
      <c r="G29" s="118" t="s">
        <v>3965</v>
      </c>
      <c r="H29" s="118" t="s">
        <v>3965</v>
      </c>
      <c r="I29" s="118"/>
      <c r="J29" s="116"/>
      <c r="K29" s="118"/>
      <c r="L29" s="118"/>
      <c r="M29" s="118" t="e">
        <f>Table711[[#This Row],[G2AIMD-OOM-Fixed]]/Table711[[#This Row],[gpu-layered]]</f>
        <v>#VALUE!</v>
      </c>
      <c r="N29" s="118" t="e">
        <f>Table711[[#This Row],[gpu-layered]]/Table711[[#This Row],[CPU+GPU (1)]]</f>
        <v>#VALUE!</v>
      </c>
      <c r="O29" s="118"/>
      <c r="P29" s="118"/>
      <c r="Q29" s="136"/>
      <c r="AM29" s="62" t="s">
        <v>1346</v>
      </c>
      <c r="AN29">
        <v>2</v>
      </c>
      <c r="AP29" s="2">
        <v>0.71216500000000005</v>
      </c>
      <c r="AQ29" s="88">
        <f ca="1">Table7[[#This Row],[cpuchunk=1]]/Table7[[#This Row],[CPU Only (30m X)]]</f>
        <v>0.51606159420289865</v>
      </c>
      <c r="AT29" s="88" t="e">
        <f ca="1">Table7[[#This Row],[cpuchunk=1]]/Table7[[#This Row],[GPU_chunk10_ratio]]</f>
        <v>#DIV/0!</v>
      </c>
      <c r="AU29" s="2">
        <v>1.38</v>
      </c>
    </row>
    <row r="30" spans="2:47" ht="26" hidden="1" x14ac:dyDescent="0.35">
      <c r="B30" s="81">
        <f>VLOOKUP('SM2'!D30, MC!$E$6:$W$33,19, FALSE)</f>
        <v>2</v>
      </c>
      <c r="C30" s="81"/>
      <c r="D30" s="78" t="s">
        <v>1455</v>
      </c>
      <c r="E30" s="81">
        <v>7</v>
      </c>
      <c r="F30" s="81"/>
      <c r="G30" s="118" t="s">
        <v>3965</v>
      </c>
      <c r="H30" s="118" t="s">
        <v>3965</v>
      </c>
      <c r="I30" s="118"/>
      <c r="J30" s="116"/>
      <c r="K30" s="118"/>
      <c r="L30" s="118"/>
      <c r="M30" s="118" t="e">
        <f>Table711[[#This Row],[G2AIMD-OOM-Fixed]]/Table711[[#This Row],[gpu-layered]]</f>
        <v>#VALUE!</v>
      </c>
      <c r="N30" s="118" t="e">
        <f>Table711[[#This Row],[gpu-layered]]/Table711[[#This Row],[CPU+GPU (1)]]</f>
        <v>#VALUE!</v>
      </c>
      <c r="O30" s="118"/>
      <c r="P30" s="118"/>
      <c r="Q30" s="136"/>
      <c r="AM30" s="62" t="s">
        <v>1450</v>
      </c>
      <c r="AN30">
        <v>24</v>
      </c>
      <c r="AP30" s="2">
        <v>0.75700999999999996</v>
      </c>
      <c r="AQ30" s="88">
        <f ca="1">Table7[[#This Row],[cpuchunk=1]]/Table7[[#This Row],[CPU Only (30m X)]]</f>
        <v>0.94794510255703879</v>
      </c>
      <c r="AT30" s="88" t="e">
        <f ca="1">Table7[[#This Row],[cpuchunk=1]]/Table7[[#This Row],[GPU_chunk10_ratio]]</f>
        <v>#DIV/0!</v>
      </c>
      <c r="AU30" s="2">
        <v>0.79857999999999996</v>
      </c>
    </row>
    <row r="31" spans="2:47" ht="26" hidden="1" x14ac:dyDescent="0.35">
      <c r="B31" s="81">
        <f>VLOOKUP('SM2'!D31, MC!$E$6:$W$33,19, FALSE)</f>
        <v>2</v>
      </c>
      <c r="C31" s="81"/>
      <c r="D31" s="78" t="s">
        <v>1455</v>
      </c>
      <c r="E31" s="81">
        <v>8</v>
      </c>
      <c r="F31" s="81"/>
      <c r="G31" s="118" t="s">
        <v>3965</v>
      </c>
      <c r="H31" s="118" t="s">
        <v>3965</v>
      </c>
      <c r="I31" s="118"/>
      <c r="J31" s="116"/>
      <c r="K31" s="118"/>
      <c r="L31" s="118"/>
      <c r="M31" s="118" t="e">
        <f>Table711[[#This Row],[G2AIMD-OOM-Fixed]]/Table711[[#This Row],[gpu-layered]]</f>
        <v>#VALUE!</v>
      </c>
      <c r="N31" s="118" t="e">
        <f>Table711[[#This Row],[gpu-layered]]/Table711[[#This Row],[CPU+GPU (1)]]</f>
        <v>#VALUE!</v>
      </c>
      <c r="O31" s="118"/>
      <c r="P31" s="118"/>
      <c r="Q31" s="136"/>
      <c r="AM31" s="62" t="s">
        <v>1449</v>
      </c>
      <c r="AN31">
        <v>24</v>
      </c>
      <c r="AP31" s="2">
        <v>0.76452299999999995</v>
      </c>
      <c r="AQ31" s="88">
        <f ca="1">Table7[[#This Row],[cpuchunk=1]]/Table7[[#This Row],[CPU Only (30m X)]]</f>
        <v>1.109622144750172</v>
      </c>
      <c r="AT31" s="88" t="e">
        <f ca="1">Table7[[#This Row],[cpuchunk=1]]/Table7[[#This Row],[GPU_chunk10_ratio]]</f>
        <v>#DIV/0!</v>
      </c>
      <c r="AU31" s="2">
        <v>0.688994</v>
      </c>
    </row>
    <row r="32" spans="2:47" ht="26" hidden="1" x14ac:dyDescent="0.35">
      <c r="B32" s="81">
        <f>VLOOKUP('SM2'!D32, MC!$E$6:$W$33,19, FALSE)</f>
        <v>2</v>
      </c>
      <c r="C32" s="81"/>
      <c r="D32" s="78" t="s">
        <v>1455</v>
      </c>
      <c r="E32" s="81">
        <v>9</v>
      </c>
      <c r="F32" s="188">
        <v>144.96230700000001</v>
      </c>
      <c r="G32" s="118">
        <v>144.660268</v>
      </c>
      <c r="H32" s="123">
        <v>134.99485300000001</v>
      </c>
      <c r="I32" s="63">
        <v>139.62</v>
      </c>
      <c r="J32" s="116" t="s">
        <v>3965</v>
      </c>
      <c r="K32" s="189">
        <v>138.58000000000001</v>
      </c>
      <c r="L32" s="118">
        <v>146.94999999999999</v>
      </c>
      <c r="M32" s="191">
        <f>Table711[[#This Row],[G2AIMD-OOM-Fixed]]/Table711[[#This Row],[gpu-layered]]</f>
        <v>1.0738358076511259</v>
      </c>
      <c r="N32" s="191">
        <f>Table711[[#This Row],[gpu-layered]]/Table711[[#This Row],[CPU+GPU (1)]]</f>
        <v>0.97412940539760418</v>
      </c>
      <c r="O32" s="107" t="s">
        <v>3965</v>
      </c>
      <c r="P32" s="107" t="s">
        <v>3904</v>
      </c>
      <c r="Q32" s="107" t="s">
        <v>3965</v>
      </c>
      <c r="AM32" s="62" t="s">
        <v>1423</v>
      </c>
      <c r="AN32">
        <v>25</v>
      </c>
      <c r="AP32" s="2">
        <v>0.79256700000000002</v>
      </c>
      <c r="AQ32" s="88">
        <f ca="1">Table7[[#This Row],[cpuchunk=1]]/Table7[[#This Row],[CPU Only (30m X)]]</f>
        <v>0.90100881720332315</v>
      </c>
      <c r="AT32" s="88" t="e">
        <f ca="1">Table7[[#This Row],[cpuchunk=1]]/Table7[[#This Row],[GPU_chunk10_ratio]]</f>
        <v>#DIV/0!</v>
      </c>
      <c r="AU32" s="2">
        <v>0.87964399999999998</v>
      </c>
    </row>
    <row r="33" spans="2:47" ht="26" hidden="1" x14ac:dyDescent="0.35">
      <c r="B33" s="81">
        <f>VLOOKUP('SM2'!D33, MC!$E$6:$W$33,19, FALSE)</f>
        <v>2</v>
      </c>
      <c r="C33" s="81"/>
      <c r="D33" s="78" t="s">
        <v>1409</v>
      </c>
      <c r="E33" s="81">
        <v>2</v>
      </c>
      <c r="F33" s="188">
        <v>111.596434</v>
      </c>
      <c r="G33" s="118">
        <v>111.936167</v>
      </c>
      <c r="H33" s="189">
        <v>111.03975699999999</v>
      </c>
      <c r="I33" s="118">
        <v>111.12485700000001</v>
      </c>
      <c r="J33" s="116" t="s">
        <v>3965</v>
      </c>
      <c r="K33" s="189">
        <v>111.62</v>
      </c>
      <c r="L33" s="118">
        <v>123.44</v>
      </c>
      <c r="M33" s="191">
        <f>Table711[[#This Row],[G2AIMD-OOM-Fixed]]/Table711[[#This Row],[gpu-layered]]</f>
        <v>1.0050133124841043</v>
      </c>
      <c r="N33" s="191">
        <f>Table711[[#This Row],[gpu-layered]]/Table711[[#This Row],[CPU+GPU (1)]]</f>
        <v>0.99480162157319463</v>
      </c>
      <c r="O33" s="118" t="s">
        <v>3965</v>
      </c>
      <c r="P33" s="118" t="s">
        <v>3965</v>
      </c>
      <c r="Q33" s="136" t="s">
        <v>3904</v>
      </c>
      <c r="AM33" s="62" t="s">
        <v>1408</v>
      </c>
      <c r="AN33">
        <v>24</v>
      </c>
      <c r="AP33" s="2">
        <v>0.94571400000000005</v>
      </c>
      <c r="AQ33" s="88">
        <f ca="1">Table7[[#This Row],[cpuchunk=1]]/Table7[[#This Row],[CPU Only (30m X)]]</f>
        <v>0.74213343922003772</v>
      </c>
      <c r="AT33" s="88" t="e">
        <f ca="1">Table7[[#This Row],[cpuchunk=1]]/Table7[[#This Row],[GPU_chunk10_ratio]]</f>
        <v>#DIV/0!</v>
      </c>
      <c r="AU33" s="2">
        <v>1.2743180000000001</v>
      </c>
    </row>
    <row r="34" spans="2:47" ht="26" hidden="1" x14ac:dyDescent="0.35">
      <c r="B34" s="81">
        <f>VLOOKUP('SM2'!D34, MC!$E$6:$W$33,19, FALSE)</f>
        <v>2</v>
      </c>
      <c r="C34" s="81"/>
      <c r="D34" s="78" t="s">
        <v>1409</v>
      </c>
      <c r="E34" s="81">
        <v>5</v>
      </c>
      <c r="F34" s="81"/>
      <c r="G34" s="118" t="s">
        <v>3965</v>
      </c>
      <c r="H34" s="118" t="s">
        <v>3965</v>
      </c>
      <c r="I34" s="118"/>
      <c r="J34" s="116"/>
      <c r="K34" s="118"/>
      <c r="L34" s="118"/>
      <c r="M34" s="118" t="e">
        <f>Table711[[#This Row],[G2AIMD-OOM-Fixed]]/Table711[[#This Row],[gpu-layered]]</f>
        <v>#VALUE!</v>
      </c>
      <c r="N34" s="118" t="e">
        <f>Table711[[#This Row],[gpu-layered]]/Table711[[#This Row],[CPU+GPU (1)]]</f>
        <v>#VALUE!</v>
      </c>
      <c r="O34" s="118"/>
      <c r="P34" s="118"/>
      <c r="Q34" s="136"/>
      <c r="AM34" s="62" t="s">
        <v>3919</v>
      </c>
      <c r="AN34">
        <v>9</v>
      </c>
      <c r="AP34" s="2">
        <v>0.948967</v>
      </c>
      <c r="AQ34" s="88">
        <f ca="1">Table7[[#This Row],[cpuchunk=1]]/Table7[[#This Row],[CPU Only (30m X)]]</f>
        <v>0.97904219725755492</v>
      </c>
      <c r="AT34" s="88" t="e">
        <f ca="1">Table7[[#This Row],[cpuchunk=1]]/Table7[[#This Row],[GPU_chunk10_ratio]]</f>
        <v>#DIV/0!</v>
      </c>
      <c r="AU34" s="2">
        <v>0.96928099999999995</v>
      </c>
    </row>
    <row r="35" spans="2:47" ht="26" hidden="1" x14ac:dyDescent="0.35">
      <c r="B35" s="81">
        <f>VLOOKUP('SM2'!D35, MC!$E$6:$W$33,19, FALSE)</f>
        <v>2</v>
      </c>
      <c r="C35" s="81"/>
      <c r="D35" s="78" t="s">
        <v>1409</v>
      </c>
      <c r="E35" s="81">
        <v>7</v>
      </c>
      <c r="F35" s="81"/>
      <c r="G35" s="118" t="s">
        <v>3965</v>
      </c>
      <c r="H35" s="63" t="s">
        <v>3965</v>
      </c>
      <c r="I35" s="118"/>
      <c r="J35" s="116"/>
      <c r="K35" s="63"/>
      <c r="L35" s="63"/>
      <c r="M35" s="107" t="e">
        <f>Table711[[#This Row],[G2AIMD-OOM-Fixed]]/Table711[[#This Row],[gpu-layered]]</f>
        <v>#VALUE!</v>
      </c>
      <c r="N35" s="107" t="e">
        <f>Table711[[#This Row],[gpu-layered]]/Table711[[#This Row],[CPU+GPU (1)]]</f>
        <v>#VALUE!</v>
      </c>
      <c r="O35" s="107"/>
      <c r="P35" s="107"/>
      <c r="Q35" s="107"/>
      <c r="AM35" s="62" t="s">
        <v>1440</v>
      </c>
      <c r="AN35">
        <v>24</v>
      </c>
      <c r="AP35" s="2">
        <v>1.0290090000000001</v>
      </c>
      <c r="AQ35" s="88">
        <f ca="1">Table7[[#This Row],[cpuchunk=1]]/Table7[[#This Row],[CPU Only (30m X)]]</f>
        <v>1.2042319782233697</v>
      </c>
      <c r="AT35" s="88" t="e">
        <f ca="1">Table7[[#This Row],[cpuchunk=1]]/Table7[[#This Row],[GPU_chunk10_ratio]]</f>
        <v>#DIV/0!</v>
      </c>
      <c r="AU35" s="2">
        <v>0.85449399999999998</v>
      </c>
    </row>
    <row r="36" spans="2:47" ht="26" hidden="1" x14ac:dyDescent="0.35">
      <c r="B36" s="81">
        <f>VLOOKUP('SM2'!D36, MC!$E$6:$W$33,19, FALSE)</f>
        <v>2</v>
      </c>
      <c r="C36" s="81"/>
      <c r="D36" s="78" t="s">
        <v>1409</v>
      </c>
      <c r="E36" s="81">
        <v>8</v>
      </c>
      <c r="F36" s="81"/>
      <c r="G36" s="118" t="s">
        <v>3904</v>
      </c>
      <c r="H36" s="118" t="s">
        <v>3965</v>
      </c>
      <c r="I36" s="118"/>
      <c r="J36" s="116"/>
      <c r="K36" s="118"/>
      <c r="L36" s="118"/>
      <c r="M36" s="118" t="e">
        <f>Table711[[#This Row],[G2AIMD-OOM-Fixed]]/Table711[[#This Row],[gpu-layered]]</f>
        <v>#VALUE!</v>
      </c>
      <c r="N36" s="118" t="e">
        <f>Table711[[#This Row],[gpu-layered]]/Table711[[#This Row],[CPU+GPU (1)]]</f>
        <v>#VALUE!</v>
      </c>
      <c r="O36" s="118"/>
      <c r="P36" s="118"/>
      <c r="Q36" s="136"/>
      <c r="AM36" s="62" t="s">
        <v>1434</v>
      </c>
      <c r="AN36">
        <v>24</v>
      </c>
      <c r="AP36" s="2">
        <v>1.0415239999999999</v>
      </c>
      <c r="AQ36" s="88">
        <f ca="1">Table7[[#This Row],[cpuchunk=1]]/Table7[[#This Row],[CPU Only (30m X)]]</f>
        <v>0.93231537403201203</v>
      </c>
      <c r="AT36" s="88" t="e">
        <f ca="1">Table7[[#This Row],[cpuchunk=1]]/Table7[[#This Row],[GPU_chunk10_ratio]]</f>
        <v>#DIV/0!</v>
      </c>
      <c r="AU36" s="2">
        <v>1.117137</v>
      </c>
    </row>
    <row r="37" spans="2:47" ht="26" hidden="1" x14ac:dyDescent="0.35">
      <c r="B37" s="81">
        <f>VLOOKUP('SM2'!D37, MC!$E$6:$W$33,19, FALSE)</f>
        <v>2</v>
      </c>
      <c r="C37" s="81"/>
      <c r="D37" s="78" t="s">
        <v>1409</v>
      </c>
      <c r="E37" s="81">
        <v>9</v>
      </c>
      <c r="F37" s="188">
        <v>53.521534000000003</v>
      </c>
      <c r="G37" s="118">
        <v>53.400069000000002</v>
      </c>
      <c r="H37" s="118">
        <v>52.323521999999997</v>
      </c>
      <c r="I37" s="189">
        <v>52.254237000000003</v>
      </c>
      <c r="J37" s="116" t="s">
        <v>3965</v>
      </c>
      <c r="K37" s="118">
        <v>71.010000000000005</v>
      </c>
      <c r="L37" s="189">
        <v>57.99</v>
      </c>
      <c r="M37" s="191">
        <f>Table711[[#This Row],[G2AIMD-OOM-Fixed]]/Table711[[#This Row],[gpu-layered]]</f>
        <v>1.0228962415794565</v>
      </c>
      <c r="N37" s="191">
        <f>Table711[[#This Row],[gpu-layered]]/Table711[[#This Row],[CPU+GPU (1)]]</f>
        <v>0.73684723278411479</v>
      </c>
      <c r="O37" s="118" t="s">
        <v>3965</v>
      </c>
      <c r="P37" s="118" t="s">
        <v>3904</v>
      </c>
      <c r="Q37" s="136" t="s">
        <v>3904</v>
      </c>
      <c r="AM37" s="62" t="s">
        <v>1408</v>
      </c>
      <c r="AN37">
        <v>2</v>
      </c>
      <c r="AP37" s="2">
        <v>1.103539</v>
      </c>
      <c r="AQ37" s="88">
        <f ca="1">Table7[[#This Row],[cpuchunk=1]]/Table7[[#This Row],[CPU Only (30m X)]]</f>
        <v>14.821954790270372</v>
      </c>
      <c r="AT37" s="88" t="e">
        <f ca="1">Table7[[#This Row],[cpuchunk=1]]/Table7[[#This Row],[GPU_chunk10_ratio]]</f>
        <v>#DIV/0!</v>
      </c>
      <c r="AU37" s="2">
        <v>7.4453000000000005E-2</v>
      </c>
    </row>
    <row r="38" spans="2:47" ht="26" hidden="1" x14ac:dyDescent="0.35">
      <c r="B38" s="81">
        <f>VLOOKUP('SM2'!D38, MC!$E$6:$W$33,19, FALSE)</f>
        <v>1</v>
      </c>
      <c r="C38" s="81"/>
      <c r="D38" s="78" t="s">
        <v>1408</v>
      </c>
      <c r="E38" s="81">
        <v>2</v>
      </c>
      <c r="F38" s="188">
        <v>0.31134400000000001</v>
      </c>
      <c r="G38" s="118">
        <v>0.297462</v>
      </c>
      <c r="H38" s="189">
        <v>0.140767</v>
      </c>
      <c r="I38" s="118">
        <v>0.23566272925442652</v>
      </c>
      <c r="J38" s="116">
        <v>0.58275500000000002</v>
      </c>
      <c r="K38" s="118">
        <v>1.207538</v>
      </c>
      <c r="L38" s="189">
        <v>1.1851700000000001</v>
      </c>
      <c r="M38" s="191">
        <f>Table711[[#This Row],[G2AIMD-OOM-Fixed]]/Table711[[#This Row],[gpu-layered]]</f>
        <v>2.2117683832148161</v>
      </c>
      <c r="N38" s="191">
        <f>Table711[[#This Row],[gpu-layered]]/Table711[[#This Row],[CPU+GPU (1)]]</f>
        <v>0.11657355710544927</v>
      </c>
      <c r="O38" s="118">
        <v>0.31464199999999998</v>
      </c>
      <c r="P38" s="118">
        <v>8.7127269999999992</v>
      </c>
      <c r="Q38" s="136">
        <v>0.805952</v>
      </c>
      <c r="AM38" s="62" t="s">
        <v>1408</v>
      </c>
      <c r="AN38">
        <v>5</v>
      </c>
      <c r="AP38" s="2">
        <v>1.2022219999999999</v>
      </c>
      <c r="AQ38" s="88">
        <f ca="1">Table7[[#This Row],[cpuchunk=1]]/Table7[[#This Row],[CPU Only (30m X)]]</f>
        <v>7.4959440838492855</v>
      </c>
      <c r="AT38" s="88" t="e">
        <f ca="1">Table7[[#This Row],[cpuchunk=1]]/Table7[[#This Row],[GPU_chunk10_ratio]]</f>
        <v>#DIV/0!</v>
      </c>
      <c r="AU38" s="2">
        <v>0.160383</v>
      </c>
    </row>
    <row r="39" spans="2:47" ht="26" hidden="1" x14ac:dyDescent="0.35">
      <c r="B39" s="81">
        <f>VLOOKUP('SM2'!D39, MC!$E$6:$W$33,19, FALSE)</f>
        <v>1</v>
      </c>
      <c r="C39" s="81"/>
      <c r="D39" s="78" t="s">
        <v>1408</v>
      </c>
      <c r="E39" s="81">
        <v>5</v>
      </c>
      <c r="F39" s="188">
        <v>0.29769099999999998</v>
      </c>
      <c r="G39" s="118">
        <v>0.296068</v>
      </c>
      <c r="H39" s="123">
        <v>0.119105</v>
      </c>
      <c r="I39" s="63">
        <v>0.18375956811322497</v>
      </c>
      <c r="J39" s="116">
        <v>5.5105000000000001E-2</v>
      </c>
      <c r="K39" s="118">
        <v>1.1476249999999999</v>
      </c>
      <c r="L39" s="189">
        <v>1.116358</v>
      </c>
      <c r="M39" s="191">
        <f>Table711[[#This Row],[G2AIMD-OOM-Fixed]]/Table711[[#This Row],[gpu-layered]]</f>
        <v>2.4993996893497332</v>
      </c>
      <c r="N39" s="191">
        <f>Table711[[#This Row],[gpu-layered]]/Table711[[#This Row],[CPU+GPU (1)]]</f>
        <v>0.10378390153578043</v>
      </c>
      <c r="O39" s="107">
        <v>5.9955879999999997</v>
      </c>
      <c r="P39" s="107">
        <v>6.4270440000000004</v>
      </c>
      <c r="Q39" s="107">
        <v>1.0057259999999999</v>
      </c>
      <c r="AM39" s="62" t="s">
        <v>1438</v>
      </c>
      <c r="AN39">
        <v>24</v>
      </c>
      <c r="AP39" s="2">
        <v>1.2497990000000001</v>
      </c>
      <c r="AQ39" s="88">
        <f ca="1">Table7[[#This Row],[cpuchunk=1]]/Table7[[#This Row],[CPU Only (30m X)]]</f>
        <v>1.0711843633356048</v>
      </c>
      <c r="AT39" s="88" t="e">
        <f ca="1">Table7[[#This Row],[cpuchunk=1]]/Table7[[#This Row],[GPU_chunk10_ratio]]</f>
        <v>#DIV/0!</v>
      </c>
      <c r="AU39" s="2">
        <v>1.1667449999999999</v>
      </c>
    </row>
    <row r="40" spans="2:47" ht="26" hidden="1" x14ac:dyDescent="0.35">
      <c r="B40" s="81">
        <f>VLOOKUP('SM2'!D40, MC!$E$6:$W$33,19, FALSE)</f>
        <v>1</v>
      </c>
      <c r="C40" s="81"/>
      <c r="D40" s="78" t="s">
        <v>1408</v>
      </c>
      <c r="E40" s="81">
        <v>7</v>
      </c>
      <c r="F40" s="188">
        <v>0.49902999999999997</v>
      </c>
      <c r="G40" s="118">
        <v>0.48244199999999998</v>
      </c>
      <c r="H40" s="189">
        <v>0.24563299999999999</v>
      </c>
      <c r="I40" s="118">
        <v>0.26269995584233169</v>
      </c>
      <c r="J40" s="116" t="s">
        <v>3965</v>
      </c>
      <c r="K40" s="189">
        <v>1.57</v>
      </c>
      <c r="L40" s="118">
        <v>3.02</v>
      </c>
      <c r="M40" s="191">
        <f>Table711[[#This Row],[G2AIMD-OOM-Fixed]]/Table711[[#This Row],[gpu-layered]]</f>
        <v>2.0316081308293268</v>
      </c>
      <c r="N40" s="191">
        <f>Table711[[#This Row],[gpu-layered]]/Table711[[#This Row],[CPU+GPU (1)]]</f>
        <v>0.15645414012738854</v>
      </c>
      <c r="O40" s="118" t="s">
        <v>3965</v>
      </c>
      <c r="P40" s="118">
        <v>10.162416</v>
      </c>
      <c r="Q40" s="136">
        <v>1.330838</v>
      </c>
      <c r="AM40" s="62" t="s">
        <v>1433</v>
      </c>
      <c r="AN40">
        <v>25</v>
      </c>
      <c r="AP40" s="2">
        <v>1.3173029999999999</v>
      </c>
      <c r="AQ40" s="88">
        <f ca="1">Table7[[#This Row],[cpuchunk=1]]/Table7[[#This Row],[CPU Only (30m X)]]</f>
        <v>0.95527831219320458</v>
      </c>
      <c r="AT40" s="88" t="e">
        <f ca="1">Table7[[#This Row],[cpuchunk=1]]/Table7[[#This Row],[GPU_chunk10_ratio]]</f>
        <v>#DIV/0!</v>
      </c>
      <c r="AU40" s="2">
        <v>1.378973</v>
      </c>
    </row>
    <row r="41" spans="2:47" ht="26" hidden="1" x14ac:dyDescent="0.35">
      <c r="B41" s="81">
        <f>VLOOKUP('SM2'!D41, MC!$E$6:$W$33,19, FALSE)</f>
        <v>1</v>
      </c>
      <c r="C41" s="81"/>
      <c r="D41" s="78" t="s">
        <v>1408</v>
      </c>
      <c r="E41" s="81">
        <v>8</v>
      </c>
      <c r="F41" s="188">
        <v>0.49480800000000003</v>
      </c>
      <c r="G41" s="118">
        <v>0.46587699999999999</v>
      </c>
      <c r="H41" s="189">
        <v>0.245477</v>
      </c>
      <c r="I41" s="118">
        <v>0.31520834425239042</v>
      </c>
      <c r="J41" s="116" t="s">
        <v>3965</v>
      </c>
      <c r="K41" s="189">
        <v>1.76</v>
      </c>
      <c r="L41" s="118">
        <v>3.48</v>
      </c>
      <c r="M41" s="191">
        <f>Table711[[#This Row],[G2AIMD-OOM-Fixed]]/Table711[[#This Row],[gpu-layered]]</f>
        <v>2.0157000452180855</v>
      </c>
      <c r="N41" s="191">
        <f>Table711[[#This Row],[gpu-layered]]/Table711[[#This Row],[CPU+GPU (1)]]</f>
        <v>0.13947556818181819</v>
      </c>
      <c r="O41" s="118" t="s">
        <v>3965</v>
      </c>
      <c r="P41" s="118">
        <v>10.326929</v>
      </c>
      <c r="Q41" s="136">
        <v>1.23197</v>
      </c>
      <c r="AM41" s="62" t="s">
        <v>1455</v>
      </c>
      <c r="AN41">
        <v>24</v>
      </c>
      <c r="AP41" s="2">
        <v>1.3242640000000001</v>
      </c>
      <c r="AQ41" s="88">
        <f ca="1">Table7[[#This Row],[cpuchunk=1]]/Table7[[#This Row],[CPU Only (30m X)]]</f>
        <v>0.86553202614379088</v>
      </c>
      <c r="AT41" s="88" t="e">
        <f ca="1">Table7[[#This Row],[cpuchunk=1]]/Table7[[#This Row],[GPU_chunk10_ratio]]</f>
        <v>#DIV/0!</v>
      </c>
      <c r="AU41" s="2">
        <v>1.53</v>
      </c>
    </row>
    <row r="42" spans="2:47" ht="26" hidden="1" x14ac:dyDescent="0.35">
      <c r="B42" s="81">
        <f>VLOOKUP('SM2'!D42, MC!$E$6:$W$33,19, FALSE)</f>
        <v>1</v>
      </c>
      <c r="C42" s="81"/>
      <c r="D42" s="78" t="s">
        <v>1408</v>
      </c>
      <c r="E42" s="81">
        <v>9</v>
      </c>
      <c r="F42" s="188">
        <v>0.29067999999999999</v>
      </c>
      <c r="G42" s="118">
        <v>0.286084</v>
      </c>
      <c r="H42" s="123">
        <v>0.11536100000000001</v>
      </c>
      <c r="I42" s="63">
        <v>0.12678169053716326</v>
      </c>
      <c r="J42" s="116">
        <v>0.26462599999999997</v>
      </c>
      <c r="K42" s="118">
        <v>1.2056249999999999</v>
      </c>
      <c r="L42" s="189">
        <v>1.2012719999999999</v>
      </c>
      <c r="M42" s="191">
        <f>Table711[[#This Row],[G2AIMD-OOM-Fixed]]/Table711[[#This Row],[gpu-layered]]</f>
        <v>2.5197423739391995</v>
      </c>
      <c r="N42" s="191">
        <f>Table711[[#This Row],[gpu-layered]]/Table711[[#This Row],[CPU+GPU (1)]]</f>
        <v>9.5685640228097474E-2</v>
      </c>
      <c r="O42" s="107">
        <v>0.15007699999999999</v>
      </c>
      <c r="P42" s="107">
        <v>6.8548049999999998</v>
      </c>
      <c r="Q42" s="107">
        <v>1.0088820000000001</v>
      </c>
      <c r="AM42" s="62" t="s">
        <v>1408</v>
      </c>
      <c r="AN42">
        <v>8</v>
      </c>
      <c r="AP42" s="2">
        <v>1.359286</v>
      </c>
      <c r="AQ42" s="88">
        <f ca="1">Table7[[#This Row],[cpuchunk=1]]/Table7[[#This Row],[CPU Only (30m X)]]</f>
        <v>5.23718815619642</v>
      </c>
      <c r="AT42" s="88" t="e">
        <f ca="1">Table7[[#This Row],[cpuchunk=1]]/Table7[[#This Row],[GPU_chunk10_ratio]]</f>
        <v>#DIV/0!</v>
      </c>
      <c r="AU42" s="2">
        <v>0.25954500000000003</v>
      </c>
    </row>
    <row r="43" spans="2:47" ht="26" hidden="1" x14ac:dyDescent="0.35">
      <c r="B43" s="81">
        <f>VLOOKUP('SM2'!D43, MC!$E$6:$W$33,19, FALSE)</f>
        <v>1</v>
      </c>
      <c r="C43" s="81"/>
      <c r="D43" s="78" t="s">
        <v>2</v>
      </c>
      <c r="E43" s="81">
        <v>2</v>
      </c>
      <c r="F43" s="188">
        <v>12.040905</v>
      </c>
      <c r="G43" s="118">
        <v>12.089710999999999</v>
      </c>
      <c r="H43" s="189">
        <v>11.733611</v>
      </c>
      <c r="I43" s="118">
        <v>11.763057</v>
      </c>
      <c r="J43" s="116" t="s">
        <v>3965</v>
      </c>
      <c r="K43" s="189">
        <v>12.41</v>
      </c>
      <c r="L43" s="118">
        <v>16.29</v>
      </c>
      <c r="M43" s="191">
        <f>Table711[[#This Row],[G2AIMD-OOM-Fixed]]/Table711[[#This Row],[gpu-layered]]</f>
        <v>1.0261892097837571</v>
      </c>
      <c r="N43" s="191">
        <f>Table711[[#This Row],[gpu-layered]]/Table711[[#This Row],[CPU+GPU (1)]]</f>
        <v>0.94549645447219977</v>
      </c>
      <c r="O43" s="118" t="s">
        <v>3965</v>
      </c>
      <c r="P43" s="118" t="s">
        <v>3904</v>
      </c>
      <c r="Q43" s="136" t="s">
        <v>3904</v>
      </c>
      <c r="AM43" s="62" t="s">
        <v>1408</v>
      </c>
      <c r="AN43">
        <v>25</v>
      </c>
      <c r="AP43" s="2">
        <v>1.3638410000000001</v>
      </c>
      <c r="AQ43" s="88">
        <f ca="1">Table7[[#This Row],[cpuchunk=1]]/Table7[[#This Row],[CPU Only (30m X)]]</f>
        <v>1.0701005415465541</v>
      </c>
      <c r="AT43" s="88" t="e">
        <f ca="1">Table7[[#This Row],[cpuchunk=1]]/Table7[[#This Row],[GPU_chunk10_ratio]]</f>
        <v>#DIV/0!</v>
      </c>
      <c r="AU43" s="2">
        <v>1.2744979999999999</v>
      </c>
    </row>
    <row r="44" spans="2:47" ht="26" hidden="1" x14ac:dyDescent="0.35">
      <c r="B44" s="81">
        <f>VLOOKUP('SM2'!D44, MC!$E$6:$W$33,19, FALSE)</f>
        <v>1</v>
      </c>
      <c r="C44" s="81"/>
      <c r="D44" s="78" t="s">
        <v>2</v>
      </c>
      <c r="E44" s="81">
        <v>5</v>
      </c>
      <c r="F44" s="188">
        <v>328.71163000000001</v>
      </c>
      <c r="G44" s="118">
        <v>336.75841400000002</v>
      </c>
      <c r="H44" s="123">
        <v>307.54375700000003</v>
      </c>
      <c r="I44" s="63">
        <v>319.80094300000002</v>
      </c>
      <c r="J44" s="116" t="s">
        <v>3965</v>
      </c>
      <c r="K44" s="189">
        <v>321.45</v>
      </c>
      <c r="L44" s="118">
        <v>322.49</v>
      </c>
      <c r="M44" s="191">
        <f>Table711[[#This Row],[G2AIMD-OOM-Fixed]]/Table711[[#This Row],[gpu-layered]]</f>
        <v>1.0688288170973992</v>
      </c>
      <c r="N44" s="191">
        <f>Table711[[#This Row],[gpu-layered]]/Table711[[#This Row],[CPU+GPU (1)]]</f>
        <v>0.95673901695442543</v>
      </c>
      <c r="O44" s="107" t="s">
        <v>3965</v>
      </c>
      <c r="P44" s="107" t="s">
        <v>3904</v>
      </c>
      <c r="Q44" s="107" t="s">
        <v>3904</v>
      </c>
      <c r="AM44" s="62" t="s">
        <v>1448</v>
      </c>
      <c r="AN44">
        <v>25</v>
      </c>
      <c r="AP44" s="2">
        <v>1.3693169999999999</v>
      </c>
      <c r="AQ44" s="88">
        <f ca="1">Table7[[#This Row],[cpuchunk=1]]/Table7[[#This Row],[CPU Only (30m X)]]</f>
        <v>0.92803025938845507</v>
      </c>
      <c r="AT44" s="88" t="e">
        <f ca="1">Table7[[#This Row],[cpuchunk=1]]/Table7[[#This Row],[GPU_chunk10_ratio]]</f>
        <v>#DIV/0!</v>
      </c>
      <c r="AU44" s="2">
        <v>1.475509</v>
      </c>
    </row>
    <row r="45" spans="2:47" ht="26" hidden="1" x14ac:dyDescent="0.35">
      <c r="B45" s="81">
        <f>VLOOKUP('SM2'!D45, MC!$E$6:$W$33,19, FALSE)</f>
        <v>1</v>
      </c>
      <c r="C45" s="81"/>
      <c r="D45" s="78" t="s">
        <v>2</v>
      </c>
      <c r="E45" s="81">
        <v>7</v>
      </c>
      <c r="F45" s="81"/>
      <c r="G45" s="118" t="s">
        <v>3965</v>
      </c>
      <c r="H45" s="118" t="s">
        <v>3965</v>
      </c>
      <c r="I45" s="118"/>
      <c r="J45" s="116"/>
      <c r="K45" s="118"/>
      <c r="L45" s="118"/>
      <c r="M45" s="118" t="e">
        <f>Table711[[#This Row],[G2AIMD-OOM-Fixed]]/Table711[[#This Row],[gpu-layered]]</f>
        <v>#VALUE!</v>
      </c>
      <c r="N45" s="118" t="e">
        <f>Table711[[#This Row],[gpu-layered]]/Table711[[#This Row],[CPU+GPU (1)]]</f>
        <v>#VALUE!</v>
      </c>
      <c r="O45" s="118"/>
      <c r="P45" s="118"/>
      <c r="Q45" s="136"/>
      <c r="AM45" s="62" t="s">
        <v>1391</v>
      </c>
      <c r="AN45">
        <v>24</v>
      </c>
      <c r="AP45" s="2">
        <v>1.4042870000000001</v>
      </c>
      <c r="AQ45" s="88">
        <f ca="1">Table7[[#This Row],[cpuchunk=1]]/Table7[[#This Row],[CPU Only (30m X)]]</f>
        <v>0.82820890425703209</v>
      </c>
      <c r="AT45" s="88" t="e">
        <f ca="1">Table7[[#This Row],[cpuchunk=1]]/Table7[[#This Row],[GPU_chunk10_ratio]]</f>
        <v>#DIV/0!</v>
      </c>
      <c r="AU45" s="2">
        <v>1.6955709999999999</v>
      </c>
    </row>
    <row r="46" spans="2:47" ht="26" hidden="1" x14ac:dyDescent="0.35">
      <c r="B46" s="81">
        <f>VLOOKUP('SM2'!D46, MC!$E$6:$W$33,19, FALSE)</f>
        <v>1</v>
      </c>
      <c r="C46" s="81"/>
      <c r="D46" s="78" t="s">
        <v>2</v>
      </c>
      <c r="E46" s="81">
        <v>8</v>
      </c>
      <c r="F46" s="81"/>
      <c r="G46" s="118" t="s">
        <v>3965</v>
      </c>
      <c r="H46" s="63" t="s">
        <v>3965</v>
      </c>
      <c r="I46" s="118"/>
      <c r="J46" s="116"/>
      <c r="K46" s="63"/>
      <c r="L46" s="63"/>
      <c r="M46" s="107" t="e">
        <f>Table711[[#This Row],[G2AIMD-OOM-Fixed]]/Table711[[#This Row],[gpu-layered]]</f>
        <v>#VALUE!</v>
      </c>
      <c r="N46" s="107" t="e">
        <f>Table711[[#This Row],[gpu-layered]]/Table711[[#This Row],[CPU+GPU (1)]]</f>
        <v>#VALUE!</v>
      </c>
      <c r="O46" s="107"/>
      <c r="P46" s="107"/>
      <c r="Q46" s="107"/>
      <c r="AM46" s="62" t="s">
        <v>1431</v>
      </c>
      <c r="AN46">
        <v>24</v>
      </c>
      <c r="AP46" s="2">
        <v>1.43831</v>
      </c>
      <c r="AQ46" s="88">
        <f ca="1">Table7[[#This Row],[cpuchunk=1]]/Table7[[#This Row],[CPU Only (30m X)]]</f>
        <v>0.91949151187953282</v>
      </c>
      <c r="AT46" s="88" t="e">
        <f ca="1">Table7[[#This Row],[cpuchunk=1]]/Table7[[#This Row],[GPU_chunk10_ratio]]</f>
        <v>#DIV/0!</v>
      </c>
      <c r="AU46" s="2">
        <v>1.5642450000000001</v>
      </c>
    </row>
    <row r="47" spans="2:47" ht="26" hidden="1" x14ac:dyDescent="0.35">
      <c r="B47" s="81">
        <f>VLOOKUP('SM2'!D47, MC!$E$6:$W$33,19, FALSE)</f>
        <v>1</v>
      </c>
      <c r="C47" s="81"/>
      <c r="D47" s="78" t="s">
        <v>2</v>
      </c>
      <c r="E47" s="81">
        <v>9</v>
      </c>
      <c r="F47" s="188">
        <v>21.998546000000001</v>
      </c>
      <c r="G47" s="118">
        <v>22.404679000000002</v>
      </c>
      <c r="H47" s="118">
        <v>21.201816999999998</v>
      </c>
      <c r="I47" s="189">
        <v>21.194655999999998</v>
      </c>
      <c r="J47" s="116" t="s">
        <v>3965</v>
      </c>
      <c r="K47" s="189">
        <v>23.74</v>
      </c>
      <c r="L47" s="118">
        <v>24.29</v>
      </c>
      <c r="M47" s="191">
        <f>Table711[[#This Row],[G2AIMD-OOM-Fixed]]/Table711[[#This Row],[gpu-layered]]</f>
        <v>1.0375783358567807</v>
      </c>
      <c r="N47" s="191">
        <f>Table711[[#This Row],[gpu-layered]]/Table711[[#This Row],[CPU+GPU (1)]]</f>
        <v>0.89308411962931755</v>
      </c>
      <c r="O47" s="118">
        <v>230.20706300000001</v>
      </c>
      <c r="P47" s="118" t="s">
        <v>3904</v>
      </c>
      <c r="Q47" s="136" t="s">
        <v>3904</v>
      </c>
      <c r="AM47" s="62" t="s">
        <v>1440</v>
      </c>
      <c r="AN47">
        <v>25</v>
      </c>
      <c r="AP47" s="2">
        <v>1.476593</v>
      </c>
      <c r="AQ47" s="88">
        <f ca="1">Table7[[#This Row],[cpuchunk=1]]/Table7[[#This Row],[CPU Only (30m X)]]</f>
        <v>1.1271702290076335</v>
      </c>
      <c r="AT47" s="88" t="e">
        <f ca="1">Table7[[#This Row],[cpuchunk=1]]/Table7[[#This Row],[GPU_chunk10_ratio]]</f>
        <v>#DIV/0!</v>
      </c>
      <c r="AU47" s="2">
        <v>1.31</v>
      </c>
    </row>
    <row r="48" spans="2:47" ht="26" hidden="1" x14ac:dyDescent="0.35">
      <c r="B48" s="81">
        <f>VLOOKUP('SM2'!D48, MC!$E$6:$W$33,19, FALSE)</f>
        <v>2</v>
      </c>
      <c r="C48" s="81"/>
      <c r="D48" s="78" t="s">
        <v>1423</v>
      </c>
      <c r="E48" s="81">
        <v>2</v>
      </c>
      <c r="F48" s="188">
        <v>10.702189000000001</v>
      </c>
      <c r="G48" s="118">
        <v>10.707806</v>
      </c>
      <c r="H48" s="189">
        <v>10.022385</v>
      </c>
      <c r="I48" s="118">
        <v>10.269190999999999</v>
      </c>
      <c r="J48" s="116" t="s">
        <v>3965</v>
      </c>
      <c r="K48" s="189">
        <v>11.41</v>
      </c>
      <c r="L48" s="118">
        <v>13.82</v>
      </c>
      <c r="M48" s="191">
        <f>Table711[[#This Row],[G2AIMD-OOM-Fixed]]/Table711[[#This Row],[gpu-layered]]</f>
        <v>1.0678285657555562</v>
      </c>
      <c r="N48" s="191">
        <f>Table711[[#This Row],[gpu-layered]]/Table711[[#This Row],[CPU+GPU (1)]]</f>
        <v>0.87838606485538995</v>
      </c>
      <c r="O48" s="118" t="s">
        <v>3965</v>
      </c>
      <c r="P48" s="118" t="s">
        <v>3904</v>
      </c>
      <c r="Q48" s="136" t="s">
        <v>3904</v>
      </c>
      <c r="AM48" s="62" t="s">
        <v>1431</v>
      </c>
      <c r="AN48">
        <v>7</v>
      </c>
      <c r="AP48" s="2">
        <v>1.4923439999999999</v>
      </c>
      <c r="AQ48" s="88">
        <f ca="1">Table7[[#This Row],[cpuchunk=1]]/Table7[[#This Row],[CPU Only (30m X)]]</f>
        <v>0.95053757961783425</v>
      </c>
      <c r="AT48" s="88" t="e">
        <f ca="1">Table7[[#This Row],[cpuchunk=1]]/Table7[[#This Row],[GPU_chunk10_ratio]]</f>
        <v>#DIV/0!</v>
      </c>
      <c r="AU48" s="2">
        <v>1.57</v>
      </c>
    </row>
    <row r="49" spans="2:47" ht="26" hidden="1" x14ac:dyDescent="0.35">
      <c r="B49" s="81">
        <f>VLOOKUP('SM2'!D49, MC!$E$6:$W$33,19, FALSE)</f>
        <v>2</v>
      </c>
      <c r="C49" s="81"/>
      <c r="D49" s="78" t="s">
        <v>1423</v>
      </c>
      <c r="E49" s="81">
        <v>5</v>
      </c>
      <c r="F49" s="188">
        <v>165.60964000000001</v>
      </c>
      <c r="G49" s="118">
        <v>168.478545</v>
      </c>
      <c r="H49" s="118">
        <v>160.71696800000001</v>
      </c>
      <c r="I49" s="189">
        <v>160.52285000000001</v>
      </c>
      <c r="J49" s="116" t="s">
        <v>3965</v>
      </c>
      <c r="K49" s="189">
        <v>160.97</v>
      </c>
      <c r="L49" s="118">
        <v>162.88999999999999</v>
      </c>
      <c r="M49" s="191">
        <f>Table711[[#This Row],[G2AIMD-OOM-Fixed]]/Table711[[#This Row],[gpu-layered]]</f>
        <v>1.0304427843611386</v>
      </c>
      <c r="N49" s="191">
        <f>Table711[[#This Row],[gpu-layered]]/Table711[[#This Row],[CPU+GPU (1)]]</f>
        <v>0.99842807976641612</v>
      </c>
      <c r="O49" s="118" t="s">
        <v>3965</v>
      </c>
      <c r="P49" s="118" t="s">
        <v>3904</v>
      </c>
      <c r="Q49" s="136" t="s">
        <v>3904</v>
      </c>
      <c r="AM49" s="62" t="s">
        <v>1431</v>
      </c>
      <c r="AN49">
        <v>25</v>
      </c>
      <c r="AP49" s="2">
        <v>1.4968319999999999</v>
      </c>
      <c r="AQ49" s="88">
        <f ca="1">Table7[[#This Row],[cpuchunk=1]]/Table7[[#This Row],[CPU Only (30m X)]]</f>
        <v>1.0890549696165397</v>
      </c>
      <c r="AT49" s="88" t="e">
        <f ca="1">Table7[[#This Row],[cpuchunk=1]]/Table7[[#This Row],[GPU_chunk10_ratio]]</f>
        <v>#DIV/0!</v>
      </c>
      <c r="AU49" s="2">
        <v>1.3744320000000001</v>
      </c>
    </row>
    <row r="50" spans="2:47" ht="26" hidden="1" x14ac:dyDescent="0.35">
      <c r="B50" s="81">
        <f>VLOOKUP('SM2'!D50, MC!$E$6:$W$33,19, FALSE)</f>
        <v>2</v>
      </c>
      <c r="C50" s="81"/>
      <c r="D50" s="78" t="s">
        <v>1423</v>
      </c>
      <c r="E50" s="81">
        <v>7</v>
      </c>
      <c r="F50" s="81"/>
      <c r="G50" s="118" t="s">
        <v>3965</v>
      </c>
      <c r="H50" s="118" t="s">
        <v>3965</v>
      </c>
      <c r="I50" s="118"/>
      <c r="J50" s="116"/>
      <c r="K50" s="118"/>
      <c r="L50" s="118"/>
      <c r="M50" s="118" t="e">
        <f>Table711[[#This Row],[G2AIMD-OOM-Fixed]]/Table711[[#This Row],[gpu-layered]]</f>
        <v>#VALUE!</v>
      </c>
      <c r="N50" s="118" t="e">
        <f>Table711[[#This Row],[gpu-layered]]/Table711[[#This Row],[CPU+GPU (1)]]</f>
        <v>#VALUE!</v>
      </c>
      <c r="O50" s="118"/>
      <c r="P50" s="118"/>
      <c r="Q50" s="136"/>
      <c r="AM50" s="62" t="s">
        <v>1431</v>
      </c>
      <c r="AN50">
        <v>9</v>
      </c>
      <c r="AP50" s="2">
        <v>1.5036099999999999</v>
      </c>
      <c r="AQ50" s="88">
        <f ca="1">Table7[[#This Row],[cpuchunk=1]]/Table7[[#This Row],[CPU Only (30m X)]]</f>
        <v>7.1284448468930588</v>
      </c>
      <c r="AT50" s="88" t="e">
        <f ca="1">Table7[[#This Row],[cpuchunk=1]]/Table7[[#This Row],[GPU_chunk10_ratio]]</f>
        <v>#DIV/0!</v>
      </c>
      <c r="AU50" s="2">
        <v>0.21093100000000001</v>
      </c>
    </row>
    <row r="51" spans="2:47" ht="26" hidden="1" x14ac:dyDescent="0.35">
      <c r="B51" s="81">
        <f>VLOOKUP('SM2'!D51, MC!$E$6:$W$33,19, FALSE)</f>
        <v>2</v>
      </c>
      <c r="C51" s="81"/>
      <c r="D51" s="78" t="s">
        <v>1423</v>
      </c>
      <c r="E51" s="81">
        <v>8</v>
      </c>
      <c r="F51" s="81"/>
      <c r="G51" s="118" t="s">
        <v>3904</v>
      </c>
      <c r="H51" s="118" t="s">
        <v>3965</v>
      </c>
      <c r="I51" s="118"/>
      <c r="J51" s="116"/>
      <c r="K51" s="118"/>
      <c r="L51" s="118"/>
      <c r="M51" s="118" t="e">
        <f>Table711[[#This Row],[G2AIMD-OOM-Fixed]]/Table711[[#This Row],[gpu-layered]]</f>
        <v>#VALUE!</v>
      </c>
      <c r="N51" s="118" t="e">
        <f>Table711[[#This Row],[gpu-layered]]/Table711[[#This Row],[CPU+GPU (1)]]</f>
        <v>#VALUE!</v>
      </c>
      <c r="O51" s="118"/>
      <c r="P51" s="118"/>
      <c r="Q51" s="136"/>
      <c r="AM51" s="62" t="s">
        <v>1346</v>
      </c>
      <c r="AN51">
        <v>9</v>
      </c>
      <c r="AP51" s="2">
        <v>1.544257</v>
      </c>
      <c r="AQ51" s="88">
        <f ca="1">Table7[[#This Row],[cpuchunk=1]]/Table7[[#This Row],[CPU Only (30m X)]]</f>
        <v>0.70193499999999998</v>
      </c>
      <c r="AT51" s="88" t="e">
        <f ca="1">Table7[[#This Row],[cpuchunk=1]]/Table7[[#This Row],[GPU_chunk10_ratio]]</f>
        <v>#DIV/0!</v>
      </c>
      <c r="AU51" s="2">
        <v>2.2000000000000002</v>
      </c>
    </row>
    <row r="52" spans="2:47" ht="26" hidden="1" x14ac:dyDescent="0.35">
      <c r="B52" s="81">
        <f>VLOOKUP('SM2'!D52, MC!$E$6:$W$33,19, FALSE)</f>
        <v>2</v>
      </c>
      <c r="C52" s="81"/>
      <c r="D52" s="78" t="s">
        <v>1423</v>
      </c>
      <c r="E52" s="81">
        <v>9</v>
      </c>
      <c r="F52" s="188">
        <v>9.2358619999999991</v>
      </c>
      <c r="G52" s="118">
        <v>9.3288729999999997</v>
      </c>
      <c r="H52" s="189">
        <v>8.7597629999999995</v>
      </c>
      <c r="I52" s="118">
        <v>8.7745300000000004</v>
      </c>
      <c r="J52" s="116" t="s">
        <v>3965</v>
      </c>
      <c r="K52" s="189">
        <v>10.8</v>
      </c>
      <c r="L52" s="118">
        <v>11.12</v>
      </c>
      <c r="M52" s="191">
        <f>Table711[[#This Row],[G2AIMD-OOM-Fixed]]/Table711[[#This Row],[gpu-layered]]</f>
        <v>1.0543506713594877</v>
      </c>
      <c r="N52" s="191">
        <f>Table711[[#This Row],[gpu-layered]]/Table711[[#This Row],[CPU+GPU (1)]]</f>
        <v>0.81108916666666653</v>
      </c>
      <c r="O52" s="118">
        <v>292.999188</v>
      </c>
      <c r="P52" s="118" t="s">
        <v>3904</v>
      </c>
      <c r="Q52" s="136" t="s">
        <v>3904</v>
      </c>
      <c r="AM52" s="62" t="s">
        <v>1391</v>
      </c>
      <c r="AN52">
        <v>25</v>
      </c>
      <c r="AP52" s="2">
        <v>1.5655140000000001</v>
      </c>
      <c r="AQ52" s="88">
        <f ca="1">Table7[[#This Row],[cpuchunk=1]]/Table7[[#This Row],[CPU Only (30m X)]]</f>
        <v>1.0204432288607836</v>
      </c>
      <c r="AT52" s="88" t="e">
        <f ca="1">Table7[[#This Row],[cpuchunk=1]]/Table7[[#This Row],[GPU_chunk10_ratio]]</f>
        <v>#DIV/0!</v>
      </c>
      <c r="AU52" s="2">
        <v>1.534151</v>
      </c>
    </row>
    <row r="53" spans="2:47" ht="26" hidden="1" x14ac:dyDescent="0.35">
      <c r="B53" s="81">
        <f>VLOOKUP('SM2'!D53, MC!$E$6:$W$33,19, FALSE)</f>
        <v>1</v>
      </c>
      <c r="C53" s="81"/>
      <c r="D53" s="78" t="s">
        <v>1425</v>
      </c>
      <c r="E53" s="81">
        <v>2</v>
      </c>
      <c r="F53" s="188">
        <v>4.9892200000000004</v>
      </c>
      <c r="G53" s="118">
        <v>5.0220700000000003</v>
      </c>
      <c r="H53" s="189">
        <v>4.7448329999999999</v>
      </c>
      <c r="I53" s="118">
        <v>4.8257435358850627</v>
      </c>
      <c r="J53" s="116" t="s">
        <v>3965</v>
      </c>
      <c r="K53" s="189">
        <v>5.24</v>
      </c>
      <c r="L53" s="118">
        <v>8.66</v>
      </c>
      <c r="M53" s="191">
        <f>Table711[[#This Row],[G2AIMD-OOM-Fixed]]/Table711[[#This Row],[gpu-layered]]</f>
        <v>1.0515059223369929</v>
      </c>
      <c r="N53" s="191">
        <f>Table711[[#This Row],[gpu-layered]]/Table711[[#This Row],[CPU+GPU (1)]]</f>
        <v>0.90550248091603047</v>
      </c>
      <c r="O53" s="118">
        <v>375.49265600000001</v>
      </c>
      <c r="P53" s="118" t="s">
        <v>3904</v>
      </c>
      <c r="Q53" s="136" t="s">
        <v>3904</v>
      </c>
      <c r="AM53" s="62" t="s">
        <v>1438</v>
      </c>
      <c r="AN53">
        <v>25</v>
      </c>
      <c r="AP53" s="2">
        <v>1.742991</v>
      </c>
      <c r="AQ53" s="88">
        <f ca="1">Table7[[#This Row],[cpuchunk=1]]/Table7[[#This Row],[CPU Only (30m X)]]</f>
        <v>0.99529985347374572</v>
      </c>
      <c r="AT53" s="88" t="e">
        <f ca="1">Table7[[#This Row],[cpuchunk=1]]/Table7[[#This Row],[GPU_chunk10_ratio]]</f>
        <v>#DIV/0!</v>
      </c>
      <c r="AU53" s="2">
        <v>1.7512220000000001</v>
      </c>
    </row>
    <row r="54" spans="2:47" ht="26" hidden="1" x14ac:dyDescent="0.35">
      <c r="B54" s="81">
        <f>VLOOKUP('SM2'!D54, MC!$E$6:$W$33,19, FALSE)</f>
        <v>1</v>
      </c>
      <c r="C54" s="81"/>
      <c r="D54" s="78" t="s">
        <v>1425</v>
      </c>
      <c r="E54" s="81">
        <v>5</v>
      </c>
      <c r="F54" s="188">
        <v>105.049048</v>
      </c>
      <c r="G54" s="118">
        <v>107.649175</v>
      </c>
      <c r="H54" s="63">
        <v>101.99352</v>
      </c>
      <c r="I54" s="123">
        <v>101.85091199999999</v>
      </c>
      <c r="J54" s="116" t="s">
        <v>3965</v>
      </c>
      <c r="K54" s="189">
        <v>102.62</v>
      </c>
      <c r="L54" s="118">
        <v>104.72</v>
      </c>
      <c r="M54" s="191">
        <f>Table711[[#This Row],[G2AIMD-OOM-Fixed]]/Table711[[#This Row],[gpu-layered]]</f>
        <v>1.0299580600806797</v>
      </c>
      <c r="N54" s="191">
        <f>Table711[[#This Row],[gpu-layered]]/Table711[[#This Row],[CPU+GPU (1)]]</f>
        <v>0.99389514714480609</v>
      </c>
      <c r="O54" s="107" t="s">
        <v>3965</v>
      </c>
      <c r="P54" s="107" t="s">
        <v>3904</v>
      </c>
      <c r="Q54" s="107" t="s">
        <v>3904</v>
      </c>
      <c r="AM54" s="62" t="s">
        <v>1391</v>
      </c>
      <c r="AN54">
        <v>2</v>
      </c>
      <c r="AP54" s="2">
        <v>1.8836040000000001</v>
      </c>
      <c r="AQ54" s="88">
        <f ca="1">Table7[[#This Row],[cpuchunk=1]]/Table7[[#This Row],[CPU Only (30m X)]]</f>
        <v>2.7452101751532481</v>
      </c>
      <c r="AT54" s="88" t="e">
        <f ca="1">Table7[[#This Row],[cpuchunk=1]]/Table7[[#This Row],[GPU_chunk10_ratio]]</f>
        <v>#DIV/0!</v>
      </c>
      <c r="AU54" s="2">
        <v>0.68614200000000003</v>
      </c>
    </row>
    <row r="55" spans="2:47" ht="26" hidden="1" x14ac:dyDescent="0.35">
      <c r="B55" s="81">
        <f>VLOOKUP('SM2'!D55, MC!$E$6:$W$33,19, FALSE)</f>
        <v>1</v>
      </c>
      <c r="C55" s="81"/>
      <c r="D55" s="78" t="s">
        <v>1425</v>
      </c>
      <c r="E55" s="81">
        <v>7</v>
      </c>
      <c r="F55" s="188">
        <v>419.400373</v>
      </c>
      <c r="G55" s="118">
        <v>427.36186600000002</v>
      </c>
      <c r="H55" s="189">
        <v>410.196732</v>
      </c>
      <c r="I55" s="118">
        <v>415.55</v>
      </c>
      <c r="J55" s="116" t="s">
        <v>3965</v>
      </c>
      <c r="K55" s="118">
        <v>417.22</v>
      </c>
      <c r="L55" s="189">
        <v>413.15</v>
      </c>
      <c r="M55" s="191">
        <f>Table711[[#This Row],[G2AIMD-OOM-Fixed]]/Table711[[#This Row],[gpu-layered]]</f>
        <v>1.0224371387727194</v>
      </c>
      <c r="N55" s="191">
        <f>Table711[[#This Row],[gpu-layered]]/Table711[[#This Row],[CPU+GPU (1)]]</f>
        <v>0.9831665116724988</v>
      </c>
      <c r="O55" s="118" t="s">
        <v>3965</v>
      </c>
      <c r="P55" s="118" t="s">
        <v>3904</v>
      </c>
      <c r="Q55" s="136" t="s">
        <v>3904</v>
      </c>
      <c r="AM55" s="62" t="s">
        <v>3919</v>
      </c>
      <c r="AN55">
        <v>5</v>
      </c>
      <c r="AP55" s="2">
        <v>2.0098569999999998</v>
      </c>
      <c r="AQ55" s="88">
        <f ca="1">Table7[[#This Row],[cpuchunk=1]]/Table7[[#This Row],[CPU Only (30m X)]]</f>
        <v>1.0267573615056091</v>
      </c>
      <c r="AT55" s="88" t="e">
        <f ca="1">Table7[[#This Row],[cpuchunk=1]]/Table7[[#This Row],[GPU_chunk10_ratio]]</f>
        <v>#DIV/0!</v>
      </c>
      <c r="AU55" s="2">
        <v>1.9574800000000001</v>
      </c>
    </row>
    <row r="56" spans="2:47" ht="26" hidden="1" x14ac:dyDescent="0.35">
      <c r="B56" s="81">
        <f>VLOOKUP('SM2'!D56, MC!$E$6:$W$33,19, FALSE)</f>
        <v>1</v>
      </c>
      <c r="C56" s="81"/>
      <c r="D56" s="78" t="s">
        <v>1425</v>
      </c>
      <c r="E56" s="81">
        <v>8</v>
      </c>
      <c r="F56" s="188">
        <v>358.58199999999999</v>
      </c>
      <c r="G56" s="118" t="s">
        <v>3904</v>
      </c>
      <c r="H56" s="189">
        <v>327.26592900000003</v>
      </c>
      <c r="I56" s="118">
        <v>332.7</v>
      </c>
      <c r="J56" s="116" t="s">
        <v>3965</v>
      </c>
      <c r="K56" s="189">
        <v>317.02999999999997</v>
      </c>
      <c r="L56" s="118">
        <v>358.73</v>
      </c>
      <c r="M56" s="191">
        <f>Table711[[#This Row],[G2AIMD-OOM-Fixed]]/Table711[[#This Row],[gpu-layered]]</f>
        <v>1.0956899824423825</v>
      </c>
      <c r="N56" s="191">
        <f>Table711[[#This Row],[gpu-layered]]/Table711[[#This Row],[CPU+GPU (1)]]</f>
        <v>1.0322869412989308</v>
      </c>
      <c r="O56" s="118" t="s">
        <v>3965</v>
      </c>
      <c r="P56" s="118" t="s">
        <v>3904</v>
      </c>
      <c r="Q56" s="136" t="s">
        <v>3904</v>
      </c>
      <c r="AM56" s="62" t="s">
        <v>1431</v>
      </c>
      <c r="AN56">
        <v>2</v>
      </c>
      <c r="AP56" s="2">
        <v>2.023552</v>
      </c>
      <c r="AQ56" s="88">
        <f ca="1">Table7[[#This Row],[cpuchunk=1]]/Table7[[#This Row],[CPU Only (30m X)]]</f>
        <v>3.3839341257684104</v>
      </c>
      <c r="AT56" s="88" t="e">
        <f ca="1">Table7[[#This Row],[cpuchunk=1]]/Table7[[#This Row],[GPU_chunk10_ratio]]</f>
        <v>#DIV/0!</v>
      </c>
      <c r="AU56" s="2">
        <v>0.59798799999999996</v>
      </c>
    </row>
    <row r="57" spans="2:47" ht="26" hidden="1" x14ac:dyDescent="0.35">
      <c r="B57" s="81">
        <f>VLOOKUP('SM2'!D57, MC!$E$6:$W$33,19, FALSE)</f>
        <v>1</v>
      </c>
      <c r="C57" s="81"/>
      <c r="D57" s="78" t="s">
        <v>1425</v>
      </c>
      <c r="E57" s="81">
        <v>9</v>
      </c>
      <c r="F57" s="188">
        <v>5.7796110000000001</v>
      </c>
      <c r="G57" s="118">
        <v>5.9450969999999996</v>
      </c>
      <c r="H57" s="123">
        <v>5.3541270000000001</v>
      </c>
      <c r="I57" s="63">
        <v>5.3969433209302045</v>
      </c>
      <c r="J57" s="116" t="s">
        <v>3965</v>
      </c>
      <c r="K57" s="189">
        <v>6.81</v>
      </c>
      <c r="L57" s="118">
        <v>7.83</v>
      </c>
      <c r="M57" s="191">
        <f>Table711[[#This Row],[G2AIMD-OOM-Fixed]]/Table711[[#This Row],[gpu-layered]]</f>
        <v>1.0794684175403384</v>
      </c>
      <c r="N57" s="191">
        <f>Table711[[#This Row],[gpu-layered]]/Table711[[#This Row],[CPU+GPU (1)]]</f>
        <v>0.78621541850220267</v>
      </c>
      <c r="O57" s="107">
        <v>92.629741999999993</v>
      </c>
      <c r="P57" s="107" t="s">
        <v>3904</v>
      </c>
      <c r="Q57" s="107" t="s">
        <v>3904</v>
      </c>
      <c r="AM57" s="62" t="s">
        <v>1</v>
      </c>
      <c r="AN57">
        <v>24</v>
      </c>
      <c r="AP57" s="2">
        <v>2.031037</v>
      </c>
      <c r="AQ57" s="88">
        <f ca="1">Table7[[#This Row],[cpuchunk=1]]/Table7[[#This Row],[CPU Only (30m X)]]</f>
        <v>0.84627458464133365</v>
      </c>
      <c r="AT57" s="88" t="e">
        <f ca="1">Table7[[#This Row],[cpuchunk=1]]/Table7[[#This Row],[GPU_chunk10_ratio]]</f>
        <v>#DIV/0!</v>
      </c>
      <c r="AU57" s="2">
        <v>2.3999739999999998</v>
      </c>
    </row>
    <row r="58" spans="2:47" ht="26" hidden="1" x14ac:dyDescent="0.35">
      <c r="B58" s="81">
        <f>VLOOKUP('SM2'!D58, MC!$E$6:$W$33,19, FALSE)</f>
        <v>1</v>
      </c>
      <c r="C58" s="81"/>
      <c r="D58" s="78" t="s">
        <v>3</v>
      </c>
      <c r="E58" s="81">
        <v>2</v>
      </c>
      <c r="F58" s="188">
        <v>2.1334270000000002</v>
      </c>
      <c r="G58" s="118">
        <v>2.1593279999999999</v>
      </c>
      <c r="H58" s="123">
        <v>1.934048</v>
      </c>
      <c r="I58" s="63">
        <v>1.9600242111094703</v>
      </c>
      <c r="J58" s="116">
        <v>224.57836800000001</v>
      </c>
      <c r="K58" s="189">
        <v>2.77</v>
      </c>
      <c r="L58" s="118">
        <v>6.52</v>
      </c>
      <c r="M58" s="191">
        <f>Table711[[#This Row],[G2AIMD-OOM-Fixed]]/Table711[[#This Row],[gpu-layered]]</f>
        <v>1.103088961597644</v>
      </c>
      <c r="N58" s="191">
        <f>Table711[[#This Row],[gpu-layered]]/Table711[[#This Row],[CPU+GPU (1)]]</f>
        <v>0.69821227436823108</v>
      </c>
      <c r="O58" s="107">
        <v>72.018461000000002</v>
      </c>
      <c r="P58" s="107" t="s">
        <v>3904</v>
      </c>
      <c r="Q58" s="107" t="s">
        <v>3904</v>
      </c>
      <c r="AM58" s="62" t="s">
        <v>1436</v>
      </c>
      <c r="AN58">
        <v>25</v>
      </c>
      <c r="AP58" s="2">
        <v>2.174401</v>
      </c>
      <c r="AQ58" s="88">
        <f ca="1">Table7[[#This Row],[cpuchunk=1]]/Table7[[#This Row],[CPU Only (30m X)]]</f>
        <v>0.87325341365461839</v>
      </c>
      <c r="AT58" s="88" t="e">
        <f ca="1">Table7[[#This Row],[cpuchunk=1]]/Table7[[#This Row],[GPU_chunk10_ratio]]</f>
        <v>#DIV/0!</v>
      </c>
      <c r="AU58" s="2">
        <v>2.4900000000000002</v>
      </c>
    </row>
    <row r="59" spans="2:47" ht="26" hidden="1" x14ac:dyDescent="0.35">
      <c r="B59" s="81">
        <f>VLOOKUP('SM2'!D59, MC!$E$6:$W$33,19, FALSE)</f>
        <v>1</v>
      </c>
      <c r="C59" s="81"/>
      <c r="D59" s="78" t="s">
        <v>3</v>
      </c>
      <c r="E59" s="81">
        <v>5</v>
      </c>
      <c r="F59" s="188">
        <v>63.467139000000003</v>
      </c>
      <c r="G59" s="118">
        <v>64.548190000000005</v>
      </c>
      <c r="H59" s="123">
        <v>58.218336000000001</v>
      </c>
      <c r="I59" s="63">
        <v>64.66</v>
      </c>
      <c r="J59" s="116" t="s">
        <v>3965</v>
      </c>
      <c r="K59" s="189">
        <v>58.99</v>
      </c>
      <c r="L59" s="118">
        <v>61.05</v>
      </c>
      <c r="M59" s="191">
        <f>Table711[[#This Row],[G2AIMD-OOM-Fixed]]/Table711[[#This Row],[gpu-layered]]</f>
        <v>1.0901572143868901</v>
      </c>
      <c r="N59" s="191">
        <f>Table711[[#This Row],[gpu-layered]]/Table711[[#This Row],[CPU+GPU (1)]]</f>
        <v>0.98691873198847258</v>
      </c>
      <c r="O59" s="107" t="s">
        <v>3965</v>
      </c>
      <c r="P59" s="107" t="s">
        <v>3904</v>
      </c>
      <c r="Q59" s="107" t="s">
        <v>3904</v>
      </c>
      <c r="AM59" s="62" t="s">
        <v>1449</v>
      </c>
      <c r="AN59">
        <v>25</v>
      </c>
      <c r="AP59" s="2">
        <v>2.2564649999999999</v>
      </c>
      <c r="AQ59" s="88">
        <f ca="1">Table7[[#This Row],[cpuchunk=1]]/Table7[[#This Row],[CPU Only (30m X)]]</f>
        <v>0.97049377889430377</v>
      </c>
      <c r="AT59" s="88" t="e">
        <f ca="1">Table7[[#This Row],[cpuchunk=1]]/Table7[[#This Row],[GPU_chunk10_ratio]]</f>
        <v>#DIV/0!</v>
      </c>
      <c r="AU59" s="2">
        <v>2.3250690000000001</v>
      </c>
    </row>
    <row r="60" spans="2:47" ht="26" hidden="1" x14ac:dyDescent="0.35">
      <c r="B60" s="81">
        <f>VLOOKUP('SM2'!D60, MC!$E$6:$W$33,19, FALSE)</f>
        <v>1</v>
      </c>
      <c r="C60" s="81"/>
      <c r="D60" s="78" t="s">
        <v>3</v>
      </c>
      <c r="E60" s="81">
        <v>7</v>
      </c>
      <c r="F60" s="188">
        <v>274.768798</v>
      </c>
      <c r="G60" s="118">
        <v>278.19246099999998</v>
      </c>
      <c r="H60" s="123">
        <v>263.42763600000001</v>
      </c>
      <c r="I60" s="63">
        <v>267.73</v>
      </c>
      <c r="J60" s="116" t="s">
        <v>3965</v>
      </c>
      <c r="K60" s="189">
        <v>264.43</v>
      </c>
      <c r="L60" s="118">
        <v>267.24</v>
      </c>
      <c r="M60" s="191">
        <f>Table711[[#This Row],[G2AIMD-OOM-Fixed]]/Table711[[#This Row],[gpu-layered]]</f>
        <v>1.0430522862832812</v>
      </c>
      <c r="N60" s="191">
        <f>Table711[[#This Row],[gpu-layered]]/Table711[[#This Row],[CPU+GPU (1)]]</f>
        <v>0.99620934084634871</v>
      </c>
      <c r="O60" s="107" t="s">
        <v>3965</v>
      </c>
      <c r="P60" s="107" t="s">
        <v>3904</v>
      </c>
      <c r="Q60" s="107" t="s">
        <v>3904</v>
      </c>
      <c r="AM60" s="62" t="s">
        <v>1434</v>
      </c>
      <c r="AN60">
        <v>2</v>
      </c>
      <c r="AP60" s="2">
        <v>2.2730779999999999</v>
      </c>
      <c r="AQ60" s="88">
        <f ca="1">Table7[[#This Row],[cpuchunk=1]]/Table7[[#This Row],[CPU Only (30m X)]]</f>
        <v>0.98241354257922886</v>
      </c>
      <c r="AT60" s="88" t="e">
        <f ca="1">Table7[[#This Row],[cpuchunk=1]]/Table7[[#This Row],[GPU_chunk10_ratio]]</f>
        <v>#DIV/0!</v>
      </c>
      <c r="AU60" s="2">
        <v>2.3137690000000002</v>
      </c>
    </row>
    <row r="61" spans="2:47" ht="26" hidden="1" x14ac:dyDescent="0.35">
      <c r="B61" s="81">
        <f>VLOOKUP('SM2'!D61, MC!$E$6:$W$33,19, FALSE)</f>
        <v>1</v>
      </c>
      <c r="C61" s="81"/>
      <c r="D61" s="78" t="s">
        <v>3</v>
      </c>
      <c r="E61" s="81">
        <v>8</v>
      </c>
      <c r="F61" s="188">
        <v>186.85431399999999</v>
      </c>
      <c r="G61" s="118">
        <v>184.8159</v>
      </c>
      <c r="H61" s="123">
        <v>175.31988100000001</v>
      </c>
      <c r="I61" s="63">
        <v>188.7</v>
      </c>
      <c r="J61" s="116" t="s">
        <v>3965</v>
      </c>
      <c r="K61" s="189">
        <v>169.63</v>
      </c>
      <c r="L61" s="118">
        <v>189.42</v>
      </c>
      <c r="M61" s="191">
        <f>Table711[[#This Row],[G2AIMD-OOM-Fixed]]/Table711[[#This Row],[gpu-layered]]</f>
        <v>1.0657907872981045</v>
      </c>
      <c r="N61" s="191">
        <f>Table711[[#This Row],[gpu-layered]]/Table711[[#This Row],[CPU+GPU (1)]]</f>
        <v>1.0335428933561281</v>
      </c>
      <c r="O61" s="107" t="s">
        <v>3965</v>
      </c>
      <c r="P61" s="107" t="s">
        <v>3904</v>
      </c>
      <c r="Q61" s="107" t="s">
        <v>3904</v>
      </c>
      <c r="AM61" s="62" t="s">
        <v>3912</v>
      </c>
      <c r="AN61">
        <v>25</v>
      </c>
      <c r="AP61" s="2">
        <v>2.3830969999999998</v>
      </c>
      <c r="AQ61" s="88">
        <f ca="1">Table7[[#This Row],[cpuchunk=1]]/Table7[[#This Row],[CPU Only (30m X)]]</f>
        <v>0.94894387999912377</v>
      </c>
      <c r="AT61" s="88" t="e">
        <f ca="1">Table7[[#This Row],[cpuchunk=1]]/Table7[[#This Row],[GPU_chunk10_ratio]]</f>
        <v>#DIV/0!</v>
      </c>
      <c r="AU61" s="2">
        <v>2.5113150000000002</v>
      </c>
    </row>
    <row r="62" spans="2:47" ht="26" hidden="1" x14ac:dyDescent="0.35">
      <c r="B62" s="81">
        <f>VLOOKUP('SM2'!D62, MC!$E$6:$W$33,19, FALSE)</f>
        <v>1</v>
      </c>
      <c r="C62" s="81"/>
      <c r="D62" s="78" t="s">
        <v>3</v>
      </c>
      <c r="E62" s="81">
        <v>9</v>
      </c>
      <c r="F62" s="188">
        <v>9.1416459999999997</v>
      </c>
      <c r="G62" s="118">
        <v>10.245426</v>
      </c>
      <c r="H62" s="63">
        <v>8.5416919999999994</v>
      </c>
      <c r="I62" s="123">
        <v>8.4634330000000002</v>
      </c>
      <c r="J62" s="116" t="s">
        <v>3965</v>
      </c>
      <c r="K62" s="189">
        <v>9.2799999999999994</v>
      </c>
      <c r="L62" s="118">
        <v>11.87</v>
      </c>
      <c r="M62" s="191">
        <f>Table711[[#This Row],[G2AIMD-OOM-Fixed]]/Table711[[#This Row],[gpu-layered]]</f>
        <v>1.0702383087566258</v>
      </c>
      <c r="N62" s="191">
        <f>Table711[[#This Row],[gpu-layered]]/Table711[[#This Row],[CPU+GPU (1)]]</f>
        <v>0.92044094827586209</v>
      </c>
      <c r="O62" s="107">
        <v>274.798563</v>
      </c>
      <c r="P62" s="107" t="s">
        <v>3904</v>
      </c>
      <c r="Q62" s="107" t="s">
        <v>3904</v>
      </c>
      <c r="AM62" s="62" t="s">
        <v>1431</v>
      </c>
      <c r="AN62">
        <v>5</v>
      </c>
      <c r="AP62" s="2">
        <v>2.4282240000000002</v>
      </c>
      <c r="AQ62" s="88">
        <f ca="1">Table7[[#This Row],[cpuchunk=1]]/Table7[[#This Row],[CPU Only (30m X)]]</f>
        <v>2.3716367472115332</v>
      </c>
      <c r="AT62" s="88" t="e">
        <f ca="1">Table7[[#This Row],[cpuchunk=1]]/Table7[[#This Row],[GPU_chunk10_ratio]]</f>
        <v>#DIV/0!</v>
      </c>
      <c r="AU62" s="2">
        <v>1.02386</v>
      </c>
    </row>
    <row r="63" spans="2:47" ht="26" x14ac:dyDescent="0.35">
      <c r="B63" s="81">
        <f>VLOOKUP('SM2'!D3, MC!$E$6:$W$33,19, FALSE)</f>
        <v>2</v>
      </c>
      <c r="C63" s="81">
        <v>3</v>
      </c>
      <c r="D63" s="78" t="s">
        <v>1404</v>
      </c>
      <c r="E63" s="81">
        <v>2</v>
      </c>
      <c r="F63" s="188">
        <v>7.6090609999999996</v>
      </c>
      <c r="G63" s="118">
        <v>7.6900639999999996</v>
      </c>
      <c r="H63" s="123">
        <v>7.4755450000000003</v>
      </c>
      <c r="I63" s="123">
        <v>7.4755450000000003</v>
      </c>
      <c r="J63" s="116" t="s">
        <v>3965</v>
      </c>
      <c r="K63" s="189">
        <v>8.2200000000000006</v>
      </c>
      <c r="L63" s="118">
        <v>13.61</v>
      </c>
      <c r="M63" s="191">
        <f>Table711[[#This Row],[G2AIMD-OOM-Fixed]]/Table711[[#This Row],[gpu-layered]]</f>
        <v>1.0178603700465985</v>
      </c>
      <c r="N63" s="191">
        <f>Table711[[#This Row],[gpu-layered]]/Table711[[#This Row],[CPU+GPU (1)]]</f>
        <v>0.90943369829683696</v>
      </c>
      <c r="O63" s="107">
        <v>462.53934400000003</v>
      </c>
      <c r="P63" s="107">
        <v>193.026005</v>
      </c>
      <c r="Q63" s="107" t="s">
        <v>3904</v>
      </c>
      <c r="AM63" s="62" t="s">
        <v>1450</v>
      </c>
      <c r="AN63">
        <v>25</v>
      </c>
      <c r="AP63" s="2">
        <v>2.7511410000000001</v>
      </c>
      <c r="AQ63" s="88">
        <f ca="1">Table7[[#This Row],[cpuchunk=1]]/Table7[[#This Row],[CPU Only (30m X)]]</f>
        <v>0.97401175268521034</v>
      </c>
      <c r="AT63" s="88" t="e">
        <f ca="1">Table7[[#This Row],[cpuchunk=1]]/Table7[[#This Row],[GPU_chunk10_ratio]]</f>
        <v>#DIV/0!</v>
      </c>
      <c r="AU63" s="2">
        <v>2.8245459999999998</v>
      </c>
    </row>
    <row r="64" spans="2:47" ht="26" x14ac:dyDescent="0.35">
      <c r="B64" s="81">
        <f>VLOOKUP('SM2'!D4, MC!$E$6:$W$33,19, FALSE)</f>
        <v>2</v>
      </c>
      <c r="C64" s="81">
        <v>3</v>
      </c>
      <c r="D64" s="78" t="s">
        <v>1404</v>
      </c>
      <c r="E64" s="81">
        <v>5</v>
      </c>
      <c r="F64" s="188">
        <v>132.91568799999999</v>
      </c>
      <c r="G64" s="118">
        <v>135.67229800000001</v>
      </c>
      <c r="H64" s="63">
        <v>129.41498000000001</v>
      </c>
      <c r="I64" s="123">
        <v>128.891346</v>
      </c>
      <c r="J64" s="116" t="s">
        <v>3965</v>
      </c>
      <c r="K64" s="189">
        <v>128.85</v>
      </c>
      <c r="L64" s="118">
        <v>131.5</v>
      </c>
      <c r="M64" s="191">
        <f>Table711[[#This Row],[G2AIMD-OOM-Fixed]]/Table711[[#This Row],[gpu-layered]]</f>
        <v>1.0270502533787045</v>
      </c>
      <c r="N64" s="191">
        <f>Table711[[#This Row],[gpu-layered]]/Table711[[#This Row],[CPU+GPU (1)]]</f>
        <v>1.0043847885137758</v>
      </c>
      <c r="O64" s="107" t="s">
        <v>3965</v>
      </c>
      <c r="P64" s="107" t="s">
        <v>3904</v>
      </c>
      <c r="Q64" s="107" t="s">
        <v>3904</v>
      </c>
      <c r="AM64" s="62" t="s">
        <v>1461</v>
      </c>
      <c r="AN64">
        <v>24</v>
      </c>
      <c r="AP64" s="2">
        <v>2.8523550000000002</v>
      </c>
      <c r="AQ64" s="88">
        <f ca="1">Table7[[#This Row],[cpuchunk=1]]/Table7[[#This Row],[CPU Only (30m X)]]</f>
        <v>0.82453757784362858</v>
      </c>
      <c r="AT64" s="88" t="e">
        <f ca="1">Table7[[#This Row],[cpuchunk=1]]/Table7[[#This Row],[GPU_chunk10_ratio]]</f>
        <v>#DIV/0!</v>
      </c>
      <c r="AU64" s="2">
        <v>3.4593389999999999</v>
      </c>
    </row>
    <row r="65" spans="2:47" ht="26" x14ac:dyDescent="0.35">
      <c r="B65" s="81">
        <f>VLOOKUP('SM2'!D5, MC!$E$6:$W$33,19, FALSE)</f>
        <v>2</v>
      </c>
      <c r="C65" s="81">
        <v>3</v>
      </c>
      <c r="D65" s="78" t="s">
        <v>1404</v>
      </c>
      <c r="E65" s="81">
        <v>7</v>
      </c>
      <c r="F65" s="188">
        <v>477.68529999999998</v>
      </c>
      <c r="G65" s="118">
        <v>486.194729</v>
      </c>
      <c r="H65" s="189">
        <v>468.679102</v>
      </c>
      <c r="I65" s="118">
        <v>474.36</v>
      </c>
      <c r="J65" s="116" t="s">
        <v>3965</v>
      </c>
      <c r="K65" s="189">
        <v>470.28</v>
      </c>
      <c r="L65" s="118">
        <v>474.49</v>
      </c>
      <c r="M65" s="191">
        <f>Table711[[#This Row],[G2AIMD-OOM-Fixed]]/Table711[[#This Row],[gpu-layered]]</f>
        <v>1.0192161288215491</v>
      </c>
      <c r="N65" s="191">
        <f>Table711[[#This Row],[gpu-layered]]/Table711[[#This Row],[CPU+GPU (1)]]</f>
        <v>0.99659586203963602</v>
      </c>
      <c r="O65" s="118" t="s">
        <v>3965</v>
      </c>
      <c r="P65" s="118" t="s">
        <v>3904</v>
      </c>
      <c r="Q65" s="136" t="s">
        <v>3904</v>
      </c>
      <c r="AM65" s="62" t="s">
        <v>1371</v>
      </c>
      <c r="AN65">
        <v>5</v>
      </c>
      <c r="AP65" s="2">
        <v>2.8553199999999999</v>
      </c>
      <c r="AQ65" s="88">
        <f ca="1">Table7[[#This Row],[cpuchunk=1]]/Table7[[#This Row],[CPU Only (30m X)]]</f>
        <v>0.88400000000000001</v>
      </c>
      <c r="AT65" s="88" t="e">
        <f ca="1">Table7[[#This Row],[cpuchunk=1]]/Table7[[#This Row],[GPU_chunk10_ratio]]</f>
        <v>#DIV/0!</v>
      </c>
      <c r="AU65" s="2">
        <v>3.23</v>
      </c>
    </row>
    <row r="66" spans="2:47" ht="26" x14ac:dyDescent="0.35">
      <c r="B66" s="81">
        <f>VLOOKUP('SM2'!D6, MC!$E$6:$W$33,19, FALSE)</f>
        <v>2</v>
      </c>
      <c r="C66" s="81">
        <v>3</v>
      </c>
      <c r="D66" s="78" t="s">
        <v>1404</v>
      </c>
      <c r="E66" s="81">
        <v>8</v>
      </c>
      <c r="F66" s="188">
        <v>529.66008199999999</v>
      </c>
      <c r="G66" s="118" t="s">
        <v>3904</v>
      </c>
      <c r="H66" s="123">
        <v>455.02047299999998</v>
      </c>
      <c r="I66" s="63">
        <v>459.38</v>
      </c>
      <c r="J66" s="116" t="s">
        <v>3965</v>
      </c>
      <c r="K66" s="189">
        <v>443.45</v>
      </c>
      <c r="L66" s="118">
        <v>475.25</v>
      </c>
      <c r="M66" s="191">
        <f>Table711[[#This Row],[G2AIMD-OOM-Fixed]]/Table711[[#This Row],[gpu-layered]]</f>
        <v>1.1640357158171211</v>
      </c>
      <c r="N66" s="191">
        <f>Table711[[#This Row],[gpu-layered]]/Table711[[#This Row],[CPU+GPU (1)]]</f>
        <v>1.0260919449768857</v>
      </c>
      <c r="O66" s="107" t="s">
        <v>3965</v>
      </c>
      <c r="P66" s="107" t="s">
        <v>3904</v>
      </c>
      <c r="Q66" s="107" t="s">
        <v>3904</v>
      </c>
      <c r="AM66" s="62" t="s">
        <v>1461</v>
      </c>
      <c r="AN66">
        <v>25</v>
      </c>
      <c r="AP66" s="2">
        <v>2.9992399999999999</v>
      </c>
      <c r="AQ66" s="88">
        <f ca="1">Table7[[#This Row],[cpuchunk=1]]/Table7[[#This Row],[CPU Only (30m X)]]</f>
        <v>0.90769463104817782</v>
      </c>
      <c r="AT66" s="88" t="e">
        <f ca="1">Table7[[#This Row],[cpuchunk=1]]/Table7[[#This Row],[GPU_chunk10_ratio]]</f>
        <v>#DIV/0!</v>
      </c>
      <c r="AU66" s="2">
        <v>3.3042389999999999</v>
      </c>
    </row>
    <row r="67" spans="2:47" ht="26" x14ac:dyDescent="0.35">
      <c r="B67" s="81">
        <f>VLOOKUP('SM2'!D7, MC!$E$6:$W$33,19, FALSE)</f>
        <v>2</v>
      </c>
      <c r="C67" s="81">
        <v>3</v>
      </c>
      <c r="D67" s="78" t="s">
        <v>1404</v>
      </c>
      <c r="E67" s="81">
        <v>9</v>
      </c>
      <c r="F67" s="188">
        <v>6.6379760000000001</v>
      </c>
      <c r="G67" s="118">
        <v>6.7178509999999996</v>
      </c>
      <c r="H67" s="189">
        <v>6.3858839999999999</v>
      </c>
      <c r="I67" s="189">
        <v>6.3858839999999999</v>
      </c>
      <c r="J67" s="116" t="s">
        <v>3965</v>
      </c>
      <c r="K67" s="189">
        <v>7.13</v>
      </c>
      <c r="L67" s="118">
        <v>10.23</v>
      </c>
      <c r="M67" s="191">
        <f>Table711[[#This Row],[G2AIMD-OOM-Fixed]]/Table711[[#This Row],[gpu-layered]]</f>
        <v>1.0394764452345204</v>
      </c>
      <c r="N67" s="191">
        <f>Table711[[#This Row],[gpu-layered]]/Table711[[#This Row],[CPU+GPU (1)]]</f>
        <v>0.89563590462833098</v>
      </c>
      <c r="O67" s="118">
        <v>131.83148399999999</v>
      </c>
      <c r="P67" s="118" t="s">
        <v>3904</v>
      </c>
      <c r="Q67" s="136" t="s">
        <v>3904</v>
      </c>
      <c r="AM67" s="62" t="s">
        <v>1408</v>
      </c>
      <c r="AN67">
        <v>18</v>
      </c>
      <c r="AP67" s="2">
        <v>3.0108380000000001</v>
      </c>
      <c r="AQ67" s="88">
        <f ca="1">Table7[[#This Row],[cpuchunk=1]]/Table7[[#This Row],[CPU Only (30m X)]]</f>
        <v>0.99060014318577838</v>
      </c>
      <c r="AT67" s="88" t="e">
        <f ca="1">Table7[[#This Row],[cpuchunk=1]]/Table7[[#This Row],[GPU_chunk10_ratio]]</f>
        <v>#DIV/0!</v>
      </c>
      <c r="AU67" s="2">
        <v>3.0394079999999999</v>
      </c>
    </row>
    <row r="68" spans="2:47" ht="26" hidden="1" x14ac:dyDescent="0.35">
      <c r="B68" s="81">
        <f>VLOOKUP('SM2'!D68, MC!$E$6:$W$33,19, FALSE)</f>
        <v>2</v>
      </c>
      <c r="C68" s="81"/>
      <c r="D68" s="78" t="s">
        <v>3913</v>
      </c>
      <c r="E68" s="81">
        <v>2</v>
      </c>
      <c r="F68" s="81"/>
      <c r="G68" s="118" t="s">
        <v>3965</v>
      </c>
      <c r="H68" s="63" t="s">
        <v>3965</v>
      </c>
      <c r="I68" s="118"/>
      <c r="J68" s="116"/>
      <c r="K68" s="63"/>
      <c r="L68" s="63"/>
      <c r="M68" s="107" t="e">
        <f>Table711[[#This Row],[G2AIMD-OOM-Fixed]]/Table711[[#This Row],[gpu-layered]]</f>
        <v>#VALUE!</v>
      </c>
      <c r="N68" s="107" t="e">
        <f>Table711[[#This Row],[gpu-layered]]/Table711[[#This Row],[CPU+GPU (1)]]</f>
        <v>#VALUE!</v>
      </c>
      <c r="O68" s="107"/>
      <c r="P68" s="107"/>
      <c r="Q68" s="107"/>
      <c r="AM68" s="62" t="s">
        <v>1408</v>
      </c>
      <c r="AN68">
        <v>6</v>
      </c>
      <c r="AP68" s="2">
        <v>3.2149070000000002</v>
      </c>
      <c r="AQ68" s="88">
        <f ca="1">Table7[[#This Row],[cpuchunk=1]]/Table7[[#This Row],[CPU Only (30m X)]]</f>
        <v>2.1620465455347571</v>
      </c>
      <c r="AT68" s="88" t="e">
        <f ca="1">Table7[[#This Row],[cpuchunk=1]]/Table7[[#This Row],[GPU_chunk10_ratio]]</f>
        <v>#DIV/0!</v>
      </c>
      <c r="AU68" s="2">
        <v>1.486974</v>
      </c>
    </row>
    <row r="69" spans="2:47" ht="26" hidden="1" x14ac:dyDescent="0.35">
      <c r="B69" s="81">
        <f>VLOOKUP('SM2'!D69, MC!$E$6:$W$33,19, FALSE)</f>
        <v>2</v>
      </c>
      <c r="C69" s="81"/>
      <c r="D69" s="78" t="s">
        <v>3913</v>
      </c>
      <c r="E69" s="81">
        <v>5</v>
      </c>
      <c r="F69" s="81"/>
      <c r="G69" s="118" t="s">
        <v>3965</v>
      </c>
      <c r="H69" s="63" t="s">
        <v>3965</v>
      </c>
      <c r="I69" s="118"/>
      <c r="J69" s="116"/>
      <c r="K69" s="63"/>
      <c r="L69" s="63"/>
      <c r="M69" s="107" t="e">
        <f>Table711[[#This Row],[G2AIMD-OOM-Fixed]]/Table711[[#This Row],[gpu-layered]]</f>
        <v>#VALUE!</v>
      </c>
      <c r="N69" s="107" t="e">
        <f>Table711[[#This Row],[gpu-layered]]/Table711[[#This Row],[CPU+GPU (1)]]</f>
        <v>#VALUE!</v>
      </c>
      <c r="O69" s="107"/>
      <c r="P69" s="107"/>
      <c r="Q69" s="107"/>
      <c r="AM69" s="62" t="s">
        <v>18</v>
      </c>
      <c r="AN69">
        <v>25</v>
      </c>
      <c r="AP69" s="2">
        <v>3.3076409999999998</v>
      </c>
      <c r="AQ69" s="88">
        <f ca="1">Table7[[#This Row],[cpuchunk=1]]/Table7[[#This Row],[CPU Only (30m X)]]</f>
        <v>0.93837913440165455</v>
      </c>
      <c r="AT69" s="88" t="e">
        <f ca="1">Table7[[#This Row],[cpuchunk=1]]/Table7[[#This Row],[GPU_chunk10_ratio]]</f>
        <v>#DIV/0!</v>
      </c>
      <c r="AU69" s="2">
        <v>3.524845</v>
      </c>
    </row>
    <row r="70" spans="2:47" ht="26" hidden="1" x14ac:dyDescent="0.35">
      <c r="B70" s="81">
        <f>VLOOKUP('SM2'!D70, MC!$E$6:$W$33,19, FALSE)</f>
        <v>2</v>
      </c>
      <c r="C70" s="81"/>
      <c r="D70" s="78" t="s">
        <v>3913</v>
      </c>
      <c r="E70" s="81">
        <v>7</v>
      </c>
      <c r="F70" s="81"/>
      <c r="G70" s="118" t="s">
        <v>3965</v>
      </c>
      <c r="H70" s="63" t="s">
        <v>3965</v>
      </c>
      <c r="I70" s="118"/>
      <c r="J70" s="116"/>
      <c r="K70" s="63"/>
      <c r="L70" s="63"/>
      <c r="M70" s="107" t="e">
        <f>Table711[[#This Row],[G2AIMD-OOM-Fixed]]/Table711[[#This Row],[gpu-layered]]</f>
        <v>#VALUE!</v>
      </c>
      <c r="N70" s="107" t="e">
        <f>Table711[[#This Row],[gpu-layered]]/Table711[[#This Row],[CPU+GPU (1)]]</f>
        <v>#VALUE!</v>
      </c>
      <c r="O70" s="107"/>
      <c r="P70" s="107"/>
      <c r="Q70" s="107"/>
      <c r="AM70" s="62" t="s">
        <v>1</v>
      </c>
      <c r="AN70">
        <v>2</v>
      </c>
      <c r="AP70" s="2">
        <v>3.6229019999999998</v>
      </c>
      <c r="AQ70" s="88">
        <f ca="1">Table7[[#This Row],[cpuchunk=1]]/Table7[[#This Row],[CPU Only (30m X)]]</f>
        <v>0.387812115308449</v>
      </c>
      <c r="AT70" s="88" t="e">
        <f ca="1">Table7[[#This Row],[cpuchunk=1]]/Table7[[#This Row],[GPU_chunk10_ratio]]</f>
        <v>#DIV/0!</v>
      </c>
      <c r="AU70" s="2">
        <v>9.3419000000000008</v>
      </c>
    </row>
    <row r="71" spans="2:47" ht="26" hidden="1" x14ac:dyDescent="0.35">
      <c r="B71" s="81">
        <f>VLOOKUP('SM2'!D71, MC!$E$6:$W$33,19, FALSE)</f>
        <v>2</v>
      </c>
      <c r="C71" s="81"/>
      <c r="D71" s="78" t="s">
        <v>3913</v>
      </c>
      <c r="E71" s="81">
        <v>8</v>
      </c>
      <c r="F71" s="81"/>
      <c r="G71" s="118" t="s">
        <v>3965</v>
      </c>
      <c r="H71" s="118" t="s">
        <v>3965</v>
      </c>
      <c r="I71" s="118"/>
      <c r="J71" s="116"/>
      <c r="K71" s="118"/>
      <c r="L71" s="118"/>
      <c r="M71" s="118" t="e">
        <f>Table711[[#This Row],[G2AIMD-OOM-Fixed]]/Table711[[#This Row],[gpu-layered]]</f>
        <v>#VALUE!</v>
      </c>
      <c r="N71" s="118" t="e">
        <f>Table711[[#This Row],[gpu-layered]]/Table711[[#This Row],[CPU+GPU (1)]]</f>
        <v>#VALUE!</v>
      </c>
      <c r="O71" s="118"/>
      <c r="P71" s="118"/>
      <c r="Q71" s="136"/>
      <c r="AM71" s="62" t="s">
        <v>3919</v>
      </c>
      <c r="AN71">
        <v>7</v>
      </c>
      <c r="AP71" s="2">
        <v>3.7306889999999999</v>
      </c>
      <c r="AQ71" s="88">
        <f ca="1">Table7[[#This Row],[cpuchunk=1]]/Table7[[#This Row],[CPU Only (30m X)]]</f>
        <v>0.98206651284676938</v>
      </c>
      <c r="AT71" s="88" t="e">
        <f ca="1">Table7[[#This Row],[cpuchunk=1]]/Table7[[#This Row],[GPU_chunk10_ratio]]</f>
        <v>#DIV/0!</v>
      </c>
      <c r="AU71" s="2">
        <v>3.7988149999999998</v>
      </c>
    </row>
    <row r="72" spans="2:47" ht="26" hidden="1" x14ac:dyDescent="0.35">
      <c r="B72" s="81">
        <f>VLOOKUP('SM2'!D72, MC!$E$6:$W$33,19, FALSE)</f>
        <v>2</v>
      </c>
      <c r="C72" s="81"/>
      <c r="D72" s="78" t="s">
        <v>3913</v>
      </c>
      <c r="E72" s="81">
        <v>9</v>
      </c>
      <c r="F72" s="81"/>
      <c r="G72" s="118" t="s">
        <v>3965</v>
      </c>
      <c r="H72" s="63" t="s">
        <v>3965</v>
      </c>
      <c r="I72" s="118"/>
      <c r="J72" s="116"/>
      <c r="K72" s="63"/>
      <c r="L72" s="63"/>
      <c r="M72" s="187" t="e">
        <f>Table711[[#This Row],[G2AIMD-OOM-Fixed]]/Table711[[#This Row],[gpu-layered]]</f>
        <v>#VALUE!</v>
      </c>
      <c r="N72" s="187" t="e">
        <f>Table711[[#This Row],[gpu-layered]]/Table711[[#This Row],[CPU+GPU (1)]]</f>
        <v>#VALUE!</v>
      </c>
      <c r="O72" s="187"/>
      <c r="P72" s="187"/>
      <c r="Q72" s="107"/>
      <c r="AM72" s="62" t="s">
        <v>18</v>
      </c>
      <c r="AN72">
        <v>24</v>
      </c>
      <c r="AP72" s="2">
        <v>3.8970630000000002</v>
      </c>
      <c r="AQ72" s="88">
        <f ca="1">Table7[[#This Row],[cpuchunk=1]]/Table7[[#This Row],[CPU Only (30m X)]]</f>
        <v>1.0386528807292894</v>
      </c>
      <c r="AT72" s="88" t="e">
        <f ca="1">Table7[[#This Row],[cpuchunk=1]]/Table7[[#This Row],[GPU_chunk10_ratio]]</f>
        <v>#DIV/0!</v>
      </c>
      <c r="AU72" s="2">
        <v>3.7520359999999999</v>
      </c>
    </row>
    <row r="73" spans="2:47" ht="26" hidden="1" x14ac:dyDescent="0.35">
      <c r="B73" s="81">
        <f>VLOOKUP('SM2'!D73, MC!$E$6:$W$33,19, FALSE)</f>
        <v>1</v>
      </c>
      <c r="C73" s="81"/>
      <c r="D73" s="78" t="s">
        <v>3919</v>
      </c>
      <c r="E73" s="81">
        <v>2</v>
      </c>
      <c r="F73" s="188">
        <v>0.40302700000000002</v>
      </c>
      <c r="G73" s="118">
        <v>0.39</v>
      </c>
      <c r="H73" s="189">
        <v>0.35126800000000002</v>
      </c>
      <c r="I73" s="118">
        <v>0.38998990704087816</v>
      </c>
      <c r="J73" s="116">
        <v>5.7128509999999997</v>
      </c>
      <c r="K73" s="189">
        <v>0.50042299999999995</v>
      </c>
      <c r="L73" s="118">
        <v>0.75233300000000003</v>
      </c>
      <c r="M73" s="191">
        <f>Table711[[#This Row],[G2AIMD-OOM-Fixed]]/Table711[[#This Row],[gpu-layered]]</f>
        <v>1.1473490326474374</v>
      </c>
      <c r="N73" s="191">
        <f>Table711[[#This Row],[gpu-layered]]/Table711[[#This Row],[CPU+GPU (1)]]</f>
        <v>0.70194215693523287</v>
      </c>
      <c r="O73" s="118">
        <v>7.8137340000000002</v>
      </c>
      <c r="P73" s="118">
        <v>6.9057659999999998</v>
      </c>
      <c r="Q73" s="136">
        <v>6.9033309999999997</v>
      </c>
      <c r="AM73" s="62" t="s">
        <v>1434</v>
      </c>
      <c r="AN73">
        <v>25</v>
      </c>
      <c r="AP73" s="2">
        <v>3.970812</v>
      </c>
      <c r="AQ73" s="88">
        <f ca="1">Table7[[#This Row],[cpuchunk=1]]/Table7[[#This Row],[CPU Only (30m X)]]</f>
        <v>0.96852994535876324</v>
      </c>
      <c r="AT73" s="88" t="e">
        <f ca="1">Table7[[#This Row],[cpuchunk=1]]/Table7[[#This Row],[GPU_chunk10_ratio]]</f>
        <v>#DIV/0!</v>
      </c>
      <c r="AU73" s="2">
        <v>4.0998340000000004</v>
      </c>
    </row>
    <row r="74" spans="2:47" ht="26" hidden="1" x14ac:dyDescent="0.35">
      <c r="B74" s="81">
        <f>VLOOKUP('SM2'!D74, MC!$E$6:$W$33,19, FALSE)</f>
        <v>1</v>
      </c>
      <c r="C74" s="81"/>
      <c r="D74" s="78" t="s">
        <v>3919</v>
      </c>
      <c r="E74" s="81">
        <v>5</v>
      </c>
      <c r="F74" s="188">
        <v>1.757733</v>
      </c>
      <c r="G74" s="118">
        <v>3.7282199999999999</v>
      </c>
      <c r="H74" s="189">
        <v>2.0098569999999998</v>
      </c>
      <c r="I74" s="118">
        <v>2.0688682501413247</v>
      </c>
      <c r="J74" s="116">
        <v>34.506560999999998</v>
      </c>
      <c r="K74" s="189">
        <v>2.178401</v>
      </c>
      <c r="L74" s="118">
        <v>2.2642980000000001</v>
      </c>
      <c r="M74" s="191">
        <f>Table711[[#This Row],[G2AIMD-OOM-Fixed]]/Table711[[#This Row],[gpu-layered]]</f>
        <v>0.87455624952421995</v>
      </c>
      <c r="N74" s="191">
        <f>Table711[[#This Row],[gpu-layered]]/Table711[[#This Row],[CPU+GPU (1)]]</f>
        <v>0.92262948832652925</v>
      </c>
      <c r="O74" s="118">
        <v>59.763699000000003</v>
      </c>
      <c r="P74" s="118">
        <v>205.666022</v>
      </c>
      <c r="Q74" s="136" t="s">
        <v>3904</v>
      </c>
      <c r="AM74" s="62" t="s">
        <v>1425</v>
      </c>
      <c r="AN74">
        <v>2</v>
      </c>
      <c r="AP74" s="2">
        <v>4.2398239999999996</v>
      </c>
      <c r="AQ74" s="88">
        <f ca="1">Table7[[#This Row],[cpuchunk=1]]/Table7[[#This Row],[CPU Only (30m X)]]</f>
        <v>0.22140073107049607</v>
      </c>
      <c r="AT74" s="88" t="e">
        <f ca="1">Table7[[#This Row],[cpuchunk=1]]/Table7[[#This Row],[GPU_chunk10_ratio]]</f>
        <v>#DIV/0!</v>
      </c>
      <c r="AU74" s="2">
        <v>19.149999999999999</v>
      </c>
    </row>
    <row r="75" spans="2:47" ht="26" hidden="1" x14ac:dyDescent="0.35">
      <c r="B75" s="81">
        <f>VLOOKUP('SM2'!D75, MC!$E$6:$W$33,19, FALSE)</f>
        <v>1</v>
      </c>
      <c r="C75" s="81"/>
      <c r="D75" s="78" t="s">
        <v>3919</v>
      </c>
      <c r="E75" s="81">
        <v>7</v>
      </c>
      <c r="F75" s="188">
        <v>3.3263189999999998</v>
      </c>
      <c r="G75" s="118">
        <v>3.8864519999999998</v>
      </c>
      <c r="H75" s="189">
        <v>2.9368729999999998</v>
      </c>
      <c r="I75" s="118">
        <v>2.984863112589677</v>
      </c>
      <c r="J75" s="116" t="s">
        <v>3965</v>
      </c>
      <c r="K75" s="189">
        <v>3.22</v>
      </c>
      <c r="L75" s="118">
        <v>4.08</v>
      </c>
      <c r="M75" s="191">
        <f>Table711[[#This Row],[G2AIMD-OOM-Fixed]]/Table711[[#This Row],[gpu-layered]]</f>
        <v>1.1326056659583168</v>
      </c>
      <c r="N75" s="191">
        <f>Table711[[#This Row],[gpu-layered]]/Table711[[#This Row],[CPU+GPU (1)]]</f>
        <v>0.91207236024844707</v>
      </c>
      <c r="O75" s="118">
        <v>201.39145300000001</v>
      </c>
      <c r="P75" s="118" t="s">
        <v>3904</v>
      </c>
      <c r="Q75" s="136" t="s">
        <v>3904</v>
      </c>
      <c r="AM75" s="62" t="s">
        <v>1411</v>
      </c>
      <c r="AN75">
        <v>9</v>
      </c>
      <c r="AP75" s="2">
        <v>4.4936379999999998</v>
      </c>
      <c r="AQ75" s="88">
        <f ca="1">Table7[[#This Row],[cpuchunk=1]]/Table7[[#This Row],[CPU Only (30m X)]]</f>
        <v>0.12063457718120804</v>
      </c>
      <c r="AT75" s="88" t="e">
        <f ca="1">Table7[[#This Row],[cpuchunk=1]]/Table7[[#This Row],[GPU_chunk10_ratio]]</f>
        <v>#DIV/0!</v>
      </c>
      <c r="AU75" s="2">
        <v>37.25</v>
      </c>
    </row>
    <row r="76" spans="2:47" ht="26" hidden="1" x14ac:dyDescent="0.35">
      <c r="B76" s="81">
        <f>VLOOKUP('SM2'!D76, MC!$E$6:$W$33,19, FALSE)</f>
        <v>1</v>
      </c>
      <c r="C76" s="81"/>
      <c r="D76" s="78" t="s">
        <v>3919</v>
      </c>
      <c r="E76" s="81">
        <v>8</v>
      </c>
      <c r="F76" s="188">
        <v>11.147271</v>
      </c>
      <c r="G76" s="118">
        <v>7.8519019999999999</v>
      </c>
      <c r="H76" s="189">
        <v>6.0313509999999999</v>
      </c>
      <c r="I76" s="189">
        <v>6.0313509999999999</v>
      </c>
      <c r="J76" s="116" t="s">
        <v>3965</v>
      </c>
      <c r="K76" s="189">
        <v>4.831671</v>
      </c>
      <c r="L76" s="118">
        <v>5.71</v>
      </c>
      <c r="M76" s="191">
        <f>Table711[[#This Row],[G2AIMD-OOM-Fixed]]/Table711[[#This Row],[gpu-layered]]</f>
        <v>1.8482212360050012</v>
      </c>
      <c r="N76" s="191">
        <f>Table711[[#This Row],[gpu-layered]]/Table711[[#This Row],[CPU+GPU (1)]]</f>
        <v>1.2482950515463491</v>
      </c>
      <c r="O76" s="118">
        <v>270.88206300000002</v>
      </c>
      <c r="P76" s="118" t="s">
        <v>3904</v>
      </c>
      <c r="Q76" s="136">
        <v>150.20904400000001</v>
      </c>
      <c r="AM76" s="62" t="s">
        <v>1</v>
      </c>
      <c r="AN76">
        <v>25</v>
      </c>
      <c r="AP76" s="2">
        <v>4.7557159999999996</v>
      </c>
      <c r="AQ76" s="88">
        <f ca="1">Table7[[#This Row],[cpuchunk=1]]/Table7[[#This Row],[CPU Only (30m X)]]</f>
        <v>0.96199235740838018</v>
      </c>
      <c r="AT76" s="88" t="e">
        <f ca="1">Table7[[#This Row],[cpuchunk=1]]/Table7[[#This Row],[GPU_chunk10_ratio]]</f>
        <v>#DIV/0!</v>
      </c>
      <c r="AU76" s="2">
        <v>4.9436109999999998</v>
      </c>
    </row>
    <row r="77" spans="2:47" ht="26" hidden="1" x14ac:dyDescent="0.35">
      <c r="B77" s="81">
        <f>VLOOKUP('SM2'!D77, MC!$E$6:$W$33,19, FALSE)</f>
        <v>1</v>
      </c>
      <c r="C77" s="81"/>
      <c r="D77" s="78" t="s">
        <v>3919</v>
      </c>
      <c r="E77" s="81">
        <v>9</v>
      </c>
      <c r="F77" s="188">
        <v>0.88950499999999999</v>
      </c>
      <c r="G77" s="118">
        <v>0.9</v>
      </c>
      <c r="H77" s="189">
        <v>0.948967</v>
      </c>
      <c r="I77" s="118">
        <v>1.0031409325844367</v>
      </c>
      <c r="J77" s="116">
        <v>18.058859000000002</v>
      </c>
      <c r="K77" s="189">
        <v>1.24793</v>
      </c>
      <c r="L77" s="118">
        <v>1.5121039999999999</v>
      </c>
      <c r="M77" s="191">
        <f>Table711[[#This Row],[G2AIMD-OOM-Fixed]]/Table711[[#This Row],[gpu-layered]]</f>
        <v>0.93734028685929016</v>
      </c>
      <c r="N77" s="191">
        <f>Table711[[#This Row],[gpu-layered]]/Table711[[#This Row],[CPU+GPU (1)]]</f>
        <v>0.76043287684405381</v>
      </c>
      <c r="O77" s="118">
        <v>24.445457000000001</v>
      </c>
      <c r="P77" s="118">
        <v>131.775623</v>
      </c>
      <c r="Q77" s="136">
        <v>32.906255999999999</v>
      </c>
      <c r="AM77" s="62" t="s">
        <v>1391</v>
      </c>
      <c r="AN77">
        <v>5</v>
      </c>
      <c r="AP77" s="2">
        <v>4.8162799999999999</v>
      </c>
      <c r="AQ77" s="88">
        <f ca="1">Table7[[#This Row],[cpuchunk=1]]/Table7[[#This Row],[CPU Only (30m X)]]</f>
        <v>1.3254570097766034</v>
      </c>
      <c r="AT77" s="88" t="e">
        <f ca="1">Table7[[#This Row],[cpuchunk=1]]/Table7[[#This Row],[GPU_chunk10_ratio]]</f>
        <v>#DIV/0!</v>
      </c>
      <c r="AU77" s="2">
        <v>3.6336750000000002</v>
      </c>
    </row>
    <row r="78" spans="2:47" ht="26" hidden="1" x14ac:dyDescent="0.35">
      <c r="B78" s="81">
        <f>VLOOKUP('SM2'!D78, MC!$E$6:$W$33,19, FALSE)</f>
        <v>1</v>
      </c>
      <c r="C78" s="81"/>
      <c r="D78" s="78" t="s">
        <v>7</v>
      </c>
      <c r="E78" s="81">
        <v>2</v>
      </c>
      <c r="F78" s="188">
        <v>1.188245</v>
      </c>
      <c r="G78" s="118">
        <v>1.2148429999999999</v>
      </c>
      <c r="H78" s="189">
        <v>0.99475800000000003</v>
      </c>
      <c r="I78" s="118">
        <v>1.0646512682084917</v>
      </c>
      <c r="J78" s="116" t="s">
        <v>3965</v>
      </c>
      <c r="K78" s="189">
        <v>1.79</v>
      </c>
      <c r="L78" s="118">
        <v>3.64</v>
      </c>
      <c r="M78" s="191">
        <f>Table711[[#This Row],[G2AIMD-OOM-Fixed]]/Table711[[#This Row],[gpu-layered]]</f>
        <v>1.1945066036161558</v>
      </c>
      <c r="N78" s="191">
        <f>Table711[[#This Row],[gpu-layered]]/Table711[[#This Row],[CPU+GPU (1)]]</f>
        <v>0.55573072625698328</v>
      </c>
      <c r="O78" s="118">
        <v>31.960023</v>
      </c>
      <c r="P78" s="118" t="s">
        <v>3904</v>
      </c>
      <c r="Q78" s="136" t="s">
        <v>3904</v>
      </c>
      <c r="AM78" s="62" t="s">
        <v>1425</v>
      </c>
      <c r="AN78">
        <v>9</v>
      </c>
      <c r="AP78" s="2">
        <v>5.2190339999999997</v>
      </c>
      <c r="AQ78" s="88">
        <f ca="1">Table7[[#This Row],[cpuchunk=1]]/Table7[[#This Row],[CPU Only (30m X)]]</f>
        <v>0.62279642004773261</v>
      </c>
      <c r="AT78" s="88" t="e">
        <f ca="1">Table7[[#This Row],[cpuchunk=1]]/Table7[[#This Row],[GPU_chunk10_ratio]]</f>
        <v>#DIV/0!</v>
      </c>
      <c r="AU78" s="2">
        <v>8.3800000000000008</v>
      </c>
    </row>
    <row r="79" spans="2:47" ht="26" hidden="1" x14ac:dyDescent="0.35">
      <c r="B79" s="81">
        <f>VLOOKUP('SM2'!D79, MC!$E$6:$W$33,19, FALSE)</f>
        <v>1</v>
      </c>
      <c r="C79" s="81"/>
      <c r="D79" s="78" t="s">
        <v>7</v>
      </c>
      <c r="E79" s="81">
        <v>5</v>
      </c>
      <c r="F79" s="188">
        <v>36.719054</v>
      </c>
      <c r="G79" s="118">
        <v>36.409317000000001</v>
      </c>
      <c r="H79" s="189">
        <v>29.698533000000001</v>
      </c>
      <c r="I79" s="118">
        <v>37.42</v>
      </c>
      <c r="J79" s="116" t="s">
        <v>3965</v>
      </c>
      <c r="K79" s="189">
        <v>30.52</v>
      </c>
      <c r="L79" s="118">
        <v>32.61</v>
      </c>
      <c r="M79" s="191">
        <f>Table711[[#This Row],[G2AIMD-OOM-Fixed]]/Table711[[#This Row],[gpu-layered]]</f>
        <v>1.2363928548255227</v>
      </c>
      <c r="N79" s="191">
        <f>Table711[[#This Row],[gpu-layered]]/Table711[[#This Row],[CPU+GPU (1)]]</f>
        <v>0.97308430537352564</v>
      </c>
      <c r="O79" s="118" t="s">
        <v>3965</v>
      </c>
      <c r="P79" s="118" t="s">
        <v>3904</v>
      </c>
      <c r="Q79" s="136" t="s">
        <v>3904</v>
      </c>
      <c r="AM79" s="62" t="s">
        <v>3912</v>
      </c>
      <c r="AN79">
        <v>9</v>
      </c>
      <c r="AP79" s="2">
        <v>5.362946</v>
      </c>
      <c r="AQ79" s="88">
        <f ca="1">Table7[[#This Row],[cpuchunk=1]]/Table7[[#This Row],[CPU Only (30m X)]]</f>
        <v>0.95669975754918268</v>
      </c>
      <c r="AT79" s="88" t="e">
        <f ca="1">Table7[[#This Row],[cpuchunk=1]]/Table7[[#This Row],[GPU_chunk10_ratio]]</f>
        <v>#DIV/0!</v>
      </c>
      <c r="AU79" s="2">
        <v>5.6056730000000003</v>
      </c>
    </row>
    <row r="80" spans="2:47" ht="26" hidden="1" x14ac:dyDescent="0.35">
      <c r="B80" s="81">
        <f>VLOOKUP('SM2'!D80, MC!$E$6:$W$33,19, FALSE)</f>
        <v>1</v>
      </c>
      <c r="C80" s="81"/>
      <c r="D80" s="78" t="s">
        <v>7</v>
      </c>
      <c r="E80" s="81">
        <v>7</v>
      </c>
      <c r="F80" s="188">
        <v>129.123368</v>
      </c>
      <c r="G80" s="118">
        <v>129.94936799999999</v>
      </c>
      <c r="H80" s="189">
        <v>118.531105</v>
      </c>
      <c r="I80" s="118">
        <v>123.85</v>
      </c>
      <c r="J80" s="116" t="s">
        <v>3965</v>
      </c>
      <c r="K80" s="189">
        <v>119.19</v>
      </c>
      <c r="L80" s="118">
        <v>120.28</v>
      </c>
      <c r="M80" s="191">
        <f>Table711[[#This Row],[G2AIMD-OOM-Fixed]]/Table711[[#This Row],[gpu-layered]]</f>
        <v>1.0893627288803223</v>
      </c>
      <c r="N80" s="191">
        <f>Table711[[#This Row],[gpu-layered]]/Table711[[#This Row],[CPU+GPU (1)]]</f>
        <v>0.99447189361523614</v>
      </c>
      <c r="O80" s="118" t="s">
        <v>3965</v>
      </c>
      <c r="P80" s="118" t="s">
        <v>3904</v>
      </c>
      <c r="Q80" s="136" t="s">
        <v>3904</v>
      </c>
      <c r="AM80" s="62" t="s">
        <v>1461</v>
      </c>
      <c r="AN80">
        <v>2</v>
      </c>
      <c r="AP80" s="2">
        <v>5.4978040000000004</v>
      </c>
      <c r="AQ80" s="88">
        <f ca="1">Table7[[#This Row],[cpuchunk=1]]/Table7[[#This Row],[CPU Only (30m X)]]</f>
        <v>0.1884100068540096</v>
      </c>
      <c r="AT80" s="88" t="e">
        <f ca="1">Table7[[#This Row],[cpuchunk=1]]/Table7[[#This Row],[GPU_chunk10_ratio]]</f>
        <v>#DIV/0!</v>
      </c>
      <c r="AU80" s="2">
        <v>29.18</v>
      </c>
    </row>
    <row r="81" spans="2:48" ht="26" hidden="1" x14ac:dyDescent="0.35">
      <c r="B81" s="81">
        <f>VLOOKUP('SM2'!D81, MC!$E$6:$W$33,19, FALSE)</f>
        <v>1</v>
      </c>
      <c r="C81" s="81"/>
      <c r="D81" s="78" t="s">
        <v>7</v>
      </c>
      <c r="E81" s="81">
        <v>8</v>
      </c>
      <c r="F81" s="188">
        <v>105.188157</v>
      </c>
      <c r="G81" s="118">
        <v>101.04714199999999</v>
      </c>
      <c r="H81" s="189">
        <v>85.369034999999997</v>
      </c>
      <c r="I81" s="118">
        <v>99.36</v>
      </c>
      <c r="J81" s="116" t="s">
        <v>3965</v>
      </c>
      <c r="K81" s="189">
        <v>84.85</v>
      </c>
      <c r="L81" s="118">
        <v>85.31</v>
      </c>
      <c r="M81" s="191">
        <f>Table711[[#This Row],[G2AIMD-OOM-Fixed]]/Table711[[#This Row],[gpu-layered]]</f>
        <v>1.2321582058412632</v>
      </c>
      <c r="N81" s="191">
        <f>Table711[[#This Row],[gpu-layered]]/Table711[[#This Row],[CPU+GPU (1)]]</f>
        <v>1.006117088980554</v>
      </c>
      <c r="O81" s="118" t="s">
        <v>3965</v>
      </c>
      <c r="P81" s="118" t="s">
        <v>3904</v>
      </c>
      <c r="Q81" s="136" t="s">
        <v>3904</v>
      </c>
      <c r="AM81" s="62" t="s">
        <v>18</v>
      </c>
      <c r="AN81">
        <v>9</v>
      </c>
      <c r="AP81" s="2">
        <v>5.5034890000000001</v>
      </c>
      <c r="AQ81" s="88">
        <f ca="1">Table7[[#This Row],[cpuchunk=1]]/Table7[[#This Row],[CPU Only (30m X)]]</f>
        <v>0.39282576730906499</v>
      </c>
      <c r="AT81" s="88" t="e">
        <f ca="1">Table7[[#This Row],[cpuchunk=1]]/Table7[[#This Row],[GPU_chunk10_ratio]]</f>
        <v>#DIV/0!</v>
      </c>
      <c r="AU81" s="2">
        <v>14.01</v>
      </c>
    </row>
    <row r="82" spans="2:48" ht="26" hidden="1" x14ac:dyDescent="0.35">
      <c r="B82" s="81">
        <f>VLOOKUP('SM2'!D82, MC!$E$6:$W$33,19, FALSE)</f>
        <v>1</v>
      </c>
      <c r="C82" s="81"/>
      <c r="D82" s="78" t="s">
        <v>7</v>
      </c>
      <c r="E82" s="81">
        <v>9</v>
      </c>
      <c r="F82" s="188">
        <v>13.152756</v>
      </c>
      <c r="G82" s="118">
        <v>10.865572999999999</v>
      </c>
      <c r="H82" s="189">
        <v>8.1556200000000008</v>
      </c>
      <c r="I82" s="118">
        <v>12.74</v>
      </c>
      <c r="J82" s="116" t="s">
        <v>3965</v>
      </c>
      <c r="K82" s="189">
        <v>8.94</v>
      </c>
      <c r="L82" s="118">
        <v>10.220000000000001</v>
      </c>
      <c r="M82" s="191">
        <f>Table711[[#This Row],[G2AIMD-OOM-Fixed]]/Table711[[#This Row],[gpu-layered]]</f>
        <v>1.6127230057310173</v>
      </c>
      <c r="N82" s="191">
        <f>Table711[[#This Row],[gpu-layered]]/Table711[[#This Row],[CPU+GPU (1)]]</f>
        <v>0.91226174496644308</v>
      </c>
      <c r="O82" s="118">
        <v>264.95584400000001</v>
      </c>
      <c r="P82" s="118" t="s">
        <v>3904</v>
      </c>
      <c r="Q82" s="136" t="s">
        <v>3904</v>
      </c>
      <c r="AM82" s="62" t="s">
        <v>1455</v>
      </c>
      <c r="AN82">
        <v>25</v>
      </c>
      <c r="AP82" s="2">
        <v>5.7600699999999998</v>
      </c>
      <c r="AQ82" s="88">
        <f ca="1">Table7[[#This Row],[cpuchunk=1]]/Table7[[#This Row],[CPU Only (30m X)]]</f>
        <v>1.0397238267148015</v>
      </c>
      <c r="AT82" s="88" t="e">
        <f ca="1">Table7[[#This Row],[cpuchunk=1]]/Table7[[#This Row],[GPU_chunk10_ratio]]</f>
        <v>#DIV/0!</v>
      </c>
      <c r="AU82" s="2">
        <v>5.54</v>
      </c>
    </row>
    <row r="83" spans="2:48" ht="26" hidden="1" x14ac:dyDescent="0.35">
      <c r="B83" s="81">
        <f>VLOOKUP('SM2'!D83, MC!$E$6:$W$33,19, FALSE)</f>
        <v>2</v>
      </c>
      <c r="C83" s="81"/>
      <c r="D83" s="78" t="s">
        <v>3915</v>
      </c>
      <c r="E83" s="81">
        <v>2</v>
      </c>
      <c r="F83" s="81"/>
      <c r="G83" s="118" t="s">
        <v>3965</v>
      </c>
      <c r="H83" s="118" t="s">
        <v>3965</v>
      </c>
      <c r="I83" s="118"/>
      <c r="J83" s="116"/>
      <c r="K83" s="118"/>
      <c r="L83" s="118"/>
      <c r="M83" s="118" t="e">
        <f>Table711[[#This Row],[G2AIMD-OOM-Fixed]]/Table711[[#This Row],[gpu-layered]]</f>
        <v>#VALUE!</v>
      </c>
      <c r="N83" s="118" t="e">
        <f>Table711[[#This Row],[gpu-layered]]/Table711[[#This Row],[CPU+GPU (1)]]</f>
        <v>#VALUE!</v>
      </c>
      <c r="O83" s="118"/>
      <c r="P83" s="118"/>
      <c r="Q83" s="136"/>
      <c r="AM83" s="62" t="s">
        <v>3919</v>
      </c>
      <c r="AN83">
        <v>8</v>
      </c>
      <c r="AP83" s="2">
        <v>6.0313509999999999</v>
      </c>
      <c r="AQ83" s="88">
        <f ca="1">Table7[[#This Row],[cpuchunk=1]]/Table7[[#This Row],[CPU Only (30m X)]]</f>
        <v>1.0475083655982218</v>
      </c>
      <c r="AT83" s="88" t="e">
        <f ca="1">Table7[[#This Row],[cpuchunk=1]]/Table7[[#This Row],[GPU_chunk10_ratio]]</f>
        <v>#DIV/0!</v>
      </c>
      <c r="AU83" s="2">
        <v>5.7578069999999997</v>
      </c>
    </row>
    <row r="84" spans="2:48" ht="26" hidden="1" x14ac:dyDescent="0.35">
      <c r="B84" s="81">
        <f>VLOOKUP('SM2'!D84, MC!$E$6:$W$33,19, FALSE)</f>
        <v>2</v>
      </c>
      <c r="C84" s="81"/>
      <c r="D84" s="78" t="s">
        <v>3915</v>
      </c>
      <c r="E84" s="81">
        <v>5</v>
      </c>
      <c r="F84" s="81"/>
      <c r="G84" s="118" t="s">
        <v>3965</v>
      </c>
      <c r="H84" s="118" t="s">
        <v>3965</v>
      </c>
      <c r="I84" s="118"/>
      <c r="J84" s="116"/>
      <c r="K84" s="118"/>
      <c r="L84" s="118"/>
      <c r="M84" s="118" t="e">
        <f>Table711[[#This Row],[G2AIMD-OOM-Fixed]]/Table711[[#This Row],[gpu-layered]]</f>
        <v>#VALUE!</v>
      </c>
      <c r="N84" s="118" t="e">
        <f>Table711[[#This Row],[gpu-layered]]/Table711[[#This Row],[CPU+GPU (1)]]</f>
        <v>#VALUE!</v>
      </c>
      <c r="O84" s="118"/>
      <c r="P84" s="118"/>
      <c r="Q84" s="136"/>
      <c r="AM84" s="62" t="s">
        <v>1461</v>
      </c>
      <c r="AN84">
        <v>9</v>
      </c>
      <c r="AP84" s="2">
        <v>6.5457919999999996</v>
      </c>
      <c r="AQ84" s="88">
        <f ca="1">Table7[[#This Row],[cpuchunk=1]]/Table7[[#This Row],[CPU Only (30m X)]]</f>
        <v>0.55099259259259248</v>
      </c>
      <c r="AT84" s="88" t="e">
        <f ca="1">Table7[[#This Row],[cpuchunk=1]]/Table7[[#This Row],[GPU_chunk10_ratio]]</f>
        <v>#DIV/0!</v>
      </c>
      <c r="AU84" s="2">
        <v>11.88</v>
      </c>
    </row>
    <row r="85" spans="2:48" ht="26" hidden="1" x14ac:dyDescent="0.35">
      <c r="B85" s="81">
        <f>VLOOKUP('SM2'!D85, MC!$E$6:$W$33,19, FALSE)</f>
        <v>2</v>
      </c>
      <c r="C85" s="81"/>
      <c r="D85" s="78" t="s">
        <v>3915</v>
      </c>
      <c r="E85" s="81">
        <v>7</v>
      </c>
      <c r="F85" s="81"/>
      <c r="G85" s="118" t="s">
        <v>3965</v>
      </c>
      <c r="H85" s="118" t="s">
        <v>3965</v>
      </c>
      <c r="I85" s="118"/>
      <c r="J85" s="116"/>
      <c r="K85" s="118"/>
      <c r="L85" s="118"/>
      <c r="M85" s="118" t="e">
        <f>Table711[[#This Row],[G2AIMD-OOM-Fixed]]/Table711[[#This Row],[gpu-layered]]</f>
        <v>#VALUE!</v>
      </c>
      <c r="N85" s="118" t="e">
        <f>Table711[[#This Row],[gpu-layered]]/Table711[[#This Row],[CPU+GPU (1)]]</f>
        <v>#VALUE!</v>
      </c>
      <c r="O85" s="118"/>
      <c r="P85" s="118"/>
      <c r="Q85" s="136"/>
      <c r="AM85" s="62" t="s">
        <v>1423</v>
      </c>
      <c r="AN85">
        <v>9</v>
      </c>
      <c r="AP85" s="2">
        <v>8.3094400000000004</v>
      </c>
      <c r="AQ85" s="88">
        <f ca="1">Table7[[#This Row],[cpuchunk=1]]/Table7[[#This Row],[CPU Only (30m X)]]</f>
        <v>0.59057853589196874</v>
      </c>
      <c r="AT85" s="88" t="e">
        <f ca="1">Table7[[#This Row],[cpuchunk=1]]/Table7[[#This Row],[GPU_chunk10_ratio]]</f>
        <v>#DIV/0!</v>
      </c>
      <c r="AU85" s="2">
        <v>14.07</v>
      </c>
    </row>
    <row r="86" spans="2:48" ht="26" hidden="1" x14ac:dyDescent="0.35">
      <c r="B86" s="81">
        <f>VLOOKUP('SM2'!D86, MC!$E$6:$W$33,19, FALSE)</f>
        <v>2</v>
      </c>
      <c r="C86" s="81"/>
      <c r="D86" s="78" t="s">
        <v>3915</v>
      </c>
      <c r="E86" s="81">
        <v>8</v>
      </c>
      <c r="F86" s="81"/>
      <c r="G86" s="118" t="s">
        <v>3904</v>
      </c>
      <c r="H86" s="118" t="s">
        <v>3965</v>
      </c>
      <c r="I86" s="118"/>
      <c r="J86" s="116"/>
      <c r="K86" s="118"/>
      <c r="L86" s="118"/>
      <c r="M86" s="118" t="e">
        <f>Table711[[#This Row],[G2AIMD-OOM-Fixed]]/Table711[[#This Row],[gpu-layered]]</f>
        <v>#VALUE!</v>
      </c>
      <c r="N86" s="118" t="e">
        <f>Table711[[#This Row],[gpu-layered]]/Table711[[#This Row],[CPU+GPU (1)]]</f>
        <v>#VALUE!</v>
      </c>
      <c r="O86" s="118"/>
      <c r="P86" s="118"/>
      <c r="Q86" s="136"/>
      <c r="AM86" s="62" t="s">
        <v>1346</v>
      </c>
      <c r="AN86">
        <v>5</v>
      </c>
      <c r="AP86" s="2">
        <v>8.3391870000000008</v>
      </c>
      <c r="AQ86" s="88">
        <f ca="1">Table7[[#This Row],[cpuchunk=1]]/Table7[[#This Row],[CPU Only (30m X)]]</f>
        <v>0.92657633333333345</v>
      </c>
      <c r="AT86" s="88" t="e">
        <f ca="1">Table7[[#This Row],[cpuchunk=1]]/Table7[[#This Row],[GPU_chunk10_ratio]]</f>
        <v>#DIV/0!</v>
      </c>
      <c r="AU86" s="2">
        <v>9</v>
      </c>
    </row>
    <row r="87" spans="2:48" ht="26" hidden="1" x14ac:dyDescent="0.35">
      <c r="B87" s="81">
        <f>VLOOKUP('SM2'!D87, MC!$E$6:$W$33,19, FALSE)</f>
        <v>2</v>
      </c>
      <c r="C87" s="81"/>
      <c r="D87" s="78" t="s">
        <v>3915</v>
      </c>
      <c r="E87" s="81">
        <v>9</v>
      </c>
      <c r="F87" s="81"/>
      <c r="G87" s="118" t="s">
        <v>3965</v>
      </c>
      <c r="H87" s="118" t="s">
        <v>3965</v>
      </c>
      <c r="I87" s="118"/>
      <c r="J87" s="116"/>
      <c r="K87" s="118"/>
      <c r="L87" s="118"/>
      <c r="M87" s="118" t="e">
        <f>Table711[[#This Row],[G2AIMD-OOM-Fixed]]/Table711[[#This Row],[gpu-layered]]</f>
        <v>#VALUE!</v>
      </c>
      <c r="N87" s="118" t="e">
        <f>Table711[[#This Row],[gpu-layered]]/Table711[[#This Row],[CPU+GPU (1)]]</f>
        <v>#VALUE!</v>
      </c>
      <c r="O87" s="118"/>
      <c r="P87" s="118"/>
      <c r="Q87" s="136"/>
      <c r="AM87" s="62" t="s">
        <v>1423</v>
      </c>
      <c r="AN87">
        <v>2</v>
      </c>
      <c r="AP87" s="2">
        <v>8.7754530000000006</v>
      </c>
      <c r="AQ87" s="88">
        <f ca="1">Table7[[#This Row],[cpuchunk=1]]/Table7[[#This Row],[CPU Only (30m X)]]</f>
        <v>0.33094065222376678</v>
      </c>
      <c r="AT87" s="88" t="e">
        <f ca="1">Table7[[#This Row],[cpuchunk=1]]/Table7[[#This Row],[GPU_chunk10_ratio]]</f>
        <v>#DIV/0!</v>
      </c>
      <c r="AU87" s="2">
        <v>26.516697000000001</v>
      </c>
    </row>
    <row r="88" spans="2:48" ht="26" hidden="1" x14ac:dyDescent="0.35">
      <c r="B88" s="81">
        <f>VLOOKUP('SM2'!D88, MC!$E$6:$W$33,19, FALSE)</f>
        <v>2</v>
      </c>
      <c r="C88" s="81"/>
      <c r="D88" s="78" t="s">
        <v>11</v>
      </c>
      <c r="E88" s="81">
        <v>2</v>
      </c>
      <c r="F88" s="188">
        <v>0.23533999999999999</v>
      </c>
      <c r="G88" s="118">
        <v>2.0498639999999999</v>
      </c>
      <c r="H88" s="123">
        <v>1.0775619999999999</v>
      </c>
      <c r="I88" s="63">
        <v>1.102981547110895</v>
      </c>
      <c r="J88" s="116">
        <v>116.34638700000001</v>
      </c>
      <c r="K88" s="189">
        <v>1.364546</v>
      </c>
      <c r="L88" s="118">
        <v>3.07</v>
      </c>
      <c r="M88" s="191">
        <f>Table711[[#This Row],[G2AIMD-OOM-Fixed]]/Table711[[#This Row],[gpu-layered]]</f>
        <v>0.21840042614717298</v>
      </c>
      <c r="N88" s="191">
        <f>Table711[[#This Row],[gpu-layered]]/Table711[[#This Row],[CPU+GPU (1)]]</f>
        <v>0.78968536055215421</v>
      </c>
      <c r="O88" s="107">
        <v>2.0088699999999999</v>
      </c>
      <c r="P88" s="107">
        <v>4.3793930000000003</v>
      </c>
      <c r="Q88" s="107" t="s">
        <v>3904</v>
      </c>
      <c r="AM88" s="62" t="s">
        <v>1371</v>
      </c>
      <c r="AN88">
        <v>7</v>
      </c>
      <c r="AP88" s="2">
        <v>8.8003280000000004</v>
      </c>
      <c r="AQ88" s="88">
        <f ca="1">Table7[[#This Row],[cpuchunk=1]]/Table7[[#This Row],[CPU Only (30m X)]]</f>
        <v>0.91006494312306108</v>
      </c>
      <c r="AT88" s="88" t="e">
        <f ca="1">Table7[[#This Row],[cpuchunk=1]]/Table7[[#This Row],[GPU_chunk10_ratio]]</f>
        <v>#DIV/0!</v>
      </c>
      <c r="AU88" s="2">
        <v>9.67</v>
      </c>
    </row>
    <row r="89" spans="2:48" ht="26" hidden="1" x14ac:dyDescent="0.35">
      <c r="B89" s="81">
        <f>VLOOKUP('SM2'!D89, MC!$E$6:$W$33,19, FALSE)</f>
        <v>2</v>
      </c>
      <c r="C89" s="81"/>
      <c r="D89" s="78" t="s">
        <v>11</v>
      </c>
      <c r="E89" s="81">
        <v>5</v>
      </c>
      <c r="F89" s="188">
        <v>1.8061449999999999</v>
      </c>
      <c r="G89" s="118">
        <v>3.718569</v>
      </c>
      <c r="H89" s="189">
        <v>2.6529889999999998</v>
      </c>
      <c r="I89" s="118">
        <v>2.7276378897880824</v>
      </c>
      <c r="J89" s="116" t="s">
        <v>3965</v>
      </c>
      <c r="K89" s="189">
        <v>2.94</v>
      </c>
      <c r="L89" s="118">
        <v>4.9000000000000004</v>
      </c>
      <c r="M89" s="191">
        <f>Table711[[#This Row],[G2AIMD-OOM-Fixed]]/Table711[[#This Row],[gpu-layered]]</f>
        <v>0.6807962641382983</v>
      </c>
      <c r="N89" s="191">
        <f>Table711[[#This Row],[gpu-layered]]/Table711[[#This Row],[CPU+GPU (1)]]</f>
        <v>0.90237721088435374</v>
      </c>
      <c r="O89" s="118">
        <v>75.172507999999993</v>
      </c>
      <c r="P89" s="118" t="s">
        <v>3904</v>
      </c>
      <c r="Q89" s="136" t="s">
        <v>3904</v>
      </c>
      <c r="AM89" s="62" t="s">
        <v>1391</v>
      </c>
      <c r="AN89">
        <v>7</v>
      </c>
      <c r="AP89" s="2">
        <v>9.1454550000000001</v>
      </c>
      <c r="AQ89" s="88">
        <f ca="1">Table7[[#This Row],[cpuchunk=1]]/Table7[[#This Row],[CPU Only (30m X)]]</f>
        <v>0.99442259433197533</v>
      </c>
      <c r="AT89" s="88" t="e">
        <f ca="1">Table7[[#This Row],[cpuchunk=1]]/Table7[[#This Row],[GPU_chunk10_ratio]]</f>
        <v>#DIV/0!</v>
      </c>
      <c r="AU89" s="2">
        <v>9.1967490000000005</v>
      </c>
    </row>
    <row r="90" spans="2:48" ht="26" hidden="1" x14ac:dyDescent="0.35">
      <c r="B90" s="81">
        <f>VLOOKUP('SM2'!D90, MC!$E$6:$W$33,19, FALSE)</f>
        <v>2</v>
      </c>
      <c r="C90" s="81"/>
      <c r="D90" s="78" t="s">
        <v>11</v>
      </c>
      <c r="E90" s="81">
        <v>7</v>
      </c>
      <c r="F90" s="188">
        <v>4.8175689999999998</v>
      </c>
      <c r="G90" s="118">
        <v>4.940169</v>
      </c>
      <c r="H90" s="189">
        <v>4.9147360000000004</v>
      </c>
      <c r="I90" s="118">
        <v>4.9409710626648566</v>
      </c>
      <c r="J90" s="116">
        <v>567.67966899999999</v>
      </c>
      <c r="K90" s="189">
        <v>5.5</v>
      </c>
      <c r="L90" s="118">
        <v>6.46</v>
      </c>
      <c r="M90" s="191">
        <f>Table711[[#This Row],[G2AIMD-OOM-Fixed]]/Table711[[#This Row],[gpu-layered]]</f>
        <v>0.98022945688232277</v>
      </c>
      <c r="N90" s="191">
        <f>Table711[[#This Row],[gpu-layered]]/Table711[[#This Row],[CPU+GPU (1)]]</f>
        <v>0.89358836363636374</v>
      </c>
      <c r="O90" s="118">
        <v>223.34312499999999</v>
      </c>
      <c r="P90" s="118" t="s">
        <v>3904</v>
      </c>
      <c r="Q90" s="136" t="s">
        <v>3904</v>
      </c>
      <c r="AM90" s="62" t="s">
        <v>3912</v>
      </c>
      <c r="AN90">
        <v>5</v>
      </c>
      <c r="AP90" s="2">
        <v>9.7607599999999994</v>
      </c>
      <c r="AQ90" s="88">
        <f ca="1">Table7[[#This Row],[cpuchunk=1]]/Table7[[#This Row],[CPU Only (30m X)]]</f>
        <v>0.98360926665142989</v>
      </c>
      <c r="AT90" s="88" t="e">
        <f ca="1">Table7[[#This Row],[cpuchunk=1]]/Table7[[#This Row],[GPU_chunk10_ratio]]</f>
        <v>#DIV/0!</v>
      </c>
      <c r="AU90" s="2">
        <v>9.9234120000000008</v>
      </c>
    </row>
    <row r="91" spans="2:48" ht="29" hidden="1" x14ac:dyDescent="0.35">
      <c r="B91" s="81">
        <f>VLOOKUP('SM2'!D91, MC!$E$6:$W$33,19, FALSE)</f>
        <v>2</v>
      </c>
      <c r="C91" s="81"/>
      <c r="D91" s="78" t="s">
        <v>11</v>
      </c>
      <c r="E91" s="81">
        <v>8</v>
      </c>
      <c r="F91" s="188">
        <v>4.0994320000000002</v>
      </c>
      <c r="G91" s="118">
        <v>4.1580000000000004</v>
      </c>
      <c r="H91" s="189">
        <v>3.7713109999999999</v>
      </c>
      <c r="I91" s="118">
        <v>3.7850549618533678</v>
      </c>
      <c r="J91" s="116" t="s">
        <v>3965</v>
      </c>
      <c r="K91" s="189">
        <v>4.84</v>
      </c>
      <c r="L91" s="118">
        <v>6.25</v>
      </c>
      <c r="M91" s="191">
        <f>Table711[[#This Row],[G2AIMD-OOM-Fixed]]/Table711[[#This Row],[gpu-layered]]</f>
        <v>1.0870044926021747</v>
      </c>
      <c r="N91" s="191">
        <f>Table711[[#This Row],[gpu-layered]]/Table711[[#This Row],[CPU+GPU (1)]]</f>
        <v>0.77919648760330573</v>
      </c>
      <c r="O91" s="118" t="s">
        <v>3965</v>
      </c>
      <c r="P91" s="118" t="s">
        <v>3904</v>
      </c>
      <c r="Q91" s="136" t="s">
        <v>3904</v>
      </c>
      <c r="AL91">
        <v>1</v>
      </c>
      <c r="AM91" s="62" t="s">
        <v>1371</v>
      </c>
      <c r="AN91">
        <v>8</v>
      </c>
      <c r="AO91" s="62">
        <v>15.318994999999999</v>
      </c>
      <c r="AP91" s="109">
        <v>10.159229</v>
      </c>
      <c r="AQ91" s="46">
        <v>9.8000000000000007</v>
      </c>
      <c r="AR91" s="36">
        <v>10.49</v>
      </c>
      <c r="AS91" s="36">
        <v>13.33</v>
      </c>
      <c r="AT91" s="107">
        <f ca="1">Table7[[#This Row],[cpuchunk=1]]/Table7[[#This Row],[GPU_chunk10_ratio]]</f>
        <v>0.76213270817704426</v>
      </c>
      <c r="AU91" s="2">
        <v>10.119999999999999</v>
      </c>
      <c r="AV91" s="113">
        <v>1844.568945</v>
      </c>
    </row>
    <row r="92" spans="2:48" ht="29" hidden="1" x14ac:dyDescent="0.35">
      <c r="B92" s="81">
        <f>VLOOKUP('SM2'!D92, MC!$E$6:$W$33,19, FALSE)</f>
        <v>2</v>
      </c>
      <c r="C92" s="81"/>
      <c r="D92" s="78" t="s">
        <v>11</v>
      </c>
      <c r="E92" s="81">
        <v>9</v>
      </c>
      <c r="F92" s="188">
        <v>0.68615199999999998</v>
      </c>
      <c r="G92" s="118">
        <v>0.696523</v>
      </c>
      <c r="H92" s="189">
        <v>0.50845700000000005</v>
      </c>
      <c r="I92" s="118">
        <v>0.55274879370573793</v>
      </c>
      <c r="J92" s="116">
        <v>58.565491999999999</v>
      </c>
      <c r="K92" s="189">
        <v>1.4614469999999999</v>
      </c>
      <c r="L92" s="118">
        <v>4.51</v>
      </c>
      <c r="M92" s="191">
        <f>Table711[[#This Row],[G2AIMD-OOM-Fixed]]/Table711[[#This Row],[gpu-layered]]</f>
        <v>1.3494789136544485</v>
      </c>
      <c r="N92" s="191">
        <f>Table711[[#This Row],[gpu-layered]]/Table711[[#This Row],[CPU+GPU (1)]]</f>
        <v>0.34791340363352219</v>
      </c>
      <c r="O92" s="118">
        <v>19.718454999999999</v>
      </c>
      <c r="P92" s="118" t="s">
        <v>3904</v>
      </c>
      <c r="Q92" s="136">
        <v>21.739674000000001</v>
      </c>
      <c r="AL92">
        <v>1</v>
      </c>
      <c r="AM92" s="62" t="s">
        <v>1448</v>
      </c>
      <c r="AN92">
        <v>2</v>
      </c>
      <c r="AO92" s="62">
        <v>12.071039000000001</v>
      </c>
      <c r="AP92" s="109">
        <v>10.268869</v>
      </c>
      <c r="AQ92" s="46">
        <v>12.47</v>
      </c>
      <c r="AR92" s="36">
        <v>13.1</v>
      </c>
      <c r="AS92" s="36">
        <v>12.38</v>
      </c>
      <c r="AT92" s="107">
        <f ca="1">Table7[[#This Row],[cpuchunk=1]]/Table7[[#This Row],[GPU_chunk10_ratio]]</f>
        <v>0.82947245557350568</v>
      </c>
      <c r="AU92" s="2">
        <v>33.94</v>
      </c>
      <c r="AV92" s="113" t="s">
        <v>3965</v>
      </c>
    </row>
    <row r="93" spans="2:48" ht="29" x14ac:dyDescent="0.35">
      <c r="B93" s="81">
        <f>VLOOKUP('SM2'!D93, MC!$E$6:$W$33,19, FALSE)</f>
        <v>2</v>
      </c>
      <c r="C93" s="81">
        <v>4</v>
      </c>
      <c r="D93" s="78" t="s">
        <v>3917</v>
      </c>
      <c r="E93" s="81">
        <v>2</v>
      </c>
      <c r="F93" s="188">
        <v>0.74348800000000004</v>
      </c>
      <c r="G93" s="118">
        <v>0.73555000000000004</v>
      </c>
      <c r="H93" s="123">
        <v>0.66657699999999998</v>
      </c>
      <c r="I93" s="63">
        <v>0.70355108204510386</v>
      </c>
      <c r="J93" s="116">
        <v>1016.850639</v>
      </c>
      <c r="K93" s="189">
        <v>1.06</v>
      </c>
      <c r="L93" s="118">
        <v>1.38</v>
      </c>
      <c r="M93" s="191">
        <f>Table711[[#This Row],[G2AIMD-OOM-Fixed]]/Table711[[#This Row],[gpu-layered]]</f>
        <v>1.1153820188815398</v>
      </c>
      <c r="N93" s="191">
        <f>Table711[[#This Row],[gpu-layered]]/Table711[[#This Row],[CPU+GPU (1)]]</f>
        <v>0.62884622641509424</v>
      </c>
      <c r="O93" s="107">
        <v>29.697301</v>
      </c>
      <c r="P93" s="107" t="s">
        <v>3904</v>
      </c>
      <c r="Q93" s="107" t="s">
        <v>3904</v>
      </c>
      <c r="AL93">
        <v>1</v>
      </c>
      <c r="AM93" s="62" t="s">
        <v>1434</v>
      </c>
      <c r="AN93">
        <v>9</v>
      </c>
      <c r="AO93" s="62">
        <v>11.925243999999999</v>
      </c>
      <c r="AP93" s="109">
        <v>11.339861000000001</v>
      </c>
      <c r="AQ93" s="46">
        <v>10.944299000000001</v>
      </c>
      <c r="AR93" s="36">
        <v>11.13</v>
      </c>
      <c r="AS93" s="36">
        <v>12.09</v>
      </c>
      <c r="AT93" s="107">
        <f ca="1">Table7[[#This Row],[cpuchunk=1]]/Table7[[#This Row],[GPU_chunk10_ratio]]</f>
        <v>0.93795376344086034</v>
      </c>
      <c r="AU93" s="2">
        <v>10.973511999999999</v>
      </c>
      <c r="AV93" s="113">
        <v>784.80277100000001</v>
      </c>
    </row>
    <row r="94" spans="2:48" ht="29" x14ac:dyDescent="0.35">
      <c r="B94" s="81">
        <f>VLOOKUP('SM2'!D94, MC!$E$6:$W$33,19, FALSE)</f>
        <v>2</v>
      </c>
      <c r="C94" s="81">
        <v>4</v>
      </c>
      <c r="D94" s="78" t="s">
        <v>3917</v>
      </c>
      <c r="E94" s="81">
        <v>5</v>
      </c>
      <c r="F94" s="188">
        <v>5.2184530000000002</v>
      </c>
      <c r="G94" s="118">
        <v>5.4046500000000002</v>
      </c>
      <c r="H94" s="189">
        <v>5.0369149999999996</v>
      </c>
      <c r="I94" s="118">
        <v>5.0765194544549637</v>
      </c>
      <c r="J94" s="116" t="s">
        <v>3965</v>
      </c>
      <c r="K94" s="189">
        <v>5.63</v>
      </c>
      <c r="L94" s="118">
        <v>7.52</v>
      </c>
      <c r="M94" s="191">
        <f>Table711[[#This Row],[G2AIMD-OOM-Fixed]]/Table711[[#This Row],[gpu-layered]]</f>
        <v>1.0360415055644181</v>
      </c>
      <c r="N94" s="191">
        <f>Table711[[#This Row],[gpu-layered]]/Table711[[#This Row],[CPU+GPU (1)]]</f>
        <v>0.89465630550621666</v>
      </c>
      <c r="O94" s="118" t="s">
        <v>3965</v>
      </c>
      <c r="P94" s="118" t="s">
        <v>3904</v>
      </c>
      <c r="Q94" s="136" t="s">
        <v>3904</v>
      </c>
      <c r="AL94">
        <v>1</v>
      </c>
      <c r="AM94" s="62" t="s">
        <v>1448</v>
      </c>
      <c r="AN94">
        <v>9</v>
      </c>
      <c r="AO94" s="62">
        <v>14.808792</v>
      </c>
      <c r="AP94" s="109">
        <v>14.022862</v>
      </c>
      <c r="AQ94" s="46">
        <v>20.95</v>
      </c>
      <c r="AR94" s="36">
        <v>26.07</v>
      </c>
      <c r="AS94" s="36">
        <v>15.63</v>
      </c>
      <c r="AT94" s="107">
        <f ca="1">Table7[[#This Row],[cpuchunk=1]]/Table7[[#This Row],[GPU_chunk10_ratio]]</f>
        <v>0.8971760716570697</v>
      </c>
      <c r="AU94" s="2">
        <v>35.89</v>
      </c>
      <c r="AV94" s="113" t="s">
        <v>3965</v>
      </c>
    </row>
    <row r="95" spans="2:48" ht="29" x14ac:dyDescent="0.35">
      <c r="B95" s="81">
        <f>VLOOKUP('SM2'!D95, MC!$E$6:$W$33,19, FALSE)</f>
        <v>2</v>
      </c>
      <c r="C95" s="81">
        <v>4</v>
      </c>
      <c r="D95" s="78" t="s">
        <v>3917</v>
      </c>
      <c r="E95" s="81">
        <v>7</v>
      </c>
      <c r="F95" s="188">
        <v>14.052868</v>
      </c>
      <c r="G95" s="118">
        <v>14.408884</v>
      </c>
      <c r="H95" s="63">
        <v>15.422058</v>
      </c>
      <c r="I95" s="189">
        <v>13.420144000000001</v>
      </c>
      <c r="J95" s="116" t="s">
        <v>3965</v>
      </c>
      <c r="K95" s="189">
        <v>14.28</v>
      </c>
      <c r="L95" s="118">
        <v>17.25</v>
      </c>
      <c r="M95" s="191">
        <f>Table711[[#This Row],[G2AIMD-OOM-Fixed]]/Table711[[#This Row],[gpu-layered]]</f>
        <v>0.911218723208018</v>
      </c>
      <c r="N95" s="191">
        <f>Table711[[#This Row],[gpu-layered]]/Table711[[#This Row],[CPU+GPU (1)]]</f>
        <v>1.0799760504201681</v>
      </c>
      <c r="O95" s="107" t="s">
        <v>3965</v>
      </c>
      <c r="P95" s="107" t="s">
        <v>3904</v>
      </c>
      <c r="Q95" s="107" t="s">
        <v>3904</v>
      </c>
      <c r="AL95">
        <v>1</v>
      </c>
      <c r="AM95" s="62" t="s">
        <v>3919</v>
      </c>
      <c r="AN95">
        <v>6</v>
      </c>
      <c r="AO95" s="62">
        <v>18.152170999999999</v>
      </c>
      <c r="AP95" s="109">
        <v>14.641228999999999</v>
      </c>
      <c r="AQ95" s="46">
        <v>14.524549</v>
      </c>
      <c r="AR95" s="36">
        <v>14.290449000000001</v>
      </c>
      <c r="AS95" s="36">
        <v>14.21</v>
      </c>
      <c r="AT95" s="107">
        <f ca="1">Table7[[#This Row],[cpuchunk=1]]/Table7[[#This Row],[GPU_chunk10_ratio]]</f>
        <v>1.0303468684025332</v>
      </c>
      <c r="AU95" s="2">
        <v>14.312435000000001</v>
      </c>
      <c r="AV95" s="113">
        <v>122.148618</v>
      </c>
    </row>
    <row r="96" spans="2:48" ht="29" x14ac:dyDescent="0.35">
      <c r="B96" s="81">
        <f>VLOOKUP('SM2'!D96, MC!$E$6:$W$33,19, FALSE)</f>
        <v>2</v>
      </c>
      <c r="C96" s="81">
        <v>4</v>
      </c>
      <c r="D96" s="78" t="s">
        <v>3917</v>
      </c>
      <c r="E96" s="81">
        <v>8</v>
      </c>
      <c r="F96" s="188">
        <v>27.579222000000001</v>
      </c>
      <c r="G96" s="118">
        <v>23.051181</v>
      </c>
      <c r="H96" s="190">
        <v>15.958356</v>
      </c>
      <c r="I96" s="118">
        <v>22.5</v>
      </c>
      <c r="J96" s="116" t="s">
        <v>3965</v>
      </c>
      <c r="K96" s="189">
        <v>16.989999999999998</v>
      </c>
      <c r="L96" s="118">
        <v>27.08</v>
      </c>
      <c r="M96" s="191">
        <f>Table711[[#This Row],[G2AIMD-OOM-Fixed]]/Table711[[#This Row],[gpu-layered]]</f>
        <v>1.7281994461083585</v>
      </c>
      <c r="N96" s="191">
        <f>Table711[[#This Row],[gpu-layered]]/Table711[[#This Row],[CPU+GPU (1)]]</f>
        <v>0.93927934078869935</v>
      </c>
      <c r="O96" s="118" t="s">
        <v>3965</v>
      </c>
      <c r="P96" s="118" t="s">
        <v>3904</v>
      </c>
      <c r="Q96" s="136" t="s">
        <v>3904</v>
      </c>
      <c r="AL96">
        <v>1</v>
      </c>
      <c r="AM96" s="62" t="s">
        <v>1450</v>
      </c>
      <c r="AN96">
        <v>2</v>
      </c>
      <c r="AO96" s="62">
        <v>21.122053000000001</v>
      </c>
      <c r="AP96" s="109">
        <v>16.624081</v>
      </c>
      <c r="AQ96" s="46">
        <v>19.920000000000002</v>
      </c>
      <c r="AR96" s="36">
        <v>20.420000000000002</v>
      </c>
      <c r="AS96" s="36">
        <v>19.739999999999998</v>
      </c>
      <c r="AT96" s="107">
        <f ca="1">Table7[[#This Row],[cpuchunk=1]]/Table7[[#This Row],[GPU_chunk10_ratio]]</f>
        <v>0.84215202634245201</v>
      </c>
      <c r="AU96" s="2">
        <v>38.707056000000001</v>
      </c>
      <c r="AV96" s="113" t="s">
        <v>3965</v>
      </c>
    </row>
    <row r="97" spans="2:48" ht="29" x14ac:dyDescent="0.35">
      <c r="B97" s="81">
        <f>VLOOKUP('SM2'!D97, MC!$E$6:$W$33,19, FALSE)</f>
        <v>2</v>
      </c>
      <c r="C97" s="81">
        <v>4</v>
      </c>
      <c r="D97" s="78" t="s">
        <v>3917</v>
      </c>
      <c r="E97" s="81">
        <v>9</v>
      </c>
      <c r="F97" s="188">
        <v>1.1241399999999999</v>
      </c>
      <c r="G97" s="118">
        <v>1.1548290000000001</v>
      </c>
      <c r="H97" s="123">
        <v>1.108528</v>
      </c>
      <c r="I97" s="63">
        <v>1.1439698692124307</v>
      </c>
      <c r="J97" s="116">
        <v>36.354160999999998</v>
      </c>
      <c r="K97" s="189">
        <v>1.74</v>
      </c>
      <c r="L97" s="118">
        <v>3.27</v>
      </c>
      <c r="M97" s="191">
        <f>Table711[[#This Row],[G2AIMD-OOM-Fixed]]/Table711[[#This Row],[gpu-layered]]</f>
        <v>1.0140835414170863</v>
      </c>
      <c r="N97" s="191">
        <f>Table711[[#This Row],[gpu-layered]]/Table711[[#This Row],[CPU+GPU (1)]]</f>
        <v>0.63708505747126432</v>
      </c>
      <c r="O97" s="107">
        <v>48.400663999999999</v>
      </c>
      <c r="P97" s="107" t="s">
        <v>3904</v>
      </c>
      <c r="Q97" s="107" t="s">
        <v>3904</v>
      </c>
      <c r="AL97">
        <v>1</v>
      </c>
      <c r="AM97" s="62" t="s">
        <v>3912</v>
      </c>
      <c r="AN97">
        <v>7</v>
      </c>
      <c r="AO97" s="62">
        <v>19.990193000000001</v>
      </c>
      <c r="AP97" s="109">
        <v>19.956325</v>
      </c>
      <c r="AQ97" s="46">
        <v>19.78</v>
      </c>
      <c r="AR97" s="36">
        <v>19.64</v>
      </c>
      <c r="AS97" s="36">
        <v>19.96</v>
      </c>
      <c r="AT97" s="107">
        <f ca="1">Table7[[#This Row],[cpuchunk=1]]/Table7[[#This Row],[GPU_chunk10_ratio]]</f>
        <v>0.99981588176352698</v>
      </c>
      <c r="AU97" s="2">
        <v>19.59</v>
      </c>
      <c r="AV97" s="113" t="s">
        <v>3965</v>
      </c>
    </row>
    <row r="98" spans="2:48" ht="29" hidden="1" x14ac:dyDescent="0.35">
      <c r="B98" s="81">
        <f>VLOOKUP('SM2'!D98, MC!$E$6:$W$33,19, FALSE)</f>
        <v>1</v>
      </c>
      <c r="C98" s="81"/>
      <c r="D98" s="78" t="s">
        <v>1438</v>
      </c>
      <c r="E98" s="81">
        <v>2</v>
      </c>
      <c r="F98" s="188">
        <v>102.05459500000001</v>
      </c>
      <c r="G98" s="118">
        <v>101.80888</v>
      </c>
      <c r="H98" s="123">
        <v>101.235085</v>
      </c>
      <c r="I98" s="63">
        <v>101.54068700000001</v>
      </c>
      <c r="J98" s="116" t="s">
        <v>3965</v>
      </c>
      <c r="K98" s="189">
        <v>104.02</v>
      </c>
      <c r="L98" s="118">
        <v>105.29</v>
      </c>
      <c r="M98" s="191">
        <f>Table711[[#This Row],[G2AIMD-OOM-Fixed]]/Table711[[#This Row],[gpu-layered]]</f>
        <v>1.0080951184068252</v>
      </c>
      <c r="N98" s="191">
        <f>Table711[[#This Row],[gpu-layered]]/Table711[[#This Row],[CPU+GPU (1)]]</f>
        <v>0.97322711978465681</v>
      </c>
      <c r="O98" s="107" t="s">
        <v>3965</v>
      </c>
      <c r="P98" s="107" t="s">
        <v>3904</v>
      </c>
      <c r="Q98" s="107" t="s">
        <v>3904</v>
      </c>
      <c r="AL98">
        <v>1</v>
      </c>
      <c r="AM98" s="62" t="s">
        <v>1431</v>
      </c>
      <c r="AN98">
        <v>8</v>
      </c>
      <c r="AO98" s="62" t="s">
        <v>3965</v>
      </c>
      <c r="AP98" s="109">
        <v>21.587534000000002</v>
      </c>
      <c r="AQ98" s="46">
        <v>8.9600000000000009</v>
      </c>
      <c r="AR98" s="36">
        <v>9.31</v>
      </c>
      <c r="AS98" s="36">
        <v>11.89</v>
      </c>
      <c r="AT98" s="107">
        <f ca="1">Table7[[#This Row],[cpuchunk=1]]/Table7[[#This Row],[GPU_chunk10_ratio]]</f>
        <v>1.8156042052144661</v>
      </c>
      <c r="AU98" s="2">
        <v>20.056457999999999</v>
      </c>
      <c r="AV98" s="113" t="s">
        <v>3965</v>
      </c>
    </row>
    <row r="99" spans="2:48" ht="29" hidden="1" x14ac:dyDescent="0.35">
      <c r="B99" s="81">
        <f>VLOOKUP('SM2'!D99, MC!$E$6:$W$33,19, FALSE)</f>
        <v>1</v>
      </c>
      <c r="C99" s="81"/>
      <c r="D99" s="78" t="s">
        <v>1438</v>
      </c>
      <c r="E99" s="81">
        <v>5</v>
      </c>
      <c r="F99" s="81"/>
      <c r="G99" s="118" t="s">
        <v>3965</v>
      </c>
      <c r="H99" s="118" t="s">
        <v>3965</v>
      </c>
      <c r="I99" s="118"/>
      <c r="J99" s="116"/>
      <c r="K99" s="118"/>
      <c r="L99" s="118"/>
      <c r="M99" s="118" t="e">
        <f>Table711[[#This Row],[G2AIMD-OOM-Fixed]]/Table711[[#This Row],[gpu-layered]]</f>
        <v>#VALUE!</v>
      </c>
      <c r="N99" s="118" t="e">
        <f>Table711[[#This Row],[gpu-layered]]/Table711[[#This Row],[CPU+GPU (1)]]</f>
        <v>#VALUE!</v>
      </c>
      <c r="O99" s="118"/>
      <c r="P99" s="118"/>
      <c r="Q99" s="136"/>
      <c r="AL99">
        <v>1</v>
      </c>
      <c r="AM99" s="62" t="s">
        <v>3912</v>
      </c>
      <c r="AN99">
        <v>8</v>
      </c>
      <c r="AO99" s="62">
        <v>23.409692</v>
      </c>
      <c r="AP99" s="109">
        <v>22.264191</v>
      </c>
      <c r="AQ99" s="46">
        <v>21.95</v>
      </c>
      <c r="AR99" s="36">
        <v>22.3</v>
      </c>
      <c r="AS99" s="36">
        <v>22.88</v>
      </c>
      <c r="AT99" s="107">
        <f ca="1">Table7[[#This Row],[cpuchunk=1]]/Table7[[#This Row],[GPU_chunk10_ratio]]</f>
        <v>0.97308527097902109</v>
      </c>
      <c r="AU99" s="2">
        <v>21.730737999999999</v>
      </c>
      <c r="AV99" s="113">
        <v>579.55940199999998</v>
      </c>
    </row>
    <row r="100" spans="2:48" ht="29" hidden="1" x14ac:dyDescent="0.35">
      <c r="B100" s="81">
        <f>VLOOKUP('SM2'!D100, MC!$E$6:$W$33,19, FALSE)</f>
        <v>1</v>
      </c>
      <c r="C100" s="81"/>
      <c r="D100" s="78" t="s">
        <v>1438</v>
      </c>
      <c r="E100" s="81">
        <v>7</v>
      </c>
      <c r="F100" s="81"/>
      <c r="G100" s="118" t="s">
        <v>3965</v>
      </c>
      <c r="H100" s="118" t="s">
        <v>3965</v>
      </c>
      <c r="I100" s="118"/>
      <c r="J100" s="116"/>
      <c r="K100" s="118"/>
      <c r="L100" s="118"/>
      <c r="M100" s="118" t="e">
        <f>Table711[[#This Row],[G2AIMD-OOM-Fixed]]/Table711[[#This Row],[gpu-layered]]</f>
        <v>#VALUE!</v>
      </c>
      <c r="N100" s="118" t="e">
        <f>Table711[[#This Row],[gpu-layered]]/Table711[[#This Row],[CPU+GPU (1)]]</f>
        <v>#VALUE!</v>
      </c>
      <c r="O100" s="118"/>
      <c r="P100" s="118"/>
      <c r="Q100" s="136"/>
      <c r="AL100">
        <v>1</v>
      </c>
      <c r="AM100" s="100" t="s">
        <v>1433</v>
      </c>
      <c r="AN100" s="101">
        <v>2</v>
      </c>
      <c r="AO100" s="62">
        <v>28.529733</v>
      </c>
      <c r="AP100" s="110">
        <v>22.509125000000001</v>
      </c>
      <c r="AQ100" s="46">
        <v>27.45</v>
      </c>
      <c r="AR100" s="36">
        <v>27.35</v>
      </c>
      <c r="AS100" s="36">
        <v>26.74</v>
      </c>
      <c r="AT100" s="107">
        <f ca="1">Table7[[#This Row],[cpuchunk=1]]/Table7[[#This Row],[GPU_chunk10_ratio]]</f>
        <v>0.84177729992520578</v>
      </c>
      <c r="AU100" s="102" t="s">
        <v>3965</v>
      </c>
      <c r="AV100" s="113" t="s">
        <v>3965</v>
      </c>
    </row>
    <row r="101" spans="2:48" ht="29" hidden="1" x14ac:dyDescent="0.35">
      <c r="B101" s="81">
        <f>VLOOKUP('SM2'!D101, MC!$E$6:$W$33,19, FALSE)</f>
        <v>1</v>
      </c>
      <c r="C101" s="81"/>
      <c r="D101" s="78" t="s">
        <v>1438</v>
      </c>
      <c r="E101" s="81">
        <v>8</v>
      </c>
      <c r="F101" s="81"/>
      <c r="G101" s="118" t="s">
        <v>3904</v>
      </c>
      <c r="H101" s="63" t="s">
        <v>3965</v>
      </c>
      <c r="I101" s="118"/>
      <c r="J101" s="116"/>
      <c r="K101" s="63"/>
      <c r="L101" s="63"/>
      <c r="M101" s="107" t="e">
        <f>Table711[[#This Row],[G2AIMD-OOM-Fixed]]/Table711[[#This Row],[gpu-layered]]</f>
        <v>#VALUE!</v>
      </c>
      <c r="N101" s="107" t="e">
        <f>Table711[[#This Row],[gpu-layered]]/Table711[[#This Row],[CPU+GPU (1)]]</f>
        <v>#VALUE!</v>
      </c>
      <c r="O101" s="107"/>
      <c r="P101" s="107"/>
      <c r="Q101" s="107"/>
      <c r="AL101">
        <v>1</v>
      </c>
      <c r="AM101" s="100" t="s">
        <v>1436</v>
      </c>
      <c r="AN101" s="101">
        <v>2</v>
      </c>
      <c r="AO101" s="62">
        <v>29.259466</v>
      </c>
      <c r="AP101" s="110">
        <v>23.602007</v>
      </c>
      <c r="AQ101" s="46">
        <v>28.64</v>
      </c>
      <c r="AR101" s="36">
        <v>28.91</v>
      </c>
      <c r="AS101" s="36">
        <v>27.72</v>
      </c>
      <c r="AT101" s="107">
        <f ca="1">Table7[[#This Row],[cpuchunk=1]]/Table7[[#This Row],[GPU_chunk10_ratio]]</f>
        <v>0.85144325396825404</v>
      </c>
      <c r="AU101" s="102">
        <v>63.010843999999999</v>
      </c>
      <c r="AV101" s="113" t="s">
        <v>3965</v>
      </c>
    </row>
    <row r="102" spans="2:48" ht="29" hidden="1" x14ac:dyDescent="0.35">
      <c r="B102" s="81">
        <f>VLOOKUP('SM2'!D102, MC!$E$6:$W$33,19, FALSE)</f>
        <v>1</v>
      </c>
      <c r="C102" s="81"/>
      <c r="D102" s="78" t="s">
        <v>1438</v>
      </c>
      <c r="E102" s="81">
        <v>9</v>
      </c>
      <c r="F102" s="188">
        <v>22.838967</v>
      </c>
      <c r="G102" s="118">
        <v>22.797799000000001</v>
      </c>
      <c r="H102" s="118">
        <v>22.953346</v>
      </c>
      <c r="I102" s="189">
        <v>22.838687</v>
      </c>
      <c r="J102" s="116" t="s">
        <v>3965</v>
      </c>
      <c r="K102" s="189">
        <v>23.844674000000001</v>
      </c>
      <c r="L102" s="118">
        <v>26.17</v>
      </c>
      <c r="M102" s="191">
        <f>Table711[[#This Row],[G2AIMD-OOM-Fixed]]/Table711[[#This Row],[gpu-layered]]</f>
        <v>0.99501689209059108</v>
      </c>
      <c r="N102" s="191">
        <f>Table711[[#This Row],[gpu-layered]]/Table711[[#This Row],[CPU+GPU (1)]]</f>
        <v>0.96261940926514655</v>
      </c>
      <c r="O102" s="118" t="s">
        <v>3965</v>
      </c>
      <c r="P102" s="118" t="s">
        <v>3904</v>
      </c>
      <c r="Q102" s="136" t="s">
        <v>3904</v>
      </c>
      <c r="AL102">
        <v>1</v>
      </c>
      <c r="AM102" s="62" t="s">
        <v>1391</v>
      </c>
      <c r="AN102">
        <v>8</v>
      </c>
      <c r="AO102" s="62">
        <v>25.276336000000001</v>
      </c>
      <c r="AP102" s="109">
        <v>24.973725999999999</v>
      </c>
      <c r="AQ102" s="46">
        <v>20.522815000000001</v>
      </c>
      <c r="AR102" s="36">
        <v>21.015433000000002</v>
      </c>
      <c r="AS102" s="36">
        <v>20.965391</v>
      </c>
      <c r="AT102" s="107">
        <f ca="1">Table7[[#This Row],[cpuchunk=1]]/Table7[[#This Row],[GPU_chunk10_ratio]]</f>
        <v>1.1911881824669999</v>
      </c>
      <c r="AU102" s="2">
        <v>25.777509999999999</v>
      </c>
      <c r="AV102" s="113" t="s">
        <v>3965</v>
      </c>
    </row>
    <row r="103" spans="2:48" ht="29" hidden="1" x14ac:dyDescent="0.35">
      <c r="B103" s="81">
        <f>VLOOKUP('SM2'!D103, MC!$E$6:$W$33,19, FALSE)</f>
        <v>2</v>
      </c>
      <c r="C103" s="81"/>
      <c r="D103" s="78" t="s">
        <v>10</v>
      </c>
      <c r="E103" s="81">
        <v>2</v>
      </c>
      <c r="F103" s="188">
        <v>17.228407000000001</v>
      </c>
      <c r="G103" s="118">
        <v>12.717067</v>
      </c>
      <c r="H103" s="118">
        <v>11.703082</v>
      </c>
      <c r="I103" s="189">
        <v>11.498595999999999</v>
      </c>
      <c r="J103" s="116" t="s">
        <v>3965</v>
      </c>
      <c r="K103" s="189">
        <v>12.288111000000001</v>
      </c>
      <c r="L103" s="118">
        <v>13.67</v>
      </c>
      <c r="M103" s="191">
        <f>Table711[[#This Row],[G2AIMD-OOM-Fixed]]/Table711[[#This Row],[gpu-layered]]</f>
        <v>1.4721256332306312</v>
      </c>
      <c r="N103" s="191">
        <f>Table711[[#This Row],[gpu-layered]]/Table711[[#This Row],[CPU+GPU (1)]]</f>
        <v>0.95239064816390406</v>
      </c>
      <c r="O103" s="118" t="s">
        <v>3965</v>
      </c>
      <c r="P103" s="118" t="s">
        <v>3904</v>
      </c>
      <c r="Q103" s="136" t="s">
        <v>3904</v>
      </c>
      <c r="AL103">
        <v>1</v>
      </c>
      <c r="AM103" s="62" t="s">
        <v>1346</v>
      </c>
      <c r="AN103">
        <v>7</v>
      </c>
      <c r="AO103" s="62">
        <v>28.379384999999999</v>
      </c>
      <c r="AP103" s="109">
        <v>26.479275000000001</v>
      </c>
      <c r="AQ103" s="46">
        <v>29.23</v>
      </c>
      <c r="AR103" s="36">
        <v>30.8</v>
      </c>
      <c r="AS103" s="36">
        <v>34.92</v>
      </c>
      <c r="AT103" s="107">
        <f ca="1">Table7[[#This Row],[cpuchunk=1]]/Table7[[#This Row],[GPU_chunk10_ratio]]</f>
        <v>0.75828393470790378</v>
      </c>
      <c r="AU103" s="2">
        <v>26.73</v>
      </c>
      <c r="AV103" s="113">
        <v>2038.237151</v>
      </c>
    </row>
    <row r="104" spans="2:48" ht="29" hidden="1" x14ac:dyDescent="0.35">
      <c r="B104" s="81">
        <f>VLOOKUP('SM2'!D104, MC!$E$6:$W$33,19, FALSE)</f>
        <v>2</v>
      </c>
      <c r="C104" s="81"/>
      <c r="D104" s="78" t="s">
        <v>10</v>
      </c>
      <c r="E104" s="81">
        <v>5</v>
      </c>
      <c r="F104" s="81"/>
      <c r="G104" s="118" t="s">
        <v>3965</v>
      </c>
      <c r="H104" s="118" t="s">
        <v>3965</v>
      </c>
      <c r="I104" s="118"/>
      <c r="J104" s="116"/>
      <c r="K104" s="118"/>
      <c r="L104" s="118"/>
      <c r="M104" s="118" t="e">
        <f>Table711[[#This Row],[G2AIMD-OOM-Fixed]]/Table711[[#This Row],[gpu-layered]]</f>
        <v>#VALUE!</v>
      </c>
      <c r="N104" s="118" t="e">
        <f>Table711[[#This Row],[gpu-layered]]/Table711[[#This Row],[CPU+GPU (1)]]</f>
        <v>#VALUE!</v>
      </c>
      <c r="O104" s="118"/>
      <c r="P104" s="118"/>
      <c r="Q104" s="136"/>
      <c r="AL104">
        <v>1</v>
      </c>
      <c r="AM104" s="62" t="s">
        <v>1434</v>
      </c>
      <c r="AN104">
        <v>5</v>
      </c>
      <c r="AO104" s="62">
        <v>30.819552000000002</v>
      </c>
      <c r="AP104" s="109">
        <v>27.584989</v>
      </c>
      <c r="AQ104" s="46">
        <v>28.18</v>
      </c>
      <c r="AR104" s="36">
        <v>28.29</v>
      </c>
      <c r="AS104" s="36">
        <v>28.36</v>
      </c>
      <c r="AT104" s="107">
        <f ca="1">Table7[[#This Row],[cpuchunk=1]]/Table7[[#This Row],[GPU_chunk10_ratio]]</f>
        <v>0.97267239069111422</v>
      </c>
      <c r="AU104" s="2">
        <v>27.874337000000001</v>
      </c>
      <c r="AV104" s="113">
        <v>1506.4237009999999</v>
      </c>
    </row>
    <row r="105" spans="2:48" ht="29" hidden="1" x14ac:dyDescent="0.35">
      <c r="B105" s="81">
        <f>VLOOKUP('SM2'!D105, MC!$E$6:$W$33,19, FALSE)</f>
        <v>2</v>
      </c>
      <c r="C105" s="81"/>
      <c r="D105" s="78" t="s">
        <v>10</v>
      </c>
      <c r="E105" s="81">
        <v>7</v>
      </c>
      <c r="F105" s="81"/>
      <c r="G105" s="118" t="s">
        <v>3965</v>
      </c>
      <c r="H105" s="118" t="s">
        <v>3965</v>
      </c>
      <c r="I105" s="118"/>
      <c r="J105" s="116"/>
      <c r="K105" s="118"/>
      <c r="L105" s="118"/>
      <c r="M105" s="118" t="e">
        <f>Table711[[#This Row],[G2AIMD-OOM-Fixed]]/Table711[[#This Row],[gpu-layered]]</f>
        <v>#VALUE!</v>
      </c>
      <c r="N105" s="118" t="e">
        <f>Table711[[#This Row],[gpu-layered]]/Table711[[#This Row],[CPU+GPU (1)]]</f>
        <v>#VALUE!</v>
      </c>
      <c r="O105" s="118"/>
      <c r="P105" s="118"/>
      <c r="Q105" s="136"/>
      <c r="AL105">
        <v>1</v>
      </c>
      <c r="AM105" s="62" t="s">
        <v>1450</v>
      </c>
      <c r="AN105">
        <v>9</v>
      </c>
      <c r="AO105" s="62">
        <v>33.843966000000002</v>
      </c>
      <c r="AP105" s="109">
        <v>28.268073000000001</v>
      </c>
      <c r="AQ105" s="46">
        <v>40.86</v>
      </c>
      <c r="AR105" s="36">
        <v>53.31</v>
      </c>
      <c r="AS105" s="36">
        <v>31.61</v>
      </c>
      <c r="AT105" s="107">
        <f ca="1">Table7[[#This Row],[cpuchunk=1]]/Table7[[#This Row],[GPU_chunk10_ratio]]</f>
        <v>0.89427627333122439</v>
      </c>
      <c r="AU105" s="2">
        <v>59.78</v>
      </c>
      <c r="AV105" s="113" t="s">
        <v>3965</v>
      </c>
    </row>
    <row r="106" spans="2:48" ht="29" hidden="1" x14ac:dyDescent="0.35">
      <c r="B106" s="81">
        <f>VLOOKUP('SM2'!D106, MC!$E$6:$W$33,19, FALSE)</f>
        <v>2</v>
      </c>
      <c r="C106" s="81"/>
      <c r="D106" s="78" t="s">
        <v>10</v>
      </c>
      <c r="E106" s="81">
        <v>8</v>
      </c>
      <c r="F106" s="81"/>
      <c r="G106" s="118" t="s">
        <v>3965</v>
      </c>
      <c r="H106" s="118" t="s">
        <v>3965</v>
      </c>
      <c r="I106" s="118"/>
      <c r="J106" s="116"/>
      <c r="K106" s="118"/>
      <c r="L106" s="118"/>
      <c r="M106" s="118" t="e">
        <f>Table711[[#This Row],[G2AIMD-OOM-Fixed]]/Table711[[#This Row],[gpu-layered]]</f>
        <v>#VALUE!</v>
      </c>
      <c r="N106" s="118" t="e">
        <f>Table711[[#This Row],[gpu-layered]]/Table711[[#This Row],[CPU+GPU (1)]]</f>
        <v>#VALUE!</v>
      </c>
      <c r="O106" s="118"/>
      <c r="P106" s="118"/>
      <c r="Q106" s="136"/>
      <c r="AL106">
        <v>1</v>
      </c>
      <c r="AM106" s="62" t="s">
        <v>1346</v>
      </c>
      <c r="AN106">
        <v>8</v>
      </c>
      <c r="AO106" s="62">
        <v>37.425060000000002</v>
      </c>
      <c r="AP106" s="109">
        <v>34.536710999999997</v>
      </c>
      <c r="AQ106" s="46">
        <v>34.25</v>
      </c>
      <c r="AR106" s="36">
        <v>34.200000000000003</v>
      </c>
      <c r="AS106" s="36">
        <v>34.51</v>
      </c>
      <c r="AT106" s="107">
        <f ca="1">Table7[[#This Row],[cpuchunk=1]]/Table7[[#This Row],[GPU_chunk10_ratio]]</f>
        <v>1.0007740075340481</v>
      </c>
      <c r="AU106" s="2">
        <v>35.340000000000003</v>
      </c>
      <c r="AV106" s="113" t="s">
        <v>3965</v>
      </c>
    </row>
    <row r="107" spans="2:48" ht="29" hidden="1" x14ac:dyDescent="0.35">
      <c r="B107" s="81">
        <f>VLOOKUP('SM2'!D107, MC!$E$6:$W$33,19, FALSE)</f>
        <v>2</v>
      </c>
      <c r="C107" s="81"/>
      <c r="D107" s="78" t="s">
        <v>10</v>
      </c>
      <c r="E107" s="81">
        <v>9</v>
      </c>
      <c r="F107" s="81"/>
      <c r="G107" s="118" t="s">
        <v>3965</v>
      </c>
      <c r="H107" s="118" t="s">
        <v>3965</v>
      </c>
      <c r="I107" s="118"/>
      <c r="J107" s="116"/>
      <c r="K107" s="118"/>
      <c r="L107" s="118"/>
      <c r="M107" s="118" t="e">
        <f>Table711[[#This Row],[G2AIMD-OOM-Fixed]]/Table711[[#This Row],[gpu-layered]]</f>
        <v>#VALUE!</v>
      </c>
      <c r="N107" s="118" t="e">
        <f>Table711[[#This Row],[gpu-layered]]/Table711[[#This Row],[CPU+GPU (1)]]</f>
        <v>#VALUE!</v>
      </c>
      <c r="O107" s="118"/>
      <c r="P107" s="118"/>
      <c r="Q107" s="136"/>
      <c r="AL107">
        <v>1</v>
      </c>
      <c r="AM107" s="62" t="s">
        <v>1411</v>
      </c>
      <c r="AN107">
        <v>2</v>
      </c>
      <c r="AO107" s="62">
        <v>42.610433999999998</v>
      </c>
      <c r="AP107" s="109">
        <v>36.894198000000003</v>
      </c>
      <c r="AQ107" s="46">
        <v>43.47</v>
      </c>
      <c r="AR107" s="36">
        <v>44.47</v>
      </c>
      <c r="AS107" s="36">
        <v>43.62</v>
      </c>
      <c r="AT107" s="107">
        <f ca="1">Table7[[#This Row],[cpuchunk=1]]/Table7[[#This Row],[GPU_chunk10_ratio]]</f>
        <v>0.84580921595598357</v>
      </c>
      <c r="AU107" s="2">
        <v>264.74</v>
      </c>
      <c r="AV107" s="113" t="s">
        <v>3965</v>
      </c>
    </row>
    <row r="108" spans="2:48" ht="29" hidden="1" x14ac:dyDescent="0.35">
      <c r="B108" s="81">
        <f>VLOOKUP('SM2'!D108, MC!$E$6:$W$33,19, FALSE)</f>
        <v>2</v>
      </c>
      <c r="C108" s="81"/>
      <c r="D108" s="78" t="s">
        <v>1451</v>
      </c>
      <c r="E108" s="81">
        <v>2</v>
      </c>
      <c r="F108" s="188">
        <v>127.09786699999999</v>
      </c>
      <c r="G108" s="118">
        <v>124.23827199999999</v>
      </c>
      <c r="H108" s="189">
        <v>120.580349</v>
      </c>
      <c r="I108" s="118">
        <v>123.34</v>
      </c>
      <c r="J108" s="116" t="s">
        <v>3965</v>
      </c>
      <c r="K108" s="189">
        <v>121.297605</v>
      </c>
      <c r="L108" s="118">
        <v>121.80681199999999</v>
      </c>
      <c r="M108" s="191">
        <f>Table711[[#This Row],[G2AIMD-OOM-Fixed]]/Table711[[#This Row],[gpu-layered]]</f>
        <v>1.0540512451162336</v>
      </c>
      <c r="N108" s="191">
        <f>Table711[[#This Row],[gpu-layered]]/Table711[[#This Row],[CPU+GPU (1)]]</f>
        <v>0.99408680822675755</v>
      </c>
      <c r="O108" s="118" t="s">
        <v>3965</v>
      </c>
      <c r="P108" s="118" t="s">
        <v>3904</v>
      </c>
      <c r="Q108" s="136" t="s">
        <v>3904</v>
      </c>
      <c r="AL108">
        <v>1</v>
      </c>
      <c r="AM108" s="62" t="s">
        <v>1449</v>
      </c>
      <c r="AN108">
        <v>2</v>
      </c>
      <c r="AO108" s="62">
        <v>46.799216999999999</v>
      </c>
      <c r="AP108" s="109">
        <v>38.434747000000002</v>
      </c>
      <c r="AQ108" s="46">
        <v>46.32</v>
      </c>
      <c r="AR108" s="36">
        <v>45.97</v>
      </c>
      <c r="AS108" s="36">
        <v>46.61</v>
      </c>
      <c r="AT108" s="107">
        <f ca="1">Table7[[#This Row],[cpuchunk=1]]/Table7[[#This Row],[GPU_chunk10_ratio]]</f>
        <v>0.82460302510190953</v>
      </c>
      <c r="AU108" s="2">
        <v>93.861074000000002</v>
      </c>
      <c r="AV108" s="113" t="s">
        <v>3965</v>
      </c>
    </row>
    <row r="109" spans="2:48" ht="29" hidden="1" x14ac:dyDescent="0.35">
      <c r="B109" s="81">
        <f>VLOOKUP('SM2'!D109, MC!$E$6:$W$33,19, FALSE)</f>
        <v>2</v>
      </c>
      <c r="C109" s="81"/>
      <c r="D109" s="78" t="s">
        <v>1451</v>
      </c>
      <c r="E109" s="81">
        <v>5</v>
      </c>
      <c r="F109" s="81"/>
      <c r="G109" s="118" t="s">
        <v>3965</v>
      </c>
      <c r="H109" s="118" t="s">
        <v>3965</v>
      </c>
      <c r="I109" s="118"/>
      <c r="J109" s="116"/>
      <c r="K109" s="118"/>
      <c r="L109" s="118"/>
      <c r="M109" s="118" t="e">
        <f>Table711[[#This Row],[G2AIMD-OOM-Fixed]]/Table711[[#This Row],[gpu-layered]]</f>
        <v>#VALUE!</v>
      </c>
      <c r="N109" s="118" t="e">
        <f>Table711[[#This Row],[gpu-layered]]/Table711[[#This Row],[CPU+GPU (1)]]</f>
        <v>#VALUE!</v>
      </c>
      <c r="O109" s="118"/>
      <c r="P109" s="118"/>
      <c r="Q109" s="136"/>
      <c r="AL109">
        <v>1</v>
      </c>
      <c r="AM109" s="97" t="s">
        <v>1371</v>
      </c>
      <c r="AN109" s="98">
        <v>6</v>
      </c>
      <c r="AO109" s="62">
        <v>42.350599000000003</v>
      </c>
      <c r="AP109" s="111">
        <v>42.45</v>
      </c>
      <c r="AQ109" s="46">
        <v>36.76</v>
      </c>
      <c r="AR109" s="36">
        <v>37</v>
      </c>
      <c r="AS109" s="36">
        <v>36.46</v>
      </c>
      <c r="AT109" s="107">
        <f ca="1">Table7[[#This Row],[cpuchunk=1]]/Table7[[#This Row],[GPU_chunk10_ratio]]</f>
        <v>1.164289632473944</v>
      </c>
      <c r="AU109" s="99">
        <v>33.44</v>
      </c>
      <c r="AV109" s="113">
        <v>398.639387</v>
      </c>
    </row>
    <row r="110" spans="2:48" ht="29" hidden="1" x14ac:dyDescent="0.35">
      <c r="B110" s="81">
        <f>VLOOKUP('SM2'!D110, MC!$E$6:$W$33,19, FALSE)</f>
        <v>2</v>
      </c>
      <c r="C110" s="81"/>
      <c r="D110" s="78" t="s">
        <v>1451</v>
      </c>
      <c r="E110" s="81">
        <v>7</v>
      </c>
      <c r="F110" s="81"/>
      <c r="G110" s="118" t="s">
        <v>3965</v>
      </c>
      <c r="H110" s="118" t="s">
        <v>3965</v>
      </c>
      <c r="I110" s="118"/>
      <c r="J110" s="116"/>
      <c r="K110" s="118"/>
      <c r="L110" s="118"/>
      <c r="M110" s="118" t="e">
        <f>Table711[[#This Row],[G2AIMD-OOM-Fixed]]/Table711[[#This Row],[gpu-layered]]</f>
        <v>#VALUE!</v>
      </c>
      <c r="N110" s="118" t="e">
        <f>Table711[[#This Row],[gpu-layered]]/Table711[[#This Row],[CPU+GPU (1)]]</f>
        <v>#VALUE!</v>
      </c>
      <c r="O110" s="118"/>
      <c r="P110" s="118"/>
      <c r="Q110" s="136"/>
      <c r="AL110">
        <v>1</v>
      </c>
      <c r="AM110" s="62" t="s">
        <v>1409</v>
      </c>
      <c r="AN110">
        <v>9</v>
      </c>
      <c r="AO110" s="62">
        <v>55.395792</v>
      </c>
      <c r="AP110" s="109">
        <v>45.427039000000001</v>
      </c>
      <c r="AQ110" s="46">
        <v>126.68</v>
      </c>
      <c r="AR110" s="36">
        <v>93.31</v>
      </c>
      <c r="AS110" s="36">
        <v>53.87</v>
      </c>
      <c r="AT110" s="106">
        <f ca="1">Table7[[#This Row],[cpuchunk=1]]/Table7[[#This Row],[GPU_chunk10_ratio]]</f>
        <v>0.84327156116576951</v>
      </c>
      <c r="AU110" s="2">
        <v>199.23</v>
      </c>
      <c r="AV110" s="113" t="s">
        <v>3965</v>
      </c>
    </row>
    <row r="111" spans="2:48" ht="29" hidden="1" x14ac:dyDescent="0.35">
      <c r="B111" s="81">
        <f>VLOOKUP('SM2'!D111, MC!$E$6:$W$33,19, FALSE)</f>
        <v>2</v>
      </c>
      <c r="C111" s="81"/>
      <c r="D111" s="78" t="s">
        <v>1451</v>
      </c>
      <c r="E111" s="81">
        <v>8</v>
      </c>
      <c r="F111" s="81"/>
      <c r="G111" s="118" t="s">
        <v>3965</v>
      </c>
      <c r="H111" s="118" t="s">
        <v>3965</v>
      </c>
      <c r="I111" s="118"/>
      <c r="J111" s="116"/>
      <c r="K111" s="118"/>
      <c r="L111" s="118"/>
      <c r="M111" s="118" t="e">
        <f>Table711[[#This Row],[G2AIMD-OOM-Fixed]]/Table711[[#This Row],[gpu-layered]]</f>
        <v>#VALUE!</v>
      </c>
      <c r="N111" s="118" t="e">
        <f>Table711[[#This Row],[gpu-layered]]/Table711[[#This Row],[CPU+GPU (1)]]</f>
        <v>#VALUE!</v>
      </c>
      <c r="O111" s="118"/>
      <c r="P111" s="118"/>
      <c r="Q111" s="136"/>
      <c r="AL111">
        <v>1</v>
      </c>
      <c r="AM111" s="62" t="s">
        <v>1436</v>
      </c>
      <c r="AN111">
        <v>9</v>
      </c>
      <c r="AO111" s="62">
        <v>52.928930999999999</v>
      </c>
      <c r="AP111" s="109">
        <v>45.434877</v>
      </c>
      <c r="AQ111" s="46">
        <v>65.650000000000006</v>
      </c>
      <c r="AR111" s="36">
        <v>57.73</v>
      </c>
      <c r="AS111" s="36">
        <v>51.67</v>
      </c>
      <c r="AT111" s="106">
        <f ca="1">Table7[[#This Row],[cpuchunk=1]]/Table7[[#This Row],[GPU_chunk10_ratio]]</f>
        <v>0.87932798529127154</v>
      </c>
      <c r="AU111" s="2">
        <v>106.22</v>
      </c>
      <c r="AV111" s="113" t="s">
        <v>3965</v>
      </c>
    </row>
    <row r="112" spans="2:48" ht="29" hidden="1" x14ac:dyDescent="0.35">
      <c r="B112" s="81">
        <f>VLOOKUP('SM2'!D112, MC!$E$6:$W$33,19, FALSE)</f>
        <v>2</v>
      </c>
      <c r="C112" s="81"/>
      <c r="D112" s="78" t="s">
        <v>1451</v>
      </c>
      <c r="E112" s="81">
        <v>9</v>
      </c>
      <c r="F112" s="81"/>
      <c r="G112" s="118" t="s">
        <v>3965</v>
      </c>
      <c r="H112" s="118" t="s">
        <v>3965</v>
      </c>
      <c r="I112" s="118"/>
      <c r="J112" s="116"/>
      <c r="K112" s="118"/>
      <c r="L112" s="118"/>
      <c r="M112" s="118" t="e">
        <f>Table711[[#This Row],[G2AIMD-OOM-Fixed]]/Table711[[#This Row],[gpu-layered]]</f>
        <v>#VALUE!</v>
      </c>
      <c r="N112" s="118" t="e">
        <f>Table711[[#This Row],[gpu-layered]]/Table711[[#This Row],[CPU+GPU (1)]]</f>
        <v>#VALUE!</v>
      </c>
      <c r="O112" s="118"/>
      <c r="P112" s="118"/>
      <c r="Q112" s="136"/>
      <c r="AL112">
        <v>1</v>
      </c>
      <c r="AM112" s="62" t="s">
        <v>18</v>
      </c>
      <c r="AN112">
        <v>2</v>
      </c>
      <c r="AO112" s="62">
        <v>65.804128000000006</v>
      </c>
      <c r="AP112" s="109">
        <v>54.708874999999999</v>
      </c>
      <c r="AQ112" s="46">
        <v>67.98</v>
      </c>
      <c r="AR112" s="36">
        <v>72.959999999999994</v>
      </c>
      <c r="AS112" s="36">
        <v>122.94</v>
      </c>
      <c r="AT112" s="106">
        <f ca="1">Table7[[#This Row],[cpuchunk=1]]/Table7[[#This Row],[GPU_chunk10_ratio]]</f>
        <v>0.44500467707824953</v>
      </c>
      <c r="AU112" s="2">
        <v>477.430588</v>
      </c>
      <c r="AV112" s="113" t="s">
        <v>3965</v>
      </c>
    </row>
    <row r="113" spans="2:48" ht="29" hidden="1" x14ac:dyDescent="0.35">
      <c r="B113" s="81">
        <f>VLOOKUP('SM2'!D113, MC!$E$6:$W$33,19, FALSE)</f>
        <v>2</v>
      </c>
      <c r="C113" s="81"/>
      <c r="D113" s="78" t="s">
        <v>1445</v>
      </c>
      <c r="E113" s="81">
        <v>2</v>
      </c>
      <c r="F113" s="188">
        <v>40.083593999999998</v>
      </c>
      <c r="G113" s="118">
        <v>38.35322</v>
      </c>
      <c r="H113" s="189">
        <v>35.320780999999997</v>
      </c>
      <c r="I113" s="118">
        <v>38.24</v>
      </c>
      <c r="J113" s="116" t="s">
        <v>3965</v>
      </c>
      <c r="K113" s="189">
        <v>35.880000000000003</v>
      </c>
      <c r="L113" s="118">
        <v>37.090000000000003</v>
      </c>
      <c r="M113" s="191">
        <f>Table711[[#This Row],[G2AIMD-OOM-Fixed]]/Table711[[#This Row],[gpu-layered]]</f>
        <v>1.134844498483768</v>
      </c>
      <c r="N113" s="191">
        <f>Table711[[#This Row],[gpu-layered]]/Table711[[#This Row],[CPU+GPU (1)]]</f>
        <v>0.98441418617614251</v>
      </c>
      <c r="O113" s="118" t="s">
        <v>3965</v>
      </c>
      <c r="P113" s="118" t="s">
        <v>3904</v>
      </c>
      <c r="Q113" s="136" t="s">
        <v>3904</v>
      </c>
      <c r="AL113">
        <v>1</v>
      </c>
      <c r="AM113" s="62" t="s">
        <v>1455</v>
      </c>
      <c r="AN113">
        <v>2</v>
      </c>
      <c r="AO113" s="62">
        <v>66.658944000000005</v>
      </c>
      <c r="AP113" s="109">
        <v>56.069319</v>
      </c>
      <c r="AQ113" s="46">
        <v>67.33</v>
      </c>
      <c r="AR113" s="36">
        <v>67.69</v>
      </c>
      <c r="AS113" s="36">
        <v>65.989999999999995</v>
      </c>
      <c r="AT113" s="106">
        <f ca="1">Table7[[#This Row],[cpuchunk=1]]/Table7[[#This Row],[GPU_chunk10_ratio]]</f>
        <v>0.84966387331413862</v>
      </c>
      <c r="AU113" s="2">
        <v>124.84438</v>
      </c>
      <c r="AV113" s="113" t="s">
        <v>3965</v>
      </c>
    </row>
    <row r="114" spans="2:48" ht="29" hidden="1" x14ac:dyDescent="0.35">
      <c r="B114" s="81">
        <f>VLOOKUP('SM2'!D114, MC!$E$6:$W$33,19, FALSE)</f>
        <v>2</v>
      </c>
      <c r="C114" s="81"/>
      <c r="D114" s="78" t="s">
        <v>1445</v>
      </c>
      <c r="E114" s="81">
        <v>5</v>
      </c>
      <c r="F114" s="81"/>
      <c r="G114" s="118" t="s">
        <v>3965</v>
      </c>
      <c r="H114" s="118" t="s">
        <v>3965</v>
      </c>
      <c r="I114" s="118"/>
      <c r="J114" s="116"/>
      <c r="K114" s="118"/>
      <c r="L114" s="118"/>
      <c r="M114" s="118" t="e">
        <f>Table711[[#This Row],[G2AIMD-OOM-Fixed]]/Table711[[#This Row],[gpu-layered]]</f>
        <v>#VALUE!</v>
      </c>
      <c r="N114" s="118" t="e">
        <f>Table711[[#This Row],[gpu-layered]]/Table711[[#This Row],[CPU+GPU (1)]]</f>
        <v>#VALUE!</v>
      </c>
      <c r="O114" s="118"/>
      <c r="P114" s="118"/>
      <c r="Q114" s="136"/>
      <c r="AL114">
        <v>1</v>
      </c>
      <c r="AM114" s="62" t="s">
        <v>3912</v>
      </c>
      <c r="AN114">
        <v>6</v>
      </c>
      <c r="AO114" s="62">
        <v>62.898426000000001</v>
      </c>
      <c r="AP114" s="109">
        <v>57.623711</v>
      </c>
      <c r="AQ114" s="46">
        <v>56.491925000000002</v>
      </c>
      <c r="AR114" s="36">
        <v>55.23</v>
      </c>
      <c r="AS114" s="36">
        <v>56.37</v>
      </c>
      <c r="AT114" s="106">
        <f ca="1">Table7[[#This Row],[cpuchunk=1]]/Table7[[#This Row],[GPU_chunk10_ratio]]</f>
        <v>1.0222407486251552</v>
      </c>
      <c r="AU114" s="2">
        <v>57.396535</v>
      </c>
      <c r="AV114" s="113">
        <v>681.58641899999998</v>
      </c>
    </row>
    <row r="115" spans="2:48" ht="29" hidden="1" x14ac:dyDescent="0.35">
      <c r="B115" s="81">
        <f>VLOOKUP('SM2'!D115, MC!$E$6:$W$33,19, FALSE)</f>
        <v>2</v>
      </c>
      <c r="C115" s="81"/>
      <c r="D115" s="78" t="s">
        <v>1445</v>
      </c>
      <c r="E115" s="81">
        <v>7</v>
      </c>
      <c r="F115" s="81"/>
      <c r="G115" s="118" t="s">
        <v>3965</v>
      </c>
      <c r="H115" s="118" t="s">
        <v>3965</v>
      </c>
      <c r="I115" s="118"/>
      <c r="J115" s="116"/>
      <c r="K115" s="118"/>
      <c r="L115" s="118"/>
      <c r="M115" s="118" t="e">
        <f>Table711[[#This Row],[G2AIMD-OOM-Fixed]]/Table711[[#This Row],[gpu-layered]]</f>
        <v>#VALUE!</v>
      </c>
      <c r="N115" s="118" t="e">
        <f>Table711[[#This Row],[gpu-layered]]/Table711[[#This Row],[CPU+GPU (1)]]</f>
        <v>#VALUE!</v>
      </c>
      <c r="O115" s="118"/>
      <c r="P115" s="118"/>
      <c r="Q115" s="136"/>
      <c r="AL115">
        <v>1</v>
      </c>
      <c r="AM115" s="62" t="s">
        <v>1</v>
      </c>
      <c r="AN115">
        <v>5</v>
      </c>
      <c r="AO115" s="62">
        <v>57.615180000000002</v>
      </c>
      <c r="AP115" s="109">
        <v>65.316587999999996</v>
      </c>
      <c r="AQ115" s="46">
        <v>57.84</v>
      </c>
      <c r="AR115" s="36">
        <v>60.35</v>
      </c>
      <c r="AS115" s="36">
        <v>62.65</v>
      </c>
      <c r="AT115" s="106">
        <f ca="1">Table7[[#This Row],[cpuchunk=1]]/Table7[[#This Row],[GPU_chunk10_ratio]]</f>
        <v>1.0425632561851557</v>
      </c>
      <c r="AU115" s="2">
        <v>73.226096999999996</v>
      </c>
      <c r="AV115" s="113" t="s">
        <v>3965</v>
      </c>
    </row>
    <row r="116" spans="2:48" ht="29" hidden="1" x14ac:dyDescent="0.35">
      <c r="B116" s="81">
        <f>VLOOKUP('SM2'!D116, MC!$E$6:$W$33,19, FALSE)</f>
        <v>2</v>
      </c>
      <c r="C116" s="81"/>
      <c r="D116" s="78" t="s">
        <v>1445</v>
      </c>
      <c r="E116" s="81">
        <v>8</v>
      </c>
      <c r="F116" s="81"/>
      <c r="G116" s="118" t="s">
        <v>3965</v>
      </c>
      <c r="H116" s="118" t="s">
        <v>3965</v>
      </c>
      <c r="I116" s="118"/>
      <c r="J116" s="116"/>
      <c r="K116" s="118"/>
      <c r="L116" s="118"/>
      <c r="M116" s="118" t="e">
        <f>Table711[[#This Row],[G2AIMD-OOM-Fixed]]/Table711[[#This Row],[gpu-layered]]</f>
        <v>#VALUE!</v>
      </c>
      <c r="N116" s="118" t="e">
        <f>Table711[[#This Row],[gpu-layered]]/Table711[[#This Row],[CPU+GPU (1)]]</f>
        <v>#VALUE!</v>
      </c>
      <c r="O116" s="118"/>
      <c r="P116" s="118"/>
      <c r="Q116" s="136"/>
      <c r="AL116">
        <v>1</v>
      </c>
      <c r="AM116" s="62" t="s">
        <v>1434</v>
      </c>
      <c r="AN116">
        <v>7</v>
      </c>
      <c r="AO116" s="62">
        <v>76.175668000000002</v>
      </c>
      <c r="AP116" s="109">
        <v>74.836130999999995</v>
      </c>
      <c r="AQ116" s="46">
        <v>76.02</v>
      </c>
      <c r="AR116" s="36">
        <v>75.81</v>
      </c>
      <c r="AS116" s="36">
        <v>82.83</v>
      </c>
      <c r="AT116" s="106">
        <f ca="1">Table7[[#This Row],[cpuchunk=1]]/Table7[[#This Row],[GPU_chunk10_ratio]]</f>
        <v>0.90349065555957986</v>
      </c>
      <c r="AU116" s="2">
        <v>73.849999999999994</v>
      </c>
      <c r="AV116" s="113" t="s">
        <v>3965</v>
      </c>
    </row>
    <row r="117" spans="2:48" ht="29" hidden="1" x14ac:dyDescent="0.35">
      <c r="B117" s="81">
        <f>VLOOKUP('SM2'!D117, MC!$E$6:$W$33,19, FALSE)</f>
        <v>2</v>
      </c>
      <c r="C117" s="81"/>
      <c r="D117" s="78" t="s">
        <v>1445</v>
      </c>
      <c r="E117" s="81">
        <v>9</v>
      </c>
      <c r="F117" s="81"/>
      <c r="G117" s="118" t="s">
        <v>3965</v>
      </c>
      <c r="H117" s="118" t="s">
        <v>3965</v>
      </c>
      <c r="I117" s="118"/>
      <c r="J117" s="116"/>
      <c r="K117" s="118"/>
      <c r="L117" s="118"/>
      <c r="M117" s="118" t="e">
        <f>Table711[[#This Row],[G2AIMD-OOM-Fixed]]/Table711[[#This Row],[gpu-layered]]</f>
        <v>#VALUE!</v>
      </c>
      <c r="N117" s="118" t="e">
        <f>Table711[[#This Row],[gpu-layered]]/Table711[[#This Row],[CPU+GPU (1)]]</f>
        <v>#VALUE!</v>
      </c>
      <c r="O117" s="118"/>
      <c r="P117" s="118"/>
      <c r="Q117" s="136"/>
      <c r="AL117">
        <v>1</v>
      </c>
      <c r="AM117" s="62" t="s">
        <v>1438</v>
      </c>
      <c r="AN117">
        <v>2</v>
      </c>
      <c r="AO117" s="62">
        <v>103.344572</v>
      </c>
      <c r="AP117" s="109">
        <v>85.561336999999995</v>
      </c>
      <c r="AQ117" s="46">
        <v>101.93723900000001</v>
      </c>
      <c r="AR117" s="36">
        <v>103.33</v>
      </c>
      <c r="AS117" s="36">
        <v>105.39</v>
      </c>
      <c r="AT117" s="106">
        <f ca="1">Table7[[#This Row],[cpuchunk=1]]/Table7[[#This Row],[GPU_chunk10_ratio]]</f>
        <v>0.81185441692760218</v>
      </c>
      <c r="AU117" s="2">
        <v>169.211938</v>
      </c>
      <c r="AV117" s="113" t="s">
        <v>3965</v>
      </c>
    </row>
    <row r="118" spans="2:48" ht="29" hidden="1" x14ac:dyDescent="0.35">
      <c r="B118" s="81">
        <f>VLOOKUP('SM2'!D118, MC!$E$6:$W$33,19, FALSE)</f>
        <v>2</v>
      </c>
      <c r="C118" s="81"/>
      <c r="D118" s="78" t="s">
        <v>1422</v>
      </c>
      <c r="E118" s="81">
        <v>2</v>
      </c>
      <c r="F118" s="188">
        <v>261.79570200000001</v>
      </c>
      <c r="G118" s="118">
        <v>261.94364999999999</v>
      </c>
      <c r="H118" s="189">
        <v>259.27572199999997</v>
      </c>
      <c r="I118" s="118">
        <v>259.38075199999997</v>
      </c>
      <c r="J118" s="116" t="s">
        <v>3965</v>
      </c>
      <c r="K118" s="189">
        <v>259.61858699999999</v>
      </c>
      <c r="L118" s="118">
        <v>261.13979</v>
      </c>
      <c r="M118" s="191">
        <f>Table711[[#This Row],[G2AIMD-OOM-Fixed]]/Table711[[#This Row],[gpu-layered]]</f>
        <v>1.0097193056895626</v>
      </c>
      <c r="N118" s="191">
        <f>Table711[[#This Row],[gpu-layered]]/Table711[[#This Row],[CPU+GPU (1)]]</f>
        <v>0.99867935110516559</v>
      </c>
      <c r="O118" s="118" t="s">
        <v>3965</v>
      </c>
      <c r="P118" s="118" t="s">
        <v>3904</v>
      </c>
      <c r="Q118" s="136" t="s">
        <v>3904</v>
      </c>
      <c r="AL118">
        <v>1</v>
      </c>
      <c r="AM118" s="62" t="s">
        <v>1434</v>
      </c>
      <c r="AN118">
        <v>8</v>
      </c>
      <c r="AO118" s="62" t="s">
        <v>3965</v>
      </c>
      <c r="AP118" s="109">
        <v>91.497511000000003</v>
      </c>
      <c r="AQ118" s="46">
        <v>89.48</v>
      </c>
      <c r="AR118" s="36">
        <v>87.05</v>
      </c>
      <c r="AS118" s="36">
        <v>91.47</v>
      </c>
      <c r="AT118" s="106">
        <f ca="1">Table7[[#This Row],[cpuchunk=1]]/Table7[[#This Row],[GPU_chunk10_ratio]]</f>
        <v>1.0003007652782334</v>
      </c>
      <c r="AU118" s="2">
        <v>89.974523000000005</v>
      </c>
      <c r="AV118" s="113" t="s">
        <v>3965</v>
      </c>
    </row>
    <row r="119" spans="2:48" ht="29" hidden="1" x14ac:dyDescent="0.35">
      <c r="B119" s="81">
        <f>VLOOKUP('SM2'!D119, MC!$E$6:$W$33,19, FALSE)</f>
        <v>2</v>
      </c>
      <c r="C119" s="81"/>
      <c r="D119" s="78" t="s">
        <v>1422</v>
      </c>
      <c r="E119" s="81">
        <v>5</v>
      </c>
      <c r="F119" s="81"/>
      <c r="G119" s="118" t="s">
        <v>3965</v>
      </c>
      <c r="H119" s="118" t="s">
        <v>3965</v>
      </c>
      <c r="I119" s="118"/>
      <c r="J119" s="116"/>
      <c r="K119" s="118"/>
      <c r="L119" s="118"/>
      <c r="M119" s="118" t="e">
        <f>Table711[[#This Row],[G2AIMD-OOM-Fixed]]/Table711[[#This Row],[gpu-layered]]</f>
        <v>#VALUE!</v>
      </c>
      <c r="N119" s="118" t="e">
        <f>Table711[[#This Row],[gpu-layered]]/Table711[[#This Row],[CPU+GPU (1)]]</f>
        <v>#VALUE!</v>
      </c>
      <c r="O119" s="118"/>
      <c r="P119" s="118"/>
      <c r="Q119" s="136"/>
      <c r="AL119">
        <v>1</v>
      </c>
      <c r="AM119" s="62" t="s">
        <v>1409</v>
      </c>
      <c r="AN119">
        <v>2</v>
      </c>
      <c r="AO119" s="62">
        <v>113.499054</v>
      </c>
      <c r="AP119" s="109">
        <v>94.717786000000004</v>
      </c>
      <c r="AQ119" s="46">
        <v>115.15</v>
      </c>
      <c r="AR119" s="36">
        <v>114.11</v>
      </c>
      <c r="AS119" s="36">
        <v>112.06</v>
      </c>
      <c r="AT119" s="106">
        <f ca="1">Table7[[#This Row],[cpuchunk=1]]/Table7[[#This Row],[GPU_chunk10_ratio]]</f>
        <v>0.84524170979832236</v>
      </c>
      <c r="AU119" s="2">
        <v>373.59</v>
      </c>
      <c r="AV119" s="113" t="s">
        <v>3965</v>
      </c>
    </row>
    <row r="120" spans="2:48" ht="29" hidden="1" x14ac:dyDescent="0.35">
      <c r="B120" s="81">
        <f>VLOOKUP('SM2'!D120, MC!$E$6:$W$33,19, FALSE)</f>
        <v>2</v>
      </c>
      <c r="C120" s="81"/>
      <c r="D120" s="78" t="s">
        <v>1422</v>
      </c>
      <c r="E120" s="81">
        <v>7</v>
      </c>
      <c r="F120" s="81"/>
      <c r="G120" s="118" t="s">
        <v>3965</v>
      </c>
      <c r="H120" s="118" t="s">
        <v>3965</v>
      </c>
      <c r="I120" s="118"/>
      <c r="J120" s="116"/>
      <c r="K120" s="118"/>
      <c r="L120" s="118"/>
      <c r="M120" s="118" t="e">
        <f>Table711[[#This Row],[G2AIMD-OOM-Fixed]]/Table711[[#This Row],[gpu-layered]]</f>
        <v>#VALUE!</v>
      </c>
      <c r="N120" s="118" t="e">
        <f>Table711[[#This Row],[gpu-layered]]/Table711[[#This Row],[CPU+GPU (1)]]</f>
        <v>#VALUE!</v>
      </c>
      <c r="O120" s="118"/>
      <c r="P120" s="118"/>
      <c r="Q120" s="136"/>
      <c r="AL120">
        <v>1</v>
      </c>
      <c r="AM120" s="62" t="s">
        <v>1425</v>
      </c>
      <c r="AN120">
        <v>5</v>
      </c>
      <c r="AO120" s="62">
        <v>107.200653</v>
      </c>
      <c r="AP120" s="109">
        <v>100.607213</v>
      </c>
      <c r="AQ120" s="46">
        <v>107.16</v>
      </c>
      <c r="AR120" s="36">
        <v>107.55</v>
      </c>
      <c r="AS120" s="36">
        <v>107.62</v>
      </c>
      <c r="AT120" s="106">
        <f ca="1">Table7[[#This Row],[cpuchunk=1]]/Table7[[#This Row],[GPU_chunk10_ratio]]</f>
        <v>0.93483751161494144</v>
      </c>
      <c r="AU120" s="2">
        <v>106.86</v>
      </c>
      <c r="AV120" s="113" t="s">
        <v>3965</v>
      </c>
    </row>
    <row r="121" spans="2:48" ht="29" hidden="1" x14ac:dyDescent="0.35">
      <c r="B121" s="81">
        <f>VLOOKUP('SM2'!D121, MC!$E$6:$W$33,19, FALSE)</f>
        <v>2</v>
      </c>
      <c r="C121" s="81"/>
      <c r="D121" s="78" t="s">
        <v>1422</v>
      </c>
      <c r="E121" s="81">
        <v>8</v>
      </c>
      <c r="F121" s="81"/>
      <c r="G121" s="118" t="s">
        <v>3904</v>
      </c>
      <c r="H121" s="118" t="s">
        <v>3965</v>
      </c>
      <c r="I121" s="118"/>
      <c r="J121" s="116"/>
      <c r="K121" s="118"/>
      <c r="L121" s="118"/>
      <c r="M121" s="118" t="e">
        <f>Table711[[#This Row],[G2AIMD-OOM-Fixed]]/Table711[[#This Row],[gpu-layered]]</f>
        <v>#VALUE!</v>
      </c>
      <c r="N121" s="118" t="e">
        <f>Table711[[#This Row],[gpu-layered]]/Table711[[#This Row],[CPU+GPU (1)]]</f>
        <v>#VALUE!</v>
      </c>
      <c r="O121" s="118"/>
      <c r="P121" s="118"/>
      <c r="Q121" s="136"/>
      <c r="AL121">
        <v>1</v>
      </c>
      <c r="AM121" s="100" t="s">
        <v>1440</v>
      </c>
      <c r="AN121" s="101">
        <v>9</v>
      </c>
      <c r="AO121" s="62">
        <v>143.057703</v>
      </c>
      <c r="AP121" s="110">
        <v>121.78675800000001</v>
      </c>
      <c r="AQ121" s="46" t="s">
        <v>3965</v>
      </c>
      <c r="AR121" s="36">
        <v>147.19999999999999</v>
      </c>
      <c r="AS121" s="36">
        <v>141.01</v>
      </c>
      <c r="AT121" s="106">
        <f ca="1">Table7[[#This Row],[cpuchunk=1]]/Table7[[#This Row],[GPU_chunk10_ratio]]</f>
        <v>0.86367461882136032</v>
      </c>
      <c r="AU121" s="102" t="s">
        <v>3965</v>
      </c>
      <c r="AV121" s="113" t="s">
        <v>3965</v>
      </c>
    </row>
    <row r="122" spans="2:48" ht="29" hidden="1" x14ac:dyDescent="0.35">
      <c r="B122" s="81">
        <f>VLOOKUP('SM2'!D122, MC!$E$6:$W$33,19, FALSE)</f>
        <v>2</v>
      </c>
      <c r="C122" s="81"/>
      <c r="D122" s="78" t="s">
        <v>1422</v>
      </c>
      <c r="E122" s="81">
        <v>9</v>
      </c>
      <c r="F122" s="81"/>
      <c r="G122" s="118" t="s">
        <v>3965</v>
      </c>
      <c r="H122" s="118" t="s">
        <v>3965</v>
      </c>
      <c r="I122" s="118"/>
      <c r="J122" s="116"/>
      <c r="K122" s="118"/>
      <c r="L122" s="118"/>
      <c r="M122" s="118" t="e">
        <f>Table711[[#This Row],[G2AIMD-OOM-Fixed]]/Table711[[#This Row],[gpu-layered]]</f>
        <v>#VALUE!</v>
      </c>
      <c r="N122" s="118" t="e">
        <f>Table711[[#This Row],[gpu-layered]]/Table711[[#This Row],[CPU+GPU (1)]]</f>
        <v>#VALUE!</v>
      </c>
      <c r="O122" s="118"/>
      <c r="P122" s="118"/>
      <c r="Q122" s="136"/>
      <c r="AL122">
        <v>1</v>
      </c>
      <c r="AM122" s="62" t="s">
        <v>3919</v>
      </c>
      <c r="AN122">
        <v>18</v>
      </c>
      <c r="AO122" s="62">
        <v>117.70626300000001</v>
      </c>
      <c r="AP122" s="109">
        <v>129.07867100000001</v>
      </c>
      <c r="AQ122" s="46">
        <v>127.01958</v>
      </c>
      <c r="AR122" s="36">
        <v>126.24</v>
      </c>
      <c r="AS122" s="36">
        <v>126.33</v>
      </c>
      <c r="AT122" s="106">
        <f ca="1">Table7[[#This Row],[cpuchunk=1]]/Table7[[#This Row],[GPU_chunk10_ratio]]</f>
        <v>1.0217578643235972</v>
      </c>
      <c r="AU122" s="2">
        <v>128.053923</v>
      </c>
      <c r="AV122" s="113" t="s">
        <v>3965</v>
      </c>
    </row>
    <row r="123" spans="2:48" ht="29" hidden="1" x14ac:dyDescent="0.35">
      <c r="B123" s="81">
        <f>VLOOKUP('SM2'!D123, MC!$E$6:$W$33,19, FALSE)</f>
        <v>2</v>
      </c>
      <c r="C123" s="81"/>
      <c r="D123" s="78" t="s">
        <v>1442</v>
      </c>
      <c r="E123" s="81">
        <v>2</v>
      </c>
      <c r="F123" s="188">
        <v>21.379249000000002</v>
      </c>
      <c r="G123" s="118">
        <v>18.123944999999999</v>
      </c>
      <c r="H123" s="148">
        <v>16.370709999999999</v>
      </c>
      <c r="I123" s="63">
        <v>19.22</v>
      </c>
      <c r="J123" s="116" t="s">
        <v>3965</v>
      </c>
      <c r="K123" s="189">
        <v>17.190000000000001</v>
      </c>
      <c r="L123" s="118">
        <v>17.809999999999999</v>
      </c>
      <c r="M123" s="191">
        <f>Table711[[#This Row],[G2AIMD-OOM-Fixed]]/Table711[[#This Row],[gpu-layered]]</f>
        <v>1.3059451300523925</v>
      </c>
      <c r="N123" s="191">
        <f>Table711[[#This Row],[gpu-layered]]/Table711[[#This Row],[CPU+GPU (1)]]</f>
        <v>0.95233915066899344</v>
      </c>
      <c r="O123" s="187" t="s">
        <v>3965</v>
      </c>
      <c r="P123" s="187" t="s">
        <v>3904</v>
      </c>
      <c r="Q123" s="107" t="s">
        <v>3904</v>
      </c>
      <c r="AL123">
        <v>1</v>
      </c>
      <c r="AM123" s="62" t="s">
        <v>1461</v>
      </c>
      <c r="AN123">
        <v>5</v>
      </c>
      <c r="AO123" s="62">
        <v>140.261855</v>
      </c>
      <c r="AP123" s="109">
        <v>132.62251599999999</v>
      </c>
      <c r="AQ123" s="46">
        <v>134.26</v>
      </c>
      <c r="AR123" s="36">
        <v>135.83000000000001</v>
      </c>
      <c r="AS123" s="36">
        <v>136.24</v>
      </c>
      <c r="AT123" s="106">
        <f ca="1">Table7[[#This Row],[cpuchunk=1]]/Table7[[#This Row],[GPU_chunk10_ratio]]</f>
        <v>0.97344770992366403</v>
      </c>
      <c r="AU123" s="2">
        <v>154.84</v>
      </c>
      <c r="AV123" s="113" t="s">
        <v>3965</v>
      </c>
    </row>
    <row r="124" spans="2:48" ht="29" hidden="1" x14ac:dyDescent="0.35">
      <c r="B124" s="81">
        <f>VLOOKUP('SM2'!D124, MC!$E$6:$W$33,19, FALSE)</f>
        <v>2</v>
      </c>
      <c r="C124" s="81"/>
      <c r="D124" s="78" t="s">
        <v>1442</v>
      </c>
      <c r="E124" s="81">
        <v>5</v>
      </c>
      <c r="F124" s="81"/>
      <c r="G124" s="118" t="s">
        <v>3965</v>
      </c>
      <c r="H124" s="63" t="s">
        <v>3965</v>
      </c>
      <c r="I124" s="118"/>
      <c r="J124" s="116"/>
      <c r="K124" s="63"/>
      <c r="L124" s="63"/>
      <c r="M124" s="107" t="e">
        <f>Table711[[#This Row],[G2AIMD-OOM-Fixed]]/Table711[[#This Row],[gpu-layered]]</f>
        <v>#VALUE!</v>
      </c>
      <c r="N124" s="107" t="e">
        <f>Table711[[#This Row],[gpu-layered]]/Table711[[#This Row],[CPU+GPU (1)]]</f>
        <v>#VALUE!</v>
      </c>
      <c r="O124" s="107"/>
      <c r="P124" s="107"/>
      <c r="Q124" s="107"/>
      <c r="AL124">
        <v>1</v>
      </c>
      <c r="AM124" s="62" t="s">
        <v>1423</v>
      </c>
      <c r="AN124">
        <v>5</v>
      </c>
      <c r="AO124" s="62">
        <v>170.47756100000001</v>
      </c>
      <c r="AP124" s="109">
        <v>154.899764</v>
      </c>
      <c r="AQ124" s="46">
        <v>167.78</v>
      </c>
      <c r="AR124" s="36">
        <v>172.19</v>
      </c>
      <c r="AS124" s="36">
        <v>168.85</v>
      </c>
      <c r="AT124" s="106">
        <f ca="1">Table7[[#This Row],[cpuchunk=1]]/Table7[[#This Row],[GPU_chunk10_ratio]]</f>
        <v>0.91738089428486824</v>
      </c>
      <c r="AU124" s="2">
        <v>157.596372</v>
      </c>
      <c r="AV124" s="113" t="s">
        <v>3965</v>
      </c>
    </row>
    <row r="125" spans="2:48" ht="29" hidden="1" x14ac:dyDescent="0.35">
      <c r="B125" s="81">
        <f>VLOOKUP('SM2'!D125, MC!$E$6:$W$33,19, FALSE)</f>
        <v>2</v>
      </c>
      <c r="C125" s="81"/>
      <c r="D125" s="78" t="s">
        <v>1442</v>
      </c>
      <c r="E125" s="81">
        <v>7</v>
      </c>
      <c r="F125" s="81"/>
      <c r="G125" s="118" t="s">
        <v>3965</v>
      </c>
      <c r="H125" s="63" t="s">
        <v>3965</v>
      </c>
      <c r="I125" s="118"/>
      <c r="J125" s="116"/>
      <c r="K125" s="63"/>
      <c r="L125" s="63"/>
      <c r="M125" s="107" t="e">
        <f>Table711[[#This Row],[G2AIMD-OOM-Fixed]]/Table711[[#This Row],[gpu-layered]]</f>
        <v>#VALUE!</v>
      </c>
      <c r="N125" s="107" t="e">
        <f>Table711[[#This Row],[gpu-layered]]/Table711[[#This Row],[CPU+GPU (1)]]</f>
        <v>#VALUE!</v>
      </c>
      <c r="O125" s="107"/>
      <c r="P125" s="107"/>
      <c r="Q125" s="107"/>
      <c r="AL125">
        <v>1</v>
      </c>
      <c r="AM125" s="62" t="s">
        <v>1440</v>
      </c>
      <c r="AN125">
        <v>2</v>
      </c>
      <c r="AO125" s="62">
        <v>257.65440699999999</v>
      </c>
      <c r="AP125" s="109">
        <v>216.72742199999999</v>
      </c>
      <c r="AQ125" s="46">
        <v>258.93</v>
      </c>
      <c r="AR125" s="36">
        <v>257.16000000000003</v>
      </c>
      <c r="AS125" s="36">
        <v>255.51</v>
      </c>
      <c r="AT125" s="106">
        <f ca="1">Table7[[#This Row],[cpuchunk=1]]/Table7[[#This Row],[GPU_chunk10_ratio]]</f>
        <v>0.84821502876599741</v>
      </c>
      <c r="AU125" s="2" t="s">
        <v>3965</v>
      </c>
      <c r="AV125" s="113" t="s">
        <v>3965</v>
      </c>
    </row>
    <row r="126" spans="2:48" ht="29" hidden="1" x14ac:dyDescent="0.35">
      <c r="B126" s="81">
        <f>VLOOKUP('SM2'!D126, MC!$E$6:$W$33,19, FALSE)</f>
        <v>2</v>
      </c>
      <c r="C126" s="81"/>
      <c r="D126" s="78" t="s">
        <v>1442</v>
      </c>
      <c r="E126" s="81">
        <v>8</v>
      </c>
      <c r="F126" s="81"/>
      <c r="G126" s="118" t="s">
        <v>3965</v>
      </c>
      <c r="H126" s="63" t="s">
        <v>3965</v>
      </c>
      <c r="I126" s="118"/>
      <c r="J126" s="116"/>
      <c r="K126" s="63"/>
      <c r="L126" s="63"/>
      <c r="M126" s="107" t="e">
        <f>Table711[[#This Row],[G2AIMD-OOM-Fixed]]/Table711[[#This Row],[gpu-layered]]</f>
        <v>#VALUE!</v>
      </c>
      <c r="N126" s="107" t="e">
        <f>Table711[[#This Row],[gpu-layered]]/Table711[[#This Row],[CPU+GPU (1)]]</f>
        <v>#VALUE!</v>
      </c>
      <c r="O126" s="107"/>
      <c r="P126" s="107"/>
      <c r="Q126" s="107"/>
      <c r="AL126">
        <v>1</v>
      </c>
      <c r="AM126" s="62" t="s">
        <v>1411</v>
      </c>
      <c r="AN126">
        <v>5</v>
      </c>
      <c r="AO126" s="62">
        <v>241.00033300000001</v>
      </c>
      <c r="AP126" s="109">
        <v>228.41716700000001</v>
      </c>
      <c r="AQ126" s="46">
        <v>232.44</v>
      </c>
      <c r="AR126" s="36">
        <v>236.29</v>
      </c>
      <c r="AS126" s="36">
        <v>237.26</v>
      </c>
      <c r="AT126" s="106">
        <f ca="1">Table7[[#This Row],[cpuchunk=1]]/Table7[[#This Row],[GPU_chunk10_ratio]]</f>
        <v>0.96272935598078069</v>
      </c>
      <c r="AU126" s="2">
        <v>401.68</v>
      </c>
      <c r="AV126" s="113" t="s">
        <v>3965</v>
      </c>
    </row>
    <row r="127" spans="2:48" ht="29" hidden="1" x14ac:dyDescent="0.35">
      <c r="B127" s="81">
        <f>VLOOKUP('SM2'!D127, MC!$E$6:$W$33,19, FALSE)</f>
        <v>2</v>
      </c>
      <c r="C127" s="81"/>
      <c r="D127" s="78" t="s">
        <v>1442</v>
      </c>
      <c r="E127" s="81">
        <v>9</v>
      </c>
      <c r="F127" s="81"/>
      <c r="G127" s="118" t="s">
        <v>3965</v>
      </c>
      <c r="H127" s="63" t="s">
        <v>3965</v>
      </c>
      <c r="I127" s="118"/>
      <c r="J127" s="116"/>
      <c r="K127" s="63"/>
      <c r="L127" s="63"/>
      <c r="M127" s="107" t="e">
        <f>Table711[[#This Row],[G2AIMD-OOM-Fixed]]/Table711[[#This Row],[gpu-layered]]</f>
        <v>#VALUE!</v>
      </c>
      <c r="N127" s="107" t="e">
        <f>Table711[[#This Row],[gpu-layered]]/Table711[[#This Row],[CPU+GPU (1)]]</f>
        <v>#VALUE!</v>
      </c>
      <c r="O127" s="107"/>
      <c r="P127" s="107"/>
      <c r="Q127" s="107"/>
      <c r="AL127">
        <v>1</v>
      </c>
      <c r="AM127" s="62" t="s">
        <v>1</v>
      </c>
      <c r="AN127">
        <v>8</v>
      </c>
      <c r="AO127" s="62">
        <v>208.09928300000001</v>
      </c>
      <c r="AP127" s="109">
        <v>245.38578000000001</v>
      </c>
      <c r="AQ127" s="46">
        <v>218.27</v>
      </c>
      <c r="AR127" s="36">
        <v>216.17</v>
      </c>
      <c r="AS127" s="36">
        <v>221.86</v>
      </c>
      <c r="AT127" s="106">
        <f ca="1">Table7[[#This Row],[cpuchunk=1]]/Table7[[#This Row],[GPU_chunk10_ratio]]</f>
        <v>1.1060388533309293</v>
      </c>
      <c r="AU127" s="2">
        <v>248.285864</v>
      </c>
      <c r="AV127" s="113" t="s">
        <v>3965</v>
      </c>
    </row>
    <row r="128" spans="2:48" ht="29" hidden="1" x14ac:dyDescent="0.35">
      <c r="B128" s="81">
        <f>VLOOKUP('SM2'!D128, MC!$E$6:$W$33,19, FALSE)</f>
        <v>2</v>
      </c>
      <c r="C128" s="81"/>
      <c r="D128" s="78" t="s">
        <v>1443</v>
      </c>
      <c r="E128" s="81">
        <v>2</v>
      </c>
      <c r="F128" s="188">
        <v>745.76499999999999</v>
      </c>
      <c r="G128" s="118">
        <v>746.30284200000006</v>
      </c>
      <c r="H128" s="189">
        <v>718.15285100000006</v>
      </c>
      <c r="I128" s="118">
        <v>721.44</v>
      </c>
      <c r="J128" s="116" t="s">
        <v>3965</v>
      </c>
      <c r="K128" s="189">
        <v>708.55</v>
      </c>
      <c r="L128" s="118">
        <v>713.56</v>
      </c>
      <c r="M128" s="191">
        <f>Table711[[#This Row],[G2AIMD-OOM-Fixed]]/Table711[[#This Row],[gpu-layered]]</f>
        <v>1.0384488468736859</v>
      </c>
      <c r="N128" s="191">
        <f>Table711[[#This Row],[gpu-layered]]/Table711[[#This Row],[CPU+GPU (1)]]</f>
        <v>1.0135528205490087</v>
      </c>
      <c r="O128" s="118" t="s">
        <v>3965</v>
      </c>
      <c r="P128" s="118" t="s">
        <v>3904</v>
      </c>
      <c r="Q128" s="136" t="s">
        <v>3904</v>
      </c>
      <c r="AL128">
        <v>1</v>
      </c>
      <c r="AM128" s="62" t="s">
        <v>1448</v>
      </c>
      <c r="AN128">
        <v>5</v>
      </c>
      <c r="AO128" s="62">
        <v>317.764993</v>
      </c>
      <c r="AP128" s="109">
        <v>291.89822400000003</v>
      </c>
      <c r="AQ128" s="46">
        <v>314.57</v>
      </c>
      <c r="AR128" s="36">
        <v>315.8</v>
      </c>
      <c r="AS128" s="36">
        <v>314.29000000000002</v>
      </c>
      <c r="AT128" s="106">
        <f ca="1">Table7[[#This Row],[cpuchunk=1]]/Table7[[#This Row],[GPU_chunk10_ratio]]</f>
        <v>0.92875441153075189</v>
      </c>
      <c r="AU128" s="2">
        <v>323.17</v>
      </c>
      <c r="AV128" s="113" t="s">
        <v>3965</v>
      </c>
    </row>
    <row r="129" spans="2:48" ht="29" hidden="1" x14ac:dyDescent="0.35">
      <c r="B129" s="81">
        <f>VLOOKUP('SM2'!D129, MC!$E$6:$W$33,19, FALSE)</f>
        <v>2</v>
      </c>
      <c r="C129" s="81"/>
      <c r="D129" s="78" t="s">
        <v>1443</v>
      </c>
      <c r="E129" s="81">
        <v>5</v>
      </c>
      <c r="F129" s="81"/>
      <c r="G129" s="118" t="s">
        <v>3965</v>
      </c>
      <c r="H129" s="118" t="s">
        <v>3965</v>
      </c>
      <c r="I129" s="118"/>
      <c r="J129" s="116"/>
      <c r="K129" s="118"/>
      <c r="L129" s="118"/>
      <c r="M129" s="118" t="e">
        <f>Table711[[#This Row],[G2AIMD-OOM-Fixed]]/Table711[[#This Row],[gpu-layered]]</f>
        <v>#VALUE!</v>
      </c>
      <c r="N129" s="118" t="e">
        <f>Table711[[#This Row],[gpu-layered]]/Table711[[#This Row],[CPU+GPU (1)]]</f>
        <v>#VALUE!</v>
      </c>
      <c r="O129" s="118"/>
      <c r="P129" s="118"/>
      <c r="Q129" s="136"/>
      <c r="AL129">
        <v>1</v>
      </c>
      <c r="AM129" s="62" t="s">
        <v>1425</v>
      </c>
      <c r="AN129">
        <v>7</v>
      </c>
      <c r="AO129" s="62">
        <v>426.04929700000002</v>
      </c>
      <c r="AP129" s="109">
        <v>397.48090999999999</v>
      </c>
      <c r="AQ129" s="46">
        <v>454.62</v>
      </c>
      <c r="AR129" s="36">
        <v>460.08</v>
      </c>
      <c r="AS129" s="36">
        <v>476.79</v>
      </c>
      <c r="AT129" s="106">
        <f ca="1">Table7[[#This Row],[cpuchunk=1]]/Table7[[#This Row],[GPU_chunk10_ratio]]</f>
        <v>0.83366033264120465</v>
      </c>
      <c r="AU129" s="2">
        <v>439.04</v>
      </c>
      <c r="AV129" s="113" t="s">
        <v>3965</v>
      </c>
    </row>
    <row r="130" spans="2:48" ht="29" hidden="1" x14ac:dyDescent="0.35">
      <c r="B130" s="81">
        <f>VLOOKUP('SM2'!D130, MC!$E$6:$W$33,19, FALSE)</f>
        <v>2</v>
      </c>
      <c r="C130" s="81"/>
      <c r="D130" s="78" t="s">
        <v>1443</v>
      </c>
      <c r="E130" s="81">
        <v>7</v>
      </c>
      <c r="F130" s="81"/>
      <c r="G130" s="118" t="s">
        <v>3965</v>
      </c>
      <c r="H130" s="118" t="s">
        <v>3965</v>
      </c>
      <c r="I130" s="118"/>
      <c r="J130" s="116"/>
      <c r="K130" s="118"/>
      <c r="L130" s="118"/>
      <c r="M130" s="118" t="e">
        <f>Table711[[#This Row],[G2AIMD-OOM-Fixed]]/Table711[[#This Row],[gpu-layered]]</f>
        <v>#VALUE!</v>
      </c>
      <c r="N130" s="118" t="e">
        <f>Table711[[#This Row],[gpu-layered]]/Table711[[#This Row],[CPU+GPU (1)]]</f>
        <v>#VALUE!</v>
      </c>
      <c r="O130" s="118"/>
      <c r="P130" s="118"/>
      <c r="Q130" s="136"/>
      <c r="AL130">
        <v>1</v>
      </c>
      <c r="AM130" s="62" t="s">
        <v>1425</v>
      </c>
      <c r="AN130">
        <v>8</v>
      </c>
      <c r="AO130" s="62" t="s">
        <v>3965</v>
      </c>
      <c r="AP130" s="109">
        <v>422.13027799999998</v>
      </c>
      <c r="AQ130" s="46">
        <v>411.4</v>
      </c>
      <c r="AR130" s="36">
        <v>392.57</v>
      </c>
      <c r="AS130" s="36">
        <v>399.4</v>
      </c>
      <c r="AT130" s="106">
        <f ca="1">Table7[[#This Row],[cpuchunk=1]]/Table7[[#This Row],[GPU_chunk10_ratio]]</f>
        <v>1.0569110615923887</v>
      </c>
      <c r="AU130" s="2">
        <v>423.83</v>
      </c>
      <c r="AV130" s="113" t="s">
        <v>3965</v>
      </c>
    </row>
    <row r="131" spans="2:48" ht="29" hidden="1" x14ac:dyDescent="0.35">
      <c r="B131" s="81">
        <f>VLOOKUP('SM2'!D131, MC!$E$6:$W$33,19, FALSE)</f>
        <v>2</v>
      </c>
      <c r="C131" s="81"/>
      <c r="D131" s="78" t="s">
        <v>1443</v>
      </c>
      <c r="E131" s="81">
        <v>8</v>
      </c>
      <c r="F131" s="81"/>
      <c r="G131" s="118" t="s">
        <v>3965</v>
      </c>
      <c r="H131" s="118" t="s">
        <v>3965</v>
      </c>
      <c r="I131" s="118"/>
      <c r="J131" s="116"/>
      <c r="K131" s="118"/>
      <c r="L131" s="118"/>
      <c r="M131" s="118" t="e">
        <f>Table711[[#This Row],[G2AIMD-OOM-Fixed]]/Table711[[#This Row],[gpu-layered]]</f>
        <v>#VALUE!</v>
      </c>
      <c r="N131" s="118" t="e">
        <f>Table711[[#This Row],[gpu-layered]]/Table711[[#This Row],[CPU+GPU (1)]]</f>
        <v>#VALUE!</v>
      </c>
      <c r="O131" s="118"/>
      <c r="P131" s="118"/>
      <c r="Q131" s="136"/>
      <c r="AL131">
        <v>1</v>
      </c>
      <c r="AM131" s="62" t="s">
        <v>1461</v>
      </c>
      <c r="AN131">
        <v>7</v>
      </c>
      <c r="AO131" s="62">
        <v>478.88740799999999</v>
      </c>
      <c r="AP131" s="109">
        <v>457.514028</v>
      </c>
      <c r="AQ131" s="46">
        <v>488.46</v>
      </c>
      <c r="AR131" s="36">
        <v>497.43</v>
      </c>
      <c r="AS131" s="36">
        <v>527.86</v>
      </c>
      <c r="AT131" s="106">
        <f ca="1">Table7[[#This Row],[cpuchunk=1]]/Table7[[#This Row],[GPU_chunk10_ratio]]</f>
        <v>0.8667336566513848</v>
      </c>
      <c r="AU131" s="2">
        <v>456.93</v>
      </c>
      <c r="AV131" s="113" t="s">
        <v>3965</v>
      </c>
    </row>
    <row r="132" spans="2:48" ht="29" hidden="1" x14ac:dyDescent="0.35">
      <c r="B132" s="81">
        <f>VLOOKUP('SM2'!D132, MC!$E$6:$W$33,19, FALSE)</f>
        <v>2</v>
      </c>
      <c r="C132" s="81"/>
      <c r="D132" s="78" t="s">
        <v>1443</v>
      </c>
      <c r="E132" s="81">
        <v>9</v>
      </c>
      <c r="F132" s="81"/>
      <c r="G132" s="118" t="s">
        <v>3965</v>
      </c>
      <c r="H132" s="118" t="s">
        <v>3965</v>
      </c>
      <c r="I132" s="118"/>
      <c r="J132" s="116"/>
      <c r="K132" s="118"/>
      <c r="L132" s="118"/>
      <c r="M132" s="118" t="e">
        <f>Table711[[#This Row],[G2AIMD-OOM-Fixed]]/Table711[[#This Row],[gpu-layered]]</f>
        <v>#VALUE!</v>
      </c>
      <c r="N132" s="118" t="e">
        <f>Table711[[#This Row],[gpu-layered]]/Table711[[#This Row],[CPU+GPU (1)]]</f>
        <v>#VALUE!</v>
      </c>
      <c r="O132" s="118"/>
      <c r="P132" s="118"/>
      <c r="Q132" s="136"/>
      <c r="AL132">
        <v>1</v>
      </c>
      <c r="AM132" s="62" t="s">
        <v>18</v>
      </c>
      <c r="AN132">
        <v>5</v>
      </c>
      <c r="AO132" s="62">
        <v>547.90130299999998</v>
      </c>
      <c r="AP132" s="109">
        <v>512.48145</v>
      </c>
      <c r="AQ132" s="46">
        <v>516.69000000000005</v>
      </c>
      <c r="AR132" s="36">
        <v>520.49</v>
      </c>
      <c r="AS132" s="36" t="s">
        <v>3965</v>
      </c>
      <c r="AT132" s="106" t="e">
        <f ca="1">Table7[[#This Row],[cpuchunk=1]]/Table7[[#This Row],[GPU_chunk10_ratio]]</f>
        <v>#VALUE!</v>
      </c>
      <c r="AU132" s="2">
        <v>508.402221</v>
      </c>
      <c r="AV132" s="113" t="s">
        <v>3965</v>
      </c>
    </row>
    <row r="133" spans="2:48" ht="29" hidden="1" x14ac:dyDescent="0.35">
      <c r="B133" s="81">
        <f>VLOOKUP('SM2'!D133, MC!$E$6:$W$33,19, FALSE)</f>
        <v>2</v>
      </c>
      <c r="C133" s="81"/>
      <c r="D133" s="78" t="s">
        <v>1452</v>
      </c>
      <c r="E133" s="81">
        <v>2</v>
      </c>
      <c r="F133" s="188">
        <v>331.29780899999997</v>
      </c>
      <c r="G133" s="118">
        <v>329.18908800000003</v>
      </c>
      <c r="H133" s="189">
        <v>314.08779600000003</v>
      </c>
      <c r="I133" s="118">
        <v>318.83</v>
      </c>
      <c r="J133" s="116" t="s">
        <v>3965</v>
      </c>
      <c r="K133" s="189">
        <v>312.90312299999999</v>
      </c>
      <c r="L133" s="118">
        <v>314.086208</v>
      </c>
      <c r="M133" s="191">
        <f>Table711[[#This Row],[G2AIMD-OOM-Fixed]]/Table711[[#This Row],[gpu-layered]]</f>
        <v>1.0547936380183327</v>
      </c>
      <c r="N133" s="191">
        <f>Table711[[#This Row],[gpu-layered]]/Table711[[#This Row],[CPU+GPU (1)]]</f>
        <v>1.003786069594454</v>
      </c>
      <c r="O133" s="118" t="s">
        <v>3965</v>
      </c>
      <c r="P133" s="118" t="s">
        <v>3904</v>
      </c>
      <c r="Q133" s="136" t="s">
        <v>3904</v>
      </c>
      <c r="AL133">
        <v>1</v>
      </c>
      <c r="AM133" s="62" t="s">
        <v>1450</v>
      </c>
      <c r="AN133">
        <v>5</v>
      </c>
      <c r="AO133" s="62">
        <v>582.60663599999998</v>
      </c>
      <c r="AP133" s="109">
        <v>544.28210000000001</v>
      </c>
      <c r="AQ133" s="46">
        <v>560.45000000000005</v>
      </c>
      <c r="AR133" s="36">
        <v>563.86</v>
      </c>
      <c r="AS133" s="36">
        <v>559.66999999999996</v>
      </c>
      <c r="AT133" s="106">
        <f ca="1">Table7[[#This Row],[cpuchunk=1]]/Table7[[#This Row],[GPU_chunk10_ratio]]</f>
        <v>0.97250540497078641</v>
      </c>
      <c r="AU133" s="2">
        <v>520.41054799999995</v>
      </c>
      <c r="AV133" s="113" t="s">
        <v>3965</v>
      </c>
    </row>
    <row r="134" spans="2:48" ht="26" hidden="1" x14ac:dyDescent="0.35">
      <c r="B134" s="81">
        <f>VLOOKUP('SM2'!D134, MC!$E$6:$W$33,19, FALSE)</f>
        <v>2</v>
      </c>
      <c r="C134" s="81"/>
      <c r="D134" s="78" t="s">
        <v>1452</v>
      </c>
      <c r="E134" s="81">
        <v>5</v>
      </c>
      <c r="F134" s="81"/>
      <c r="G134" s="118" t="s">
        <v>3965</v>
      </c>
      <c r="H134" s="118" t="s">
        <v>3965</v>
      </c>
      <c r="I134" s="118"/>
      <c r="J134" s="116"/>
      <c r="K134" s="118"/>
      <c r="L134" s="118"/>
      <c r="M134" s="118" t="e">
        <f>Table711[[#This Row],[G2AIMD-OOM-Fixed]]/Table711[[#This Row],[gpu-layered]]</f>
        <v>#VALUE!</v>
      </c>
      <c r="N134" s="118" t="e">
        <f>Table711[[#This Row],[gpu-layered]]/Table711[[#This Row],[CPU+GPU (1)]]</f>
        <v>#VALUE!</v>
      </c>
      <c r="O134" s="118"/>
      <c r="P134" s="118"/>
      <c r="Q134" s="136"/>
      <c r="AM134" s="62" t="s">
        <v>1433</v>
      </c>
      <c r="AN134">
        <v>5</v>
      </c>
      <c r="AP134" s="2">
        <v>567.19409700000006</v>
      </c>
      <c r="AQ134" s="88" t="e">
        <f ca="1">Table7[[#This Row],[cpuchunk=1]]/Table7[[#This Row],[CPU Only (30m X)]]</f>
        <v>#VALUE!</v>
      </c>
      <c r="AT134" s="88" t="e">
        <f ca="1">Table7[[#This Row],[cpuchunk=1]]/Table7[[#This Row],[GPU_chunk10_ratio]]</f>
        <v>#DIV/0!</v>
      </c>
      <c r="AU134" s="2" t="s">
        <v>3965</v>
      </c>
    </row>
    <row r="135" spans="2:48" ht="26" hidden="1" x14ac:dyDescent="0.35">
      <c r="B135" s="81">
        <f>VLOOKUP('SM2'!D135, MC!$E$6:$W$33,19, FALSE)</f>
        <v>2</v>
      </c>
      <c r="C135" s="81"/>
      <c r="D135" s="78" t="s">
        <v>1452</v>
      </c>
      <c r="E135" s="81">
        <v>7</v>
      </c>
      <c r="F135" s="81"/>
      <c r="G135" s="118" t="s">
        <v>3965</v>
      </c>
      <c r="H135" s="118" t="s">
        <v>3965</v>
      </c>
      <c r="I135" s="118"/>
      <c r="J135" s="116"/>
      <c r="K135" s="118"/>
      <c r="L135" s="118"/>
      <c r="M135" s="118" t="e">
        <f>Table711[[#This Row],[G2AIMD-OOM-Fixed]]/Table711[[#This Row],[gpu-layered]]</f>
        <v>#VALUE!</v>
      </c>
      <c r="N135" s="118" t="e">
        <f>Table711[[#This Row],[gpu-layered]]/Table711[[#This Row],[CPU+GPU (1)]]</f>
        <v>#VALUE!</v>
      </c>
      <c r="O135" s="118"/>
      <c r="P135" s="118"/>
      <c r="Q135" s="136"/>
      <c r="AM135" s="62" t="s">
        <v>1346</v>
      </c>
      <c r="AN135">
        <v>6</v>
      </c>
      <c r="AP135" s="2" t="s">
        <v>3965</v>
      </c>
      <c r="AQ135" s="88" t="e">
        <f ca="1">Table7[[#This Row],[cpuchunk=1]]/Table7[[#This Row],[CPU Only (30m X)]]</f>
        <v>#VALUE!</v>
      </c>
      <c r="AT135" s="88" t="e">
        <f ca="1">Table7[[#This Row],[cpuchunk=1]]/Table7[[#This Row],[GPU_chunk10_ratio]]</f>
        <v>#VALUE!</v>
      </c>
      <c r="AU135" s="2" t="s">
        <v>3965</v>
      </c>
    </row>
    <row r="136" spans="2:48" ht="26" hidden="1" x14ac:dyDescent="0.35">
      <c r="B136" s="81">
        <f>VLOOKUP('SM2'!D136, MC!$E$6:$W$33,19, FALSE)</f>
        <v>2</v>
      </c>
      <c r="C136" s="81"/>
      <c r="D136" s="78" t="s">
        <v>1452</v>
      </c>
      <c r="E136" s="81">
        <v>8</v>
      </c>
      <c r="F136" s="81"/>
      <c r="G136" s="118" t="s">
        <v>3965</v>
      </c>
      <c r="H136" s="118" t="s">
        <v>3965</v>
      </c>
      <c r="I136" s="118"/>
      <c r="J136" s="116"/>
      <c r="K136" s="118"/>
      <c r="L136" s="118"/>
      <c r="M136" s="118" t="e">
        <f>Table711[[#This Row],[G2AIMD-OOM-Fixed]]/Table711[[#This Row],[gpu-layered]]</f>
        <v>#VALUE!</v>
      </c>
      <c r="N136" s="118" t="e">
        <f>Table711[[#This Row],[gpu-layered]]/Table711[[#This Row],[CPU+GPU (1)]]</f>
        <v>#VALUE!</v>
      </c>
      <c r="O136" s="118"/>
      <c r="P136" s="118"/>
      <c r="Q136" s="136"/>
      <c r="AM136" s="62" t="s">
        <v>1346</v>
      </c>
      <c r="AN136">
        <v>18</v>
      </c>
      <c r="AP136" s="2" t="s">
        <v>3965</v>
      </c>
      <c r="AQ136" s="88" t="e">
        <f ca="1">Table7[[#This Row],[cpuchunk=1]]/Table7[[#This Row],[CPU Only (30m X)]]</f>
        <v>#VALUE!</v>
      </c>
      <c r="AT136" s="88" t="e">
        <f ca="1">Table7[[#This Row],[cpuchunk=1]]/Table7[[#This Row],[GPU_chunk10_ratio]]</f>
        <v>#VALUE!</v>
      </c>
      <c r="AU136" s="2" t="s">
        <v>3965</v>
      </c>
    </row>
    <row r="137" spans="2:48" ht="26" hidden="1" x14ac:dyDescent="0.35">
      <c r="B137" s="81">
        <f>VLOOKUP('SM2'!D137, MC!$E$6:$W$33,19, FALSE)</f>
        <v>2</v>
      </c>
      <c r="C137" s="81"/>
      <c r="D137" s="78" t="s">
        <v>1452</v>
      </c>
      <c r="E137" s="81">
        <v>9</v>
      </c>
      <c r="F137" s="81"/>
      <c r="G137" s="118" t="s">
        <v>3965</v>
      </c>
      <c r="H137" s="118" t="s">
        <v>3965</v>
      </c>
      <c r="I137" s="118"/>
      <c r="J137" s="116"/>
      <c r="K137" s="118"/>
      <c r="L137" s="118"/>
      <c r="M137" s="118" t="e">
        <f>Table711[[#This Row],[G2AIMD-OOM-Fixed]]/Table711[[#This Row],[gpu-layered]]</f>
        <v>#VALUE!</v>
      </c>
      <c r="N137" s="118" t="e">
        <f>Table711[[#This Row],[gpu-layered]]/Table711[[#This Row],[CPU+GPU (1)]]</f>
        <v>#VALUE!</v>
      </c>
      <c r="O137" s="118"/>
      <c r="P137" s="118"/>
      <c r="Q137" s="136"/>
      <c r="AM137" s="62" t="s">
        <v>1</v>
      </c>
      <c r="AN137">
        <v>6</v>
      </c>
      <c r="AP137" s="2" t="s">
        <v>3965</v>
      </c>
      <c r="AQ137" s="88" t="e">
        <f ca="1">Table7[[#This Row],[cpuchunk=1]]/Table7[[#This Row],[CPU Only (30m X)]]</f>
        <v>#VALUE!</v>
      </c>
      <c r="AT137" s="88" t="e">
        <f ca="1">Table7[[#This Row],[cpuchunk=1]]/Table7[[#This Row],[GPU_chunk10_ratio]]</f>
        <v>#VALUE!</v>
      </c>
      <c r="AU137" s="2" t="s">
        <v>3965</v>
      </c>
    </row>
    <row r="138" spans="2:48" ht="26" hidden="1" x14ac:dyDescent="0.35">
      <c r="B138" s="81">
        <f>VLOOKUP('SM2'!D138, MC!$E$6:$W$33,19, FALSE)</f>
        <v>1</v>
      </c>
      <c r="C138" s="81"/>
      <c r="D138" s="78" t="s">
        <v>1405</v>
      </c>
      <c r="E138" s="81">
        <v>2</v>
      </c>
      <c r="F138" s="188">
        <v>43.374870999999999</v>
      </c>
      <c r="G138" s="118">
        <v>42.469945000000003</v>
      </c>
      <c r="H138" s="189">
        <v>40.399121000000001</v>
      </c>
      <c r="I138" s="118">
        <v>43.93</v>
      </c>
      <c r="J138" s="116" t="s">
        <v>3965</v>
      </c>
      <c r="K138" s="189">
        <v>40.670990000000003</v>
      </c>
      <c r="L138" s="118">
        <v>41.417413000000003</v>
      </c>
      <c r="M138" s="191">
        <f>Table711[[#This Row],[G2AIMD-OOM-Fixed]]/Table711[[#This Row],[gpu-layered]]</f>
        <v>1.0736587808432763</v>
      </c>
      <c r="N138" s="191">
        <f>Table711[[#This Row],[gpu-layered]]/Table711[[#This Row],[CPU+GPU (1)]]</f>
        <v>0.9933154073702164</v>
      </c>
      <c r="O138" s="118" t="s">
        <v>3965</v>
      </c>
      <c r="P138" s="118" t="s">
        <v>3904</v>
      </c>
      <c r="Q138" s="136" t="s">
        <v>3904</v>
      </c>
      <c r="AM138" s="62" t="s">
        <v>1</v>
      </c>
      <c r="AN138">
        <v>7</v>
      </c>
      <c r="AP138" s="2" t="s">
        <v>3965</v>
      </c>
      <c r="AQ138" s="88" t="e">
        <f ca="1">Table7[[#This Row],[cpuchunk=1]]/Table7[[#This Row],[CPU Only (30m X)]]</f>
        <v>#VALUE!</v>
      </c>
      <c r="AT138" s="88" t="e">
        <f ca="1">Table7[[#This Row],[cpuchunk=1]]/Table7[[#This Row],[GPU_chunk10_ratio]]</f>
        <v>#VALUE!</v>
      </c>
      <c r="AU138" s="2" t="s">
        <v>3965</v>
      </c>
    </row>
    <row r="139" spans="2:48" ht="26" hidden="1" x14ac:dyDescent="0.35">
      <c r="B139" s="81">
        <f>VLOOKUP('SM2'!D139, MC!$E$6:$W$33,19, FALSE)</f>
        <v>1</v>
      </c>
      <c r="C139" s="81"/>
      <c r="D139" s="78" t="s">
        <v>1405</v>
      </c>
      <c r="E139" s="81">
        <v>5</v>
      </c>
      <c r="F139" s="81"/>
      <c r="G139" s="118" t="s">
        <v>3965</v>
      </c>
      <c r="H139" s="118" t="s">
        <v>3965</v>
      </c>
      <c r="I139" s="118"/>
      <c r="J139" s="116"/>
      <c r="K139" s="118"/>
      <c r="L139" s="118"/>
      <c r="M139" s="118" t="e">
        <f>Table711[[#This Row],[G2AIMD-OOM-Fixed]]/Table711[[#This Row],[gpu-layered]]</f>
        <v>#VALUE!</v>
      </c>
      <c r="N139" s="118" t="e">
        <f>Table711[[#This Row],[gpu-layered]]/Table711[[#This Row],[CPU+GPU (1)]]</f>
        <v>#VALUE!</v>
      </c>
      <c r="O139" s="118"/>
      <c r="P139" s="118"/>
      <c r="Q139" s="136"/>
      <c r="AM139" s="62" t="s">
        <v>1</v>
      </c>
      <c r="AN139">
        <v>9</v>
      </c>
      <c r="AP139" s="2" t="s">
        <v>3965</v>
      </c>
      <c r="AQ139" s="88" t="e">
        <f ca="1">Table7[[#This Row],[cpuchunk=1]]/Table7[[#This Row],[CPU Only (30m X)]]</f>
        <v>#VALUE!</v>
      </c>
      <c r="AT139" s="88" t="e">
        <f ca="1">Table7[[#This Row],[cpuchunk=1]]/Table7[[#This Row],[GPU_chunk10_ratio]]</f>
        <v>#VALUE!</v>
      </c>
      <c r="AU139" s="2" t="s">
        <v>3965</v>
      </c>
    </row>
    <row r="140" spans="2:48" ht="26" hidden="1" x14ac:dyDescent="0.35">
      <c r="B140" s="81">
        <f>VLOOKUP('SM2'!D140, MC!$E$6:$W$33,19, FALSE)</f>
        <v>1</v>
      </c>
      <c r="C140" s="81"/>
      <c r="D140" s="78" t="s">
        <v>1405</v>
      </c>
      <c r="E140" s="81">
        <v>7</v>
      </c>
      <c r="F140" s="81"/>
      <c r="G140" s="118" t="s">
        <v>3965</v>
      </c>
      <c r="H140" s="118" t="s">
        <v>3965</v>
      </c>
      <c r="I140" s="118"/>
      <c r="J140" s="116"/>
      <c r="K140" s="118"/>
      <c r="L140" s="118"/>
      <c r="M140" s="118" t="e">
        <f>Table711[[#This Row],[G2AIMD-OOM-Fixed]]/Table711[[#This Row],[gpu-layered]]</f>
        <v>#VALUE!</v>
      </c>
      <c r="N140" s="118" t="e">
        <f>Table711[[#This Row],[gpu-layered]]/Table711[[#This Row],[CPU+GPU (1)]]</f>
        <v>#VALUE!</v>
      </c>
      <c r="O140" s="118"/>
      <c r="P140" s="118"/>
      <c r="Q140" s="136"/>
      <c r="AM140" s="62" t="s">
        <v>1</v>
      </c>
      <c r="AN140">
        <v>18</v>
      </c>
      <c r="AP140" s="2" t="s">
        <v>3965</v>
      </c>
      <c r="AQ140" s="88" t="e">
        <f ca="1">Table7[[#This Row],[cpuchunk=1]]/Table7[[#This Row],[CPU Only (30m X)]]</f>
        <v>#VALUE!</v>
      </c>
      <c r="AT140" s="88" t="e">
        <f ca="1">Table7[[#This Row],[cpuchunk=1]]/Table7[[#This Row],[GPU_chunk10_ratio]]</f>
        <v>#VALUE!</v>
      </c>
      <c r="AU140" s="2" t="s">
        <v>3965</v>
      </c>
    </row>
    <row r="141" spans="2:48" ht="26" hidden="1" x14ac:dyDescent="0.35">
      <c r="B141" s="81">
        <f>VLOOKUP('SM2'!D141, MC!$E$6:$W$33,19, FALSE)</f>
        <v>1</v>
      </c>
      <c r="C141" s="81"/>
      <c r="D141" s="78" t="s">
        <v>1405</v>
      </c>
      <c r="E141" s="81">
        <v>8</v>
      </c>
      <c r="F141" s="81"/>
      <c r="G141" s="118" t="s">
        <v>3904</v>
      </c>
      <c r="H141" s="118" t="s">
        <v>3965</v>
      </c>
      <c r="I141" s="118"/>
      <c r="J141" s="116"/>
      <c r="K141" s="118"/>
      <c r="L141" s="118"/>
      <c r="M141" s="118" t="e">
        <f>Table711[[#This Row],[G2AIMD-OOM-Fixed]]/Table711[[#This Row],[gpu-layered]]</f>
        <v>#VALUE!</v>
      </c>
      <c r="N141" s="118" t="e">
        <f>Table711[[#This Row],[gpu-layered]]/Table711[[#This Row],[CPU+GPU (1)]]</f>
        <v>#VALUE!</v>
      </c>
      <c r="O141" s="118"/>
      <c r="P141" s="118"/>
      <c r="Q141" s="136"/>
      <c r="AM141" s="62" t="s">
        <v>1461</v>
      </c>
      <c r="AN141">
        <v>6</v>
      </c>
      <c r="AP141" s="2" t="s">
        <v>3965</v>
      </c>
      <c r="AQ141" s="88" t="e">
        <f ca="1">Table7[[#This Row],[cpuchunk=1]]/Table7[[#This Row],[CPU Only (30m X)]]</f>
        <v>#VALUE!</v>
      </c>
      <c r="AT141" s="88" t="e">
        <f ca="1">Table7[[#This Row],[cpuchunk=1]]/Table7[[#This Row],[GPU_chunk10_ratio]]</f>
        <v>#VALUE!</v>
      </c>
      <c r="AU141" s="2" t="s">
        <v>3965</v>
      </c>
    </row>
    <row r="142" spans="2:48" ht="26" hidden="1" x14ac:dyDescent="0.35">
      <c r="B142" s="81">
        <f>VLOOKUP('SM2'!D142, MC!$E$6:$W$33,19, FALSE)</f>
        <v>1</v>
      </c>
      <c r="C142" s="81"/>
      <c r="D142" s="78" t="s">
        <v>1405</v>
      </c>
      <c r="E142" s="81">
        <v>9</v>
      </c>
      <c r="F142" s="81"/>
      <c r="G142" s="118" t="s">
        <v>3965</v>
      </c>
      <c r="H142" s="118" t="s">
        <v>3965</v>
      </c>
      <c r="I142" s="118"/>
      <c r="J142" s="116"/>
      <c r="K142" s="118"/>
      <c r="L142" s="118"/>
      <c r="M142" s="118" t="e">
        <f>Table711[[#This Row],[G2AIMD-OOM-Fixed]]/Table711[[#This Row],[gpu-layered]]</f>
        <v>#VALUE!</v>
      </c>
      <c r="N142" s="118" t="e">
        <f>Table711[[#This Row],[gpu-layered]]/Table711[[#This Row],[CPU+GPU (1)]]</f>
        <v>#VALUE!</v>
      </c>
      <c r="O142" s="118"/>
      <c r="P142" s="118"/>
      <c r="Q142" s="136"/>
      <c r="AM142" s="92" t="s">
        <v>1461</v>
      </c>
      <c r="AN142" s="93">
        <v>8</v>
      </c>
      <c r="AP142" s="94" t="s">
        <v>3965</v>
      </c>
      <c r="AQ142" s="95" t="e">
        <f ca="1">Table7[[#This Row],[cpuchunk=1]]/Table7[[#This Row],[CPU Only (30m X)]]</f>
        <v>#VALUE!</v>
      </c>
      <c r="AT142" s="88" t="e">
        <f ca="1">Table7[[#This Row],[cpuchunk=1]]/Table7[[#This Row],[GPU_chunk10_ratio]]</f>
        <v>#VALUE!</v>
      </c>
      <c r="AU142" s="94">
        <v>463.53</v>
      </c>
    </row>
    <row r="143" spans="2:48" ht="26" x14ac:dyDescent="0.35">
      <c r="B143" s="81"/>
      <c r="C143" s="81"/>
      <c r="D143" s="78"/>
      <c r="E143" s="81"/>
      <c r="F143" s="81"/>
      <c r="G143" s="118"/>
      <c r="H143" s="118"/>
      <c r="I143" s="118"/>
      <c r="J143" s="116"/>
      <c r="K143" s="118"/>
      <c r="L143" s="118"/>
      <c r="M143" s="118"/>
      <c r="N143" s="118"/>
      <c r="O143" s="118"/>
      <c r="P143" s="118"/>
      <c r="Q143" s="136"/>
      <c r="AM143" s="62" t="s">
        <v>1461</v>
      </c>
      <c r="AN143">
        <v>18</v>
      </c>
      <c r="AP143" s="2" t="s">
        <v>3965</v>
      </c>
      <c r="AQ143" s="88" t="e">
        <f ca="1">Table7[[#This Row],[cpuchunk=1]]/Table7[[#This Row],[CPU Only (30m X)]]</f>
        <v>#VALUE!</v>
      </c>
      <c r="AT143" s="88" t="e">
        <f ca="1">Table7[[#This Row],[cpuchunk=1]]/Table7[[#This Row],[GPU_chunk10_ratio]]</f>
        <v>#VALUE!</v>
      </c>
      <c r="AU143" s="2" t="s">
        <v>3965</v>
      </c>
    </row>
    <row r="144" spans="2:48" ht="26" x14ac:dyDescent="0.35">
      <c r="B144" s="81"/>
      <c r="C144" s="81"/>
      <c r="D144" s="78"/>
      <c r="E144" s="81"/>
      <c r="F144" s="81"/>
      <c r="G144" s="118"/>
      <c r="H144" s="118"/>
      <c r="I144" s="118"/>
      <c r="J144" s="116"/>
      <c r="K144" s="118"/>
      <c r="L144" s="118"/>
      <c r="M144" s="118"/>
      <c r="N144" s="118"/>
      <c r="O144" s="118"/>
      <c r="P144" s="118"/>
      <c r="Q144" s="136"/>
      <c r="AM144" s="92" t="s">
        <v>1391</v>
      </c>
      <c r="AN144" s="93">
        <v>6</v>
      </c>
      <c r="AP144" s="94" t="s">
        <v>3965</v>
      </c>
      <c r="AQ144" s="95" t="e">
        <f ca="1">Table7[[#This Row],[cpuchunk=1]]/Table7[[#This Row],[CPU Only (30m X)]]</f>
        <v>#VALUE!</v>
      </c>
      <c r="AT144" s="88" t="e">
        <f ca="1">Table7[[#This Row],[cpuchunk=1]]/Table7[[#This Row],[GPU_chunk10_ratio]]</f>
        <v>#VALUE!</v>
      </c>
      <c r="AU144" s="94">
        <v>55.96</v>
      </c>
    </row>
    <row r="145" spans="2:48" ht="26" x14ac:dyDescent="0.35">
      <c r="B145" s="81"/>
      <c r="C145" s="81"/>
      <c r="D145" s="78"/>
      <c r="E145" s="81"/>
      <c r="F145" s="81"/>
      <c r="G145" s="118"/>
      <c r="H145" s="118"/>
      <c r="I145" s="118"/>
      <c r="J145" s="116"/>
      <c r="K145" s="118"/>
      <c r="L145" s="118"/>
      <c r="M145" s="118"/>
      <c r="N145" s="118"/>
      <c r="O145" s="118"/>
      <c r="P145" s="118"/>
      <c r="Q145" s="136"/>
      <c r="AM145" s="62" t="s">
        <v>1391</v>
      </c>
      <c r="AN145">
        <v>18</v>
      </c>
      <c r="AP145" s="2" t="s">
        <v>3965</v>
      </c>
      <c r="AQ145" s="88" t="e">
        <f ca="1">Table7[[#This Row],[cpuchunk=1]]/Table7[[#This Row],[CPU Only (30m X)]]</f>
        <v>#VALUE!</v>
      </c>
      <c r="AT145" s="88" t="e">
        <f ca="1">Table7[[#This Row],[cpuchunk=1]]/Table7[[#This Row],[GPU_chunk10_ratio]]</f>
        <v>#VALUE!</v>
      </c>
      <c r="AU145" s="2" t="s">
        <v>3965</v>
      </c>
    </row>
    <row r="146" spans="2:48" ht="26" x14ac:dyDescent="0.35">
      <c r="B146" s="81"/>
      <c r="C146" s="81"/>
      <c r="D146" s="78"/>
      <c r="E146" s="81"/>
      <c r="F146" s="81"/>
      <c r="G146" s="118"/>
      <c r="H146" s="118"/>
      <c r="I146" s="118"/>
      <c r="J146" s="116"/>
      <c r="K146" s="118"/>
      <c r="L146" s="118"/>
      <c r="M146" s="118"/>
      <c r="N146" s="118"/>
      <c r="O146" s="118"/>
      <c r="P146" s="118"/>
      <c r="Q146" s="136"/>
      <c r="AM146" s="62" t="s">
        <v>1440</v>
      </c>
      <c r="AN146">
        <v>5</v>
      </c>
      <c r="AP146" s="2" t="s">
        <v>3965</v>
      </c>
      <c r="AQ146" s="88" t="e">
        <f ca="1">Table7[[#This Row],[cpuchunk=1]]/Table7[[#This Row],[CPU Only (30m X)]]</f>
        <v>#VALUE!</v>
      </c>
      <c r="AT146" s="88" t="e">
        <f ca="1">Table7[[#This Row],[cpuchunk=1]]/Table7[[#This Row],[GPU_chunk10_ratio]]</f>
        <v>#VALUE!</v>
      </c>
      <c r="AU146" s="2" t="s">
        <v>3965</v>
      </c>
    </row>
    <row r="147" spans="2:48" ht="22" x14ac:dyDescent="0.25">
      <c r="D147" s="62"/>
      <c r="H147" s="2"/>
      <c r="AN147" s="62"/>
      <c r="AQ147" s="2"/>
      <c r="AR147" s="88"/>
      <c r="AU147" s="88"/>
      <c r="AV147" s="2"/>
    </row>
    <row r="148" spans="2:48" ht="29" x14ac:dyDescent="0.35">
      <c r="D148" s="62"/>
      <c r="G148" s="63"/>
      <c r="H148" s="109"/>
      <c r="I148" s="116"/>
      <c r="J148" s="113"/>
      <c r="Q148" s="36"/>
      <c r="AN148" s="62"/>
      <c r="AQ148" s="2"/>
      <c r="AR148" s="88"/>
      <c r="AU148" s="88"/>
      <c r="AV148" s="2"/>
    </row>
    <row r="149" spans="2:48" ht="22" x14ac:dyDescent="0.25">
      <c r="D149" s="62"/>
      <c r="H149" s="2"/>
      <c r="AN149" s="62"/>
      <c r="AQ149" s="2"/>
      <c r="AR149" s="88"/>
      <c r="AU149" s="88"/>
      <c r="AV149" s="2"/>
    </row>
    <row r="150" spans="2:48" ht="22" x14ac:dyDescent="0.25">
      <c r="D150" s="62"/>
      <c r="H150" s="2"/>
      <c r="AN150" s="62"/>
      <c r="AQ150" s="2"/>
      <c r="AR150" s="88"/>
      <c r="AU150" s="88"/>
      <c r="AV150" s="2"/>
    </row>
    <row r="151" spans="2:48" ht="22" x14ac:dyDescent="0.25">
      <c r="D151" s="62"/>
      <c r="H151" s="2"/>
      <c r="AN151" s="62"/>
      <c r="AQ151" s="2"/>
      <c r="AR151" s="88"/>
      <c r="AU151" s="88"/>
      <c r="AV151" s="2"/>
    </row>
    <row r="152" spans="2:48" ht="22" x14ac:dyDescent="0.25">
      <c r="D152" s="62"/>
      <c r="H152" s="2"/>
      <c r="AN152" s="62"/>
      <c r="AQ152" s="2"/>
      <c r="AR152" s="88"/>
      <c r="AU152" s="88"/>
      <c r="AV152" s="2"/>
    </row>
    <row r="153" spans="2:48" ht="22" x14ac:dyDescent="0.25">
      <c r="D153" s="62"/>
      <c r="E153" s="115"/>
      <c r="F153" s="115"/>
      <c r="H153" s="2"/>
      <c r="AN153" s="62"/>
      <c r="AQ153" s="2"/>
      <c r="AR153" s="88"/>
      <c r="AU153" s="88"/>
      <c r="AV153" s="2"/>
    </row>
    <row r="154" spans="2:48" ht="22" x14ac:dyDescent="0.25">
      <c r="D154" s="62"/>
      <c r="E154" s="115"/>
      <c r="F154" s="115"/>
      <c r="H154" s="2"/>
      <c r="AN154" s="62"/>
      <c r="AQ154" s="2"/>
      <c r="AR154" s="88"/>
      <c r="AU154" s="88"/>
      <c r="AV154" s="2"/>
    </row>
    <row r="155" spans="2:48" ht="22" x14ac:dyDescent="0.25">
      <c r="D155" s="62"/>
      <c r="E155" s="115"/>
      <c r="F155" s="115"/>
      <c r="H155" s="2"/>
      <c r="AN155" s="62"/>
      <c r="AQ155" s="2"/>
      <c r="AR155" s="88"/>
      <c r="AU155" s="88"/>
      <c r="AV155" s="2"/>
    </row>
    <row r="156" spans="2:48" ht="22" x14ac:dyDescent="0.25">
      <c r="D156" s="62"/>
      <c r="E156" s="115"/>
      <c r="F156" s="115"/>
      <c r="H156" s="2"/>
      <c r="AN156" s="62"/>
      <c r="AQ156" s="2"/>
      <c r="AR156" s="88"/>
      <c r="AU156" s="88"/>
      <c r="AV156" s="2"/>
    </row>
    <row r="157" spans="2:48" ht="22" x14ac:dyDescent="0.25">
      <c r="D157" s="62"/>
      <c r="E157" s="115"/>
      <c r="F157" s="115"/>
      <c r="H157" s="2"/>
      <c r="AN157" s="62"/>
      <c r="AQ157" s="2"/>
      <c r="AR157" s="88"/>
      <c r="AU157" s="88"/>
      <c r="AV157" s="2"/>
    </row>
    <row r="158" spans="2:48" ht="22" x14ac:dyDescent="0.25">
      <c r="D158" s="62"/>
      <c r="E158" s="115"/>
      <c r="F158" s="115"/>
      <c r="H158" s="2"/>
      <c r="AN158" s="62"/>
      <c r="AQ158" s="2"/>
      <c r="AR158" s="88"/>
      <c r="AU158" s="88"/>
      <c r="AV158" s="2"/>
    </row>
    <row r="159" spans="2:48" ht="22" x14ac:dyDescent="0.25">
      <c r="D159" s="62"/>
      <c r="E159" s="115"/>
      <c r="F159" s="115"/>
      <c r="H159" s="2"/>
      <c r="AN159" s="62"/>
      <c r="AQ159" s="2"/>
      <c r="AR159" s="88"/>
      <c r="AU159" s="88"/>
      <c r="AV159" s="2"/>
    </row>
    <row r="160" spans="2:48" ht="22" x14ac:dyDescent="0.25">
      <c r="D160" s="62"/>
      <c r="E160" s="115"/>
      <c r="F160" s="115"/>
      <c r="H160" s="2"/>
      <c r="AN160" s="62"/>
      <c r="AQ160" s="2"/>
      <c r="AR160" s="88"/>
      <c r="AU160" s="88"/>
      <c r="AV160" s="2"/>
    </row>
    <row r="161" spans="4:48" ht="22" x14ac:dyDescent="0.25">
      <c r="D161" s="62"/>
      <c r="E161" s="115"/>
      <c r="F161" s="115"/>
      <c r="H161" s="2"/>
      <c r="AN161" s="62"/>
      <c r="AQ161" s="2"/>
      <c r="AR161" s="88"/>
      <c r="AU161" s="88"/>
      <c r="AV161" s="2"/>
    </row>
    <row r="162" spans="4:48" ht="22" x14ac:dyDescent="0.25">
      <c r="D162" s="62"/>
      <c r="E162" s="115"/>
      <c r="F162" s="115"/>
      <c r="H162" s="2"/>
      <c r="AN162" s="62"/>
      <c r="AQ162" s="2"/>
      <c r="AR162" s="88"/>
      <c r="AU162" s="88"/>
      <c r="AV162" s="2"/>
    </row>
    <row r="163" spans="4:48" ht="22" x14ac:dyDescent="0.25">
      <c r="D163" s="62"/>
      <c r="E163" s="115"/>
      <c r="F163" s="115"/>
      <c r="H163" s="2"/>
      <c r="AN163" s="62"/>
      <c r="AQ163" s="2"/>
      <c r="AR163" s="88"/>
      <c r="AU163" s="88"/>
      <c r="AV163" s="2"/>
    </row>
    <row r="164" spans="4:48" ht="22" x14ac:dyDescent="0.25">
      <c r="D164" s="62"/>
      <c r="E164" s="115"/>
      <c r="F164" s="115"/>
      <c r="H164" s="2"/>
      <c r="AN164" s="62"/>
      <c r="AQ164" s="2"/>
      <c r="AR164" s="88"/>
      <c r="AU164" s="88"/>
      <c r="AV164" s="2"/>
    </row>
    <row r="165" spans="4:48" ht="22" x14ac:dyDescent="0.25">
      <c r="D165" s="62"/>
      <c r="E165" s="115"/>
      <c r="F165" s="115"/>
      <c r="H165" s="2"/>
      <c r="AN165" s="62"/>
      <c r="AQ165" s="2"/>
      <c r="AR165" s="88"/>
      <c r="AU165" s="88"/>
      <c r="AV165" s="2"/>
    </row>
    <row r="166" spans="4:48" ht="22" x14ac:dyDescent="0.25">
      <c r="D166" s="62"/>
      <c r="E166" s="115"/>
      <c r="F166" s="115"/>
      <c r="H166" s="2"/>
      <c r="AN166" s="62"/>
      <c r="AQ166" s="2"/>
      <c r="AR166" s="88"/>
      <c r="AU166" s="88"/>
      <c r="AV166" s="2"/>
    </row>
    <row r="167" spans="4:48" ht="22" x14ac:dyDescent="0.25">
      <c r="D167" s="62"/>
      <c r="E167" s="115"/>
      <c r="F167" s="115"/>
      <c r="H167" s="2"/>
      <c r="AN167" s="62"/>
      <c r="AQ167" s="2"/>
      <c r="AR167" s="88"/>
      <c r="AU167" s="88"/>
      <c r="AV167" s="2"/>
    </row>
    <row r="168" spans="4:48" ht="22" x14ac:dyDescent="0.25">
      <c r="D168" s="62"/>
      <c r="E168" s="115"/>
      <c r="F168" s="115"/>
      <c r="H168" s="2"/>
      <c r="AN168" s="62"/>
      <c r="AQ168" s="2"/>
      <c r="AR168" s="88"/>
      <c r="AU168" s="88"/>
      <c r="AV168" s="2"/>
    </row>
    <row r="169" spans="4:48" ht="22" x14ac:dyDescent="0.25">
      <c r="D169" s="62"/>
      <c r="E169" s="115"/>
      <c r="F169" s="115"/>
      <c r="H169" s="2"/>
      <c r="AN169" s="62"/>
      <c r="AQ169" s="2"/>
      <c r="AR169" s="88"/>
      <c r="AU169" s="88"/>
      <c r="AV169" s="2"/>
    </row>
    <row r="170" spans="4:48" ht="22" x14ac:dyDescent="0.25">
      <c r="D170" s="62"/>
      <c r="E170" s="115"/>
      <c r="F170" s="115"/>
      <c r="H170" s="2"/>
      <c r="AN170" s="62"/>
      <c r="AQ170" s="2"/>
      <c r="AR170" s="88"/>
      <c r="AU170" s="88"/>
      <c r="AV170" s="2"/>
    </row>
    <row r="171" spans="4:48" ht="22" x14ac:dyDescent="0.25">
      <c r="D171" s="62"/>
      <c r="E171" s="115"/>
      <c r="F171" s="115"/>
      <c r="H171" s="2"/>
      <c r="AN171" s="62"/>
      <c r="AQ171" s="2"/>
      <c r="AR171" s="88"/>
      <c r="AU171" s="88"/>
      <c r="AV171" s="2"/>
    </row>
    <row r="172" spans="4:48" ht="22" x14ac:dyDescent="0.25">
      <c r="D172" s="62"/>
      <c r="E172" s="115"/>
      <c r="F172" s="115"/>
      <c r="H172" s="2"/>
      <c r="AN172" s="62"/>
      <c r="AQ172" s="2"/>
      <c r="AR172" s="88"/>
      <c r="AU172" s="88"/>
      <c r="AV172" s="2"/>
    </row>
    <row r="173" spans="4:48" ht="22" x14ac:dyDescent="0.25">
      <c r="D173" s="62"/>
      <c r="E173" s="115"/>
      <c r="F173" s="115"/>
      <c r="H173" s="2"/>
      <c r="AN173" s="62"/>
      <c r="AQ173" s="2"/>
      <c r="AR173" s="88"/>
      <c r="AU173" s="88"/>
      <c r="AV173" s="2"/>
    </row>
    <row r="174" spans="4:48" ht="22" x14ac:dyDescent="0.25">
      <c r="D174" s="62"/>
      <c r="E174" s="115"/>
      <c r="F174" s="115"/>
      <c r="H174" s="2"/>
      <c r="AN174" s="62"/>
      <c r="AQ174" s="2"/>
      <c r="AR174" s="88"/>
      <c r="AU174" s="88"/>
      <c r="AV174" s="2"/>
    </row>
    <row r="175" spans="4:48" ht="22" x14ac:dyDescent="0.25">
      <c r="D175" s="62"/>
      <c r="E175" s="115"/>
      <c r="F175" s="115"/>
      <c r="H175" s="2"/>
      <c r="AN175" s="62"/>
      <c r="AQ175" s="2"/>
      <c r="AR175" s="88"/>
      <c r="AU175" s="88"/>
      <c r="AV175" s="2"/>
    </row>
    <row r="176" spans="4:48" ht="22" x14ac:dyDescent="0.25">
      <c r="D176" s="62"/>
      <c r="E176" s="115"/>
      <c r="F176" s="115"/>
      <c r="H176" s="2"/>
      <c r="AN176" s="62"/>
      <c r="AQ176" s="2"/>
      <c r="AR176" s="88"/>
      <c r="AU176" s="88"/>
      <c r="AV176" s="2"/>
    </row>
    <row r="177" spans="4:48" ht="22" x14ac:dyDescent="0.25">
      <c r="D177" s="62"/>
      <c r="E177" s="115"/>
      <c r="F177" s="115"/>
      <c r="H177" s="2"/>
      <c r="AN177" s="62"/>
      <c r="AQ177" s="2"/>
      <c r="AR177" s="88"/>
      <c r="AU177" s="88"/>
      <c r="AV177" s="2"/>
    </row>
    <row r="178" spans="4:48" ht="22" x14ac:dyDescent="0.25">
      <c r="D178" s="62"/>
      <c r="E178" s="115"/>
      <c r="F178" s="115"/>
      <c r="H178" s="2"/>
      <c r="AN178" s="62"/>
      <c r="AQ178" s="2"/>
      <c r="AR178" s="88"/>
      <c r="AU178" s="88"/>
      <c r="AV178" s="2"/>
    </row>
    <row r="179" spans="4:48" ht="22" x14ac:dyDescent="0.25">
      <c r="D179" s="62"/>
      <c r="E179" s="115"/>
      <c r="F179" s="115"/>
      <c r="H179" s="2"/>
      <c r="AN179" s="62"/>
      <c r="AQ179" s="2"/>
      <c r="AR179" s="88"/>
      <c r="AU179" s="88"/>
      <c r="AV179" s="2"/>
    </row>
    <row r="180" spans="4:48" ht="22" x14ac:dyDescent="0.25">
      <c r="D180" s="62"/>
      <c r="E180" s="115"/>
      <c r="F180" s="115"/>
      <c r="H180" s="2"/>
      <c r="AN180" s="62"/>
      <c r="AQ180" s="2"/>
      <c r="AR180" s="88"/>
      <c r="AU180" s="88"/>
      <c r="AV180" s="2"/>
    </row>
    <row r="181" spans="4:48" ht="22" x14ac:dyDescent="0.25">
      <c r="D181" s="62"/>
      <c r="E181" s="115"/>
      <c r="F181" s="115"/>
      <c r="H181" s="2"/>
      <c r="AN181" s="62"/>
      <c r="AQ181" s="2"/>
      <c r="AR181" s="88"/>
      <c r="AU181" s="88"/>
      <c r="AV181" s="2"/>
    </row>
    <row r="182" spans="4:48" ht="22" x14ac:dyDescent="0.25">
      <c r="D182" s="62"/>
      <c r="E182" s="115"/>
      <c r="F182" s="115"/>
      <c r="H182" s="2"/>
      <c r="AN182" s="62"/>
      <c r="AQ182" s="2"/>
      <c r="AR182" s="88"/>
      <c r="AU182" s="88"/>
      <c r="AV182" s="2"/>
    </row>
    <row r="183" spans="4:48" ht="22" x14ac:dyDescent="0.25">
      <c r="D183" s="62"/>
      <c r="E183" s="115"/>
      <c r="F183" s="115"/>
      <c r="H183" s="2"/>
      <c r="AN183" s="62"/>
      <c r="AQ183" s="2"/>
      <c r="AR183" s="88"/>
      <c r="AU183" s="88"/>
      <c r="AV183" s="2"/>
    </row>
    <row r="184" spans="4:48" ht="22" x14ac:dyDescent="0.25">
      <c r="D184" s="62"/>
      <c r="E184" s="115"/>
      <c r="F184" s="115"/>
      <c r="H184" s="2"/>
      <c r="AN184" s="62"/>
      <c r="AQ184" s="2"/>
      <c r="AR184" s="88"/>
      <c r="AU184" s="88"/>
      <c r="AV184" s="2"/>
    </row>
    <row r="185" spans="4:48" ht="22" x14ac:dyDescent="0.25">
      <c r="D185" s="62"/>
      <c r="E185" s="115"/>
      <c r="F185" s="115"/>
      <c r="H185" s="2"/>
      <c r="AN185" s="62"/>
      <c r="AQ185" s="2"/>
      <c r="AR185" s="88"/>
      <c r="AU185" s="88"/>
      <c r="AV185" s="2"/>
    </row>
    <row r="186" spans="4:48" ht="22" x14ac:dyDescent="0.25">
      <c r="D186" s="62"/>
      <c r="E186" s="115"/>
      <c r="F186" s="115"/>
      <c r="H186" s="2"/>
      <c r="AN186" s="62"/>
      <c r="AQ186" s="2"/>
      <c r="AR186" s="88"/>
      <c r="AU186" s="88"/>
      <c r="AV186" s="2"/>
    </row>
    <row r="187" spans="4:48" ht="22" x14ac:dyDescent="0.25">
      <c r="D187" s="62"/>
      <c r="E187" s="115"/>
      <c r="F187" s="115"/>
      <c r="H187" s="2"/>
      <c r="AN187" s="62"/>
      <c r="AQ187" s="2"/>
      <c r="AR187" s="88"/>
      <c r="AU187" s="88"/>
      <c r="AV187" s="2"/>
    </row>
    <row r="188" spans="4:48" ht="22" x14ac:dyDescent="0.25">
      <c r="D188" s="62"/>
      <c r="E188" s="115"/>
      <c r="F188" s="115"/>
      <c r="H188" s="2"/>
      <c r="AN188" s="62"/>
      <c r="AQ188" s="2"/>
      <c r="AR188" s="88"/>
      <c r="AU188" s="88"/>
      <c r="AV188" s="2"/>
    </row>
    <row r="189" spans="4:48" ht="22" x14ac:dyDescent="0.25">
      <c r="D189" s="62"/>
      <c r="E189" s="115"/>
      <c r="F189" s="115"/>
      <c r="H189" s="2"/>
      <c r="AN189" s="62"/>
      <c r="AQ189" s="2"/>
      <c r="AR189" s="88"/>
      <c r="AU189" s="88"/>
      <c r="AV189" s="2"/>
    </row>
    <row r="190" spans="4:48" ht="22" x14ac:dyDescent="0.25">
      <c r="D190" s="62"/>
      <c r="E190" s="115"/>
      <c r="F190" s="115"/>
      <c r="H190" s="2"/>
      <c r="AN190" s="62"/>
      <c r="AQ190" s="2"/>
      <c r="AR190" s="88"/>
      <c r="AU190" s="88"/>
      <c r="AV190" s="2"/>
    </row>
    <row r="191" spans="4:48" ht="22" x14ac:dyDescent="0.25">
      <c r="D191" s="62"/>
      <c r="E191" s="115"/>
      <c r="F191" s="115"/>
      <c r="H191" s="2"/>
      <c r="AN191" s="62"/>
      <c r="AQ191" s="2"/>
      <c r="AR191" s="88"/>
      <c r="AU191" s="88"/>
      <c r="AV191" s="2"/>
    </row>
    <row r="192" spans="4:48" ht="22" x14ac:dyDescent="0.25">
      <c r="D192" s="62"/>
      <c r="E192" s="115"/>
      <c r="F192" s="115"/>
      <c r="H192" s="2"/>
      <c r="AN192" s="62"/>
      <c r="AQ192" s="2"/>
      <c r="AR192" s="88"/>
      <c r="AU192" s="88"/>
      <c r="AV192" s="2"/>
    </row>
    <row r="193" spans="4:48" ht="22" x14ac:dyDescent="0.25">
      <c r="D193" s="62"/>
      <c r="E193" s="115"/>
      <c r="F193" s="115"/>
      <c r="H193" s="2"/>
      <c r="AN193" s="62"/>
      <c r="AQ193" s="2"/>
      <c r="AR193" s="88"/>
      <c r="AU193" s="88"/>
      <c r="AV193" s="2"/>
    </row>
    <row r="194" spans="4:48" ht="22" x14ac:dyDescent="0.25">
      <c r="D194" s="62"/>
      <c r="E194" s="115"/>
      <c r="F194" s="115"/>
      <c r="H194" s="2"/>
      <c r="AN194" s="62"/>
      <c r="AQ194" s="2"/>
      <c r="AR194" s="88"/>
      <c r="AU194" s="88"/>
      <c r="AV194" s="2"/>
    </row>
    <row r="195" spans="4:48" ht="22" x14ac:dyDescent="0.25">
      <c r="D195" s="62"/>
      <c r="H195" s="2"/>
      <c r="AN195" s="62"/>
      <c r="AQ195" s="2"/>
      <c r="AR195" s="88"/>
      <c r="AU195" s="88"/>
      <c r="AV195" s="2"/>
    </row>
    <row r="196" spans="4:48" ht="22" x14ac:dyDescent="0.25">
      <c r="D196" s="62"/>
      <c r="H196" s="2"/>
      <c r="AN196" s="62"/>
      <c r="AQ196" s="2"/>
      <c r="AR196" s="88"/>
      <c r="AU196" s="88"/>
      <c r="AV196" s="2"/>
    </row>
    <row r="197" spans="4:48" ht="22" x14ac:dyDescent="0.25">
      <c r="D197" s="62"/>
      <c r="H197" s="2"/>
      <c r="AN197" s="62"/>
      <c r="AQ197" s="2"/>
      <c r="AR197" s="88"/>
      <c r="AU197" s="88"/>
      <c r="AV197" s="2"/>
    </row>
    <row r="198" spans="4:48" ht="22" x14ac:dyDescent="0.25">
      <c r="D198" s="62"/>
      <c r="H198" s="2"/>
      <c r="AN198" s="62"/>
      <c r="AQ198" s="2"/>
      <c r="AR198" s="88"/>
      <c r="AU198" s="88"/>
      <c r="AV198" s="2"/>
    </row>
    <row r="199" spans="4:48" ht="22" x14ac:dyDescent="0.25">
      <c r="D199" s="62"/>
      <c r="H199" s="2"/>
      <c r="AN199" s="62"/>
      <c r="AQ199" s="2"/>
      <c r="AR199" s="88"/>
      <c r="AU199" s="88"/>
      <c r="AV199" s="2"/>
    </row>
    <row r="200" spans="4:48" ht="22" x14ac:dyDescent="0.25">
      <c r="D200" s="62"/>
      <c r="H200" s="2"/>
      <c r="AN200" s="62"/>
      <c r="AQ200" s="2"/>
      <c r="AR200" s="88"/>
      <c r="AU200" s="88"/>
      <c r="AV200" s="2"/>
    </row>
    <row r="201" spans="4:48" ht="22" x14ac:dyDescent="0.25">
      <c r="D201" s="62"/>
      <c r="H201" s="2"/>
      <c r="AN201" s="62"/>
      <c r="AQ201" s="2"/>
      <c r="AR201" s="88"/>
      <c r="AU201" s="88"/>
      <c r="AV201" s="2"/>
    </row>
    <row r="202" spans="4:48" ht="22" x14ac:dyDescent="0.25">
      <c r="D202" s="62"/>
      <c r="H202" s="2"/>
      <c r="AN202" s="62"/>
      <c r="AQ202" s="2"/>
      <c r="AR202" s="88"/>
      <c r="AU202" s="88"/>
      <c r="AV202" s="2"/>
    </row>
    <row r="203" spans="4:48" ht="22" x14ac:dyDescent="0.25">
      <c r="D203" s="62"/>
      <c r="H203" s="2"/>
      <c r="AN203" s="62"/>
      <c r="AQ203" s="2"/>
      <c r="AR203" s="88"/>
      <c r="AU203" s="88"/>
      <c r="AV203" s="2"/>
    </row>
    <row r="204" spans="4:48" ht="22" x14ac:dyDescent="0.25">
      <c r="D204" s="62"/>
      <c r="H204" s="2"/>
      <c r="AN204" s="62"/>
      <c r="AQ204" s="2"/>
      <c r="AR204" s="88"/>
      <c r="AU204" s="88"/>
      <c r="AV204" s="2"/>
    </row>
    <row r="205" spans="4:48" ht="22" x14ac:dyDescent="0.25">
      <c r="D205" s="62"/>
      <c r="H205" s="2"/>
      <c r="AN205" s="62"/>
      <c r="AQ205" s="2"/>
      <c r="AR205" s="88"/>
      <c r="AU205" s="88"/>
      <c r="AV205" s="2"/>
    </row>
    <row r="206" spans="4:48" ht="22" x14ac:dyDescent="0.25">
      <c r="D206" s="62"/>
      <c r="H206" s="2"/>
      <c r="AN206" s="62"/>
      <c r="AQ206" s="2"/>
      <c r="AR206" s="88"/>
      <c r="AU206" s="88"/>
      <c r="AV206" s="2"/>
    </row>
    <row r="207" spans="4:48" ht="22" x14ac:dyDescent="0.25">
      <c r="D207" s="62"/>
      <c r="H207" s="2"/>
      <c r="AN207" s="62"/>
      <c r="AQ207" s="2"/>
      <c r="AR207" s="88"/>
      <c r="AU207" s="88"/>
      <c r="AV207" s="2"/>
    </row>
    <row r="208" spans="4:48" ht="22" x14ac:dyDescent="0.25">
      <c r="D208" s="62"/>
      <c r="H208" s="2"/>
      <c r="AN208" s="62"/>
      <c r="AQ208" s="2"/>
      <c r="AR208" s="88"/>
      <c r="AU208" s="88"/>
      <c r="AV208" s="2"/>
    </row>
    <row r="209" spans="4:48" ht="22" x14ac:dyDescent="0.25">
      <c r="D209" s="62"/>
      <c r="H209" s="2"/>
      <c r="AN209" s="62"/>
      <c r="AQ209" s="2"/>
      <c r="AR209" s="88"/>
      <c r="AU209" s="88"/>
      <c r="AV209" s="2"/>
    </row>
    <row r="210" spans="4:48" ht="22" x14ac:dyDescent="0.25">
      <c r="D210" s="62"/>
      <c r="H210" s="2"/>
      <c r="AN210" s="62"/>
      <c r="AQ210" s="2"/>
      <c r="AR210" s="88"/>
      <c r="AU210" s="88"/>
      <c r="AV210" s="2"/>
    </row>
    <row r="211" spans="4:48" ht="22" x14ac:dyDescent="0.25">
      <c r="D211" s="62"/>
      <c r="H211" s="2"/>
      <c r="AN211" s="62"/>
      <c r="AQ211" s="2"/>
      <c r="AR211" s="88"/>
      <c r="AU211" s="88"/>
      <c r="AV211" s="2"/>
    </row>
    <row r="212" spans="4:48" ht="22" x14ac:dyDescent="0.25">
      <c r="D212" s="62"/>
      <c r="H212" s="2"/>
      <c r="AN212" s="62"/>
      <c r="AQ212" s="2"/>
      <c r="AR212" s="88"/>
      <c r="AU212" s="88"/>
      <c r="AV212" s="2"/>
    </row>
    <row r="213" spans="4:48" ht="22" x14ac:dyDescent="0.25">
      <c r="D213" s="62"/>
      <c r="H213" s="2"/>
      <c r="AN213" s="62"/>
      <c r="AQ213" s="2"/>
      <c r="AR213" s="88"/>
      <c r="AU213" s="88"/>
      <c r="AV213" s="2"/>
    </row>
    <row r="214" spans="4:48" ht="22" x14ac:dyDescent="0.25">
      <c r="D214" s="62"/>
      <c r="H214" s="2"/>
      <c r="AN214" s="62"/>
      <c r="AQ214" s="2"/>
      <c r="AR214" s="88"/>
      <c r="AU214" s="88"/>
      <c r="AV214" s="2"/>
    </row>
    <row r="215" spans="4:48" ht="22" x14ac:dyDescent="0.25">
      <c r="D215" s="62"/>
      <c r="H215" s="2"/>
      <c r="AN215" s="62"/>
      <c r="AQ215" s="2"/>
      <c r="AR215" s="88"/>
      <c r="AU215" s="88"/>
      <c r="AV215" s="2"/>
    </row>
    <row r="216" spans="4:48" ht="22" x14ac:dyDescent="0.25">
      <c r="D216" s="62"/>
      <c r="H216" s="2"/>
      <c r="AN216" s="62"/>
      <c r="AQ216" s="2"/>
      <c r="AR216" s="88"/>
      <c r="AU216" s="88"/>
      <c r="AV216" s="2"/>
    </row>
    <row r="217" spans="4:48" ht="22" x14ac:dyDescent="0.25">
      <c r="D217" s="62"/>
      <c r="H217" s="2"/>
      <c r="AN217" s="62"/>
      <c r="AQ217" s="2"/>
      <c r="AR217" s="88"/>
      <c r="AU217" s="88"/>
      <c r="AV217" s="2"/>
    </row>
    <row r="218" spans="4:48" ht="22" x14ac:dyDescent="0.25">
      <c r="D218" s="62"/>
      <c r="H218" s="2"/>
      <c r="AN218" s="62"/>
      <c r="AQ218" s="2"/>
      <c r="AR218" s="88"/>
      <c r="AU218" s="88"/>
      <c r="AV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7"/>
  <sheetViews>
    <sheetView topLeftCell="G1" zoomScale="92" workbookViewId="0">
      <selection activeCell="P6" sqref="P6:Q16"/>
    </sheetView>
  </sheetViews>
  <sheetFormatPr baseColWidth="10" defaultRowHeight="16" x14ac:dyDescent="0.2"/>
  <cols>
    <col min="1" max="1" width="16.83203125" bestFit="1" customWidth="1"/>
    <col min="2" max="2" width="34.5" customWidth="1"/>
    <col min="3" max="3" width="18.1640625" bestFit="1" customWidth="1"/>
    <col min="4" max="4" width="23.33203125" bestFit="1" customWidth="1"/>
    <col min="5" max="5" width="15.83203125" customWidth="1"/>
    <col min="6" max="6" width="13.83203125" customWidth="1"/>
    <col min="7" max="7" width="26.5" customWidth="1"/>
    <col min="8" max="8" width="33.6640625" customWidth="1"/>
    <col min="9" max="9" width="18.33203125" bestFit="1" customWidth="1"/>
    <col min="10" max="10" width="24.83203125" bestFit="1" customWidth="1"/>
    <col min="11" max="11" width="26.6640625" customWidth="1"/>
    <col min="12" max="12" width="27" customWidth="1"/>
    <col min="13" max="13" width="17.1640625" customWidth="1"/>
    <col min="14" max="14" width="17.6640625" customWidth="1"/>
    <col min="15" max="15" width="14" customWidth="1"/>
    <col min="16" max="16" width="18" customWidth="1"/>
    <col min="17" max="17" width="14.6640625" bestFit="1" customWidth="1"/>
    <col min="18"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6" max="27" width="11" bestFit="1" customWidth="1"/>
    <col min="28" max="28" width="11.5" bestFit="1" customWidth="1"/>
    <col min="29" max="29" width="13.33203125" bestFit="1" customWidth="1"/>
    <col min="30" max="30" width="11" bestFit="1" customWidth="1"/>
    <col min="32" max="32" width="16.5" bestFit="1" customWidth="1"/>
  </cols>
  <sheetData>
    <row r="2" spans="2:45" ht="32" x14ac:dyDescent="0.4">
      <c r="B2" s="135" t="s">
        <v>3997</v>
      </c>
      <c r="AS2" s="35">
        <v>5.7128509999999997</v>
      </c>
    </row>
    <row r="3" spans="2:45" ht="27" x14ac:dyDescent="0.35">
      <c r="H3" s="223" t="s">
        <v>3959</v>
      </c>
      <c r="I3" s="223"/>
      <c r="J3" s="223"/>
      <c r="K3" s="223"/>
      <c r="L3" s="223"/>
      <c r="M3" s="223"/>
      <c r="N3" s="223"/>
      <c r="O3" s="76"/>
      <c r="P3" s="76"/>
      <c r="AS3" s="35">
        <v>18.897711999999999</v>
      </c>
    </row>
    <row r="4" spans="2:45" ht="27" x14ac:dyDescent="0.35">
      <c r="B4" s="120"/>
      <c r="C4" s="132"/>
      <c r="D4" s="132"/>
      <c r="E4" s="120"/>
      <c r="F4" s="120"/>
      <c r="G4" s="120"/>
      <c r="H4" s="120"/>
      <c r="I4" s="120"/>
      <c r="J4" s="120"/>
      <c r="K4" s="120"/>
      <c r="L4" s="120"/>
      <c r="M4" s="120"/>
      <c r="Y4" s="81" t="s">
        <v>3952</v>
      </c>
      <c r="Z4" s="81" t="s">
        <v>3962</v>
      </c>
      <c r="AA4" s="82"/>
      <c r="AB4" s="82"/>
      <c r="AC4" s="83" t="s">
        <v>3938</v>
      </c>
      <c r="AD4" s="84" t="s">
        <v>3964</v>
      </c>
      <c r="AE4" s="82"/>
      <c r="AF4" s="83" t="s">
        <v>3937</v>
      </c>
      <c r="AG4" s="84" t="s">
        <v>3964</v>
      </c>
      <c r="AS4" s="35">
        <v>9.4467379999999999</v>
      </c>
    </row>
    <row r="5" spans="2:45" ht="27" x14ac:dyDescent="0.35">
      <c r="B5" s="66" t="s">
        <v>3952</v>
      </c>
      <c r="C5" s="66" t="s">
        <v>3995</v>
      </c>
      <c r="D5" s="66" t="s">
        <v>3996</v>
      </c>
      <c r="E5" s="66" t="s">
        <v>3960</v>
      </c>
      <c r="F5" s="66" t="s">
        <v>3961</v>
      </c>
      <c r="G5" s="66" t="s">
        <v>3994</v>
      </c>
      <c r="H5" s="66" t="s">
        <v>4038</v>
      </c>
      <c r="I5" s="66" t="s">
        <v>3930</v>
      </c>
      <c r="J5" s="66" t="s">
        <v>3955</v>
      </c>
      <c r="K5" s="66" t="s">
        <v>3980</v>
      </c>
      <c r="L5" s="66" t="s">
        <v>3979</v>
      </c>
      <c r="M5" s="66" t="s">
        <v>3929</v>
      </c>
      <c r="N5" s="66" t="s">
        <v>3935</v>
      </c>
      <c r="O5" t="s">
        <v>19</v>
      </c>
      <c r="P5" s="66" t="s">
        <v>4043</v>
      </c>
      <c r="Q5" s="66" t="s">
        <v>3951</v>
      </c>
      <c r="Y5" s="81" t="s">
        <v>3960</v>
      </c>
      <c r="Z5" s="81">
        <v>30</v>
      </c>
      <c r="AA5" s="82"/>
      <c r="AB5" s="82"/>
      <c r="AC5" s="85">
        <v>100</v>
      </c>
      <c r="AD5" s="79">
        <v>111.26600000000001</v>
      </c>
      <c r="AE5" s="82"/>
      <c r="AF5" s="85">
        <v>1</v>
      </c>
      <c r="AG5" s="78">
        <v>19.003499999999999</v>
      </c>
      <c r="AS5" s="35">
        <v>22.320332000000001</v>
      </c>
    </row>
    <row r="6" spans="2:45" ht="27" x14ac:dyDescent="0.35">
      <c r="B6" s="120" t="s">
        <v>3919</v>
      </c>
      <c r="C6" s="132">
        <v>2937612</v>
      </c>
      <c r="D6" s="132">
        <v>41919708</v>
      </c>
      <c r="E6" s="73">
        <v>20</v>
      </c>
      <c r="F6" s="73">
        <v>0.95</v>
      </c>
      <c r="G6" s="120">
        <v>399864</v>
      </c>
      <c r="H6" s="195" t="s">
        <v>3965</v>
      </c>
      <c r="I6" s="124">
        <v>1495.9010000000001</v>
      </c>
      <c r="J6" s="124">
        <v>801.23</v>
      </c>
      <c r="K6" s="124">
        <v>799.76</v>
      </c>
      <c r="L6" s="124">
        <v>802.3</v>
      </c>
      <c r="M6" s="46">
        <v>1708.14</v>
      </c>
      <c r="N6" s="63">
        <v>606.88300000000004</v>
      </c>
      <c r="P6" s="196" t="s">
        <v>3902</v>
      </c>
      <c r="Q6" s="196">
        <v>1625.56</v>
      </c>
      <c r="Y6" s="81" t="s">
        <v>3961</v>
      </c>
      <c r="Z6" s="81">
        <v>0.95</v>
      </c>
      <c r="AA6" s="82"/>
      <c r="AB6" s="82"/>
      <c r="AC6" s="85">
        <v>1000</v>
      </c>
      <c r="AD6" s="79">
        <v>29.1617</v>
      </c>
      <c r="AE6" s="82"/>
      <c r="AF6" s="85">
        <v>10</v>
      </c>
      <c r="AG6" s="78">
        <v>18.909700000000001</v>
      </c>
      <c r="AH6" s="71"/>
      <c r="AL6" s="35"/>
      <c r="AS6" s="35">
        <v>8.3141999999999994E-2</v>
      </c>
    </row>
    <row r="7" spans="2:45" ht="27" x14ac:dyDescent="0.35">
      <c r="B7" s="120" t="s">
        <v>1531</v>
      </c>
      <c r="C7" s="132">
        <v>2523386</v>
      </c>
      <c r="D7" s="132">
        <v>15837602</v>
      </c>
      <c r="E7" s="73">
        <v>30</v>
      </c>
      <c r="F7" s="73">
        <v>0.95</v>
      </c>
      <c r="G7" s="73">
        <v>41319</v>
      </c>
      <c r="H7" s="194">
        <v>115.79025300000001</v>
      </c>
      <c r="I7" s="46">
        <v>112.85599999999999</v>
      </c>
      <c r="J7" s="63">
        <v>116.97499999999999</v>
      </c>
      <c r="K7" s="63">
        <v>117.23</v>
      </c>
      <c r="L7" s="63">
        <v>117.34</v>
      </c>
      <c r="M7" s="46" t="s">
        <v>3902</v>
      </c>
      <c r="N7" s="63">
        <v>25.606200000000001</v>
      </c>
      <c r="P7" s="196" t="s">
        <v>3902</v>
      </c>
      <c r="Q7" s="196">
        <v>747.94</v>
      </c>
      <c r="R7" s="151"/>
      <c r="S7" s="151"/>
      <c r="T7" s="76"/>
      <c r="U7" s="222"/>
      <c r="V7" s="222"/>
      <c r="Y7" s="81" t="s">
        <v>3963</v>
      </c>
      <c r="Z7" s="78">
        <v>36085</v>
      </c>
      <c r="AA7" s="82"/>
      <c r="AB7" s="82"/>
      <c r="AC7" s="86">
        <v>10000</v>
      </c>
      <c r="AD7" s="80">
        <v>18.9161</v>
      </c>
      <c r="AE7" s="82"/>
      <c r="AF7" s="85">
        <v>20</v>
      </c>
      <c r="AG7" s="78">
        <v>17.566099999999999</v>
      </c>
      <c r="AH7" s="71"/>
      <c r="AS7" s="35">
        <v>22.697265999999999</v>
      </c>
    </row>
    <row r="8" spans="2:45" ht="27" x14ac:dyDescent="0.35">
      <c r="B8" s="120" t="s">
        <v>3920</v>
      </c>
      <c r="C8" s="132">
        <v>1632803</v>
      </c>
      <c r="D8" s="132">
        <v>44603928</v>
      </c>
      <c r="E8" s="120">
        <v>20</v>
      </c>
      <c r="F8" s="120">
        <v>0.9</v>
      </c>
      <c r="G8" s="120">
        <v>573021</v>
      </c>
      <c r="H8" s="195">
        <v>546.25209800000005</v>
      </c>
      <c r="I8" s="124">
        <v>582.32100000000003</v>
      </c>
      <c r="J8" s="134">
        <v>239.16300000000001</v>
      </c>
      <c r="K8" s="134">
        <v>239.18899999999999</v>
      </c>
      <c r="L8" s="134">
        <v>240.10900000000001</v>
      </c>
      <c r="M8" s="46">
        <v>362.80500000000001</v>
      </c>
      <c r="N8" s="63">
        <v>209.047</v>
      </c>
      <c r="P8" s="196" t="s">
        <v>3902</v>
      </c>
      <c r="Q8" s="196">
        <v>1260.92</v>
      </c>
      <c r="R8" s="66"/>
      <c r="S8" s="66"/>
      <c r="T8" s="66"/>
      <c r="U8" s="66"/>
      <c r="V8" s="66"/>
      <c r="Y8" s="82"/>
      <c r="Z8" s="82"/>
      <c r="AA8" s="82"/>
      <c r="AB8" s="82"/>
      <c r="AC8" s="85">
        <v>20000</v>
      </c>
      <c r="AD8" s="79">
        <v>28.322800000000001</v>
      </c>
      <c r="AE8" s="82"/>
      <c r="AF8" s="85">
        <v>50</v>
      </c>
      <c r="AG8" s="78">
        <v>20.896999999999998</v>
      </c>
      <c r="AH8" s="71"/>
      <c r="AS8" s="35">
        <v>13.386818999999999</v>
      </c>
    </row>
    <row r="9" spans="2:45" ht="27" x14ac:dyDescent="0.35">
      <c r="B9" s="120" t="s">
        <v>1528</v>
      </c>
      <c r="C9" s="132">
        <v>1402673</v>
      </c>
      <c r="D9" s="132">
        <v>5554838</v>
      </c>
      <c r="E9" s="73">
        <v>20</v>
      </c>
      <c r="F9" s="73">
        <v>0.8</v>
      </c>
      <c r="G9" s="62">
        <v>3785</v>
      </c>
      <c r="H9" s="194">
        <v>35.177663000000003</v>
      </c>
      <c r="I9" s="46">
        <v>34.322899999999997</v>
      </c>
      <c r="J9" s="63">
        <v>39.1892</v>
      </c>
      <c r="K9" s="63">
        <v>38.270000000000003</v>
      </c>
      <c r="L9" s="63">
        <v>38.831299999999999</v>
      </c>
      <c r="M9" s="46">
        <v>1264.97</v>
      </c>
      <c r="N9" s="63">
        <v>26.52</v>
      </c>
      <c r="P9" s="196" t="s">
        <v>3902</v>
      </c>
      <c r="Q9" s="196" t="s">
        <v>3902</v>
      </c>
      <c r="R9" s="74"/>
      <c r="S9" s="77"/>
      <c r="T9" s="74"/>
      <c r="U9" s="74"/>
      <c r="V9" s="74"/>
      <c r="Y9" s="82"/>
      <c r="Z9" s="82"/>
      <c r="AA9" s="82"/>
      <c r="AB9" s="82"/>
      <c r="AC9" s="82"/>
      <c r="AD9" s="82"/>
      <c r="AE9" s="82"/>
      <c r="AF9" s="82"/>
      <c r="AG9" s="87"/>
      <c r="AH9" s="72"/>
      <c r="AS9" s="35">
        <v>290.598725</v>
      </c>
    </row>
    <row r="10" spans="2:45" ht="27" x14ac:dyDescent="0.35">
      <c r="B10" s="121" t="s">
        <v>1509</v>
      </c>
      <c r="C10" s="62">
        <v>154908</v>
      </c>
      <c r="D10" s="62">
        <v>654324</v>
      </c>
      <c r="E10" s="121">
        <v>8</v>
      </c>
      <c r="F10" s="121">
        <v>0.5</v>
      </c>
      <c r="G10" s="62">
        <v>20181</v>
      </c>
      <c r="H10" s="194">
        <v>26.232298</v>
      </c>
      <c r="I10" s="6">
        <v>26.34</v>
      </c>
      <c r="J10" s="63">
        <v>26.390599999999999</v>
      </c>
      <c r="K10" s="63">
        <v>26.387</v>
      </c>
      <c r="L10" s="63">
        <v>26.596</v>
      </c>
      <c r="M10" s="63">
        <v>73.567599999999999</v>
      </c>
      <c r="N10" s="63">
        <v>6.8</v>
      </c>
      <c r="P10" s="196">
        <v>1095.1199999999999</v>
      </c>
      <c r="Q10" s="196" t="s">
        <v>3902</v>
      </c>
      <c r="R10" s="74"/>
      <c r="S10" s="77"/>
      <c r="T10" s="74"/>
      <c r="U10" s="74"/>
      <c r="V10" s="74"/>
      <c r="Y10" s="81" t="s">
        <v>3952</v>
      </c>
      <c r="Z10" s="81" t="s">
        <v>1528</v>
      </c>
      <c r="AA10" s="82"/>
      <c r="AB10" s="82"/>
      <c r="AC10" s="83" t="s">
        <v>3938</v>
      </c>
      <c r="AD10" s="84" t="s">
        <v>3964</v>
      </c>
      <c r="AE10" s="82"/>
      <c r="AF10" s="83" t="s">
        <v>3937</v>
      </c>
      <c r="AG10" s="84" t="s">
        <v>3964</v>
      </c>
      <c r="AS10" s="35">
        <v>433.325399</v>
      </c>
    </row>
    <row r="11" spans="2:45" ht="27" x14ac:dyDescent="0.35">
      <c r="B11" s="120" t="s">
        <v>1514</v>
      </c>
      <c r="C11" s="132">
        <v>146005</v>
      </c>
      <c r="D11" s="132">
        <v>1313998</v>
      </c>
      <c r="E11" s="73">
        <v>5</v>
      </c>
      <c r="F11" s="73">
        <v>0.8</v>
      </c>
      <c r="G11" s="73">
        <v>94500</v>
      </c>
      <c r="H11" s="194">
        <v>46.760027999999998</v>
      </c>
      <c r="I11" s="46">
        <v>48.034700000000001</v>
      </c>
      <c r="J11" s="63">
        <v>49.295099999999998</v>
      </c>
      <c r="K11" s="63">
        <v>50.829799999999999</v>
      </c>
      <c r="L11" s="63">
        <v>49.511099999999999</v>
      </c>
      <c r="M11" s="46">
        <v>50.255800000000001</v>
      </c>
      <c r="N11" s="63">
        <v>8.5703300000000002</v>
      </c>
      <c r="P11" s="196">
        <v>294.916</v>
      </c>
      <c r="Q11" s="196">
        <v>301.16000000000003</v>
      </c>
      <c r="R11" s="74"/>
      <c r="S11" s="74"/>
      <c r="T11" s="74"/>
      <c r="U11" s="74"/>
      <c r="V11" s="77"/>
      <c r="Y11" s="81" t="s">
        <v>3960</v>
      </c>
      <c r="Z11" s="81">
        <v>20</v>
      </c>
      <c r="AA11" s="82"/>
      <c r="AB11" s="82"/>
      <c r="AC11" s="82">
        <v>10</v>
      </c>
      <c r="AD11" s="79">
        <v>112.94799999999999</v>
      </c>
      <c r="AE11" s="82"/>
      <c r="AF11" s="85">
        <v>1</v>
      </c>
      <c r="AG11" s="79">
        <v>23.771899999999999</v>
      </c>
      <c r="AS11" s="35" t="s">
        <v>3965</v>
      </c>
    </row>
    <row r="12" spans="2:45" ht="27" x14ac:dyDescent="0.35">
      <c r="B12" s="120" t="s">
        <v>898</v>
      </c>
      <c r="C12" s="132">
        <v>51083</v>
      </c>
      <c r="D12" s="132">
        <v>233146</v>
      </c>
      <c r="E12" s="120">
        <v>6</v>
      </c>
      <c r="F12" s="120">
        <v>0.7</v>
      </c>
      <c r="G12" s="62">
        <v>8421</v>
      </c>
      <c r="H12" s="194">
        <v>29.290645000000001</v>
      </c>
      <c r="I12" s="133">
        <v>30.831440000000001</v>
      </c>
      <c r="J12" s="63">
        <v>28.845099999999999</v>
      </c>
      <c r="K12" s="63">
        <v>29.0578</v>
      </c>
      <c r="L12" s="63">
        <v>28.958400000000001</v>
      </c>
      <c r="M12" s="63">
        <v>2.7285699999999999</v>
      </c>
      <c r="N12" s="63">
        <v>3.37</v>
      </c>
      <c r="P12" s="196">
        <v>62.515999999999998</v>
      </c>
      <c r="Q12" s="196">
        <v>1.24</v>
      </c>
      <c r="Y12" s="81" t="s">
        <v>3961</v>
      </c>
      <c r="Z12" s="81">
        <v>0.8</v>
      </c>
      <c r="AA12" s="82"/>
      <c r="AB12" s="82"/>
      <c r="AC12" s="85">
        <v>100</v>
      </c>
      <c r="AD12" s="79">
        <v>34.610700000000001</v>
      </c>
      <c r="AE12" s="82"/>
      <c r="AF12" s="85">
        <v>10</v>
      </c>
      <c r="AG12" s="79">
        <v>23.1478</v>
      </c>
      <c r="AS12" s="35" t="s">
        <v>3965</v>
      </c>
    </row>
    <row r="13" spans="2:45" ht="27" x14ac:dyDescent="0.35">
      <c r="B13" s="120" t="s">
        <v>3957</v>
      </c>
      <c r="C13" s="132">
        <v>50515</v>
      </c>
      <c r="D13" s="132">
        <v>1638180</v>
      </c>
      <c r="E13" s="73">
        <v>23</v>
      </c>
      <c r="F13" s="73">
        <v>0.9</v>
      </c>
      <c r="G13" s="73">
        <v>16009</v>
      </c>
      <c r="H13" s="194">
        <v>714.70367299999998</v>
      </c>
      <c r="I13" s="46" t="s">
        <v>3904</v>
      </c>
      <c r="J13" s="63">
        <v>406.31</v>
      </c>
      <c r="K13" s="63">
        <v>572.83000000000004</v>
      </c>
      <c r="L13" s="63">
        <v>400.46</v>
      </c>
      <c r="M13" s="46" t="s">
        <v>3902</v>
      </c>
      <c r="N13" s="63">
        <v>257.43</v>
      </c>
      <c r="P13" s="196" t="s">
        <v>3902</v>
      </c>
      <c r="Q13" s="196" t="s">
        <v>3902</v>
      </c>
      <c r="S13" s="75"/>
      <c r="T13" s="75"/>
      <c r="Y13" s="81" t="s">
        <v>3963</v>
      </c>
      <c r="Z13" s="78">
        <v>3785</v>
      </c>
      <c r="AA13" s="82"/>
      <c r="AB13" s="82"/>
      <c r="AC13" s="86">
        <v>1000</v>
      </c>
      <c r="AD13" s="80">
        <v>24.2639</v>
      </c>
      <c r="AE13" s="82"/>
      <c r="AF13" s="85">
        <v>20</v>
      </c>
      <c r="AG13" s="79">
        <v>23.116099999999999</v>
      </c>
      <c r="AS13" s="35" t="s">
        <v>3965</v>
      </c>
    </row>
    <row r="14" spans="2:45" ht="27" x14ac:dyDescent="0.35">
      <c r="B14" s="120" t="s">
        <v>829</v>
      </c>
      <c r="C14" s="132">
        <v>39884</v>
      </c>
      <c r="D14" s="132">
        <v>152908</v>
      </c>
      <c r="E14" s="120">
        <v>7</v>
      </c>
      <c r="F14" s="120">
        <v>0.6</v>
      </c>
      <c r="G14" s="120">
        <v>5294</v>
      </c>
      <c r="H14" s="194">
        <v>41.543633999999997</v>
      </c>
      <c r="I14" s="133">
        <v>42.377000000000002</v>
      </c>
      <c r="J14" s="63">
        <v>40.567500000000003</v>
      </c>
      <c r="K14" s="63">
        <v>40.563899999999997</v>
      </c>
      <c r="L14" s="63">
        <v>40.704999999999998</v>
      </c>
      <c r="M14" s="63">
        <v>5.4308800000000002</v>
      </c>
      <c r="N14" s="63">
        <v>7.05</v>
      </c>
      <c r="P14" s="196">
        <v>131.35</v>
      </c>
      <c r="Q14" s="196">
        <v>381.49</v>
      </c>
      <c r="Y14" s="82"/>
      <c r="Z14" s="82"/>
      <c r="AA14" s="82"/>
      <c r="AB14" s="82"/>
      <c r="AC14" s="85">
        <v>10000</v>
      </c>
      <c r="AD14" s="79">
        <v>30.773599999999998</v>
      </c>
      <c r="AE14" s="82"/>
      <c r="AF14" s="85">
        <v>50</v>
      </c>
      <c r="AG14" s="79">
        <v>24.661000000000001</v>
      </c>
      <c r="AS14" s="35" t="s">
        <v>3965</v>
      </c>
    </row>
    <row r="15" spans="2:45" ht="27" x14ac:dyDescent="0.35">
      <c r="B15" s="120" t="s">
        <v>593</v>
      </c>
      <c r="C15" s="132">
        <v>5111</v>
      </c>
      <c r="D15" s="132">
        <v>53698</v>
      </c>
      <c r="E15" s="120">
        <v>10</v>
      </c>
      <c r="F15" s="120">
        <v>0.72</v>
      </c>
      <c r="G15" s="120">
        <v>1262</v>
      </c>
      <c r="H15" s="194">
        <v>32.917819999999999</v>
      </c>
      <c r="I15" s="46">
        <v>38.341000000000001</v>
      </c>
      <c r="J15" s="63">
        <v>38.271000000000001</v>
      </c>
      <c r="K15" s="63">
        <v>39.500399999999999</v>
      </c>
      <c r="L15" s="63">
        <v>39.559600000000003</v>
      </c>
      <c r="M15" s="63">
        <v>715.40200000000004</v>
      </c>
      <c r="N15" s="63">
        <v>33.93</v>
      </c>
      <c r="P15" s="196" t="s">
        <v>3902</v>
      </c>
      <c r="Q15" s="196" t="s">
        <v>3902</v>
      </c>
      <c r="AS15" s="35" t="s">
        <v>3965</v>
      </c>
    </row>
    <row r="16" spans="2:45" ht="27" x14ac:dyDescent="0.35">
      <c r="B16" s="120" t="s">
        <v>595</v>
      </c>
      <c r="C16" s="132">
        <v>2022</v>
      </c>
      <c r="D16" s="132">
        <v>22234</v>
      </c>
      <c r="E16" s="120">
        <v>10</v>
      </c>
      <c r="F16" s="120">
        <v>0.7</v>
      </c>
      <c r="G16" s="120">
        <v>490</v>
      </c>
      <c r="H16" s="194">
        <v>214.86993000000001</v>
      </c>
      <c r="I16" s="133" t="s">
        <v>3904</v>
      </c>
      <c r="J16" s="63">
        <v>112.27500000000001</v>
      </c>
      <c r="K16" s="63">
        <v>122.95</v>
      </c>
      <c r="L16" s="63">
        <v>118.2</v>
      </c>
      <c r="M16" s="63">
        <v>1021.56</v>
      </c>
      <c r="N16" s="63">
        <v>106.2</v>
      </c>
      <c r="P16" s="196" t="s">
        <v>3902</v>
      </c>
      <c r="Q16" s="196" t="s">
        <v>3902</v>
      </c>
      <c r="R16" s="73"/>
      <c r="S16" s="73"/>
      <c r="AS16" s="35" t="s">
        <v>3965</v>
      </c>
    </row>
    <row r="17" spans="2:45" ht="27" x14ac:dyDescent="0.35">
      <c r="I17" s="125"/>
      <c r="Q17" s="120"/>
      <c r="R17" s="73"/>
      <c r="S17" s="73"/>
      <c r="AS17" s="35"/>
    </row>
    <row r="18" spans="2:45" ht="27" x14ac:dyDescent="0.35">
      <c r="Q18" s="120"/>
      <c r="R18" s="73"/>
      <c r="S18" s="73"/>
      <c r="AS18" s="35"/>
    </row>
    <row r="19" spans="2:45" ht="34" customHeight="1" x14ac:dyDescent="0.35">
      <c r="B19" s="150" t="s">
        <v>4010</v>
      </c>
      <c r="C19" s="150" t="s">
        <v>4011</v>
      </c>
      <c r="Q19" s="120"/>
      <c r="R19" s="73"/>
      <c r="S19" s="73"/>
      <c r="AS19" s="35"/>
    </row>
    <row r="20" spans="2:45" ht="27" x14ac:dyDescent="0.35">
      <c r="Q20" s="120"/>
      <c r="R20" s="73"/>
      <c r="S20" s="73"/>
      <c r="AS20" s="35"/>
    </row>
    <row r="21" spans="2:45" ht="27" x14ac:dyDescent="0.35">
      <c r="Q21" s="120"/>
      <c r="R21" s="120"/>
      <c r="S21" s="120"/>
      <c r="AS21" s="35"/>
    </row>
    <row r="22" spans="2:45" ht="28" x14ac:dyDescent="0.35">
      <c r="B22" s="66" t="s">
        <v>3952</v>
      </c>
      <c r="C22" s="66" t="s">
        <v>3995</v>
      </c>
      <c r="D22" s="66" t="s">
        <v>3996</v>
      </c>
      <c r="E22" s="66" t="s">
        <v>3960</v>
      </c>
      <c r="F22" s="66" t="s">
        <v>3961</v>
      </c>
      <c r="G22" s="66"/>
      <c r="H22" s="66" t="s">
        <v>4005</v>
      </c>
      <c r="I22" s="66" t="s">
        <v>4008</v>
      </c>
      <c r="J22" s="66" t="s">
        <v>4009</v>
      </c>
      <c r="K22" s="146" t="s">
        <v>4006</v>
      </c>
      <c r="L22" s="146" t="s">
        <v>4007</v>
      </c>
      <c r="Q22" s="120"/>
      <c r="R22" s="120"/>
      <c r="S22" s="120"/>
      <c r="AS22" s="35" t="s">
        <v>3965</v>
      </c>
    </row>
    <row r="23" spans="2:45" ht="27" x14ac:dyDescent="0.35">
      <c r="B23" s="120" t="s">
        <v>1531</v>
      </c>
      <c r="C23" s="132">
        <v>2523386</v>
      </c>
      <c r="D23" s="132">
        <v>15837602</v>
      </c>
      <c r="E23" s="73">
        <v>30</v>
      </c>
      <c r="F23" s="73">
        <v>0.95</v>
      </c>
      <c r="G23" s="63"/>
      <c r="H23" s="147">
        <v>25.606200000000001</v>
      </c>
      <c r="I23" s="123">
        <v>25.280799999999999</v>
      </c>
      <c r="J23" s="63">
        <v>27.123200000000001</v>
      </c>
      <c r="K23" s="63">
        <v>27.747399999999999</v>
      </c>
      <c r="L23" s="63">
        <v>30.096599999999999</v>
      </c>
      <c r="Q23" s="120"/>
      <c r="R23" s="120"/>
      <c r="S23" s="120"/>
      <c r="AS23" s="35" t="s">
        <v>3965</v>
      </c>
    </row>
    <row r="24" spans="2:45" ht="27" x14ac:dyDescent="0.35">
      <c r="B24" s="120" t="s">
        <v>3957</v>
      </c>
      <c r="C24" s="132">
        <v>50515</v>
      </c>
      <c r="D24" s="132">
        <v>1638180</v>
      </c>
      <c r="E24" s="73">
        <v>23</v>
      </c>
      <c r="F24" s="73">
        <v>0.9</v>
      </c>
      <c r="G24" s="63"/>
      <c r="H24" s="147">
        <v>257.43</v>
      </c>
      <c r="I24" s="63">
        <v>256.22000000000003</v>
      </c>
      <c r="J24" s="63">
        <v>250.15</v>
      </c>
      <c r="K24" s="123">
        <v>238.97</v>
      </c>
      <c r="L24" s="63">
        <v>249.01</v>
      </c>
      <c r="Q24" s="120"/>
      <c r="R24" s="120"/>
      <c r="S24" s="120"/>
      <c r="Y24" s="66" t="s">
        <v>3952</v>
      </c>
      <c r="Z24" s="66" t="s">
        <v>3960</v>
      </c>
      <c r="AA24" s="66" t="s">
        <v>3961</v>
      </c>
      <c r="AB24" s="66" t="s">
        <v>3958</v>
      </c>
      <c r="AS24" s="35" t="s">
        <v>3965</v>
      </c>
    </row>
    <row r="25" spans="2:45" ht="27" x14ac:dyDescent="0.35">
      <c r="B25" s="120" t="s">
        <v>1514</v>
      </c>
      <c r="C25" s="132">
        <v>146005</v>
      </c>
      <c r="D25" s="132">
        <v>1313998</v>
      </c>
      <c r="E25" s="73">
        <v>5</v>
      </c>
      <c r="F25" s="73">
        <v>0.8</v>
      </c>
      <c r="G25" s="63"/>
      <c r="H25" s="147">
        <v>8.5703300000000002</v>
      </c>
      <c r="I25" s="63">
        <v>7.2461500000000001</v>
      </c>
      <c r="J25" s="123">
        <v>6.96</v>
      </c>
      <c r="K25" s="63">
        <v>9.6504200000000004</v>
      </c>
      <c r="L25" s="63">
        <v>10.9556</v>
      </c>
      <c r="Q25" s="120"/>
      <c r="R25" s="120"/>
      <c r="S25" s="120"/>
      <c r="Y25" s="66" t="s">
        <v>1531</v>
      </c>
      <c r="Z25" s="73">
        <v>30</v>
      </c>
      <c r="AA25" s="73">
        <v>0.95</v>
      </c>
      <c r="AB25" s="73">
        <v>36085</v>
      </c>
      <c r="AS25" s="35" t="s">
        <v>3965</v>
      </c>
    </row>
    <row r="26" spans="2:45" ht="27" x14ac:dyDescent="0.35">
      <c r="B26" s="120" t="s">
        <v>1528</v>
      </c>
      <c r="C26" s="132">
        <v>1402673</v>
      </c>
      <c r="D26" s="132">
        <v>5554838</v>
      </c>
      <c r="E26" s="73">
        <v>20</v>
      </c>
      <c r="F26" s="73">
        <v>0.8</v>
      </c>
      <c r="G26" s="63"/>
      <c r="H26" s="148">
        <v>26.52</v>
      </c>
      <c r="I26" s="63">
        <v>26.64</v>
      </c>
      <c r="J26" s="63">
        <v>27.26</v>
      </c>
      <c r="K26" s="63">
        <v>27.1</v>
      </c>
      <c r="L26" s="63">
        <v>26.83</v>
      </c>
      <c r="Q26" s="121"/>
      <c r="R26" s="121"/>
      <c r="S26" s="121"/>
      <c r="Y26" s="66" t="s">
        <v>3957</v>
      </c>
      <c r="Z26" s="73">
        <v>23</v>
      </c>
      <c r="AA26" s="73">
        <v>0.9</v>
      </c>
      <c r="AB26" s="73">
        <v>16009</v>
      </c>
      <c r="AS26" s="35" t="s">
        <v>3965</v>
      </c>
    </row>
    <row r="27" spans="2:45" ht="27" x14ac:dyDescent="0.35">
      <c r="B27" s="120" t="s">
        <v>3919</v>
      </c>
      <c r="C27" s="132">
        <v>2937612</v>
      </c>
      <c r="D27" s="132">
        <v>41919708</v>
      </c>
      <c r="E27" s="73">
        <v>20</v>
      </c>
      <c r="F27" s="73">
        <v>0.95</v>
      </c>
      <c r="G27" s="63"/>
      <c r="H27" s="148">
        <v>606.88300000000004</v>
      </c>
      <c r="I27" s="63">
        <v>678.55200000000002</v>
      </c>
      <c r="J27" s="63">
        <v>629.47400000000005</v>
      </c>
      <c r="K27" s="63">
        <v>656.28200000000004</v>
      </c>
      <c r="L27" s="63">
        <v>683.45600000000002</v>
      </c>
      <c r="Y27" s="66" t="s">
        <v>1514</v>
      </c>
      <c r="Z27" s="73">
        <v>5</v>
      </c>
      <c r="AA27" s="73">
        <v>0.8</v>
      </c>
      <c r="AB27" s="73">
        <v>94500</v>
      </c>
      <c r="AS27" s="35" t="s">
        <v>3965</v>
      </c>
    </row>
    <row r="28" spans="2:45" ht="27" x14ac:dyDescent="0.35">
      <c r="B28" s="120" t="s">
        <v>3920</v>
      </c>
      <c r="C28" s="132">
        <v>1632803</v>
      </c>
      <c r="D28" s="132">
        <v>44603928</v>
      </c>
      <c r="E28" s="120">
        <v>20</v>
      </c>
      <c r="F28" s="120">
        <v>0.9</v>
      </c>
      <c r="G28" s="63"/>
      <c r="H28" s="148">
        <v>209.047</v>
      </c>
      <c r="I28" s="63">
        <v>241.37</v>
      </c>
      <c r="J28" s="63">
        <v>225.59800000000001</v>
      </c>
      <c r="K28" s="63">
        <v>223.739</v>
      </c>
      <c r="L28" s="63">
        <v>231.708</v>
      </c>
      <c r="Y28" s="66" t="s">
        <v>1528</v>
      </c>
      <c r="Z28" s="73">
        <v>20</v>
      </c>
      <c r="AA28" s="73">
        <v>0.8</v>
      </c>
      <c r="AB28" s="62">
        <v>3785</v>
      </c>
      <c r="AS28" s="35" t="s">
        <v>3965</v>
      </c>
    </row>
    <row r="29" spans="2:45" ht="27" x14ac:dyDescent="0.35">
      <c r="B29" s="120" t="s">
        <v>593</v>
      </c>
      <c r="C29" s="132">
        <v>5111</v>
      </c>
      <c r="D29" s="132">
        <v>53698</v>
      </c>
      <c r="E29" s="120">
        <v>10</v>
      </c>
      <c r="F29" s="120">
        <v>0.72</v>
      </c>
      <c r="G29" s="63"/>
      <c r="H29" s="147">
        <v>33.93</v>
      </c>
      <c r="I29" s="123">
        <v>32.020000000000003</v>
      </c>
      <c r="J29" s="63">
        <v>32.18</v>
      </c>
      <c r="K29" s="63">
        <v>33.39</v>
      </c>
      <c r="L29" s="63">
        <v>33.380000000000003</v>
      </c>
      <c r="Y29" s="6" t="s">
        <v>3940</v>
      </c>
      <c r="Z29" s="73">
        <v>115</v>
      </c>
      <c r="AA29" s="73">
        <v>0.96</v>
      </c>
      <c r="AS29" s="35">
        <v>5.5105000000000001E-2</v>
      </c>
    </row>
    <row r="30" spans="2:45" ht="27" x14ac:dyDescent="0.35">
      <c r="B30" s="120" t="s">
        <v>595</v>
      </c>
      <c r="C30" s="132">
        <v>2022</v>
      </c>
      <c r="D30" s="132">
        <v>22234</v>
      </c>
      <c r="E30" s="120">
        <v>10</v>
      </c>
      <c r="F30" s="120">
        <v>0.7</v>
      </c>
      <c r="G30" s="63"/>
      <c r="H30" s="147">
        <v>106.2</v>
      </c>
      <c r="I30" s="123">
        <v>104.31</v>
      </c>
      <c r="J30" s="63">
        <v>104.6</v>
      </c>
      <c r="K30" s="63">
        <v>105.81</v>
      </c>
      <c r="L30" s="63">
        <v>106.03</v>
      </c>
      <c r="Y30" s="62" t="s">
        <v>3919</v>
      </c>
      <c r="Z30" s="73">
        <v>20</v>
      </c>
      <c r="AA30" s="73">
        <v>0.95</v>
      </c>
      <c r="AS30" s="35">
        <v>34.506560999999998</v>
      </c>
    </row>
    <row r="31" spans="2:45" ht="27" x14ac:dyDescent="0.35">
      <c r="B31" s="120" t="s">
        <v>829</v>
      </c>
      <c r="C31" s="132">
        <v>39884</v>
      </c>
      <c r="D31" s="132">
        <v>152908</v>
      </c>
      <c r="E31" s="120">
        <v>7</v>
      </c>
      <c r="F31" s="120">
        <v>0.6</v>
      </c>
      <c r="G31" s="63"/>
      <c r="H31" s="147">
        <v>7.05</v>
      </c>
      <c r="I31" s="63">
        <v>6.66</v>
      </c>
      <c r="J31" s="123">
        <v>4.6100000000000003</v>
      </c>
      <c r="K31" s="63">
        <v>5.43</v>
      </c>
      <c r="L31" s="63">
        <v>12.38</v>
      </c>
      <c r="Y31" s="6" t="s">
        <v>3920</v>
      </c>
      <c r="Z31" s="73">
        <v>20</v>
      </c>
      <c r="AA31" s="73">
        <v>0.9</v>
      </c>
      <c r="AB31" s="62">
        <v>573021</v>
      </c>
      <c r="AS31" s="35">
        <v>5.5830380000000002</v>
      </c>
    </row>
    <row r="32" spans="2:45" ht="27" x14ac:dyDescent="0.35">
      <c r="B32" s="120" t="s">
        <v>898</v>
      </c>
      <c r="C32" s="132">
        <v>51083</v>
      </c>
      <c r="D32" s="132">
        <v>233146</v>
      </c>
      <c r="E32" s="120">
        <v>6</v>
      </c>
      <c r="F32" s="120">
        <v>0.7</v>
      </c>
      <c r="G32" s="63"/>
      <c r="H32" s="148">
        <v>1.37</v>
      </c>
      <c r="I32" s="63">
        <v>1.78</v>
      </c>
      <c r="J32" s="63">
        <v>1.79</v>
      </c>
      <c r="K32" s="63">
        <v>3.52</v>
      </c>
      <c r="L32" s="63">
        <v>3.57</v>
      </c>
      <c r="AS32" s="35">
        <v>117.90758099999999</v>
      </c>
    </row>
    <row r="33" spans="2:45" ht="27" x14ac:dyDescent="0.35">
      <c r="B33" s="121" t="s">
        <v>1509</v>
      </c>
      <c r="C33" s="62">
        <v>154908</v>
      </c>
      <c r="D33" s="62">
        <v>654324</v>
      </c>
      <c r="E33" s="121">
        <v>8</v>
      </c>
      <c r="F33" s="121">
        <v>0.5</v>
      </c>
      <c r="G33" s="63"/>
      <c r="H33" s="148">
        <v>6.27</v>
      </c>
      <c r="I33" s="63">
        <v>6.7788899999999996</v>
      </c>
      <c r="J33" s="63">
        <v>8.0405700000000007</v>
      </c>
      <c r="K33" s="63">
        <v>9.7837099999999992</v>
      </c>
      <c r="L33" s="63">
        <v>12.747199999999999</v>
      </c>
      <c r="AS33" s="35">
        <v>75.350153000000006</v>
      </c>
    </row>
    <row r="34" spans="2:45" ht="27" x14ac:dyDescent="0.35">
      <c r="B34" s="121"/>
      <c r="C34" s="62"/>
      <c r="D34" s="62"/>
      <c r="E34" s="121"/>
      <c r="F34" s="121"/>
      <c r="G34" s="63"/>
      <c r="H34" s="148"/>
      <c r="I34" s="63"/>
      <c r="J34" s="63"/>
      <c r="K34" s="63"/>
      <c r="L34" s="63"/>
      <c r="Y34" s="66" t="s">
        <v>3952</v>
      </c>
      <c r="Z34" s="66" t="s">
        <v>3950</v>
      </c>
      <c r="AA34" s="66"/>
      <c r="AB34" s="66" t="s">
        <v>3953</v>
      </c>
      <c r="AC34" s="66" t="s">
        <v>3934</v>
      </c>
      <c r="AD34" s="66" t="s">
        <v>3951</v>
      </c>
      <c r="AS34" s="35">
        <v>411.32039900000001</v>
      </c>
    </row>
    <row r="35" spans="2:45" ht="23" x14ac:dyDescent="0.3">
      <c r="B35" s="150" t="s">
        <v>4012</v>
      </c>
      <c r="C35" s="150" t="s">
        <v>4013</v>
      </c>
      <c r="G35" s="2"/>
      <c r="H35" s="2"/>
      <c r="I35" s="2"/>
      <c r="J35" s="2"/>
      <c r="Y35" s="64" t="s">
        <v>3945</v>
      </c>
      <c r="Z35" s="69">
        <v>360</v>
      </c>
      <c r="AA35" s="67"/>
      <c r="AB35" s="68">
        <v>0.115312</v>
      </c>
      <c r="AC35" s="68">
        <v>16</v>
      </c>
      <c r="AD35" s="68">
        <v>0.01</v>
      </c>
      <c r="AS35" s="35">
        <v>516.02195900000004</v>
      </c>
    </row>
    <row r="36" spans="2:45" ht="23" x14ac:dyDescent="0.3">
      <c r="Y36" s="64" t="s">
        <v>3946</v>
      </c>
      <c r="Z36" s="69">
        <v>28717</v>
      </c>
      <c r="AA36" s="67"/>
      <c r="AB36" s="68">
        <v>60.854799999999997</v>
      </c>
      <c r="AC36" s="68" t="s">
        <v>3902</v>
      </c>
      <c r="AD36" s="68">
        <v>49.23</v>
      </c>
      <c r="AS36" s="35" t="s">
        <v>3965</v>
      </c>
    </row>
    <row r="37" spans="2:45" ht="27" x14ac:dyDescent="0.35">
      <c r="B37" s="66" t="s">
        <v>3952</v>
      </c>
      <c r="C37" s="66" t="s">
        <v>3995</v>
      </c>
      <c r="D37" s="66" t="s">
        <v>3996</v>
      </c>
      <c r="E37" s="66" t="s">
        <v>3960</v>
      </c>
      <c r="F37" s="66" t="s">
        <v>3961</v>
      </c>
      <c r="Y37" s="64" t="s">
        <v>3947</v>
      </c>
      <c r="Z37" s="69">
        <v>2517</v>
      </c>
      <c r="AA37" s="67"/>
      <c r="AB37" s="68">
        <v>4.77996</v>
      </c>
      <c r="AC37" s="68">
        <v>263</v>
      </c>
      <c r="AD37" s="68">
        <v>0.49</v>
      </c>
      <c r="AS37" s="35" t="s">
        <v>3965</v>
      </c>
    </row>
    <row r="38" spans="2:45" ht="28" x14ac:dyDescent="0.35">
      <c r="B38" s="120" t="s">
        <v>1531</v>
      </c>
      <c r="C38" s="132">
        <v>2523386</v>
      </c>
      <c r="D38" s="132">
        <v>15837602</v>
      </c>
      <c r="E38" s="73">
        <v>30</v>
      </c>
      <c r="F38" s="73">
        <v>0.95</v>
      </c>
      <c r="H38" s="149">
        <v>25.5215</v>
      </c>
      <c r="I38" s="133">
        <v>25.552</v>
      </c>
      <c r="J38" s="133">
        <v>26.8459</v>
      </c>
      <c r="K38" s="133">
        <v>27.9329</v>
      </c>
      <c r="L38" s="133">
        <v>29.8552</v>
      </c>
      <c r="Y38" s="64" t="s">
        <v>3948</v>
      </c>
      <c r="Z38" s="69">
        <v>24383</v>
      </c>
      <c r="AA38" s="67"/>
      <c r="AB38" s="68">
        <v>1.1475500000000001</v>
      </c>
      <c r="AC38" s="68" t="s">
        <v>3902</v>
      </c>
      <c r="AD38" s="68">
        <v>3.05</v>
      </c>
      <c r="AS38" s="35" t="s">
        <v>3965</v>
      </c>
    </row>
    <row r="39" spans="2:45" ht="28" x14ac:dyDescent="0.35">
      <c r="B39" s="120" t="s">
        <v>3957</v>
      </c>
      <c r="C39" s="132">
        <v>50515</v>
      </c>
      <c r="D39" s="132">
        <v>1638180</v>
      </c>
      <c r="E39" s="73">
        <v>23</v>
      </c>
      <c r="F39" s="73">
        <v>0.9</v>
      </c>
      <c r="H39" s="149">
        <v>255.51</v>
      </c>
      <c r="I39" s="133">
        <v>256.94</v>
      </c>
      <c r="J39" s="133">
        <v>249.86</v>
      </c>
      <c r="K39" s="133">
        <v>240.99</v>
      </c>
      <c r="L39" s="133">
        <v>246.31</v>
      </c>
      <c r="Y39" s="64" t="s">
        <v>3949</v>
      </c>
      <c r="Z39" s="69">
        <v>8949</v>
      </c>
      <c r="AA39" s="67"/>
      <c r="AB39" s="68">
        <v>5.9763599999999997</v>
      </c>
      <c r="AC39" s="68">
        <v>20.440000000000001</v>
      </c>
      <c r="AD39" s="68">
        <v>0.47</v>
      </c>
      <c r="AS39" s="35" t="s">
        <v>3965</v>
      </c>
    </row>
    <row r="40" spans="2:45" ht="28" x14ac:dyDescent="0.35">
      <c r="B40" s="120" t="s">
        <v>1514</v>
      </c>
      <c r="C40" s="132">
        <v>146005</v>
      </c>
      <c r="D40" s="132">
        <v>1313998</v>
      </c>
      <c r="E40" s="73">
        <v>5</v>
      </c>
      <c r="F40" s="73">
        <v>0.8</v>
      </c>
      <c r="H40" s="149">
        <v>7.3872600000000004</v>
      </c>
      <c r="I40" s="133">
        <v>7.2299100000000003</v>
      </c>
      <c r="J40" s="133">
        <v>6.7700699999999996</v>
      </c>
      <c r="K40" s="133">
        <v>8.1105599999999995</v>
      </c>
      <c r="L40" s="133">
        <v>9.0817399999999999</v>
      </c>
      <c r="AS40" s="35" t="s">
        <v>3965</v>
      </c>
    </row>
    <row r="41" spans="2:45" ht="28" x14ac:dyDescent="0.35">
      <c r="B41" s="120" t="s">
        <v>1528</v>
      </c>
      <c r="C41" s="132">
        <v>1402673</v>
      </c>
      <c r="D41" s="132">
        <v>5554838</v>
      </c>
      <c r="E41" s="73">
        <v>20</v>
      </c>
      <c r="F41" s="73">
        <v>0.8</v>
      </c>
      <c r="H41" s="149">
        <v>26.33</v>
      </c>
      <c r="I41" s="133">
        <v>25.67</v>
      </c>
      <c r="J41" s="133">
        <v>28.17</v>
      </c>
      <c r="K41" s="133">
        <v>27.3</v>
      </c>
      <c r="L41" s="133">
        <v>25.88</v>
      </c>
      <c r="AS41" s="35" t="s">
        <v>3965</v>
      </c>
    </row>
    <row r="42" spans="2:45" ht="28" x14ac:dyDescent="0.35">
      <c r="B42" s="120" t="s">
        <v>3919</v>
      </c>
      <c r="C42" s="132">
        <v>2937612</v>
      </c>
      <c r="D42" s="132">
        <v>41919708</v>
      </c>
      <c r="E42" s="73">
        <v>20</v>
      </c>
      <c r="F42" s="73">
        <v>0.95</v>
      </c>
      <c r="H42" s="149">
        <v>610.38699999999994</v>
      </c>
      <c r="I42" s="133">
        <v>675.476</v>
      </c>
      <c r="J42" s="133">
        <v>627.38199999999995</v>
      </c>
      <c r="K42" s="133">
        <v>656</v>
      </c>
      <c r="L42" s="133">
        <v>682.59400000000005</v>
      </c>
      <c r="AS42" s="35" t="s">
        <v>3965</v>
      </c>
    </row>
    <row r="43" spans="2:45" ht="28" x14ac:dyDescent="0.35">
      <c r="B43" s="120" t="s">
        <v>3920</v>
      </c>
      <c r="C43" s="132">
        <v>1632803</v>
      </c>
      <c r="D43" s="132">
        <v>44603928</v>
      </c>
      <c r="E43" s="120">
        <v>20</v>
      </c>
      <c r="F43" s="120">
        <v>0.9</v>
      </c>
      <c r="H43" s="149">
        <v>219.577</v>
      </c>
      <c r="I43" s="133">
        <v>239.60499999999999</v>
      </c>
      <c r="J43" s="133">
        <v>223.58199999999999</v>
      </c>
      <c r="K43" s="133">
        <v>231.99</v>
      </c>
      <c r="L43" s="133">
        <v>237.648</v>
      </c>
      <c r="AS43" s="35" t="s">
        <v>3965</v>
      </c>
    </row>
    <row r="44" spans="2:45" ht="28" x14ac:dyDescent="0.35">
      <c r="B44" s="120" t="s">
        <v>593</v>
      </c>
      <c r="C44" s="132">
        <v>5111</v>
      </c>
      <c r="D44" s="132">
        <v>53698</v>
      </c>
      <c r="E44" s="120">
        <v>10</v>
      </c>
      <c r="F44" s="120">
        <v>0.72</v>
      </c>
      <c r="H44" s="149">
        <v>31.87</v>
      </c>
      <c r="I44" s="133">
        <v>32</v>
      </c>
      <c r="J44" s="133">
        <v>31.43</v>
      </c>
      <c r="K44" s="133">
        <v>31.91</v>
      </c>
      <c r="L44" s="133">
        <v>32.130000000000003</v>
      </c>
      <c r="AS44" s="35" t="s">
        <v>3965</v>
      </c>
    </row>
    <row r="45" spans="2:45" ht="28" x14ac:dyDescent="0.35">
      <c r="B45" s="120" t="s">
        <v>595</v>
      </c>
      <c r="C45" s="132">
        <v>2022</v>
      </c>
      <c r="D45" s="132">
        <v>22234</v>
      </c>
      <c r="E45" s="120">
        <v>10</v>
      </c>
      <c r="F45" s="120">
        <v>0.7</v>
      </c>
      <c r="H45" s="149">
        <v>106.2</v>
      </c>
      <c r="I45" s="149">
        <v>104.31</v>
      </c>
      <c r="J45" s="149">
        <v>104.6</v>
      </c>
      <c r="K45" s="149">
        <v>105.81</v>
      </c>
      <c r="L45" s="149">
        <v>106.03</v>
      </c>
      <c r="AS45" s="35" t="s">
        <v>3965</v>
      </c>
    </row>
    <row r="46" spans="2:45" ht="28" x14ac:dyDescent="0.35">
      <c r="B46" s="120" t="s">
        <v>829</v>
      </c>
      <c r="C46" s="132">
        <v>39884</v>
      </c>
      <c r="D46" s="132">
        <v>152908</v>
      </c>
      <c r="E46" s="120">
        <v>7</v>
      </c>
      <c r="F46" s="120">
        <v>0.6</v>
      </c>
      <c r="H46" s="149">
        <v>7.05</v>
      </c>
      <c r="I46" s="149">
        <v>6.66</v>
      </c>
      <c r="J46" s="149">
        <v>4.6100000000000003</v>
      </c>
      <c r="K46" s="149">
        <v>5.43</v>
      </c>
      <c r="L46" s="149">
        <v>12.38</v>
      </c>
      <c r="AS46" s="35">
        <v>122.148618</v>
      </c>
    </row>
    <row r="47" spans="2:45" ht="28" x14ac:dyDescent="0.35">
      <c r="B47" s="120" t="s">
        <v>898</v>
      </c>
      <c r="C47" s="132">
        <v>51083</v>
      </c>
      <c r="D47" s="132">
        <v>233146</v>
      </c>
      <c r="E47" s="120">
        <v>6</v>
      </c>
      <c r="F47" s="120">
        <v>0.7</v>
      </c>
      <c r="H47" s="149">
        <v>1.75</v>
      </c>
      <c r="I47" s="133">
        <v>1.77</v>
      </c>
      <c r="J47" s="133">
        <v>1.7</v>
      </c>
      <c r="K47" s="133">
        <v>1.71</v>
      </c>
      <c r="L47" s="133">
        <v>1.61</v>
      </c>
      <c r="AS47" s="35">
        <v>398.639387</v>
      </c>
    </row>
    <row r="48" spans="2:45" ht="28" x14ac:dyDescent="0.35">
      <c r="B48" s="121" t="s">
        <v>1509</v>
      </c>
      <c r="C48" s="62">
        <v>154908</v>
      </c>
      <c r="D48" s="62">
        <v>654324</v>
      </c>
      <c r="E48" s="121">
        <v>8</v>
      </c>
      <c r="F48" s="121">
        <v>0.5</v>
      </c>
      <c r="H48" s="149">
        <v>6.3066500000000003</v>
      </c>
      <c r="I48" s="133">
        <v>7.1625300000000003</v>
      </c>
      <c r="J48" s="133">
        <v>7.90381</v>
      </c>
      <c r="K48" s="133">
        <v>8.1948100000000004</v>
      </c>
      <c r="L48" s="133">
        <v>10.58</v>
      </c>
      <c r="AS48" s="35">
        <v>681.58641899999998</v>
      </c>
    </row>
    <row r="49" spans="45:45" ht="22" x14ac:dyDescent="0.25">
      <c r="AS49" s="35" t="s">
        <v>3965</v>
      </c>
    </row>
    <row r="50" spans="45:45" ht="22" x14ac:dyDescent="0.25">
      <c r="AS50" s="35" t="s">
        <v>3965</v>
      </c>
    </row>
    <row r="51" spans="45:45" ht="22" x14ac:dyDescent="0.25">
      <c r="AS51" s="35">
        <v>259.05960099999999</v>
      </c>
    </row>
    <row r="52" spans="45:45" ht="22" x14ac:dyDescent="0.25">
      <c r="AS52" s="35" t="s">
        <v>3965</v>
      </c>
    </row>
    <row r="53" spans="45:45" ht="22" x14ac:dyDescent="0.25">
      <c r="AS53" s="35" t="s">
        <v>3965</v>
      </c>
    </row>
    <row r="54" spans="45:45" ht="22" x14ac:dyDescent="0.25">
      <c r="AS54" s="35" t="s">
        <v>3965</v>
      </c>
    </row>
    <row r="55" spans="45:45" ht="22" x14ac:dyDescent="0.25">
      <c r="AS55" s="117">
        <v>2038.237151</v>
      </c>
    </row>
    <row r="56" spans="45:45" ht="22" x14ac:dyDescent="0.25">
      <c r="AS56" s="35" t="s">
        <v>3965</v>
      </c>
    </row>
    <row r="57" spans="45:45" ht="22" x14ac:dyDescent="0.25">
      <c r="AS57" s="35" t="s">
        <v>3965</v>
      </c>
    </row>
    <row r="58" spans="45:45" ht="22" x14ac:dyDescent="0.25">
      <c r="AS58" s="35" t="s">
        <v>3965</v>
      </c>
    </row>
    <row r="59" spans="45:45" ht="22" x14ac:dyDescent="0.25">
      <c r="AS59" s="35">
        <v>142.51957999999999</v>
      </c>
    </row>
    <row r="60" spans="45:45" ht="22" x14ac:dyDescent="0.25">
      <c r="AS60" s="35"/>
    </row>
    <row r="61" spans="45:45" ht="22" x14ac:dyDescent="0.25">
      <c r="AS61" s="35">
        <v>126.505053</v>
      </c>
    </row>
    <row r="62" spans="45:45" ht="22" x14ac:dyDescent="0.25">
      <c r="AS62" s="117">
        <v>1844.568945</v>
      </c>
    </row>
    <row r="63" spans="45:45" ht="22" x14ac:dyDescent="0.25">
      <c r="AS63" s="35" t="s">
        <v>3965</v>
      </c>
    </row>
    <row r="64" spans="45:45" ht="22" x14ac:dyDescent="0.25">
      <c r="AS64" s="35">
        <v>579.55940199999998</v>
      </c>
    </row>
    <row r="65" spans="45:45" ht="22" x14ac:dyDescent="0.25">
      <c r="AS65" s="35" t="s">
        <v>3965</v>
      </c>
    </row>
    <row r="66" spans="45:45" ht="22" x14ac:dyDescent="0.25">
      <c r="AS66" s="35" t="s">
        <v>3965</v>
      </c>
    </row>
    <row r="67" spans="45:45" ht="22" x14ac:dyDescent="0.25">
      <c r="AS67" s="35" t="s">
        <v>3965</v>
      </c>
    </row>
    <row r="68" spans="45:45" ht="22" x14ac:dyDescent="0.25">
      <c r="AS68" s="35" t="s">
        <v>3965</v>
      </c>
    </row>
    <row r="69" spans="45:45" ht="22" x14ac:dyDescent="0.25">
      <c r="AS69" s="35" t="s">
        <v>3965</v>
      </c>
    </row>
    <row r="70" spans="45:45" ht="22" x14ac:dyDescent="0.25">
      <c r="AS70" s="35" t="s">
        <v>3965</v>
      </c>
    </row>
    <row r="71" spans="45:45" ht="22" x14ac:dyDescent="0.25">
      <c r="AS71" s="35" t="s">
        <v>3965</v>
      </c>
    </row>
    <row r="72" spans="45:45" ht="22" x14ac:dyDescent="0.25">
      <c r="AS72" s="35">
        <v>22.9221</v>
      </c>
    </row>
    <row r="73" spans="45:45" ht="22" x14ac:dyDescent="0.25">
      <c r="AS73" s="35">
        <v>18.058859000000002</v>
      </c>
    </row>
    <row r="74" spans="45:45" ht="22" x14ac:dyDescent="0.25">
      <c r="AS74" s="35" t="s">
        <v>3965</v>
      </c>
    </row>
    <row r="75" spans="45:45" ht="22" x14ac:dyDescent="0.25">
      <c r="AS75" s="35">
        <v>131.51616200000001</v>
      </c>
    </row>
    <row r="76" spans="45:45" ht="22" x14ac:dyDescent="0.25">
      <c r="AS76" s="35" t="s">
        <v>3965</v>
      </c>
    </row>
    <row r="77" spans="45:45" ht="22" x14ac:dyDescent="0.25">
      <c r="AS77" s="35" t="s">
        <v>3965</v>
      </c>
    </row>
    <row r="78" spans="45:45" ht="22" x14ac:dyDescent="0.25">
      <c r="AS78" s="35">
        <v>267.42445199999997</v>
      </c>
    </row>
    <row r="79" spans="45:45" ht="22" x14ac:dyDescent="0.25">
      <c r="AS79" s="35" t="s">
        <v>3965</v>
      </c>
    </row>
    <row r="80" spans="45:45" ht="22" x14ac:dyDescent="0.25">
      <c r="AS80" s="35" t="s">
        <v>3965</v>
      </c>
    </row>
    <row r="81" spans="45:45" ht="22" x14ac:dyDescent="0.25">
      <c r="AS81" s="35" t="s">
        <v>3965</v>
      </c>
    </row>
    <row r="82" spans="45:45" ht="22" x14ac:dyDescent="0.25">
      <c r="AS82" s="35">
        <v>784.80277100000001</v>
      </c>
    </row>
    <row r="83" spans="45:45" ht="22" x14ac:dyDescent="0.25">
      <c r="AS83" s="35" t="s">
        <v>3965</v>
      </c>
    </row>
    <row r="84" spans="45:45" ht="22" x14ac:dyDescent="0.25">
      <c r="AS84" s="35" t="s">
        <v>3965</v>
      </c>
    </row>
    <row r="85" spans="45:45" ht="22" x14ac:dyDescent="0.25">
      <c r="AS85" s="35" t="s">
        <v>3965</v>
      </c>
    </row>
    <row r="86" spans="45:45" ht="22" x14ac:dyDescent="0.25">
      <c r="AS86" s="35" t="s">
        <v>3965</v>
      </c>
    </row>
    <row r="87" spans="45:45" ht="22" x14ac:dyDescent="0.25">
      <c r="AS87" s="35" t="s">
        <v>3965</v>
      </c>
    </row>
  </sheetData>
  <mergeCells count="2">
    <mergeCell ref="U7:V7"/>
    <mergeCell ref="H3:N3"/>
  </mergeCells>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A2:BY55"/>
  <sheetViews>
    <sheetView zoomScale="89" workbookViewId="0">
      <selection activeCell="N6" sqref="N6"/>
    </sheetView>
  </sheetViews>
  <sheetFormatPr baseColWidth="10" defaultRowHeight="16" x14ac:dyDescent="0.2"/>
  <cols>
    <col min="2" max="2" width="50" bestFit="1" customWidth="1"/>
    <col min="3" max="7" width="15.1640625" customWidth="1"/>
    <col min="8" max="8" width="7.83203125" customWidth="1"/>
    <col min="9" max="9" width="15.1640625" customWidth="1"/>
    <col min="10" max="10" width="7.6640625" customWidth="1"/>
    <col min="11" max="15" width="15.1640625" customWidth="1"/>
    <col min="17" max="17" width="53.5" customWidth="1"/>
    <col min="18" max="18" width="11.33203125" bestFit="1" customWidth="1"/>
    <col min="19" max="23" width="11.1640625" bestFit="1" customWidth="1"/>
    <col min="25" max="29" width="11.1640625" bestFit="1" customWidth="1"/>
    <col min="30" max="30" width="11.1640625" customWidth="1"/>
    <col min="32" max="34" width="13.6640625" customWidth="1"/>
    <col min="35" max="36" width="15" bestFit="1" customWidth="1"/>
    <col min="37" max="37" width="17.5" bestFit="1" customWidth="1"/>
    <col min="38" max="39" width="11" bestFit="1" customWidth="1"/>
    <col min="40" max="40" width="11" customWidth="1"/>
    <col min="41" max="45" width="11" bestFit="1" customWidth="1"/>
    <col min="46" max="46" width="11" customWidth="1"/>
    <col min="47" max="51" width="11" bestFit="1" customWidth="1"/>
    <col min="52" max="52" width="11" customWidth="1"/>
    <col min="53" max="57" width="11" bestFit="1" customWidth="1"/>
    <col min="58" max="58" width="11" customWidth="1"/>
    <col min="59" max="59" width="11" bestFit="1" customWidth="1"/>
    <col min="60" max="60" width="16.6640625" bestFit="1" customWidth="1"/>
    <col min="61" max="63" width="11" bestFit="1" customWidth="1"/>
    <col min="64" max="64" width="11" customWidth="1"/>
    <col min="65" max="69" width="11" bestFit="1" customWidth="1"/>
  </cols>
  <sheetData>
    <row r="2" spans="1:77" ht="17" thickBot="1" x14ac:dyDescent="0.25"/>
    <row r="3" spans="1:77" ht="22" x14ac:dyDescent="0.3">
      <c r="C3" s="157"/>
      <c r="D3" s="158"/>
      <c r="E3" s="180" t="s">
        <v>4018</v>
      </c>
      <c r="F3" s="158"/>
      <c r="G3" s="159"/>
      <c r="K3" s="157"/>
      <c r="L3" s="158"/>
      <c r="M3" s="180" t="s">
        <v>4018</v>
      </c>
      <c r="N3" s="158"/>
      <c r="O3" s="159"/>
    </row>
    <row r="4" spans="1:77" ht="30" thickBot="1" x14ac:dyDescent="0.4">
      <c r="C4" s="160"/>
      <c r="D4" s="161" t="s">
        <v>4016</v>
      </c>
      <c r="E4" s="156"/>
      <c r="F4" s="156"/>
      <c r="G4" s="162"/>
      <c r="H4" s="156"/>
      <c r="I4" s="156"/>
      <c r="J4" s="156"/>
      <c r="K4" s="174"/>
      <c r="L4" s="161" t="s">
        <v>4017</v>
      </c>
      <c r="M4" s="156"/>
      <c r="O4" s="165"/>
      <c r="Q4" s="37"/>
      <c r="R4" s="37" t="s">
        <v>4020</v>
      </c>
      <c r="S4" s="37"/>
      <c r="U4" s="37"/>
      <c r="V4" s="37"/>
      <c r="W4" s="37"/>
      <c r="X4" s="37"/>
      <c r="Y4" s="37" t="s">
        <v>4021</v>
      </c>
      <c r="AB4" s="37"/>
      <c r="AC4" s="37"/>
      <c r="AD4" s="37"/>
      <c r="AE4" s="37"/>
      <c r="AF4" s="37" t="s">
        <v>4022</v>
      </c>
      <c r="AG4" s="37"/>
      <c r="AI4" s="37"/>
      <c r="AK4" s="37"/>
    </row>
    <row r="5" spans="1:77" ht="27" x14ac:dyDescent="0.35">
      <c r="C5" s="163">
        <v>1000</v>
      </c>
      <c r="D5" s="122">
        <v>2000</v>
      </c>
      <c r="E5" s="122">
        <v>5000</v>
      </c>
      <c r="F5" s="122">
        <v>10000</v>
      </c>
      <c r="G5" s="164">
        <v>20000</v>
      </c>
      <c r="H5" s="122"/>
      <c r="I5" s="122" t="s">
        <v>4019</v>
      </c>
      <c r="K5" s="163">
        <v>1000</v>
      </c>
      <c r="L5" s="122">
        <v>2000</v>
      </c>
      <c r="M5" s="122">
        <v>5000</v>
      </c>
      <c r="N5" s="122">
        <v>10000</v>
      </c>
      <c r="O5" s="164">
        <v>20000</v>
      </c>
      <c r="Q5" s="37"/>
      <c r="R5" s="37">
        <v>1</v>
      </c>
      <c r="S5" s="37">
        <v>10</v>
      </c>
      <c r="T5" s="37">
        <v>100</v>
      </c>
      <c r="U5" s="37">
        <v>200</v>
      </c>
      <c r="V5" s="37">
        <v>500</v>
      </c>
      <c r="W5" s="37">
        <v>1000</v>
      </c>
      <c r="X5" s="37"/>
      <c r="Y5" s="37">
        <v>1</v>
      </c>
      <c r="Z5" s="37">
        <v>10</v>
      </c>
      <c r="AA5" s="37">
        <v>100</v>
      </c>
      <c r="AB5" s="37">
        <v>500</v>
      </c>
      <c r="AC5" s="37">
        <v>1000</v>
      </c>
      <c r="AD5" s="37">
        <v>10000</v>
      </c>
      <c r="AE5" s="37"/>
      <c r="AF5" s="50">
        <v>1000</v>
      </c>
      <c r="AG5" s="50">
        <v>5000</v>
      </c>
      <c r="AH5" s="50">
        <v>10000</v>
      </c>
      <c r="AI5" s="51">
        <v>100000</v>
      </c>
      <c r="AJ5" s="50">
        <v>500000</v>
      </c>
      <c r="AK5" s="50">
        <v>1000000</v>
      </c>
    </row>
    <row r="6" spans="1:77" ht="27" x14ac:dyDescent="0.35">
      <c r="A6" s="29">
        <v>1</v>
      </c>
      <c r="B6" s="152" t="s">
        <v>1443</v>
      </c>
      <c r="C6" s="166">
        <v>480.50233200000002</v>
      </c>
      <c r="D6" s="167">
        <v>481.87422600000002</v>
      </c>
      <c r="E6" s="167">
        <v>482.22959900000001</v>
      </c>
      <c r="F6" s="155" t="s">
        <v>3965</v>
      </c>
      <c r="G6" s="168" t="s">
        <v>3965</v>
      </c>
      <c r="H6" s="155"/>
      <c r="I6" s="181">
        <v>486.47726599999999</v>
      </c>
      <c r="J6" s="155"/>
      <c r="K6" s="175">
        <v>482.29</v>
      </c>
      <c r="L6" s="155">
        <v>483.67</v>
      </c>
      <c r="M6" s="155">
        <v>483.7</v>
      </c>
      <c r="N6" s="170">
        <v>481.55</v>
      </c>
      <c r="O6" s="168">
        <v>484.21</v>
      </c>
      <c r="Q6" s="36"/>
      <c r="R6" s="36">
        <v>483.24074300000001</v>
      </c>
      <c r="S6" s="36">
        <v>483.10757000000001</v>
      </c>
      <c r="T6" s="36">
        <v>155.49039400000001</v>
      </c>
      <c r="U6" s="48">
        <v>116.125418</v>
      </c>
      <c r="V6" s="36">
        <v>202.04214400000001</v>
      </c>
      <c r="W6" s="36">
        <v>232.393632</v>
      </c>
      <c r="X6" s="36"/>
      <c r="Y6" s="47">
        <v>115.540869</v>
      </c>
      <c r="Z6" s="47">
        <v>113.74836000000001</v>
      </c>
      <c r="AA6" s="47">
        <v>115.051813</v>
      </c>
      <c r="AB6" s="49">
        <v>113.114282</v>
      </c>
      <c r="AC6" s="47">
        <v>116.125418</v>
      </c>
      <c r="AD6" s="47">
        <v>481.58137299999999</v>
      </c>
      <c r="AE6" s="47"/>
      <c r="AF6" s="47">
        <v>290.20250499999997</v>
      </c>
      <c r="AG6" s="47">
        <v>212.31437099999999</v>
      </c>
      <c r="AH6" s="47">
        <v>219.225978</v>
      </c>
      <c r="AI6" s="53">
        <v>112.903085</v>
      </c>
      <c r="AJ6" s="47">
        <v>117.703698</v>
      </c>
      <c r="AK6" s="49">
        <v>112.49026000000001</v>
      </c>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row>
    <row r="7" spans="1:77" ht="27" x14ac:dyDescent="0.35">
      <c r="A7" s="29">
        <v>2</v>
      </c>
      <c r="B7" s="152" t="s">
        <v>1452</v>
      </c>
      <c r="C7" s="166">
        <v>408.43992700000001</v>
      </c>
      <c r="D7" s="167">
        <v>409.93960600000003</v>
      </c>
      <c r="E7" s="167">
        <v>408.84357299999999</v>
      </c>
      <c r="F7" s="155" t="s">
        <v>3965</v>
      </c>
      <c r="G7" s="168" t="s">
        <v>3965</v>
      </c>
      <c r="H7" s="155"/>
      <c r="I7" s="182">
        <v>433.71</v>
      </c>
      <c r="J7" s="155"/>
      <c r="K7" s="175">
        <v>533.07000000000005</v>
      </c>
      <c r="L7" s="170">
        <v>493.98</v>
      </c>
      <c r="M7" s="155">
        <v>535.04</v>
      </c>
      <c r="N7" s="155">
        <v>410.39</v>
      </c>
      <c r="O7" s="168">
        <v>416.68</v>
      </c>
      <c r="Q7" s="36"/>
      <c r="R7" s="36">
        <v>409.96209800000003</v>
      </c>
      <c r="S7" s="36">
        <v>409.669872</v>
      </c>
      <c r="T7" s="36">
        <v>333.49492099999998</v>
      </c>
      <c r="U7" s="36">
        <v>158.751666</v>
      </c>
      <c r="V7" s="48">
        <v>127.477468</v>
      </c>
      <c r="W7" s="36">
        <v>131.19798299999999</v>
      </c>
      <c r="X7" s="36"/>
      <c r="Y7" s="47">
        <v>158.815515</v>
      </c>
      <c r="Z7" s="47">
        <v>158.78734499999999</v>
      </c>
      <c r="AA7" s="49">
        <v>158.41139999999999</v>
      </c>
      <c r="AB7" s="47">
        <v>158.677886</v>
      </c>
      <c r="AC7" s="47">
        <v>158.751666</v>
      </c>
      <c r="AD7" s="47">
        <v>407.88468799999998</v>
      </c>
      <c r="AE7" s="47"/>
      <c r="AF7" s="47">
        <v>227.95205000000001</v>
      </c>
      <c r="AG7" s="47">
        <v>146.46047200000001</v>
      </c>
      <c r="AH7" s="47">
        <v>110.535961</v>
      </c>
      <c r="AI7" s="52">
        <v>102.65375299999999</v>
      </c>
      <c r="AJ7" s="47">
        <v>158.772211</v>
      </c>
      <c r="AK7" s="47">
        <v>158.31874500000001</v>
      </c>
      <c r="AL7" s="36"/>
      <c r="AM7" s="36"/>
      <c r="AN7" s="36"/>
      <c r="AO7" s="36"/>
      <c r="AP7" s="36"/>
      <c r="AQ7" s="36"/>
      <c r="AR7" s="36"/>
      <c r="AS7" s="36"/>
      <c r="AT7" s="36"/>
      <c r="AU7" s="36"/>
      <c r="AV7" s="36"/>
      <c r="AW7" s="36"/>
      <c r="AX7" s="36"/>
      <c r="AY7" s="36"/>
      <c r="AZ7" s="36"/>
      <c r="BA7" s="36"/>
      <c r="BB7" s="36"/>
      <c r="BC7" s="36"/>
      <c r="BD7" s="36"/>
      <c r="BE7" s="36"/>
      <c r="BF7" s="36"/>
      <c r="BG7" s="36"/>
      <c r="BH7" s="46"/>
      <c r="BI7" s="28"/>
      <c r="BJ7" s="28"/>
      <c r="BK7" s="28"/>
      <c r="BL7" s="28"/>
      <c r="BM7" s="28"/>
      <c r="BN7" s="28"/>
      <c r="BO7" s="28"/>
      <c r="BP7" s="28"/>
      <c r="BQ7" s="28"/>
      <c r="BR7" s="45"/>
      <c r="BS7" s="45"/>
      <c r="BT7" s="45"/>
      <c r="BU7" s="45"/>
      <c r="BV7" s="45"/>
      <c r="BW7" s="45"/>
      <c r="BX7" s="45"/>
      <c r="BY7" s="45"/>
    </row>
    <row r="8" spans="1:77" ht="27" x14ac:dyDescent="0.35">
      <c r="A8" s="29">
        <v>3</v>
      </c>
      <c r="B8" s="152" t="s">
        <v>1451</v>
      </c>
      <c r="C8" s="199">
        <v>230.25</v>
      </c>
      <c r="D8" s="169">
        <v>199.82</v>
      </c>
      <c r="E8" s="167">
        <v>277.10000000000002</v>
      </c>
      <c r="F8" s="155">
        <v>399.02</v>
      </c>
      <c r="G8" s="168" t="s">
        <v>3965</v>
      </c>
      <c r="H8" s="155"/>
      <c r="I8" s="181">
        <v>224.11627300000001</v>
      </c>
      <c r="J8" s="155"/>
      <c r="K8" s="175">
        <v>244.35</v>
      </c>
      <c r="L8" s="170">
        <v>237.14</v>
      </c>
      <c r="M8" s="155">
        <v>341.32</v>
      </c>
      <c r="N8" s="155" t="s">
        <v>3965</v>
      </c>
      <c r="O8" s="168" t="s">
        <v>3965</v>
      </c>
      <c r="Q8" s="36"/>
      <c r="R8" s="36">
        <v>222.03</v>
      </c>
      <c r="S8" s="36">
        <v>208.46</v>
      </c>
      <c r="T8" s="48">
        <v>179.12</v>
      </c>
      <c r="U8" s="36">
        <v>213.12</v>
      </c>
      <c r="V8" s="36">
        <v>209.66</v>
      </c>
      <c r="W8" s="36">
        <v>296.62</v>
      </c>
      <c r="X8" s="36"/>
      <c r="Y8" s="49">
        <v>186.83</v>
      </c>
      <c r="Z8" s="47">
        <v>208.92</v>
      </c>
      <c r="AA8" s="47">
        <v>208.04</v>
      </c>
      <c r="AB8" s="47">
        <v>195.76</v>
      </c>
      <c r="AC8" s="47">
        <v>213.12</v>
      </c>
      <c r="AD8" s="47">
        <v>222.45</v>
      </c>
      <c r="AE8" s="47"/>
      <c r="AF8" s="47">
        <v>366.31294000000003</v>
      </c>
      <c r="AG8" s="47">
        <v>147.88588100000001</v>
      </c>
      <c r="AH8" s="49">
        <v>138.43</v>
      </c>
      <c r="AI8" s="53">
        <v>179.01</v>
      </c>
      <c r="AJ8" s="47">
        <v>176.86</v>
      </c>
      <c r="AK8" s="47">
        <v>192.21</v>
      </c>
      <c r="AL8" s="36"/>
      <c r="AM8" s="36"/>
      <c r="AN8" s="36"/>
      <c r="AO8" s="36"/>
      <c r="AP8" s="36"/>
      <c r="AQ8" s="36"/>
      <c r="AR8" s="36"/>
      <c r="AS8" s="36"/>
      <c r="AT8" s="36"/>
      <c r="AU8" s="36"/>
      <c r="AV8" s="36"/>
      <c r="AW8" s="36"/>
      <c r="AX8" s="36"/>
      <c r="AY8" s="36"/>
      <c r="AZ8" s="36"/>
      <c r="BA8" s="36"/>
      <c r="BB8" s="36"/>
      <c r="BC8" s="36"/>
      <c r="BD8" s="36"/>
      <c r="BE8" s="36"/>
      <c r="BF8" s="36"/>
      <c r="BG8" s="36"/>
      <c r="BH8" s="46"/>
      <c r="BI8" s="28"/>
      <c r="BJ8" s="28"/>
      <c r="BK8" s="28"/>
      <c r="BL8" s="28"/>
      <c r="BM8" s="28"/>
      <c r="BN8" s="28"/>
      <c r="BO8" s="28"/>
      <c r="BP8" s="28"/>
      <c r="BQ8" s="28"/>
      <c r="BR8" s="45"/>
      <c r="BS8" s="45"/>
      <c r="BT8" s="45"/>
      <c r="BU8" s="45"/>
      <c r="BV8" s="45"/>
      <c r="BW8" s="45"/>
      <c r="BX8" s="45"/>
      <c r="BY8" s="45"/>
    </row>
    <row r="9" spans="1:77" ht="27" x14ac:dyDescent="0.35">
      <c r="A9" s="29">
        <v>4</v>
      </c>
      <c r="B9" s="152" t="s">
        <v>3915</v>
      </c>
      <c r="C9" s="166">
        <v>147.16481300000001</v>
      </c>
      <c r="D9" s="167">
        <v>147.67106799999999</v>
      </c>
      <c r="E9" s="167">
        <v>147.59754899999999</v>
      </c>
      <c r="F9" s="155">
        <v>147.342815</v>
      </c>
      <c r="G9" s="168">
        <v>148.60625400000001</v>
      </c>
      <c r="H9" s="155"/>
      <c r="I9" s="181">
        <v>150.722433</v>
      </c>
      <c r="J9" s="155"/>
      <c r="K9" s="175">
        <v>298.855345</v>
      </c>
      <c r="L9" s="155">
        <v>222.62359000000001</v>
      </c>
      <c r="M9" s="155">
        <v>177.88664399999999</v>
      </c>
      <c r="N9" s="155">
        <v>154.969684</v>
      </c>
      <c r="O9" s="176">
        <v>149.45618200000001</v>
      </c>
      <c r="Q9" s="36"/>
      <c r="R9" s="36">
        <v>148.01795899999999</v>
      </c>
      <c r="S9" s="36">
        <v>117.444413</v>
      </c>
      <c r="T9" s="36">
        <v>117.253396</v>
      </c>
      <c r="U9" s="36">
        <v>117.89317200000001</v>
      </c>
      <c r="V9" s="48">
        <v>111.39627</v>
      </c>
      <c r="W9" s="36">
        <v>114.213594</v>
      </c>
      <c r="X9" s="36"/>
      <c r="Y9" s="49">
        <v>113.522623</v>
      </c>
      <c r="Z9" s="47">
        <v>117.372834</v>
      </c>
      <c r="AA9" s="47">
        <v>118.328991</v>
      </c>
      <c r="AB9" s="47">
        <v>118.691909</v>
      </c>
      <c r="AC9" s="47">
        <v>117.89317200000001</v>
      </c>
      <c r="AD9" s="47">
        <v>147.238877</v>
      </c>
      <c r="AE9" s="47"/>
      <c r="AF9" s="47">
        <v>235.20723799999999</v>
      </c>
      <c r="AG9" s="47">
        <v>165.55021500000001</v>
      </c>
      <c r="AH9" s="47">
        <v>105.904168</v>
      </c>
      <c r="AI9" s="52">
        <v>99.896929</v>
      </c>
      <c r="AJ9" s="47">
        <v>114.997193</v>
      </c>
      <c r="AK9" s="47">
        <v>113.29454699999999</v>
      </c>
      <c r="AL9" s="36"/>
      <c r="AM9" s="36"/>
      <c r="AN9" s="36"/>
      <c r="AO9" s="36"/>
      <c r="AP9" s="36"/>
      <c r="AQ9" s="36"/>
      <c r="AR9" s="36"/>
      <c r="AS9" s="36"/>
      <c r="AT9" s="36"/>
      <c r="AU9" s="36"/>
      <c r="AV9" s="36"/>
      <c r="AW9" s="36"/>
      <c r="AX9" s="36"/>
      <c r="AY9" s="36"/>
      <c r="AZ9" s="36"/>
      <c r="BA9" s="36"/>
      <c r="BB9" s="36"/>
      <c r="BC9" s="36"/>
      <c r="BD9" s="36"/>
      <c r="BE9" s="36"/>
      <c r="BF9" s="36"/>
      <c r="BG9" s="36"/>
      <c r="BH9" s="46"/>
      <c r="BI9" s="28"/>
      <c r="BJ9" s="28"/>
      <c r="BK9" s="28"/>
      <c r="BL9" s="28"/>
      <c r="BM9" s="28"/>
      <c r="BN9" s="28"/>
      <c r="BO9" s="28"/>
      <c r="BP9" s="28"/>
      <c r="BQ9" s="28"/>
      <c r="BR9" s="45"/>
      <c r="BS9" s="45"/>
      <c r="BT9" s="45"/>
      <c r="BU9" s="45"/>
      <c r="BV9" s="45"/>
      <c r="BW9" s="45"/>
      <c r="BX9" s="45"/>
      <c r="BY9" s="45"/>
    </row>
    <row r="10" spans="1:77" ht="27" x14ac:dyDescent="0.35">
      <c r="A10" s="29">
        <v>5</v>
      </c>
      <c r="B10" s="152" t="s">
        <v>10</v>
      </c>
      <c r="C10" s="199">
        <v>96.03</v>
      </c>
      <c r="D10" s="169">
        <v>74.099999999999994</v>
      </c>
      <c r="E10" s="167">
        <v>109.98</v>
      </c>
      <c r="F10" s="155">
        <v>203.36</v>
      </c>
      <c r="G10" s="168">
        <v>307.68</v>
      </c>
      <c r="H10" s="155"/>
      <c r="I10" s="181">
        <v>107.39003200000001</v>
      </c>
      <c r="J10" s="155"/>
      <c r="K10" s="177">
        <v>102.66005</v>
      </c>
      <c r="L10" s="155">
        <v>94.61</v>
      </c>
      <c r="M10" s="155">
        <v>237.97</v>
      </c>
      <c r="N10" s="155">
        <v>201.53</v>
      </c>
      <c r="O10" s="168">
        <v>336.25</v>
      </c>
      <c r="Q10" s="36"/>
      <c r="R10" s="36">
        <v>110.69</v>
      </c>
      <c r="S10" s="36">
        <v>88.23</v>
      </c>
      <c r="T10" s="36">
        <v>85.9</v>
      </c>
      <c r="U10" s="48">
        <v>66.37</v>
      </c>
      <c r="V10" s="36">
        <v>86.03</v>
      </c>
      <c r="W10" s="36">
        <v>87.64</v>
      </c>
      <c r="X10" s="36"/>
      <c r="Y10" s="47">
        <v>114.41</v>
      </c>
      <c r="Z10" s="47">
        <v>95.39</v>
      </c>
      <c r="AA10" s="47">
        <v>122.73</v>
      </c>
      <c r="AB10" s="47">
        <v>104.21</v>
      </c>
      <c r="AC10" s="49">
        <v>66.37</v>
      </c>
      <c r="AD10" s="47">
        <v>108.58</v>
      </c>
      <c r="AE10" s="47"/>
      <c r="AF10" s="47">
        <v>185.74227500000001</v>
      </c>
      <c r="AG10" s="47">
        <v>75.894947999999999</v>
      </c>
      <c r="AH10" s="47">
        <v>72.180000000000007</v>
      </c>
      <c r="AI10" s="52">
        <v>68.88</v>
      </c>
      <c r="AJ10" s="47">
        <v>70.69</v>
      </c>
      <c r="AK10" s="47">
        <v>83.83</v>
      </c>
      <c r="AL10" s="36"/>
      <c r="AM10" s="36"/>
      <c r="AN10" s="36"/>
      <c r="AO10" s="36"/>
      <c r="AP10" s="36"/>
      <c r="AQ10" s="36"/>
      <c r="AR10" s="36"/>
      <c r="AS10" s="36"/>
      <c r="AT10" s="36"/>
      <c r="AU10" s="36"/>
      <c r="AV10" s="36"/>
      <c r="AW10" s="36"/>
      <c r="AX10" s="36"/>
      <c r="AY10" s="36"/>
      <c r="AZ10" s="36"/>
      <c r="BA10" s="36"/>
      <c r="BB10" s="36"/>
      <c r="BC10" s="36"/>
      <c r="BD10" s="36"/>
      <c r="BE10" s="36"/>
      <c r="BF10" s="36"/>
      <c r="BG10" s="36"/>
      <c r="BH10" s="46"/>
      <c r="BI10" s="28"/>
      <c r="BJ10" s="28"/>
      <c r="BK10" s="28"/>
      <c r="BL10" s="28"/>
      <c r="BM10" s="28"/>
      <c r="BN10" s="28"/>
      <c r="BO10" s="28"/>
      <c r="BP10" s="28"/>
      <c r="BQ10" s="28"/>
      <c r="BR10" s="45"/>
      <c r="BS10" s="45"/>
      <c r="BT10" s="45"/>
      <c r="BU10" s="45"/>
      <c r="BV10" s="45"/>
      <c r="BW10" s="45"/>
      <c r="BX10" s="45"/>
      <c r="BY10" s="45"/>
    </row>
    <row r="11" spans="1:77" ht="27" x14ac:dyDescent="0.35">
      <c r="A11" s="29">
        <v>6</v>
      </c>
      <c r="B11" s="153" t="s">
        <v>1455</v>
      </c>
      <c r="C11" s="199">
        <v>89.1</v>
      </c>
      <c r="D11" s="169">
        <v>60.69</v>
      </c>
      <c r="E11" s="167">
        <v>72.95</v>
      </c>
      <c r="F11" s="155">
        <v>188.55</v>
      </c>
      <c r="G11" s="168">
        <v>313.02</v>
      </c>
      <c r="H11" s="155"/>
      <c r="I11" s="181">
        <v>105.59741699999999</v>
      </c>
      <c r="J11" s="155"/>
      <c r="K11" s="175">
        <v>98.549729999999997</v>
      </c>
      <c r="L11" s="155">
        <v>90.007458</v>
      </c>
      <c r="M11" s="170">
        <v>68.193467999999996</v>
      </c>
      <c r="N11" s="155">
        <v>137.09</v>
      </c>
      <c r="O11" s="168">
        <v>371.67</v>
      </c>
      <c r="Q11" s="36"/>
      <c r="R11" s="36">
        <v>87.221371000000005</v>
      </c>
      <c r="S11" s="36">
        <v>87.869332999999997</v>
      </c>
      <c r="T11" s="36">
        <v>224.937985</v>
      </c>
      <c r="U11" s="36">
        <v>65.735106999999999</v>
      </c>
      <c r="V11" s="36">
        <v>49.471721000000002</v>
      </c>
      <c r="W11" s="48">
        <v>47.949492999999997</v>
      </c>
      <c r="X11" s="36"/>
      <c r="Y11" s="49">
        <v>53.094441000000003</v>
      </c>
      <c r="Z11" s="47">
        <v>55.725318999999999</v>
      </c>
      <c r="AA11" s="47">
        <v>63.029052</v>
      </c>
      <c r="AB11" s="47">
        <v>59.906571</v>
      </c>
      <c r="AC11" s="47">
        <v>65.735106999999999</v>
      </c>
      <c r="AD11" s="47">
        <v>74.93468</v>
      </c>
      <c r="AE11" s="47"/>
      <c r="AF11" s="47">
        <v>252.189437</v>
      </c>
      <c r="AG11" s="47">
        <v>128.34603200000001</v>
      </c>
      <c r="AH11" s="47">
        <v>55.894243000000003</v>
      </c>
      <c r="AI11" s="52">
        <v>46.755004999999997</v>
      </c>
      <c r="AJ11" s="47">
        <v>49.481327</v>
      </c>
      <c r="AK11" s="47">
        <v>60.598072000000002</v>
      </c>
      <c r="AL11" s="36"/>
      <c r="AM11" s="36"/>
      <c r="AN11" s="36"/>
      <c r="AO11" s="36"/>
      <c r="AP11" s="36"/>
      <c r="AQ11" s="36"/>
      <c r="AR11" s="36"/>
      <c r="AS11" s="36"/>
      <c r="AT11" s="36"/>
      <c r="AU11" s="36"/>
      <c r="AV11" s="36"/>
      <c r="AW11" s="36"/>
      <c r="AX11" s="36"/>
      <c r="AY11" s="36"/>
      <c r="AZ11" s="36"/>
      <c r="BA11" s="36"/>
      <c r="BB11" s="36"/>
      <c r="BC11" s="36"/>
      <c r="BD11" s="36"/>
      <c r="BE11" s="36"/>
      <c r="BF11" s="36"/>
      <c r="BG11" s="36"/>
      <c r="BH11" s="46"/>
      <c r="BI11" s="28"/>
      <c r="BJ11" s="28"/>
      <c r="BK11" s="28"/>
      <c r="BL11" s="28"/>
      <c r="BM11" s="28"/>
      <c r="BN11" s="28"/>
      <c r="BO11" s="28"/>
      <c r="BP11" s="28"/>
      <c r="BQ11" s="28"/>
      <c r="BR11" s="45"/>
      <c r="BS11" s="45"/>
      <c r="BT11" s="45"/>
      <c r="BU11" s="45"/>
      <c r="BV11" s="45"/>
      <c r="BW11" s="45"/>
      <c r="BX11" s="45"/>
      <c r="BY11" s="45"/>
    </row>
    <row r="12" spans="1:77" ht="27" x14ac:dyDescent="0.35">
      <c r="A12" s="29">
        <v>7</v>
      </c>
      <c r="B12" s="153" t="s">
        <v>6</v>
      </c>
      <c r="C12" s="199">
        <v>82.3</v>
      </c>
      <c r="D12" s="169">
        <v>56.98</v>
      </c>
      <c r="E12" s="167">
        <v>108.35</v>
      </c>
      <c r="F12" s="155">
        <v>149.66</v>
      </c>
      <c r="G12" s="168">
        <v>287.95999999999998</v>
      </c>
      <c r="H12" s="155"/>
      <c r="I12" s="181">
        <v>85.151685000000001</v>
      </c>
      <c r="J12" s="155"/>
      <c r="K12" s="177">
        <v>81.377047000000005</v>
      </c>
      <c r="L12" s="155">
        <v>88.42</v>
      </c>
      <c r="M12" s="155">
        <v>119.17</v>
      </c>
      <c r="N12" s="155">
        <v>179.5</v>
      </c>
      <c r="O12" s="168">
        <v>462.78</v>
      </c>
      <c r="Q12" s="36"/>
      <c r="R12" s="36">
        <v>73.161520999999993</v>
      </c>
      <c r="S12" s="36">
        <v>51.549084000000001</v>
      </c>
      <c r="T12" s="36">
        <v>54.580070999999997</v>
      </c>
      <c r="U12" s="48">
        <v>47.267125</v>
      </c>
      <c r="V12" s="36">
        <v>56.343842000000002</v>
      </c>
      <c r="W12" s="36">
        <v>55.058587000000003</v>
      </c>
      <c r="X12" s="36"/>
      <c r="Y12" s="47">
        <v>49.711768999999997</v>
      </c>
      <c r="Z12" s="47">
        <v>48.272415000000002</v>
      </c>
      <c r="AA12" s="47">
        <v>58.755426999999997</v>
      </c>
      <c r="AB12" s="47">
        <v>48.832856</v>
      </c>
      <c r="AC12" s="49">
        <v>47.267125</v>
      </c>
      <c r="AD12" s="47">
        <v>66.013968000000006</v>
      </c>
      <c r="AE12" s="47"/>
      <c r="AF12" s="47">
        <v>220.51928899999999</v>
      </c>
      <c r="AG12" s="47">
        <v>73.065562</v>
      </c>
      <c r="AH12" s="47">
        <v>53.567227000000003</v>
      </c>
      <c r="AI12" s="53">
        <v>51.644970999999998</v>
      </c>
      <c r="AJ12" s="47">
        <v>52.136221999999997</v>
      </c>
      <c r="AK12" s="49">
        <v>47.340725999999997</v>
      </c>
      <c r="AL12" s="36"/>
      <c r="AM12" s="36"/>
      <c r="AN12" s="36"/>
      <c r="AO12" s="36"/>
      <c r="AP12" s="36"/>
      <c r="AQ12" s="36"/>
      <c r="AR12" s="36"/>
      <c r="AS12" s="36"/>
      <c r="AT12" s="36"/>
      <c r="AU12" s="36"/>
      <c r="AV12" s="36"/>
      <c r="AW12" s="36"/>
      <c r="AX12" s="36"/>
      <c r="AY12" s="36"/>
      <c r="AZ12" s="36"/>
      <c r="BA12" s="36"/>
      <c r="BB12" s="36"/>
      <c r="BC12" s="36"/>
      <c r="BD12" s="36"/>
      <c r="BE12" s="36"/>
      <c r="BF12" s="36"/>
      <c r="BG12" s="36"/>
      <c r="BH12" s="46"/>
      <c r="BI12" s="28"/>
      <c r="BJ12" s="28"/>
      <c r="BK12" s="28"/>
      <c r="BL12" s="28"/>
      <c r="BM12" s="28"/>
      <c r="BN12" s="28"/>
      <c r="BO12" s="28"/>
      <c r="BP12" s="28"/>
      <c r="BQ12" s="28"/>
      <c r="BR12" s="45"/>
      <c r="BS12" s="45"/>
      <c r="BT12" s="45"/>
      <c r="BU12" s="45"/>
      <c r="BV12" s="45"/>
      <c r="BW12" s="45"/>
      <c r="BX12" s="45"/>
      <c r="BY12" s="45"/>
    </row>
    <row r="13" spans="1:77" ht="27" x14ac:dyDescent="0.35">
      <c r="A13" s="29">
        <v>8</v>
      </c>
      <c r="B13" s="152" t="s">
        <v>1442</v>
      </c>
      <c r="C13" s="166">
        <v>73.16</v>
      </c>
      <c r="D13" s="167">
        <v>73.61</v>
      </c>
      <c r="E13" s="167">
        <v>105.13</v>
      </c>
      <c r="F13" s="155">
        <v>143.32</v>
      </c>
      <c r="G13" s="168">
        <v>138.19</v>
      </c>
      <c r="H13" s="155"/>
      <c r="I13" s="181">
        <v>127.82051300000001</v>
      </c>
      <c r="J13" s="155"/>
      <c r="K13" s="177">
        <v>77.150000000000006</v>
      </c>
      <c r="L13" s="155">
        <v>85.97</v>
      </c>
      <c r="M13" s="155">
        <v>124.01</v>
      </c>
      <c r="N13" s="155">
        <v>300.63</v>
      </c>
      <c r="O13" s="168">
        <v>208.46</v>
      </c>
      <c r="Q13" s="36"/>
      <c r="R13" s="36">
        <v>61.25</v>
      </c>
      <c r="S13" s="36">
        <v>55.4</v>
      </c>
      <c r="T13" s="36">
        <v>51.67</v>
      </c>
      <c r="U13" s="48">
        <v>45.39</v>
      </c>
      <c r="V13" s="36">
        <v>67.884190000000004</v>
      </c>
      <c r="W13" s="36">
        <v>68.568365</v>
      </c>
      <c r="X13" s="36"/>
      <c r="Y13" s="47">
        <v>45.93</v>
      </c>
      <c r="Z13" s="47">
        <v>45.5</v>
      </c>
      <c r="AA13" s="49">
        <v>45.38</v>
      </c>
      <c r="AB13" s="47">
        <v>45.98</v>
      </c>
      <c r="AC13" s="47">
        <v>45.39</v>
      </c>
      <c r="AD13" s="47">
        <v>64.45</v>
      </c>
      <c r="AE13" s="47"/>
      <c r="AF13" s="47">
        <v>177.93314100000001</v>
      </c>
      <c r="AG13" s="47">
        <v>60.797257999999999</v>
      </c>
      <c r="AH13" s="47">
        <v>47.976934999999997</v>
      </c>
      <c r="AI13" s="53">
        <v>47.39</v>
      </c>
      <c r="AJ13" s="47">
        <v>46.54</v>
      </c>
      <c r="AK13" s="49">
        <v>45.09</v>
      </c>
      <c r="AL13" s="36"/>
      <c r="AM13" s="36"/>
      <c r="AN13" s="36"/>
      <c r="AO13" s="36"/>
      <c r="AP13" s="36"/>
      <c r="AQ13" s="36"/>
      <c r="AR13" s="36"/>
      <c r="AS13" s="36"/>
      <c r="AT13" s="36"/>
      <c r="AU13" s="36"/>
      <c r="AV13" s="36"/>
      <c r="AW13" s="36"/>
      <c r="AX13" s="36"/>
      <c r="AY13" s="36"/>
      <c r="AZ13" s="36"/>
      <c r="BA13" s="36"/>
      <c r="BB13" s="36"/>
      <c r="BC13" s="36"/>
      <c r="BD13" s="36"/>
      <c r="BE13" s="36"/>
      <c r="BF13" s="36"/>
      <c r="BG13" s="36"/>
      <c r="BH13" s="46"/>
      <c r="BI13" s="28"/>
      <c r="BJ13" s="28"/>
      <c r="BK13" s="28"/>
      <c r="BL13" s="28"/>
      <c r="BM13" s="28"/>
      <c r="BN13" s="28"/>
      <c r="BO13" s="28"/>
      <c r="BP13" s="28"/>
      <c r="BQ13" s="28"/>
      <c r="BR13" s="45"/>
      <c r="BS13" s="45"/>
      <c r="BT13" s="45"/>
      <c r="BU13" s="45"/>
      <c r="BV13" s="45"/>
      <c r="BW13" s="45"/>
      <c r="BX13" s="45"/>
      <c r="BY13" s="45"/>
    </row>
    <row r="14" spans="1:77" ht="27" x14ac:dyDescent="0.35">
      <c r="A14" s="29">
        <v>9</v>
      </c>
      <c r="B14" s="153" t="s">
        <v>3</v>
      </c>
      <c r="C14" s="199">
        <v>79.47</v>
      </c>
      <c r="D14" s="169">
        <v>49.67</v>
      </c>
      <c r="E14" s="167">
        <v>68.349999999999994</v>
      </c>
      <c r="F14" s="155">
        <v>87.58</v>
      </c>
      <c r="G14" s="168">
        <v>237.14</v>
      </c>
      <c r="H14" s="155"/>
      <c r="I14" s="181">
        <v>68.285578000000001</v>
      </c>
      <c r="J14" s="155"/>
      <c r="K14" s="175">
        <v>70.334790999999996</v>
      </c>
      <c r="L14" s="155">
        <v>68.683041000000003</v>
      </c>
      <c r="M14" s="170">
        <v>51.47</v>
      </c>
      <c r="N14" s="155">
        <v>120.83</v>
      </c>
      <c r="O14" s="168">
        <v>194.61</v>
      </c>
      <c r="Q14" s="36"/>
      <c r="R14" s="36">
        <v>66.055835000000002</v>
      </c>
      <c r="S14" s="36">
        <v>65.141924000000003</v>
      </c>
      <c r="T14" s="36">
        <v>52.820692999999999</v>
      </c>
      <c r="U14" s="36">
        <v>51.350144</v>
      </c>
      <c r="V14" s="36">
        <v>49.033437999999997</v>
      </c>
      <c r="W14" s="48">
        <v>44.031193000000002</v>
      </c>
      <c r="X14" s="36"/>
      <c r="Y14" s="47">
        <v>39.974317999999997</v>
      </c>
      <c r="Z14" s="47">
        <v>38.977046000000001</v>
      </c>
      <c r="AA14" s="49">
        <v>37.483178000000002</v>
      </c>
      <c r="AB14" s="47">
        <v>54.379469999999998</v>
      </c>
      <c r="AC14" s="47">
        <v>51.350144</v>
      </c>
      <c r="AD14" s="47">
        <v>56.950386000000002</v>
      </c>
      <c r="AE14" s="47"/>
      <c r="AF14" s="47">
        <v>185.77413799999999</v>
      </c>
      <c r="AG14" s="47">
        <v>98.172737999999995</v>
      </c>
      <c r="AH14" s="47">
        <v>39.690215000000002</v>
      </c>
      <c r="AI14" s="52">
        <v>33.600096000000001</v>
      </c>
      <c r="AJ14" s="47">
        <v>37.755488999999997</v>
      </c>
      <c r="AK14" s="47">
        <v>39.671416000000001</v>
      </c>
      <c r="AL14" s="36"/>
      <c r="AM14" s="36"/>
      <c r="AN14" s="36"/>
      <c r="AO14" s="36"/>
      <c r="AP14" s="36"/>
      <c r="AQ14" s="36"/>
      <c r="AR14" s="36"/>
      <c r="AS14" s="36"/>
      <c r="AT14" s="36"/>
      <c r="AU14" s="36"/>
      <c r="AV14" s="36"/>
      <c r="AW14" s="36"/>
      <c r="AX14" s="36"/>
      <c r="AY14" s="36"/>
      <c r="AZ14" s="36"/>
      <c r="BA14" s="36"/>
      <c r="BB14" s="36"/>
      <c r="BC14" s="36"/>
      <c r="BD14" s="36"/>
      <c r="BE14" s="36"/>
      <c r="BF14" s="36"/>
      <c r="BG14" s="36"/>
      <c r="BH14" s="46"/>
      <c r="BI14" s="28"/>
      <c r="BJ14" s="28"/>
      <c r="BK14" s="28"/>
      <c r="BL14" s="28"/>
      <c r="BM14" s="28"/>
      <c r="BN14" s="28"/>
      <c r="BO14" s="28"/>
      <c r="BP14" s="28"/>
      <c r="BQ14" s="28"/>
      <c r="BR14" s="45"/>
      <c r="BS14" s="45"/>
      <c r="BT14" s="45"/>
      <c r="BU14" s="45"/>
      <c r="BV14" s="45"/>
      <c r="BW14" s="45"/>
      <c r="BX14" s="45"/>
      <c r="BY14" s="45"/>
    </row>
    <row r="15" spans="1:77" ht="27" x14ac:dyDescent="0.35">
      <c r="A15" s="29">
        <v>10</v>
      </c>
      <c r="B15" s="152" t="s">
        <v>18</v>
      </c>
      <c r="C15" s="199">
        <v>61.918590000000002</v>
      </c>
      <c r="D15" s="167">
        <v>62.740836999999999</v>
      </c>
      <c r="E15" s="167">
        <v>63.556215999999999</v>
      </c>
      <c r="F15" s="170">
        <v>61.332785000000001</v>
      </c>
      <c r="G15" s="168">
        <v>62.111897999999997</v>
      </c>
      <c r="H15" s="155"/>
      <c r="I15" s="181">
        <v>64.861952000000002</v>
      </c>
      <c r="J15" s="155"/>
      <c r="K15" s="175">
        <v>63.634293999999997</v>
      </c>
      <c r="L15" s="155">
        <v>64.287988999999996</v>
      </c>
      <c r="M15" s="170">
        <v>62.000332999999998</v>
      </c>
      <c r="N15" s="155">
        <v>62.674104</v>
      </c>
      <c r="O15" s="168">
        <v>63.360495</v>
      </c>
      <c r="Q15" s="36"/>
      <c r="R15" s="36">
        <v>24.758717999999998</v>
      </c>
      <c r="S15" s="36">
        <v>24.749466000000002</v>
      </c>
      <c r="T15" s="48">
        <v>19.958494000000002</v>
      </c>
      <c r="U15" s="36">
        <v>21.268896999999999</v>
      </c>
      <c r="V15" s="36">
        <v>21.826519999999999</v>
      </c>
      <c r="W15" s="36">
        <v>27.610979</v>
      </c>
      <c r="X15" s="36"/>
      <c r="Y15" s="47">
        <v>21.860433</v>
      </c>
      <c r="Z15" s="47">
        <v>23.659047999999999</v>
      </c>
      <c r="AA15" s="47">
        <v>22.548342999999999</v>
      </c>
      <c r="AB15" s="49">
        <v>19.939367000000001</v>
      </c>
      <c r="AC15" s="47">
        <v>21.268896999999999</v>
      </c>
      <c r="AD15" s="47">
        <v>31.746943999999999</v>
      </c>
      <c r="AE15" s="47"/>
      <c r="AF15" s="47">
        <v>106.600942</v>
      </c>
      <c r="AG15" s="47">
        <v>42.497396000000002</v>
      </c>
      <c r="AH15" s="47">
        <v>25.398516000000001</v>
      </c>
      <c r="AI15" s="53">
        <v>23.840702</v>
      </c>
      <c r="AJ15" s="49">
        <v>19.814515</v>
      </c>
      <c r="AK15" s="47">
        <v>19.934488999999999</v>
      </c>
      <c r="AL15" s="36"/>
      <c r="AM15" s="36"/>
      <c r="AN15" s="36"/>
      <c r="AO15" s="36"/>
      <c r="AP15" s="36"/>
      <c r="AQ15" s="36"/>
      <c r="AR15" s="36"/>
      <c r="AS15" s="36"/>
      <c r="AT15" s="36"/>
      <c r="AU15" s="36"/>
      <c r="AV15" s="36"/>
      <c r="AW15" s="36"/>
      <c r="AX15" s="36"/>
      <c r="AY15" s="36"/>
      <c r="AZ15" s="36"/>
      <c r="BA15" s="36"/>
      <c r="BB15" s="36"/>
      <c r="BC15" s="36"/>
      <c r="BD15" s="36"/>
      <c r="BE15" s="36"/>
      <c r="BF15" s="36"/>
      <c r="BG15" s="36"/>
      <c r="BH15" s="46"/>
      <c r="BI15" s="28"/>
      <c r="BJ15" s="28"/>
      <c r="BK15" s="28"/>
      <c r="BL15" s="28"/>
      <c r="BM15" s="28"/>
      <c r="BN15" s="28"/>
      <c r="BO15" s="28"/>
      <c r="BP15" s="28"/>
      <c r="BQ15" s="28"/>
      <c r="BR15" s="45"/>
      <c r="BS15" s="45"/>
      <c r="BT15" s="45"/>
      <c r="BU15" s="45"/>
      <c r="BV15" s="45"/>
      <c r="BW15" s="45"/>
      <c r="BX15" s="45"/>
      <c r="BY15" s="45"/>
    </row>
    <row r="16" spans="1:77" ht="27" x14ac:dyDescent="0.35">
      <c r="A16" s="29">
        <v>11</v>
      </c>
      <c r="B16" s="152" t="s">
        <v>1446</v>
      </c>
      <c r="C16" s="199">
        <v>59.053721000000003</v>
      </c>
      <c r="D16" s="167">
        <v>59.539616000000002</v>
      </c>
      <c r="E16" s="167">
        <v>59.867089999999997</v>
      </c>
      <c r="F16" s="170">
        <v>58.733823000000001</v>
      </c>
      <c r="G16" s="168">
        <v>59.468420999999999</v>
      </c>
      <c r="H16" s="155"/>
      <c r="I16" s="181">
        <v>59.816648000000001</v>
      </c>
      <c r="J16" s="155"/>
      <c r="K16" s="175">
        <v>65.812229000000002</v>
      </c>
      <c r="L16" s="155">
        <v>62.560637999999997</v>
      </c>
      <c r="M16" s="155">
        <v>60.020798999999997</v>
      </c>
      <c r="N16" s="170">
        <v>59.580123999999998</v>
      </c>
      <c r="O16" s="168">
        <v>60.220030000000001</v>
      </c>
      <c r="Q16" s="36"/>
      <c r="R16" s="36">
        <v>53.374034000000002</v>
      </c>
      <c r="S16" s="36">
        <v>53.369149</v>
      </c>
      <c r="T16" s="36">
        <v>53.509408999999998</v>
      </c>
      <c r="U16" s="36">
        <v>53.271735</v>
      </c>
      <c r="V16" s="36">
        <v>46.999664000000003</v>
      </c>
      <c r="W16" s="48">
        <v>46.870593999999997</v>
      </c>
      <c r="X16" s="36"/>
      <c r="Y16" s="47">
        <v>53.511260999999998</v>
      </c>
      <c r="Z16" s="47">
        <v>53.257292</v>
      </c>
      <c r="AA16" s="47">
        <v>53.228861999999999</v>
      </c>
      <c r="AB16" s="49">
        <v>53.172787999999997</v>
      </c>
      <c r="AC16" s="47">
        <v>53.271735</v>
      </c>
      <c r="AD16" s="47">
        <v>58.429667000000002</v>
      </c>
      <c r="AE16" s="47"/>
      <c r="AF16" s="47">
        <v>33.062224999999998</v>
      </c>
      <c r="AG16" s="47">
        <v>25.254218000000002</v>
      </c>
      <c r="AH16" s="49">
        <v>21.486362</v>
      </c>
      <c r="AI16" s="53">
        <v>53.737893</v>
      </c>
      <c r="AJ16" s="47">
        <v>54.077883999999997</v>
      </c>
      <c r="AK16" s="47">
        <v>52.715510999999999</v>
      </c>
      <c r="AL16" s="36"/>
      <c r="AM16" s="36"/>
      <c r="AN16" s="36"/>
      <c r="AO16" s="36"/>
      <c r="AP16" s="36"/>
      <c r="AQ16" s="36"/>
      <c r="AR16" s="36"/>
      <c r="AS16" s="36"/>
      <c r="AT16" s="36"/>
      <c r="AU16" s="36"/>
      <c r="AV16" s="36"/>
      <c r="AW16" s="36"/>
      <c r="AX16" s="36"/>
      <c r="AY16" s="36"/>
      <c r="AZ16" s="36"/>
      <c r="BA16" s="36"/>
      <c r="BB16" s="36"/>
      <c r="BC16" s="36"/>
      <c r="BD16" s="36"/>
      <c r="BE16" s="36"/>
      <c r="BF16" s="36"/>
      <c r="BG16" s="36"/>
      <c r="BH16" s="46"/>
      <c r="BI16" s="28"/>
      <c r="BJ16" s="28"/>
      <c r="BK16" s="28"/>
      <c r="BL16" s="28"/>
      <c r="BM16" s="28"/>
      <c r="BN16" s="28"/>
      <c r="BO16" s="28"/>
      <c r="BP16" s="28"/>
      <c r="BQ16" s="28"/>
      <c r="BR16" s="45"/>
      <c r="BS16" s="45"/>
      <c r="BT16" s="45"/>
      <c r="BU16" s="45"/>
      <c r="BV16" s="45"/>
      <c r="BW16" s="45"/>
      <c r="BX16" s="45"/>
      <c r="BY16" s="45"/>
    </row>
    <row r="17" spans="1:77" ht="27" x14ac:dyDescent="0.35">
      <c r="A17" s="29">
        <v>12</v>
      </c>
      <c r="B17" s="153" t="s">
        <v>1456</v>
      </c>
      <c r="C17" s="199">
        <v>71.069999999999993</v>
      </c>
      <c r="D17" s="169">
        <v>46.29</v>
      </c>
      <c r="E17" s="167">
        <v>57.88</v>
      </c>
      <c r="F17" s="155">
        <v>49.87</v>
      </c>
      <c r="G17" s="168">
        <v>156.57</v>
      </c>
      <c r="H17" s="155"/>
      <c r="I17" s="181">
        <v>84.078997999999999</v>
      </c>
      <c r="J17" s="155"/>
      <c r="K17" s="175">
        <v>58.391376000000001</v>
      </c>
      <c r="L17" s="155">
        <v>52.55547</v>
      </c>
      <c r="M17" s="170">
        <v>47.680912999999997</v>
      </c>
      <c r="N17" s="155">
        <v>73.08</v>
      </c>
      <c r="O17" s="168">
        <v>209.69</v>
      </c>
      <c r="Q17" s="36"/>
      <c r="R17" s="36">
        <v>52.699129999999997</v>
      </c>
      <c r="S17" s="36">
        <v>52.940660999999999</v>
      </c>
      <c r="T17" s="36">
        <v>43.071998999999998</v>
      </c>
      <c r="U17" s="36">
        <v>38.314624999999999</v>
      </c>
      <c r="V17" s="48">
        <v>35.878883000000002</v>
      </c>
      <c r="W17" s="36">
        <v>38.544125000000001</v>
      </c>
      <c r="X17" s="36"/>
      <c r="Y17" s="47">
        <v>32.463016000000003</v>
      </c>
      <c r="Z17" s="47">
        <v>34.800632999999998</v>
      </c>
      <c r="AA17" s="49">
        <v>30.809774000000001</v>
      </c>
      <c r="AB17" s="47">
        <v>31.053585999999999</v>
      </c>
      <c r="AC17" s="47">
        <v>38.314624999999999</v>
      </c>
      <c r="AD17" s="47">
        <v>59.529823</v>
      </c>
      <c r="AE17" s="47"/>
      <c r="AF17" s="47">
        <v>178.691069</v>
      </c>
      <c r="AG17" s="47">
        <v>107.413388</v>
      </c>
      <c r="AH17" s="47">
        <v>44.246642999999999</v>
      </c>
      <c r="AI17" s="52">
        <v>37.410254999999999</v>
      </c>
      <c r="AJ17" s="47">
        <v>37.545321999999999</v>
      </c>
      <c r="AK17" s="47">
        <v>60.135598999999999</v>
      </c>
      <c r="AL17" s="36"/>
      <c r="AM17" s="36"/>
      <c r="AN17" s="36"/>
      <c r="AO17" s="36"/>
      <c r="AP17" s="36"/>
      <c r="AQ17" s="36"/>
      <c r="AR17" s="36"/>
      <c r="AS17" s="36"/>
      <c r="AT17" s="36"/>
      <c r="AU17" s="36"/>
      <c r="AV17" s="36"/>
      <c r="AW17" s="36"/>
      <c r="AX17" s="36"/>
      <c r="AY17" s="36"/>
      <c r="AZ17" s="36"/>
      <c r="BA17" s="36"/>
      <c r="BB17" s="36"/>
      <c r="BC17" s="36"/>
      <c r="BD17" s="36"/>
      <c r="BE17" s="36"/>
      <c r="BF17" s="36"/>
      <c r="BG17" s="36"/>
      <c r="BH17" s="46"/>
      <c r="BI17" s="28"/>
      <c r="BJ17" s="28"/>
      <c r="BK17" s="28"/>
      <c r="BL17" s="28"/>
      <c r="BM17" s="28"/>
      <c r="BN17" s="28"/>
      <c r="BO17" s="28"/>
      <c r="BP17" s="28"/>
      <c r="BQ17" s="28"/>
      <c r="BR17" s="45"/>
      <c r="BS17" s="45"/>
      <c r="BT17" s="45"/>
      <c r="BU17" s="45"/>
      <c r="BV17" s="45"/>
      <c r="BW17" s="45"/>
      <c r="BX17" s="45"/>
      <c r="BY17" s="45"/>
    </row>
    <row r="18" spans="1:77" ht="27" x14ac:dyDescent="0.35">
      <c r="A18" s="29">
        <v>13</v>
      </c>
      <c r="B18" s="153" t="s">
        <v>1450</v>
      </c>
      <c r="C18" s="199">
        <v>39.47</v>
      </c>
      <c r="D18" s="169">
        <v>28.21</v>
      </c>
      <c r="E18" s="167">
        <v>30.78</v>
      </c>
      <c r="F18" s="155">
        <v>32.28</v>
      </c>
      <c r="G18" s="168">
        <v>65.5</v>
      </c>
      <c r="H18" s="155"/>
      <c r="I18" s="181">
        <v>57.130594000000002</v>
      </c>
      <c r="J18" s="155"/>
      <c r="K18" s="175">
        <v>38.420444000000003</v>
      </c>
      <c r="L18" s="155">
        <v>35.560279000000001</v>
      </c>
      <c r="M18" s="170">
        <v>26.629383000000001</v>
      </c>
      <c r="N18" s="155">
        <v>47.75</v>
      </c>
      <c r="O18" s="168">
        <v>78.13</v>
      </c>
      <c r="Q18" s="36"/>
      <c r="R18" s="36">
        <v>34.838656</v>
      </c>
      <c r="S18" s="36">
        <v>35.110639999999997</v>
      </c>
      <c r="T18" s="36">
        <v>27.998328000000001</v>
      </c>
      <c r="U18" s="36">
        <v>36.483663</v>
      </c>
      <c r="V18" s="36">
        <v>25.648409000000001</v>
      </c>
      <c r="W18" s="48">
        <v>23.774899000000001</v>
      </c>
      <c r="X18" s="36"/>
      <c r="Y18" s="47">
        <v>17.297236999999999</v>
      </c>
      <c r="Z18" s="47">
        <v>20.420867999999999</v>
      </c>
      <c r="AA18" s="47">
        <v>17.161816000000002</v>
      </c>
      <c r="AB18" s="49">
        <v>16.899121999999998</v>
      </c>
      <c r="AC18" s="47">
        <v>36.483663</v>
      </c>
      <c r="AD18" s="47">
        <v>31.287212</v>
      </c>
      <c r="AE18" s="47"/>
      <c r="AF18" s="47">
        <v>107.045095</v>
      </c>
      <c r="AG18" s="47">
        <v>66.705194000000006</v>
      </c>
      <c r="AH18" s="47">
        <v>25.648371999999998</v>
      </c>
      <c r="AI18" s="52">
        <v>20.122519</v>
      </c>
      <c r="AJ18" s="47">
        <v>26.955110000000001</v>
      </c>
      <c r="AK18" s="47">
        <v>38.524461000000002</v>
      </c>
      <c r="AL18" s="36"/>
      <c r="AM18" s="36"/>
      <c r="AN18" s="36"/>
      <c r="AO18" s="36"/>
      <c r="AP18" s="36"/>
      <c r="AQ18" s="36"/>
      <c r="AR18" s="36"/>
      <c r="AS18" s="36"/>
      <c r="AT18" s="36"/>
      <c r="AU18" s="36"/>
      <c r="AV18" s="36"/>
      <c r="AW18" s="36"/>
      <c r="AX18" s="36"/>
      <c r="AY18" s="36"/>
      <c r="AZ18" s="36"/>
      <c r="BA18" s="36"/>
      <c r="BB18" s="36"/>
      <c r="BC18" s="36"/>
      <c r="BD18" s="36"/>
      <c r="BE18" s="36"/>
      <c r="BF18" s="36"/>
      <c r="BG18" s="36"/>
      <c r="BH18" s="46"/>
      <c r="BI18" s="28"/>
      <c r="BJ18" s="28"/>
      <c r="BK18" s="28"/>
      <c r="BL18" s="28"/>
      <c r="BM18" s="28"/>
      <c r="BN18" s="28"/>
      <c r="BO18" s="28"/>
      <c r="BP18" s="28"/>
      <c r="BQ18" s="28"/>
      <c r="BR18" s="45"/>
      <c r="BS18" s="45"/>
      <c r="BT18" s="45"/>
      <c r="BU18" s="45"/>
      <c r="BV18" s="45"/>
      <c r="BW18" s="45"/>
      <c r="BX18" s="45"/>
      <c r="BY18" s="45"/>
    </row>
    <row r="19" spans="1:77" ht="27" x14ac:dyDescent="0.35">
      <c r="A19" s="29">
        <v>14</v>
      </c>
      <c r="B19" s="152" t="s">
        <v>1445</v>
      </c>
      <c r="C19" s="199">
        <v>32.263061</v>
      </c>
      <c r="D19" s="169">
        <v>31.713341</v>
      </c>
      <c r="E19" s="167">
        <v>32.501683999999997</v>
      </c>
      <c r="F19" s="155">
        <v>32.289386999999998</v>
      </c>
      <c r="G19" s="168">
        <v>32.649214000000001</v>
      </c>
      <c r="H19" s="155"/>
      <c r="I19" s="181">
        <v>33.766888999999999</v>
      </c>
      <c r="J19" s="155"/>
      <c r="K19" s="175">
        <v>43.984426999999997</v>
      </c>
      <c r="L19" s="155">
        <v>38.217008999999997</v>
      </c>
      <c r="M19" s="155">
        <v>34.604266000000003</v>
      </c>
      <c r="N19" s="170">
        <v>33.790742000000002</v>
      </c>
      <c r="O19" s="168">
        <v>33.852868999999998</v>
      </c>
      <c r="Q19" s="36"/>
      <c r="R19" s="36">
        <v>61.497563</v>
      </c>
      <c r="S19" s="48">
        <v>14.593543</v>
      </c>
      <c r="T19" s="36">
        <v>22.797445</v>
      </c>
      <c r="U19" s="36">
        <v>23.402552</v>
      </c>
      <c r="V19" s="36">
        <v>33.459470000000003</v>
      </c>
      <c r="W19" s="36">
        <v>34.018352999999998</v>
      </c>
      <c r="X19" s="36"/>
      <c r="Y19" s="47" t="s">
        <v>3936</v>
      </c>
      <c r="Z19" s="49">
        <v>19.038239999999998</v>
      </c>
      <c r="AA19" s="47">
        <v>22.190639000000001</v>
      </c>
      <c r="AB19" s="47">
        <v>24.381515</v>
      </c>
      <c r="AC19" s="47">
        <v>23.402552</v>
      </c>
      <c r="AD19" s="47">
        <v>62.349538000000003</v>
      </c>
      <c r="AE19" s="47"/>
      <c r="AF19" s="47">
        <v>23.870360999999999</v>
      </c>
      <c r="AG19" s="47">
        <v>23.699166000000002</v>
      </c>
      <c r="AH19" s="47">
        <v>23.586476000000001</v>
      </c>
      <c r="AI19" s="53">
        <v>23.874721000000001</v>
      </c>
      <c r="AJ19" s="49">
        <v>22.983779999999999</v>
      </c>
      <c r="AK19" s="47">
        <v>23.600435999999998</v>
      </c>
      <c r="AL19" s="36"/>
      <c r="AM19" s="36"/>
      <c r="AN19" s="36"/>
      <c r="AO19" s="36"/>
      <c r="AP19" s="36"/>
      <c r="AQ19" s="36"/>
      <c r="AR19" s="36"/>
      <c r="AS19" s="36"/>
      <c r="AT19" s="36"/>
      <c r="AU19" s="36"/>
      <c r="AV19" s="36"/>
      <c r="AW19" s="36"/>
      <c r="AX19" s="36"/>
      <c r="AY19" s="36"/>
      <c r="AZ19" s="36"/>
      <c r="BA19" s="36"/>
      <c r="BB19" s="36"/>
      <c r="BC19" s="36"/>
      <c r="BD19" s="36"/>
      <c r="BE19" s="36"/>
      <c r="BF19" s="36"/>
      <c r="BG19" s="36"/>
      <c r="BH19" s="46"/>
      <c r="BI19" s="28"/>
      <c r="BJ19" s="28"/>
      <c r="BK19" s="28"/>
      <c r="BL19" s="28"/>
      <c r="BM19" s="28"/>
      <c r="BN19" s="28"/>
      <c r="BO19" s="28"/>
      <c r="BP19" s="28"/>
      <c r="BQ19" s="28"/>
      <c r="BR19" s="45"/>
      <c r="BS19" s="45"/>
      <c r="BT19" s="45"/>
      <c r="BU19" s="45"/>
      <c r="BV19" s="45"/>
      <c r="BW19" s="45"/>
      <c r="BX19" s="45"/>
      <c r="BY19" s="45"/>
    </row>
    <row r="20" spans="1:77" ht="27" x14ac:dyDescent="0.35">
      <c r="A20" s="29">
        <v>15</v>
      </c>
      <c r="B20" s="152" t="s">
        <v>3913</v>
      </c>
      <c r="C20" s="199">
        <v>33.69</v>
      </c>
      <c r="D20" s="169">
        <v>27.86</v>
      </c>
      <c r="E20" s="167">
        <v>34.67</v>
      </c>
      <c r="F20" s="155">
        <v>83.44</v>
      </c>
      <c r="G20" s="168">
        <v>94.06</v>
      </c>
      <c r="H20" s="155"/>
      <c r="I20" s="181">
        <v>60.576824999999999</v>
      </c>
      <c r="J20" s="155"/>
      <c r="K20" s="175">
        <v>37.993017000000002</v>
      </c>
      <c r="L20" s="170">
        <v>32.451304999999998</v>
      </c>
      <c r="M20" s="155">
        <v>57.64</v>
      </c>
      <c r="N20" s="155">
        <v>123.71</v>
      </c>
      <c r="O20" s="168">
        <v>199.49</v>
      </c>
      <c r="Q20" s="36"/>
      <c r="R20" s="36">
        <v>28.624310000000001</v>
      </c>
      <c r="S20" s="36">
        <v>28.715426000000001</v>
      </c>
      <c r="T20" s="36">
        <v>46.814101999999998</v>
      </c>
      <c r="U20" s="36">
        <v>34.702727000000003</v>
      </c>
      <c r="V20" s="48">
        <v>23.716016</v>
      </c>
      <c r="W20" s="36">
        <v>24.456119000000001</v>
      </c>
      <c r="X20" s="36"/>
      <c r="Y20" s="49">
        <v>19.721368999999999</v>
      </c>
      <c r="Z20" s="47">
        <v>24.673772</v>
      </c>
      <c r="AA20" s="47">
        <v>30.588656</v>
      </c>
      <c r="AB20" s="47">
        <v>28.678834999999999</v>
      </c>
      <c r="AC20" s="47">
        <v>34.702727000000003</v>
      </c>
      <c r="AD20" s="47">
        <v>33.599240000000002</v>
      </c>
      <c r="AE20" s="47"/>
      <c r="AF20" s="47">
        <v>149.63844499999999</v>
      </c>
      <c r="AG20" s="47">
        <v>138.24824100000001</v>
      </c>
      <c r="AH20" s="47">
        <v>47.745247999999997</v>
      </c>
      <c r="AI20" s="53">
        <v>30.88738</v>
      </c>
      <c r="AJ20" s="49">
        <v>23.250439</v>
      </c>
      <c r="AK20" s="47">
        <v>32.650264999999997</v>
      </c>
      <c r="AL20" s="36"/>
      <c r="AM20" s="36"/>
      <c r="AN20" s="36"/>
      <c r="AO20" s="36"/>
      <c r="AP20" s="36"/>
      <c r="AQ20" s="36"/>
      <c r="AR20" s="36"/>
      <c r="AS20" s="36"/>
      <c r="AT20" s="36"/>
      <c r="AU20" s="36"/>
      <c r="AV20" s="36"/>
      <c r="AW20" s="36"/>
      <c r="AX20" s="36"/>
      <c r="AY20" s="36"/>
      <c r="AZ20" s="36"/>
      <c r="BA20" s="36"/>
      <c r="BB20" s="36"/>
      <c r="BC20" s="36"/>
      <c r="BD20" s="36"/>
      <c r="BE20" s="36"/>
      <c r="BF20" s="36"/>
      <c r="BG20" s="36"/>
      <c r="BH20" s="46"/>
      <c r="BI20" s="28"/>
      <c r="BJ20" s="28"/>
      <c r="BK20" s="28"/>
      <c r="BL20" s="28"/>
      <c r="BM20" s="28"/>
      <c r="BN20" s="28"/>
      <c r="BO20" s="28"/>
      <c r="BP20" s="28"/>
      <c r="BQ20" s="28"/>
      <c r="BR20" s="45"/>
      <c r="BS20" s="45"/>
      <c r="BT20" s="45"/>
      <c r="BU20" s="45"/>
      <c r="BV20" s="45"/>
      <c r="BW20" s="45"/>
      <c r="BX20" s="45"/>
      <c r="BY20" s="45"/>
    </row>
    <row r="21" spans="1:77" ht="27" x14ac:dyDescent="0.35">
      <c r="A21" s="29">
        <v>16</v>
      </c>
      <c r="B21" s="153" t="s">
        <v>7</v>
      </c>
      <c r="C21" s="199">
        <v>31.26</v>
      </c>
      <c r="D21" s="169">
        <v>26.33</v>
      </c>
      <c r="E21" s="167">
        <v>47.61</v>
      </c>
      <c r="F21" s="155">
        <v>78.38</v>
      </c>
      <c r="G21" s="168">
        <v>125.72</v>
      </c>
      <c r="H21" s="155"/>
      <c r="I21" s="181">
        <v>71.662347999999994</v>
      </c>
      <c r="J21" s="155"/>
      <c r="K21" s="175">
        <v>36.062604999999998</v>
      </c>
      <c r="L21" s="170">
        <v>35.93</v>
      </c>
      <c r="M21" s="155">
        <v>92.53</v>
      </c>
      <c r="N21" s="155">
        <v>208.39</v>
      </c>
      <c r="O21" s="168">
        <v>360.23</v>
      </c>
      <c r="Q21" s="36"/>
      <c r="R21" s="36">
        <v>28.492497</v>
      </c>
      <c r="S21" s="36">
        <v>28.302902</v>
      </c>
      <c r="T21" s="36">
        <v>100.36159600000001</v>
      </c>
      <c r="U21" s="36">
        <v>21.091324</v>
      </c>
      <c r="V21" s="48">
        <v>19.264690999999999</v>
      </c>
      <c r="W21" s="36">
        <v>30.52131</v>
      </c>
      <c r="X21" s="36"/>
      <c r="Y21" s="47">
        <v>22.774096</v>
      </c>
      <c r="Z21" s="47">
        <v>24.963380000000001</v>
      </c>
      <c r="AA21" s="47">
        <v>32.79813</v>
      </c>
      <c r="AB21" s="47">
        <v>22.111353999999999</v>
      </c>
      <c r="AC21" s="49">
        <v>21.091324</v>
      </c>
      <c r="AD21" s="47">
        <v>30.377469000000001</v>
      </c>
      <c r="AE21" s="47"/>
      <c r="AF21" s="47">
        <v>110.278611</v>
      </c>
      <c r="AG21" s="47">
        <v>56.650022</v>
      </c>
      <c r="AH21" s="47">
        <v>24.905916000000001</v>
      </c>
      <c r="AI21" s="53">
        <v>21.417175</v>
      </c>
      <c r="AJ21" s="47">
        <v>29.948923000000001</v>
      </c>
      <c r="AK21" s="49">
        <v>19.801781999999999</v>
      </c>
      <c r="AL21" s="36"/>
      <c r="AM21" s="36"/>
      <c r="AN21" s="36"/>
      <c r="AO21" s="36"/>
      <c r="AP21" s="36"/>
      <c r="AQ21" s="36"/>
      <c r="AR21" s="36"/>
      <c r="AS21" s="36"/>
      <c r="AT21" s="36"/>
      <c r="AU21" s="36"/>
      <c r="AV21" s="36"/>
      <c r="AW21" s="36"/>
      <c r="AX21" s="36"/>
      <c r="AY21" s="36"/>
      <c r="AZ21" s="36"/>
      <c r="BA21" s="36"/>
      <c r="BB21" s="36"/>
      <c r="BC21" s="36"/>
      <c r="BD21" s="36"/>
      <c r="BE21" s="36"/>
      <c r="BF21" s="36"/>
      <c r="BG21" s="36"/>
      <c r="BH21" s="46"/>
      <c r="BI21" s="28"/>
      <c r="BJ21" s="28"/>
      <c r="BK21" s="28"/>
      <c r="BL21" s="28"/>
      <c r="BM21" s="28"/>
      <c r="BN21" s="28"/>
      <c r="BO21" s="28"/>
      <c r="BP21" s="28"/>
      <c r="BQ21" s="28"/>
      <c r="BR21" s="45"/>
      <c r="BS21" s="45"/>
      <c r="BT21" s="45"/>
      <c r="BU21" s="45"/>
      <c r="BV21" s="45"/>
      <c r="BW21" s="45"/>
      <c r="BX21" s="45"/>
      <c r="BY21" s="45"/>
    </row>
    <row r="22" spans="1:77" ht="27" x14ac:dyDescent="0.35">
      <c r="A22" s="29">
        <v>17</v>
      </c>
      <c r="B22" s="152" t="s">
        <v>1422</v>
      </c>
      <c r="C22" s="199">
        <v>23.642278000000001</v>
      </c>
      <c r="D22" s="169">
        <v>23.282133000000002</v>
      </c>
      <c r="E22" s="167">
        <v>24.095980999999998</v>
      </c>
      <c r="F22" s="155">
        <v>23.391442999999999</v>
      </c>
      <c r="G22" s="168">
        <v>24.085063000000002</v>
      </c>
      <c r="H22" s="155"/>
      <c r="I22" s="181">
        <v>23.738012000000001</v>
      </c>
      <c r="J22" s="155"/>
      <c r="K22" s="175">
        <v>31.650217999999999</v>
      </c>
      <c r="L22" s="155">
        <v>27.673922000000001</v>
      </c>
      <c r="M22" s="155">
        <v>25.462346</v>
      </c>
      <c r="N22" s="155">
        <v>24.9</v>
      </c>
      <c r="O22" s="176">
        <v>24.89</v>
      </c>
      <c r="Q22" s="36"/>
      <c r="R22" s="36">
        <v>14.664244</v>
      </c>
      <c r="S22" s="36">
        <v>14.41568</v>
      </c>
      <c r="T22" s="36">
        <v>14.32654</v>
      </c>
      <c r="U22" s="36">
        <v>14.503100999999999</v>
      </c>
      <c r="V22" s="48">
        <v>13.710167999999999</v>
      </c>
      <c r="W22" s="36">
        <v>14.910937000000001</v>
      </c>
      <c r="X22" s="36"/>
      <c r="Y22" s="49">
        <v>14.196106</v>
      </c>
      <c r="Z22" s="47">
        <v>14.445271</v>
      </c>
      <c r="AA22" s="47">
        <v>14.341246999999999</v>
      </c>
      <c r="AB22" s="47">
        <v>14.270937999999999</v>
      </c>
      <c r="AC22" s="47">
        <v>14.503100999999999</v>
      </c>
      <c r="AD22" s="47">
        <v>23.304746999999999</v>
      </c>
      <c r="AE22" s="47"/>
      <c r="AF22" s="47">
        <v>32.898296000000002</v>
      </c>
      <c r="AG22" s="47">
        <v>33.650548000000001</v>
      </c>
      <c r="AH22" s="47">
        <v>26.859351</v>
      </c>
      <c r="AI22" s="53">
        <v>17.874461</v>
      </c>
      <c r="AJ22" s="47">
        <v>14.979927</v>
      </c>
      <c r="AK22" s="49">
        <v>14.212215</v>
      </c>
      <c r="AL22" s="36"/>
      <c r="AM22" s="36"/>
      <c r="AN22" s="36"/>
      <c r="AO22" s="36"/>
      <c r="AP22" s="36"/>
      <c r="AQ22" s="36"/>
      <c r="AR22" s="36"/>
      <c r="AS22" s="36"/>
      <c r="AT22" s="36"/>
      <c r="AU22" s="36"/>
      <c r="AV22" s="36"/>
      <c r="AW22" s="36"/>
      <c r="AX22" s="36"/>
      <c r="AY22" s="36"/>
      <c r="AZ22" s="36"/>
      <c r="BA22" s="36"/>
      <c r="BB22" s="36"/>
      <c r="BC22" s="36"/>
      <c r="BD22" s="36"/>
      <c r="BE22" s="36"/>
      <c r="BF22" s="36"/>
      <c r="BG22" s="36"/>
      <c r="BH22" s="46"/>
      <c r="BI22" s="28"/>
      <c r="BJ22" s="28"/>
      <c r="BK22" s="28"/>
      <c r="BL22" s="28"/>
      <c r="BM22" s="28"/>
      <c r="BN22" s="28"/>
      <c r="BO22" s="28"/>
      <c r="BP22" s="28"/>
      <c r="BQ22" s="28"/>
      <c r="BR22" s="45"/>
      <c r="BS22" s="45"/>
      <c r="BT22" s="45"/>
      <c r="BU22" s="45"/>
      <c r="BV22" s="45"/>
      <c r="BW22" s="45"/>
      <c r="BX22" s="45"/>
      <c r="BY22" s="45"/>
    </row>
    <row r="23" spans="1:77" ht="27" x14ac:dyDescent="0.35">
      <c r="A23" s="29">
        <v>18</v>
      </c>
      <c r="B23" s="153" t="s">
        <v>5</v>
      </c>
      <c r="C23" s="199">
        <v>13.843068000000001</v>
      </c>
      <c r="D23" s="167">
        <v>13.848599999999999</v>
      </c>
      <c r="E23" s="167">
        <v>13.841953999999999</v>
      </c>
      <c r="F23" s="170">
        <v>13.782149</v>
      </c>
      <c r="G23" s="168">
        <v>13.845751999999999</v>
      </c>
      <c r="H23" s="155"/>
      <c r="I23" s="181">
        <v>14.054064</v>
      </c>
      <c r="J23" s="155"/>
      <c r="K23" s="175">
        <v>31.698816999999998</v>
      </c>
      <c r="L23" s="155">
        <v>24.320086</v>
      </c>
      <c r="M23" s="155">
        <v>19.573259</v>
      </c>
      <c r="N23" s="155">
        <v>17.606936999999999</v>
      </c>
      <c r="O23" s="176">
        <v>15.865303000000001</v>
      </c>
      <c r="Q23" s="36"/>
      <c r="R23" s="48">
        <v>13.655882</v>
      </c>
      <c r="S23" s="36">
        <v>13.767106</v>
      </c>
      <c r="T23" s="36">
        <v>13.866118999999999</v>
      </c>
      <c r="U23" s="36">
        <v>13.683441999999999</v>
      </c>
      <c r="V23" s="36">
        <v>15.476198999999999</v>
      </c>
      <c r="W23" s="36">
        <v>26.673134000000001</v>
      </c>
      <c r="X23" s="36"/>
      <c r="Y23" s="47">
        <v>13.768544</v>
      </c>
      <c r="Z23" s="47">
        <v>13.709832</v>
      </c>
      <c r="AA23" s="47">
        <v>13.754296</v>
      </c>
      <c r="AB23" s="47">
        <v>13.739477000000001</v>
      </c>
      <c r="AC23" s="49">
        <v>13.683441999999999</v>
      </c>
      <c r="AD23" s="47">
        <v>13.846237</v>
      </c>
      <c r="AE23" s="47"/>
      <c r="AF23" s="47">
        <v>135.95858100000001</v>
      </c>
      <c r="AG23" s="47">
        <v>44.465473000000003</v>
      </c>
      <c r="AH23" s="47">
        <v>19.936709</v>
      </c>
      <c r="AI23" s="53">
        <v>19.519027000000001</v>
      </c>
      <c r="AJ23" s="47">
        <v>13.943114</v>
      </c>
      <c r="AK23" s="49">
        <v>13.618682</v>
      </c>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row>
    <row r="24" spans="1:77" ht="27" x14ac:dyDescent="0.35">
      <c r="A24" s="29">
        <v>19</v>
      </c>
      <c r="B24" s="152" t="s">
        <v>1405</v>
      </c>
      <c r="C24" s="199">
        <v>17.80528</v>
      </c>
      <c r="D24" s="169">
        <v>17.184013</v>
      </c>
      <c r="E24" s="167">
        <v>18.893588999999999</v>
      </c>
      <c r="F24" s="155">
        <v>17.255447</v>
      </c>
      <c r="G24" s="168">
        <v>18.058997000000002</v>
      </c>
      <c r="H24" s="155"/>
      <c r="I24" s="181">
        <v>17.421547</v>
      </c>
      <c r="J24" s="155"/>
      <c r="K24" s="177">
        <v>17.716256999999999</v>
      </c>
      <c r="L24" s="155">
        <v>17.906261000000001</v>
      </c>
      <c r="M24" s="155">
        <v>17.873898000000001</v>
      </c>
      <c r="N24" s="155">
        <v>18.792148999999998</v>
      </c>
      <c r="O24" s="168">
        <v>18.709599999999998</v>
      </c>
      <c r="Q24" s="36"/>
      <c r="R24" s="36">
        <v>14.884015</v>
      </c>
      <c r="S24" s="36">
        <v>14.875719</v>
      </c>
      <c r="T24" s="48">
        <v>10.285456</v>
      </c>
      <c r="U24" s="36">
        <v>14.714242</v>
      </c>
      <c r="V24" s="36">
        <v>16.955068000000001</v>
      </c>
      <c r="W24" s="36">
        <v>21.411345000000001</v>
      </c>
      <c r="X24" s="36"/>
      <c r="Y24" s="47">
        <v>10.035354</v>
      </c>
      <c r="Z24" s="47">
        <v>10.008715</v>
      </c>
      <c r="AA24" s="48">
        <v>9.9801330000000004</v>
      </c>
      <c r="AB24" s="47">
        <v>9.9596330000000002</v>
      </c>
      <c r="AC24" s="47">
        <v>14.7</v>
      </c>
      <c r="AD24" s="47">
        <v>17.168254999999998</v>
      </c>
      <c r="AE24" s="47"/>
      <c r="AF24" s="47">
        <v>24.845267</v>
      </c>
      <c r="AG24" s="47">
        <v>18.504155000000001</v>
      </c>
      <c r="AH24" s="47">
        <v>12.088297000000001</v>
      </c>
      <c r="AI24" s="53">
        <v>14.029244</v>
      </c>
      <c r="AJ24" s="47">
        <v>10.332112</v>
      </c>
      <c r="AK24" s="49">
        <v>10.269507000000001</v>
      </c>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row>
    <row r="25" spans="1:77" ht="27" x14ac:dyDescent="0.35">
      <c r="A25" s="29">
        <v>20</v>
      </c>
      <c r="B25" s="153" t="s">
        <v>1423</v>
      </c>
      <c r="C25" s="199">
        <v>12.690492000000001</v>
      </c>
      <c r="D25" s="169">
        <v>12.232373000000001</v>
      </c>
      <c r="E25" s="167">
        <v>13.109788999999999</v>
      </c>
      <c r="F25" s="155">
        <v>12.237576000000001</v>
      </c>
      <c r="G25" s="168">
        <v>12.975641</v>
      </c>
      <c r="H25" s="155"/>
      <c r="I25" s="181">
        <v>12.697224</v>
      </c>
      <c r="J25" s="155"/>
      <c r="K25" s="177">
        <v>13.080658</v>
      </c>
      <c r="L25" s="155">
        <v>13.289847</v>
      </c>
      <c r="M25" s="155">
        <v>13.222301</v>
      </c>
      <c r="N25" s="155">
        <v>13.283383000000001</v>
      </c>
      <c r="O25" s="168">
        <v>13.206132999999999</v>
      </c>
      <c r="Q25" s="36"/>
      <c r="R25" s="36">
        <v>12.309856999999999</v>
      </c>
      <c r="S25" s="36">
        <v>12.126726</v>
      </c>
      <c r="T25" s="48">
        <v>2.378546</v>
      </c>
      <c r="U25" s="36">
        <v>2.3975939999999998</v>
      </c>
      <c r="V25" s="36">
        <v>3.0376650000000001</v>
      </c>
      <c r="W25" s="36">
        <v>3.957427</v>
      </c>
      <c r="X25" s="36"/>
      <c r="Y25" s="47">
        <v>2.612104</v>
      </c>
      <c r="Z25" s="49">
        <v>2.2804229999999999</v>
      </c>
      <c r="AA25" s="47">
        <v>2.8778700000000002</v>
      </c>
      <c r="AB25" s="47">
        <v>2.7082639999999998</v>
      </c>
      <c r="AC25" s="47">
        <v>2.3975939999999998</v>
      </c>
      <c r="AD25" s="47">
        <v>12.236701999999999</v>
      </c>
      <c r="AE25" s="47"/>
      <c r="AF25" s="47">
        <v>5.0319640000000003</v>
      </c>
      <c r="AG25" s="47">
        <v>5.0902940000000001</v>
      </c>
      <c r="AH25" s="47">
        <v>3.658709</v>
      </c>
      <c r="AI25" s="52">
        <v>2.3150789999999999</v>
      </c>
      <c r="AJ25" s="47">
        <v>2.3561619999999999</v>
      </c>
      <c r="AK25" s="47">
        <v>2.4515380000000002</v>
      </c>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row>
    <row r="26" spans="1:77" ht="27" x14ac:dyDescent="0.35">
      <c r="A26" s="29">
        <v>21</v>
      </c>
      <c r="B26" s="153" t="s">
        <v>1436</v>
      </c>
      <c r="C26" s="199">
        <v>11.42174</v>
      </c>
      <c r="D26" s="167">
        <v>11.876014</v>
      </c>
      <c r="E26" s="167">
        <v>11.834629</v>
      </c>
      <c r="F26" s="170">
        <v>11.239786</v>
      </c>
      <c r="G26" s="168">
        <v>11.760075000000001</v>
      </c>
      <c r="H26" s="155"/>
      <c r="I26" s="181">
        <v>11.255535999999999</v>
      </c>
      <c r="J26" s="155"/>
      <c r="K26" s="175">
        <v>20.624635999999999</v>
      </c>
      <c r="L26" s="170">
        <v>18.346153999999999</v>
      </c>
      <c r="M26" s="155">
        <v>21.471188999999999</v>
      </c>
      <c r="N26" s="155">
        <v>18.329999999999998</v>
      </c>
      <c r="O26" s="168">
        <v>13.13</v>
      </c>
      <c r="Q26" s="36"/>
      <c r="R26" s="36">
        <v>10.951333999999999</v>
      </c>
      <c r="S26" s="36">
        <v>10.963236</v>
      </c>
      <c r="T26" s="36">
        <v>54.170309000000003</v>
      </c>
      <c r="U26" s="36">
        <v>12.251068999999999</v>
      </c>
      <c r="V26" s="48">
        <v>10.051703</v>
      </c>
      <c r="W26" s="36">
        <v>11.501818999999999</v>
      </c>
      <c r="X26" s="36"/>
      <c r="Y26" s="49">
        <v>10.985128</v>
      </c>
      <c r="Z26" s="47">
        <v>24.484138000000002</v>
      </c>
      <c r="AA26" s="47">
        <v>14.510285</v>
      </c>
      <c r="AB26" s="47">
        <v>25.184752</v>
      </c>
      <c r="AC26" s="47">
        <v>12.251068999999999</v>
      </c>
      <c r="AD26" s="47">
        <v>10.99357</v>
      </c>
      <c r="AE26" s="47"/>
      <c r="AF26" s="47">
        <v>70.779948000000005</v>
      </c>
      <c r="AG26" s="47">
        <v>36.154864000000003</v>
      </c>
      <c r="AH26" s="47">
        <v>14.040191</v>
      </c>
      <c r="AI26" s="53">
        <v>12.491521000000001</v>
      </c>
      <c r="AJ26" s="49">
        <v>10.952605999999999</v>
      </c>
      <c r="AK26" s="47">
        <v>23.441320999999999</v>
      </c>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c r="BO26" s="36"/>
      <c r="BP26" s="36"/>
      <c r="BQ26" s="36"/>
    </row>
    <row r="27" spans="1:77" ht="27" x14ac:dyDescent="0.35">
      <c r="A27" s="29">
        <v>22</v>
      </c>
      <c r="B27" s="152" t="s">
        <v>1438</v>
      </c>
      <c r="C27" s="199">
        <v>11.207843</v>
      </c>
      <c r="D27" s="169">
        <v>10.773783</v>
      </c>
      <c r="E27" s="167">
        <v>11.588027</v>
      </c>
      <c r="F27" s="155">
        <v>10.927224000000001</v>
      </c>
      <c r="G27" s="168">
        <v>11.663009000000001</v>
      </c>
      <c r="H27" s="155"/>
      <c r="I27" s="181">
        <v>11.282028</v>
      </c>
      <c r="J27" s="155"/>
      <c r="K27" s="175">
        <v>12.233262</v>
      </c>
      <c r="L27" s="155">
        <v>11.756913000000001</v>
      </c>
      <c r="M27" s="155">
        <v>11.873068999999999</v>
      </c>
      <c r="N27" s="155">
        <v>11.791712</v>
      </c>
      <c r="O27" s="176">
        <v>11.662197000000001</v>
      </c>
      <c r="Q27" s="36"/>
      <c r="R27" s="48">
        <v>0.91381900000000005</v>
      </c>
      <c r="S27" s="36">
        <v>1.0256719999999999</v>
      </c>
      <c r="T27" s="36">
        <v>1.475352</v>
      </c>
      <c r="U27" s="36">
        <v>1.407124</v>
      </c>
      <c r="V27" s="36">
        <v>2.2381350000000002</v>
      </c>
      <c r="W27" s="36">
        <v>2.1916760000000002</v>
      </c>
      <c r="X27" s="36"/>
      <c r="Y27" s="49">
        <v>1.3718630000000001</v>
      </c>
      <c r="Z27" s="47">
        <v>1.745949</v>
      </c>
      <c r="AA27" s="47">
        <v>1.3739730000000001</v>
      </c>
      <c r="AB27" s="47">
        <v>1.416954</v>
      </c>
      <c r="AC27" s="47">
        <v>1.407124</v>
      </c>
      <c r="AD27" s="47">
        <v>10.805961999999999</v>
      </c>
      <c r="AE27" s="47"/>
      <c r="AF27" s="47">
        <v>3.0709420000000001</v>
      </c>
      <c r="AG27" s="47">
        <v>3.0666850000000001</v>
      </c>
      <c r="AH27" s="47">
        <v>2.5837189999999999</v>
      </c>
      <c r="AI27" s="53">
        <v>2.0402999999999998</v>
      </c>
      <c r="AJ27" s="49">
        <v>1.3988050000000001</v>
      </c>
      <c r="AK27" s="47">
        <v>1.418366</v>
      </c>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row>
    <row r="28" spans="1:77" ht="27" x14ac:dyDescent="0.35">
      <c r="A28" s="29">
        <v>23</v>
      </c>
      <c r="B28" s="152" t="s">
        <v>1414</v>
      </c>
      <c r="C28" s="199">
        <v>8.8228709999999992</v>
      </c>
      <c r="D28" s="167">
        <v>9.1876979999999993</v>
      </c>
      <c r="E28" s="167">
        <v>9.2324149999999996</v>
      </c>
      <c r="F28" s="170">
        <v>8.4740260000000003</v>
      </c>
      <c r="G28" s="168">
        <v>9.2862869999999997</v>
      </c>
      <c r="H28" s="155"/>
      <c r="I28" s="181">
        <v>8.8155560000000008</v>
      </c>
      <c r="J28" s="155"/>
      <c r="K28" s="175">
        <v>14.077173999999999</v>
      </c>
      <c r="L28" s="155">
        <v>11.791601</v>
      </c>
      <c r="M28" s="155">
        <v>10.761201</v>
      </c>
      <c r="N28" s="170">
        <v>10.157057</v>
      </c>
      <c r="O28" s="168">
        <v>10.244675000000001</v>
      </c>
      <c r="Q28" s="36"/>
      <c r="R28" s="36">
        <v>8.2163120000000003</v>
      </c>
      <c r="S28" s="36">
        <v>8.2773319999999995</v>
      </c>
      <c r="T28" s="48">
        <v>7.3272490000000001</v>
      </c>
      <c r="U28" s="36">
        <v>9.3781920000000003</v>
      </c>
      <c r="V28" s="36">
        <v>9.2754119999999993</v>
      </c>
      <c r="W28" s="36">
        <v>13.324966</v>
      </c>
      <c r="X28" s="36"/>
      <c r="Y28" s="49">
        <v>8.0431629999999998</v>
      </c>
      <c r="Z28" s="47">
        <v>8.1044959999999993</v>
      </c>
      <c r="AA28" s="47">
        <v>9.663278</v>
      </c>
      <c r="AB28" s="47">
        <v>9.4633629999999993</v>
      </c>
      <c r="AC28" s="47">
        <v>9.3781920000000003</v>
      </c>
      <c r="AD28" s="47">
        <v>8.131786</v>
      </c>
      <c r="AE28" s="47"/>
      <c r="AF28" s="47">
        <v>25.285789000000001</v>
      </c>
      <c r="AG28" s="47">
        <v>18.451986999999999</v>
      </c>
      <c r="AH28" s="47">
        <v>11.033265999999999</v>
      </c>
      <c r="AI28" s="53">
        <v>9.3502709999999993</v>
      </c>
      <c r="AJ28" s="49">
        <v>8.8212119999999992</v>
      </c>
      <c r="AK28" s="47">
        <v>9.4777509999999996</v>
      </c>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c r="BO28" s="36"/>
      <c r="BP28" s="36"/>
      <c r="BQ28" s="36"/>
    </row>
    <row r="29" spans="1:77" ht="27" x14ac:dyDescent="0.35">
      <c r="A29" s="29">
        <v>24</v>
      </c>
      <c r="B29" s="153" t="s">
        <v>2</v>
      </c>
      <c r="C29" s="199">
        <v>8.0326889999999995</v>
      </c>
      <c r="D29" s="167">
        <v>7.3064799999999996</v>
      </c>
      <c r="E29" s="167">
        <v>8.2460129999999996</v>
      </c>
      <c r="F29" s="170">
        <v>7.3020440000000004</v>
      </c>
      <c r="G29" s="168">
        <v>8.1300559999999997</v>
      </c>
      <c r="H29" s="155"/>
      <c r="I29" s="181">
        <v>7.5799459999999996</v>
      </c>
      <c r="J29" s="155"/>
      <c r="K29" s="175">
        <v>12.639528</v>
      </c>
      <c r="L29" s="155">
        <v>10.610409000000001</v>
      </c>
      <c r="M29" s="155">
        <v>11.632641</v>
      </c>
      <c r="N29" s="170">
        <v>10.495182</v>
      </c>
      <c r="O29" s="168">
        <v>46.97</v>
      </c>
      <c r="Q29" s="36"/>
      <c r="R29" s="36">
        <v>7.4029600000000002</v>
      </c>
      <c r="S29" s="48">
        <v>7.3393490000000003</v>
      </c>
      <c r="T29" s="36">
        <v>30.352397</v>
      </c>
      <c r="U29" s="36">
        <v>16.638375</v>
      </c>
      <c r="V29" s="36">
        <v>15.564017</v>
      </c>
      <c r="W29" s="36">
        <v>8.9574529999999992</v>
      </c>
      <c r="X29" s="36"/>
      <c r="Y29" s="47">
        <v>7.4838909999999998</v>
      </c>
      <c r="Z29" s="49">
        <v>6.9780889999999998</v>
      </c>
      <c r="AA29" s="47">
        <v>8.8413760000000003</v>
      </c>
      <c r="AB29" s="47">
        <v>13.732281</v>
      </c>
      <c r="AC29" s="47">
        <v>16.638375</v>
      </c>
      <c r="AD29" s="47">
        <v>7.441986</v>
      </c>
      <c r="AE29" s="47"/>
      <c r="AF29" s="47">
        <v>39.398195000000001</v>
      </c>
      <c r="AG29" s="47">
        <v>24.970780000000001</v>
      </c>
      <c r="AH29" s="47">
        <v>10.586722</v>
      </c>
      <c r="AI29" s="52">
        <v>8.0992370000000005</v>
      </c>
      <c r="AJ29" s="47">
        <v>10.154279000000001</v>
      </c>
      <c r="AK29" s="47">
        <v>15.900974</v>
      </c>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row>
    <row r="30" spans="1:77" ht="27" x14ac:dyDescent="0.35">
      <c r="A30" s="29">
        <v>25</v>
      </c>
      <c r="B30" s="153" t="s">
        <v>1391</v>
      </c>
      <c r="C30" s="199">
        <v>7.3671139999999999</v>
      </c>
      <c r="D30" s="169">
        <v>7.2945060000000002</v>
      </c>
      <c r="E30" s="167">
        <v>8.1496999999999993</v>
      </c>
      <c r="F30" s="155">
        <v>8.0922470000000004</v>
      </c>
      <c r="G30" s="168">
        <v>8.1432249999999993</v>
      </c>
      <c r="H30" s="155"/>
      <c r="I30" s="181">
        <v>7.652196</v>
      </c>
      <c r="J30" s="155"/>
      <c r="K30" s="177">
        <v>8.0791009999999996</v>
      </c>
      <c r="L30" s="155">
        <v>8.1007510000000007</v>
      </c>
      <c r="M30" s="155">
        <v>8.1667989999999993</v>
      </c>
      <c r="N30" s="155">
        <v>8.1853130000000007</v>
      </c>
      <c r="O30" s="168">
        <v>8.1207980000000006</v>
      </c>
      <c r="Q30" s="36"/>
      <c r="R30" s="48">
        <v>0.77029800000000004</v>
      </c>
      <c r="S30" s="36">
        <v>0.79803299999999999</v>
      </c>
      <c r="T30" s="36">
        <v>0.85334600000000005</v>
      </c>
      <c r="U30" s="36">
        <v>0.87457700000000005</v>
      </c>
      <c r="V30" s="36">
        <v>1.059347</v>
      </c>
      <c r="W30" s="36">
        <v>1.1732100000000001</v>
      </c>
      <c r="X30" s="36"/>
      <c r="Y30" s="47" t="s">
        <v>3936</v>
      </c>
      <c r="Z30" s="47">
        <v>0.882826</v>
      </c>
      <c r="AA30" s="49">
        <v>0.86643700000000001</v>
      </c>
      <c r="AB30" s="47">
        <v>0.887459</v>
      </c>
      <c r="AC30" s="47">
        <v>0.87457700000000005</v>
      </c>
      <c r="AD30" s="47">
        <v>7.3600519999999996</v>
      </c>
      <c r="AE30" s="47"/>
      <c r="AF30" s="47">
        <v>0.90565799999999996</v>
      </c>
      <c r="AG30" s="47">
        <v>0.89759800000000001</v>
      </c>
      <c r="AH30" s="47">
        <v>0.88042100000000001</v>
      </c>
      <c r="AI30" s="52">
        <v>0.873803</v>
      </c>
      <c r="AJ30" s="47">
        <v>0.88151900000000005</v>
      </c>
      <c r="AK30" s="47">
        <v>0.898675</v>
      </c>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c r="BO30" s="36"/>
      <c r="BP30" s="36"/>
      <c r="BQ30" s="36"/>
    </row>
    <row r="31" spans="1:77" ht="27" x14ac:dyDescent="0.35">
      <c r="A31" s="29">
        <v>26</v>
      </c>
      <c r="B31" s="153" t="s">
        <v>1</v>
      </c>
      <c r="C31" s="166">
        <v>6.7504989999999996</v>
      </c>
      <c r="D31" s="167">
        <v>7.5622439999999997</v>
      </c>
      <c r="E31" s="167">
        <v>8.1936999999999998</v>
      </c>
      <c r="F31" s="155">
        <v>6.755757</v>
      </c>
      <c r="G31" s="168">
        <v>7.486383</v>
      </c>
      <c r="H31" s="155"/>
      <c r="I31" s="181">
        <v>6.968604</v>
      </c>
      <c r="J31" s="155"/>
      <c r="K31" s="175">
        <v>13.575759</v>
      </c>
      <c r="L31" s="155">
        <v>10.276472</v>
      </c>
      <c r="M31" s="155">
        <v>9.6620150000000002</v>
      </c>
      <c r="N31" s="155">
        <v>9.0168370000000007</v>
      </c>
      <c r="O31" s="176">
        <v>8.9801040000000008</v>
      </c>
      <c r="Q31" s="36"/>
      <c r="R31" s="36">
        <v>6.7208730000000001</v>
      </c>
      <c r="S31" s="36">
        <v>6.6653180000000001</v>
      </c>
      <c r="T31" s="36">
        <v>6.5337870000000002</v>
      </c>
      <c r="U31" s="48">
        <v>5.5608430000000002</v>
      </c>
      <c r="V31" s="36">
        <v>7.5872120000000001</v>
      </c>
      <c r="W31" s="36">
        <v>8.6746879999999997</v>
      </c>
      <c r="X31" s="36"/>
      <c r="Y31" s="47">
        <v>6.3712010000000001</v>
      </c>
      <c r="Z31" s="47">
        <v>5.9646280000000003</v>
      </c>
      <c r="AA31" s="49">
        <v>5.501906</v>
      </c>
      <c r="AB31" s="47">
        <v>5.928833</v>
      </c>
      <c r="AC31" s="47">
        <v>5.5608430000000002</v>
      </c>
      <c r="AD31" s="47">
        <v>7.0371350000000001</v>
      </c>
      <c r="AE31" s="47"/>
      <c r="AF31" s="47">
        <v>46.080365</v>
      </c>
      <c r="AG31" s="47">
        <v>41.075226999999998</v>
      </c>
      <c r="AH31" s="47">
        <v>16.640592999999999</v>
      </c>
      <c r="AI31" s="53">
        <v>10.693218999999999</v>
      </c>
      <c r="AJ31" s="47">
        <v>7.1503240000000003</v>
      </c>
      <c r="AK31" s="49">
        <v>5.6370180000000003</v>
      </c>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c r="BP31" s="36"/>
      <c r="BQ31" s="36"/>
    </row>
    <row r="32" spans="1:77" ht="27" x14ac:dyDescent="0.35">
      <c r="A32" s="29">
        <v>27</v>
      </c>
      <c r="B32" s="153" t="s">
        <v>1431</v>
      </c>
      <c r="C32" s="166">
        <v>7.4428109999999998</v>
      </c>
      <c r="D32" s="167">
        <v>8.6763910000000006</v>
      </c>
      <c r="E32" s="167">
        <v>8.9145869999999992</v>
      </c>
      <c r="F32" s="155">
        <v>7.6160410000000001</v>
      </c>
      <c r="G32" s="168">
        <v>8.6951870000000007</v>
      </c>
      <c r="H32" s="155"/>
      <c r="I32" s="181">
        <v>7.7896460000000003</v>
      </c>
      <c r="J32" s="155"/>
      <c r="K32" s="177">
        <v>7.7759559999999999</v>
      </c>
      <c r="L32" s="155">
        <v>7.8741620000000001</v>
      </c>
      <c r="M32" s="155">
        <v>7.9081469999999996</v>
      </c>
      <c r="N32" s="155">
        <v>7.926291</v>
      </c>
      <c r="O32" s="168">
        <v>7.7845769999999996</v>
      </c>
      <c r="Q32" s="36"/>
      <c r="R32" s="36">
        <v>0.93189500000000003</v>
      </c>
      <c r="S32" s="48">
        <v>0.89166000000000001</v>
      </c>
      <c r="T32" s="36">
        <v>0.91525900000000004</v>
      </c>
      <c r="U32" s="36">
        <v>0.98277800000000004</v>
      </c>
      <c r="V32" s="36">
        <v>1.002707</v>
      </c>
      <c r="W32" s="36">
        <v>1.0921890000000001</v>
      </c>
      <c r="X32" s="36"/>
      <c r="Y32" s="47">
        <v>1.0419860000000001</v>
      </c>
      <c r="Z32" s="47">
        <v>0.98246299999999998</v>
      </c>
      <c r="AA32" s="47">
        <v>0.96099800000000002</v>
      </c>
      <c r="AB32" s="49">
        <v>0.92219799999999996</v>
      </c>
      <c r="AC32" s="47">
        <v>0.98277800000000004</v>
      </c>
      <c r="AD32" s="47">
        <v>6.9733939999999999</v>
      </c>
      <c r="AE32" s="47"/>
      <c r="AF32" s="47">
        <v>0.95439200000000002</v>
      </c>
      <c r="AG32" s="47">
        <v>0.96843299999999999</v>
      </c>
      <c r="AH32" s="47">
        <v>0.96120000000000005</v>
      </c>
      <c r="AI32" s="53">
        <v>0.93605400000000005</v>
      </c>
      <c r="AJ32" s="49">
        <v>0.91859599999999997</v>
      </c>
      <c r="AK32" s="47">
        <v>0.99836000000000003</v>
      </c>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c r="BM32" s="36"/>
      <c r="BN32" s="36"/>
      <c r="BO32" s="36"/>
      <c r="BP32" s="36"/>
      <c r="BQ32" s="36"/>
    </row>
    <row r="33" spans="1:69" ht="27" x14ac:dyDescent="0.35">
      <c r="A33" s="29">
        <v>28</v>
      </c>
      <c r="B33" s="153" t="s">
        <v>1449</v>
      </c>
      <c r="C33" s="199">
        <v>5.0816100000000004</v>
      </c>
      <c r="D33" s="167">
        <v>5.8892620000000004</v>
      </c>
      <c r="E33" s="167">
        <v>5.8394659999999998</v>
      </c>
      <c r="F33" s="170">
        <v>5.0492109999999997</v>
      </c>
      <c r="G33" s="168">
        <v>5.8615789999999999</v>
      </c>
      <c r="H33" s="155"/>
      <c r="I33" s="181">
        <v>6.8452809999999999</v>
      </c>
      <c r="J33" s="155"/>
      <c r="K33" s="175">
        <v>7.6410739999999997</v>
      </c>
      <c r="L33" s="155">
        <v>9.0390409999999992</v>
      </c>
      <c r="M33" s="155">
        <v>7.8507249999999997</v>
      </c>
      <c r="N33" s="155">
        <v>6.8117979999999996</v>
      </c>
      <c r="O33" s="176">
        <v>6.8030350000000004</v>
      </c>
      <c r="Q33" s="36"/>
      <c r="R33" s="36">
        <v>4.3548289999999996</v>
      </c>
      <c r="S33" s="36">
        <v>4.405519</v>
      </c>
      <c r="T33" s="48">
        <v>4.1518629999999996</v>
      </c>
      <c r="U33" s="36">
        <v>4.5412239999999997</v>
      </c>
      <c r="V33" s="36">
        <v>7.6399949999999999</v>
      </c>
      <c r="W33" s="36">
        <v>11.084069</v>
      </c>
      <c r="X33" s="36"/>
      <c r="Y33" s="47">
        <v>7.7199739999999997</v>
      </c>
      <c r="Z33" s="47">
        <v>5.6786529999999997</v>
      </c>
      <c r="AA33" s="47">
        <v>6.9562350000000004</v>
      </c>
      <c r="AB33" s="49">
        <v>4.2630150000000002</v>
      </c>
      <c r="AC33" s="47">
        <v>4.5412239999999997</v>
      </c>
      <c r="AD33" s="47">
        <v>5.1026119999999997</v>
      </c>
      <c r="AE33" s="47"/>
      <c r="AF33" s="47">
        <v>24.657084999999999</v>
      </c>
      <c r="AG33" s="47">
        <v>14.962254</v>
      </c>
      <c r="AH33" s="47">
        <v>7.9662680000000003</v>
      </c>
      <c r="AI33" s="53">
        <v>7.6292460000000002</v>
      </c>
      <c r="AJ33" s="47">
        <v>6.1869690000000004</v>
      </c>
      <c r="AK33" s="49">
        <v>4.2836489999999996</v>
      </c>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row>
    <row r="34" spans="1:69" ht="27" x14ac:dyDescent="0.35">
      <c r="A34" s="29">
        <v>29</v>
      </c>
      <c r="B34" s="153" t="s">
        <v>1440</v>
      </c>
      <c r="C34" s="199">
        <v>4.8207069999999996</v>
      </c>
      <c r="D34" s="169">
        <v>4.798845</v>
      </c>
      <c r="E34" s="167">
        <v>5.6351139999999997</v>
      </c>
      <c r="F34" s="155">
        <v>4.9170860000000003</v>
      </c>
      <c r="G34" s="168">
        <v>5.6618440000000003</v>
      </c>
      <c r="H34" s="155"/>
      <c r="I34" s="181">
        <v>5.1042110000000003</v>
      </c>
      <c r="J34" s="155"/>
      <c r="K34" s="175">
        <v>6.3413750000000002</v>
      </c>
      <c r="L34" s="155">
        <v>6.1971189999999998</v>
      </c>
      <c r="M34" s="155">
        <v>6.0621140000000002</v>
      </c>
      <c r="N34" s="155">
        <v>6.0943769999999997</v>
      </c>
      <c r="O34" s="176">
        <v>6.0604310000000003</v>
      </c>
      <c r="Q34" s="36"/>
      <c r="R34" s="48">
        <v>2.298238</v>
      </c>
      <c r="S34" s="36">
        <v>2.3113419999999998</v>
      </c>
      <c r="T34" s="36">
        <v>5.6258749999999997</v>
      </c>
      <c r="U34" s="36">
        <v>7.1085659999999997</v>
      </c>
      <c r="V34" s="36">
        <v>5.8038160000000003</v>
      </c>
      <c r="W34" s="36">
        <v>6.3134329999999999</v>
      </c>
      <c r="X34" s="36"/>
      <c r="Y34" s="47">
        <v>4.7288139999999999</v>
      </c>
      <c r="Z34" s="49">
        <v>3.5417339999999999</v>
      </c>
      <c r="AA34" s="47">
        <v>6.9782989999999998</v>
      </c>
      <c r="AB34" s="47">
        <v>6.7926650000000004</v>
      </c>
      <c r="AC34" s="47">
        <v>7.1085659999999997</v>
      </c>
      <c r="AD34" s="47">
        <v>4.8902979999999996</v>
      </c>
      <c r="AE34" s="47"/>
      <c r="AF34" s="47">
        <v>9.8667409999999993</v>
      </c>
      <c r="AG34" s="47">
        <v>9.5915490000000005</v>
      </c>
      <c r="AH34" s="47">
        <v>4.5494120000000002</v>
      </c>
      <c r="AI34" s="52">
        <v>3.0204589999999998</v>
      </c>
      <c r="AJ34" s="47">
        <v>3.0986509999999998</v>
      </c>
      <c r="AK34" s="47">
        <v>6.7408910000000004</v>
      </c>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row>
    <row r="35" spans="1:69" ht="27" x14ac:dyDescent="0.35">
      <c r="A35" s="29">
        <v>30</v>
      </c>
      <c r="B35" s="153" t="s">
        <v>1447</v>
      </c>
      <c r="C35" s="199">
        <v>4.0008109999999997</v>
      </c>
      <c r="D35" s="167">
        <v>4.7059150000000001</v>
      </c>
      <c r="E35" s="167">
        <v>4.675999</v>
      </c>
      <c r="F35" s="170">
        <v>3.9375429999999998</v>
      </c>
      <c r="G35" s="168">
        <v>4.6808649999999998</v>
      </c>
      <c r="H35" s="155"/>
      <c r="I35" s="181">
        <v>4.1408459999999998</v>
      </c>
      <c r="J35" s="155"/>
      <c r="K35" s="175">
        <v>7.010726</v>
      </c>
      <c r="L35" s="155">
        <v>7.4756419999999997</v>
      </c>
      <c r="M35" s="155">
        <v>5.5383889999999996</v>
      </c>
      <c r="N35" s="155">
        <v>5.1227320000000001</v>
      </c>
      <c r="O35" s="176">
        <v>5.0864330000000004</v>
      </c>
      <c r="Q35" s="36"/>
      <c r="R35" s="48">
        <v>2.7308180000000002</v>
      </c>
      <c r="S35" s="36">
        <v>2.745047</v>
      </c>
      <c r="T35" s="36">
        <v>2.991222</v>
      </c>
      <c r="U35" s="36">
        <v>5.0464070000000003</v>
      </c>
      <c r="V35" s="36">
        <v>11.207875</v>
      </c>
      <c r="W35" s="36">
        <v>19.292753000000001</v>
      </c>
      <c r="X35" s="36"/>
      <c r="Y35" s="49">
        <v>4.9159449999999998</v>
      </c>
      <c r="Z35" s="47">
        <v>5.2631620000000003</v>
      </c>
      <c r="AA35" s="47">
        <v>5.0101829999999996</v>
      </c>
      <c r="AB35" s="47">
        <v>4.9662660000000001</v>
      </c>
      <c r="AC35" s="47">
        <v>5.0464070000000003</v>
      </c>
      <c r="AD35" s="47">
        <v>5.0425500000000003</v>
      </c>
      <c r="AE35" s="47"/>
      <c r="AF35" s="47">
        <v>37.827463000000002</v>
      </c>
      <c r="AG35" s="47">
        <v>17.762801</v>
      </c>
      <c r="AH35" s="47">
        <v>5.4301640000000004</v>
      </c>
      <c r="AI35" s="53">
        <v>5.235112</v>
      </c>
      <c r="AJ35" s="47">
        <v>5.2860459999999998</v>
      </c>
      <c r="AK35" s="49">
        <v>4.9635449999999999</v>
      </c>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c r="BM35" s="36"/>
      <c r="BN35" s="36"/>
      <c r="BO35" s="36"/>
      <c r="BP35" s="36"/>
      <c r="BQ35" s="36"/>
    </row>
    <row r="36" spans="1:69" ht="27" x14ac:dyDescent="0.35">
      <c r="A36" s="29">
        <v>31</v>
      </c>
      <c r="B36" s="153" t="s">
        <v>4</v>
      </c>
      <c r="C36" s="199">
        <v>3.886161</v>
      </c>
      <c r="D36" s="167">
        <v>4.549919</v>
      </c>
      <c r="E36" s="167">
        <v>4.5192829999999997</v>
      </c>
      <c r="F36" s="170">
        <v>3.7196549999999999</v>
      </c>
      <c r="G36" s="168">
        <v>4.5777330000000003</v>
      </c>
      <c r="H36" s="155"/>
      <c r="I36" s="181">
        <v>3.9173870000000002</v>
      </c>
      <c r="J36" s="155"/>
      <c r="K36" s="175">
        <v>8.4837109999999996</v>
      </c>
      <c r="L36" s="155">
        <v>6.9773290000000001</v>
      </c>
      <c r="M36" s="155">
        <v>6.3239789999999996</v>
      </c>
      <c r="N36" s="155">
        <v>5.9225940000000001</v>
      </c>
      <c r="O36" s="176">
        <v>5.6392579999999999</v>
      </c>
      <c r="Q36" s="36"/>
      <c r="R36" s="36">
        <v>3.7352590000000001</v>
      </c>
      <c r="S36" s="48">
        <v>3.7348530000000002</v>
      </c>
      <c r="T36" s="36">
        <v>3.9193440000000002</v>
      </c>
      <c r="U36" s="36">
        <v>6.5688570000000004</v>
      </c>
      <c r="V36" s="36">
        <v>6.4660679999999999</v>
      </c>
      <c r="W36" s="36">
        <v>6.5621369999999999</v>
      </c>
      <c r="X36" s="36"/>
      <c r="Y36" s="47">
        <v>5.7345649999999999</v>
      </c>
      <c r="Z36" s="47">
        <v>4.968477</v>
      </c>
      <c r="AA36" s="47">
        <v>4.9603120000000001</v>
      </c>
      <c r="AB36" s="47">
        <v>5.9265220000000003</v>
      </c>
      <c r="AC36" s="47">
        <v>6.5688570000000004</v>
      </c>
      <c r="AD36" s="49">
        <v>3.7237450000000001</v>
      </c>
      <c r="AE36" s="47"/>
      <c r="AF36" s="47">
        <v>29.066706</v>
      </c>
      <c r="AG36" s="47">
        <v>18.238071000000001</v>
      </c>
      <c r="AH36" s="47">
        <v>10.746964</v>
      </c>
      <c r="AI36" s="53">
        <v>7.8326770000000003</v>
      </c>
      <c r="AJ36" s="49">
        <v>5.2079279999999999</v>
      </c>
      <c r="AK36" s="47">
        <v>5.373297</v>
      </c>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c r="BM36" s="36"/>
      <c r="BN36" s="36"/>
      <c r="BO36" s="36"/>
      <c r="BP36" s="36"/>
      <c r="BQ36" s="36"/>
    </row>
    <row r="37" spans="1:69" ht="27" x14ac:dyDescent="0.35">
      <c r="A37" s="29">
        <v>32</v>
      </c>
      <c r="B37" s="153" t="s">
        <v>1433</v>
      </c>
      <c r="C37" s="199">
        <v>3.8999489999999999</v>
      </c>
      <c r="D37" s="167">
        <v>4.5438599999999996</v>
      </c>
      <c r="E37" s="167">
        <v>5.3870820000000004</v>
      </c>
      <c r="F37" s="170">
        <v>3.6595110000000002</v>
      </c>
      <c r="G37" s="168">
        <v>4.4914350000000001</v>
      </c>
      <c r="H37" s="155"/>
      <c r="I37" s="181">
        <v>3.8337750000000002</v>
      </c>
      <c r="J37" s="155"/>
      <c r="K37" s="175">
        <v>5.5282150000000003</v>
      </c>
      <c r="L37" s="155">
        <v>5.5916920000000001</v>
      </c>
      <c r="M37" s="155">
        <v>6.1420190000000003</v>
      </c>
      <c r="N37" s="155">
        <v>6.6177700000000002</v>
      </c>
      <c r="O37" s="176">
        <v>5.151205</v>
      </c>
      <c r="Q37" s="36"/>
      <c r="R37" s="48">
        <v>3.0170669999999999</v>
      </c>
      <c r="S37" s="36">
        <v>3.0579550000000002</v>
      </c>
      <c r="T37" s="36">
        <v>6.9285709999999998</v>
      </c>
      <c r="U37" s="36">
        <v>4.584854</v>
      </c>
      <c r="V37" s="36">
        <v>4.2570389999999998</v>
      </c>
      <c r="W37" s="36">
        <v>6.844951</v>
      </c>
      <c r="X37" s="36"/>
      <c r="Y37" s="47">
        <v>3.7684950000000002</v>
      </c>
      <c r="Z37" s="47">
        <v>7.6267189999999996</v>
      </c>
      <c r="AA37" s="47">
        <v>4.3931060000000004</v>
      </c>
      <c r="AB37" s="49">
        <v>3.2580420000000001</v>
      </c>
      <c r="AC37" s="47">
        <v>4.584854</v>
      </c>
      <c r="AD37" s="47">
        <v>3.6788080000000001</v>
      </c>
      <c r="AE37" s="47"/>
      <c r="AF37" s="47">
        <v>15.879493</v>
      </c>
      <c r="AG37" s="47">
        <v>9.7810070000000007</v>
      </c>
      <c r="AH37" s="47">
        <v>5.0213239999999999</v>
      </c>
      <c r="AI37" s="53">
        <v>4.8238430000000001</v>
      </c>
      <c r="AJ37" s="49">
        <v>4.510281</v>
      </c>
      <c r="AK37" s="47">
        <v>4.7595859999999997</v>
      </c>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c r="BM37" s="36"/>
      <c r="BN37" s="36"/>
      <c r="BO37" s="36"/>
      <c r="BP37" s="36"/>
      <c r="BQ37" s="36"/>
    </row>
    <row r="38" spans="1:69" ht="27" x14ac:dyDescent="0.35">
      <c r="A38" s="29">
        <v>33</v>
      </c>
      <c r="B38" s="153" t="s">
        <v>1404</v>
      </c>
      <c r="C38" s="199">
        <v>3.641111</v>
      </c>
      <c r="D38" s="169">
        <v>3.2633320000000001</v>
      </c>
      <c r="E38" s="167">
        <v>4.0955589999999997</v>
      </c>
      <c r="F38" s="155">
        <v>4.0313220000000003</v>
      </c>
      <c r="G38" s="168">
        <v>4.0939069999999997</v>
      </c>
      <c r="H38" s="155"/>
      <c r="I38" s="181">
        <v>3.7311160000000001</v>
      </c>
      <c r="J38" s="155"/>
      <c r="K38" s="177">
        <v>4.3569389999999997</v>
      </c>
      <c r="L38" s="155">
        <v>4.4346589999999999</v>
      </c>
      <c r="M38" s="155">
        <v>4.4001979999999996</v>
      </c>
      <c r="N38" s="155">
        <v>4.401052</v>
      </c>
      <c r="O38" s="168">
        <v>4.4023399999999997</v>
      </c>
      <c r="Q38" s="36"/>
      <c r="R38" s="48">
        <v>3.607138</v>
      </c>
      <c r="S38" s="36">
        <v>3.858053</v>
      </c>
      <c r="T38" s="36">
        <v>3.7906369999999998</v>
      </c>
      <c r="U38" s="36">
        <v>5.9706149999999996</v>
      </c>
      <c r="V38" s="36">
        <v>9.8056099999999997</v>
      </c>
      <c r="W38" s="36">
        <v>15.526032000000001</v>
      </c>
      <c r="X38" s="36"/>
      <c r="Y38" s="47">
        <v>5.9744669999999998</v>
      </c>
      <c r="Z38" s="47">
        <v>6.0800979999999996</v>
      </c>
      <c r="AA38" s="47">
        <v>6.0698290000000004</v>
      </c>
      <c r="AB38" s="47">
        <v>5.979158</v>
      </c>
      <c r="AC38" s="47">
        <v>5.9706149999999996</v>
      </c>
      <c r="AD38" s="49">
        <v>4.1194170000000003</v>
      </c>
      <c r="AE38" s="47"/>
      <c r="AF38" s="47">
        <v>19.474523999999999</v>
      </c>
      <c r="AG38" s="47">
        <v>19.652605999999999</v>
      </c>
      <c r="AH38" s="47">
        <v>15.225944999999999</v>
      </c>
      <c r="AI38" s="53">
        <v>7.6161149999999997</v>
      </c>
      <c r="AJ38" s="49">
        <v>5.9954960000000002</v>
      </c>
      <c r="AK38" s="47">
        <v>6.0241189999999998</v>
      </c>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c r="BO38" s="36"/>
      <c r="BP38" s="36"/>
      <c r="BQ38" s="36"/>
    </row>
    <row r="39" spans="1:69" ht="27" x14ac:dyDescent="0.35">
      <c r="A39" s="29">
        <v>34</v>
      </c>
      <c r="B39" s="153" t="s">
        <v>1461</v>
      </c>
      <c r="C39" s="199">
        <v>4.1356330000000003</v>
      </c>
      <c r="D39" s="167">
        <v>4.4455710000000002</v>
      </c>
      <c r="E39" s="167">
        <v>4.4484909999999998</v>
      </c>
      <c r="F39" s="170">
        <v>3.805151</v>
      </c>
      <c r="G39" s="168">
        <v>4.4546609999999998</v>
      </c>
      <c r="H39" s="155"/>
      <c r="I39" s="181">
        <v>3.8363990000000001</v>
      </c>
      <c r="J39" s="155"/>
      <c r="K39" s="175">
        <v>5.3084639999999998</v>
      </c>
      <c r="L39" s="155">
        <v>5.0061879999999999</v>
      </c>
      <c r="M39" s="155">
        <v>6.3539729999999999</v>
      </c>
      <c r="N39" s="155">
        <v>5.1817010000000003</v>
      </c>
      <c r="O39" s="176">
        <v>4.8210550000000003</v>
      </c>
      <c r="Q39" s="36"/>
      <c r="R39" s="48">
        <v>2.930409</v>
      </c>
      <c r="S39" s="36">
        <v>3.0040309999999999</v>
      </c>
      <c r="T39" s="36">
        <v>8.0475460000000005</v>
      </c>
      <c r="U39" s="36">
        <v>5.8204750000000001</v>
      </c>
      <c r="V39" s="36">
        <v>6.5761799999999999</v>
      </c>
      <c r="W39" s="36">
        <v>8.7387759999999997</v>
      </c>
      <c r="X39" s="36"/>
      <c r="Y39" s="47">
        <v>7.306724</v>
      </c>
      <c r="Z39" s="47">
        <v>5.6608270000000003</v>
      </c>
      <c r="AA39" s="47">
        <v>3.2373270000000001</v>
      </c>
      <c r="AB39" s="47">
        <v>5.1682810000000003</v>
      </c>
      <c r="AC39" s="47">
        <v>5.8204750000000001</v>
      </c>
      <c r="AD39" s="49">
        <v>3.1789939999999999</v>
      </c>
      <c r="AE39" s="47"/>
      <c r="AF39" s="47">
        <v>17.522859</v>
      </c>
      <c r="AG39" s="47">
        <v>13.057527</v>
      </c>
      <c r="AH39" s="47">
        <v>6.6693540000000002</v>
      </c>
      <c r="AI39" s="53">
        <v>5.4122669999999999</v>
      </c>
      <c r="AJ39" s="49">
        <v>3.4647009999999998</v>
      </c>
      <c r="AK39" s="47">
        <v>5.4864050000000004</v>
      </c>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c r="BO39" s="36"/>
      <c r="BP39" s="36"/>
      <c r="BQ39" s="36"/>
    </row>
    <row r="40" spans="1:69" ht="27" x14ac:dyDescent="0.35">
      <c r="A40" s="29">
        <v>35</v>
      </c>
      <c r="B40" s="153" t="s">
        <v>1448</v>
      </c>
      <c r="C40" s="199">
        <v>3.7711070000000002</v>
      </c>
      <c r="D40" s="167">
        <v>3.9782419999999998</v>
      </c>
      <c r="E40" s="167">
        <v>3.9501140000000001</v>
      </c>
      <c r="F40" s="170">
        <v>3.1349040000000001</v>
      </c>
      <c r="G40" s="168">
        <v>4.0252759999999999</v>
      </c>
      <c r="H40" s="155"/>
      <c r="I40" s="181">
        <v>3.4353509999999998</v>
      </c>
      <c r="J40" s="155"/>
      <c r="K40" s="175">
        <v>5.7415690000000001</v>
      </c>
      <c r="L40" s="155">
        <v>4.7656539999999996</v>
      </c>
      <c r="M40" s="155">
        <v>4.6502309999999998</v>
      </c>
      <c r="N40" s="155">
        <v>4.5646839999999997</v>
      </c>
      <c r="O40" s="176">
        <v>4.5613029999999997</v>
      </c>
      <c r="Q40" s="36"/>
      <c r="R40" s="36">
        <v>1.751118</v>
      </c>
      <c r="S40" s="48">
        <v>1.6193029999999999</v>
      </c>
      <c r="T40" s="36">
        <v>11.312514999999999</v>
      </c>
      <c r="U40" s="36">
        <v>2.2555290000000001</v>
      </c>
      <c r="V40" s="36">
        <v>3.395019</v>
      </c>
      <c r="W40" s="36">
        <v>3.808462</v>
      </c>
      <c r="X40" s="36"/>
      <c r="Y40" s="47">
        <v>3.5533090000000001</v>
      </c>
      <c r="Z40" s="47">
        <v>2.248777</v>
      </c>
      <c r="AA40" s="47">
        <v>3.2036150000000001</v>
      </c>
      <c r="AB40" s="47">
        <v>6.0379810000000003</v>
      </c>
      <c r="AC40" s="47">
        <v>2.2555290000000001</v>
      </c>
      <c r="AD40" s="49">
        <v>1.767763</v>
      </c>
      <c r="AE40" s="47"/>
      <c r="AF40" s="47">
        <v>11.706106</v>
      </c>
      <c r="AG40" s="47">
        <v>8.6398089999999996</v>
      </c>
      <c r="AH40" s="47">
        <v>2.9338440000000001</v>
      </c>
      <c r="AI40" s="53">
        <v>2.5116809999999998</v>
      </c>
      <c r="AJ40" s="47">
        <v>8.3705219999999994</v>
      </c>
      <c r="AK40" s="49">
        <v>2.2846540000000002</v>
      </c>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c r="BO40" s="36"/>
      <c r="BP40" s="36"/>
      <c r="BQ40" s="36"/>
    </row>
    <row r="41" spans="1:69" ht="27" x14ac:dyDescent="0.35">
      <c r="A41" s="29">
        <v>36</v>
      </c>
      <c r="B41" s="153" t="s">
        <v>1425</v>
      </c>
      <c r="C41" s="199">
        <v>3.2612990000000002</v>
      </c>
      <c r="D41" s="169">
        <v>2.9203489999999999</v>
      </c>
      <c r="E41" s="167">
        <v>4.6497830000000002</v>
      </c>
      <c r="F41" s="155">
        <v>2.937246</v>
      </c>
      <c r="G41" s="168">
        <v>3.807124</v>
      </c>
      <c r="H41" s="155"/>
      <c r="I41" s="181">
        <v>3.2148729999999999</v>
      </c>
      <c r="J41" s="155"/>
      <c r="K41" s="177">
        <v>3.9362720000000002</v>
      </c>
      <c r="L41" s="155">
        <v>5.147691</v>
      </c>
      <c r="M41" s="155">
        <v>4.9106370000000004</v>
      </c>
      <c r="N41" s="155">
        <v>4.0655580000000002</v>
      </c>
      <c r="O41" s="168">
        <v>4.028359</v>
      </c>
      <c r="Q41" s="36"/>
      <c r="R41" s="36">
        <v>2.1273040000000001</v>
      </c>
      <c r="S41" s="48">
        <v>2.1008070000000001</v>
      </c>
      <c r="T41" s="36">
        <v>2.4339580000000001</v>
      </c>
      <c r="U41" s="36">
        <v>3.1790609999999999</v>
      </c>
      <c r="V41" s="36">
        <v>3.714137</v>
      </c>
      <c r="W41" s="36">
        <v>2.9309440000000002</v>
      </c>
      <c r="X41" s="36"/>
      <c r="Y41" s="49">
        <v>2.3914149999999998</v>
      </c>
      <c r="Z41" s="47">
        <v>3.7774890000000001</v>
      </c>
      <c r="AA41" s="47">
        <v>3.4358789999999999</v>
      </c>
      <c r="AB41" s="47">
        <v>3.2151559999999999</v>
      </c>
      <c r="AC41" s="47">
        <v>3.1790609999999999</v>
      </c>
      <c r="AD41" s="47">
        <v>2.4155519999999999</v>
      </c>
      <c r="AE41" s="47"/>
      <c r="AF41" s="47">
        <v>12.362553</v>
      </c>
      <c r="AG41" s="47">
        <v>11.737031999999999</v>
      </c>
      <c r="AH41" s="47">
        <v>7.3457619999999997</v>
      </c>
      <c r="AI41" s="53">
        <v>4.758845</v>
      </c>
      <c r="AJ41" s="47">
        <v>3.4009459999999998</v>
      </c>
      <c r="AK41" s="49">
        <v>3.0799949999999998</v>
      </c>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c r="BO41" s="36"/>
      <c r="BP41" s="36"/>
      <c r="BQ41" s="36"/>
    </row>
    <row r="42" spans="1:69" ht="27" x14ac:dyDescent="0.35">
      <c r="A42" s="29">
        <v>37</v>
      </c>
      <c r="B42" s="153" t="s">
        <v>1409</v>
      </c>
      <c r="C42" s="199">
        <v>2.8492479999999998</v>
      </c>
      <c r="D42" s="169">
        <v>2.5527690000000001</v>
      </c>
      <c r="E42" s="167">
        <v>3.3974639999999998</v>
      </c>
      <c r="F42" s="155">
        <v>2.7418260000000001</v>
      </c>
      <c r="G42" s="168">
        <v>3.398047</v>
      </c>
      <c r="H42" s="155"/>
      <c r="I42" s="181">
        <v>4.5660360000000004</v>
      </c>
      <c r="J42" s="155"/>
      <c r="K42" s="177">
        <v>3.3478080000000001</v>
      </c>
      <c r="L42" s="155">
        <v>3.4434170000000002</v>
      </c>
      <c r="M42" s="155">
        <v>3.4365199999999998</v>
      </c>
      <c r="N42" s="155">
        <v>3.4524680000000001</v>
      </c>
      <c r="O42" s="168">
        <v>3.4678450000000001</v>
      </c>
      <c r="Q42" s="36"/>
      <c r="R42" s="36">
        <v>3.1850529999999999</v>
      </c>
      <c r="S42" s="36">
        <v>3.1772360000000002</v>
      </c>
      <c r="T42" s="36">
        <v>4.2090759999999996</v>
      </c>
      <c r="U42" s="48">
        <v>1.4357489999999999</v>
      </c>
      <c r="V42" s="36">
        <v>3.820751</v>
      </c>
      <c r="W42" s="36">
        <v>3.5623179999999999</v>
      </c>
      <c r="X42" s="36"/>
      <c r="Y42" s="47">
        <v>2.837418</v>
      </c>
      <c r="Z42" s="47">
        <v>2.888144</v>
      </c>
      <c r="AA42" s="47">
        <v>1.4432940000000001</v>
      </c>
      <c r="AB42" s="47">
        <v>1.544789</v>
      </c>
      <c r="AC42" s="49">
        <v>1.4357489999999999</v>
      </c>
      <c r="AD42" s="47">
        <v>3.230728</v>
      </c>
      <c r="AE42" s="47"/>
      <c r="AF42" s="47">
        <v>5.9929649999999999</v>
      </c>
      <c r="AG42" s="47">
        <v>5.9242460000000001</v>
      </c>
      <c r="AH42" s="47">
        <v>2.842937</v>
      </c>
      <c r="AI42" s="53">
        <v>2.0374910000000002</v>
      </c>
      <c r="AJ42" s="47">
        <v>1.607669</v>
      </c>
      <c r="AK42" s="49">
        <v>1.421513</v>
      </c>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c r="BM42" s="36"/>
      <c r="BN42" s="36"/>
      <c r="BO42" s="36"/>
      <c r="BP42" s="36"/>
      <c r="BQ42" s="36"/>
    </row>
    <row r="43" spans="1:69" ht="27" x14ac:dyDescent="0.35">
      <c r="A43" s="29">
        <v>38</v>
      </c>
      <c r="B43" s="152" t="s">
        <v>1434</v>
      </c>
      <c r="C43" s="199">
        <v>2.754518</v>
      </c>
      <c r="D43" s="167">
        <v>3.1589119999999999</v>
      </c>
      <c r="E43" s="167">
        <v>3.18</v>
      </c>
      <c r="F43" s="170">
        <v>2.3620510000000001</v>
      </c>
      <c r="G43" s="168">
        <v>3.2141229999999998</v>
      </c>
      <c r="H43" s="155"/>
      <c r="I43" s="181">
        <v>2.4138410000000001</v>
      </c>
      <c r="J43" s="155"/>
      <c r="K43" s="175">
        <v>5.1510870000000004</v>
      </c>
      <c r="L43" s="155">
        <v>5.9023089999999998</v>
      </c>
      <c r="M43" s="155">
        <v>4.2023039999999998</v>
      </c>
      <c r="N43" s="155">
        <v>3.4080059999999999</v>
      </c>
      <c r="O43" s="176">
        <v>3.357167</v>
      </c>
      <c r="Q43" s="36"/>
      <c r="R43" s="48">
        <v>1.619448</v>
      </c>
      <c r="S43" s="36">
        <v>1.747843</v>
      </c>
      <c r="T43" s="36">
        <v>1.8202449999999999</v>
      </c>
      <c r="U43" s="36">
        <v>2.9475910000000001</v>
      </c>
      <c r="V43" s="36">
        <v>6.1847139999999996</v>
      </c>
      <c r="W43" s="36">
        <v>11.213214000000001</v>
      </c>
      <c r="X43" s="36"/>
      <c r="Y43" s="47">
        <v>3.1606559999999999</v>
      </c>
      <c r="Z43" s="47">
        <v>2.9095740000000001</v>
      </c>
      <c r="AA43" s="47">
        <v>3.0565950000000002</v>
      </c>
      <c r="AB43" s="47">
        <v>2.8557570000000001</v>
      </c>
      <c r="AC43" s="47">
        <v>2.9475910000000001</v>
      </c>
      <c r="AD43" s="49">
        <v>2.251614</v>
      </c>
      <c r="AE43" s="47"/>
      <c r="AF43" s="47">
        <v>26.685497000000002</v>
      </c>
      <c r="AG43" s="47">
        <v>26.479755000000001</v>
      </c>
      <c r="AH43" s="47">
        <v>12.449403999999999</v>
      </c>
      <c r="AI43" s="53">
        <v>7.0814329999999996</v>
      </c>
      <c r="AJ43" s="49">
        <v>2.833161</v>
      </c>
      <c r="AK43" s="47">
        <v>2.9341309999999998</v>
      </c>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row>
    <row r="44" spans="1:69" ht="27" x14ac:dyDescent="0.35">
      <c r="A44" s="29">
        <v>39</v>
      </c>
      <c r="B44" s="153" t="s">
        <v>1411</v>
      </c>
      <c r="C44" s="166">
        <v>1.958423</v>
      </c>
      <c r="D44" s="167">
        <v>2.7061799999999998</v>
      </c>
      <c r="E44" s="167">
        <v>3.5704090000000002</v>
      </c>
      <c r="F44" s="155">
        <v>2.048527</v>
      </c>
      <c r="G44" s="168">
        <v>2.6880099999999998</v>
      </c>
      <c r="H44" s="155"/>
      <c r="I44" s="181">
        <v>1.9853620000000001</v>
      </c>
      <c r="J44" s="155"/>
      <c r="K44" s="177">
        <v>2.5415079999999999</v>
      </c>
      <c r="L44" s="155">
        <v>2.7037040000000001</v>
      </c>
      <c r="M44" s="155">
        <v>2.7142390000000001</v>
      </c>
      <c r="N44" s="155">
        <v>2.7239589999999998</v>
      </c>
      <c r="O44" s="168">
        <v>2.7115909999999999</v>
      </c>
      <c r="Q44" s="36"/>
      <c r="R44" s="48">
        <v>2.2864110000000002</v>
      </c>
      <c r="S44" s="36">
        <v>2.300843</v>
      </c>
      <c r="T44" s="36">
        <v>3.4209420000000001</v>
      </c>
      <c r="U44" s="36">
        <v>2.5260210000000001</v>
      </c>
      <c r="V44" s="36">
        <v>3.3987810000000001</v>
      </c>
      <c r="W44" s="36">
        <v>4.4973419999999997</v>
      </c>
      <c r="X44" s="36"/>
      <c r="Y44" s="47">
        <v>3.4300060000000001</v>
      </c>
      <c r="Z44" s="47">
        <v>2.937573</v>
      </c>
      <c r="AA44" s="47">
        <v>2.4742250000000001</v>
      </c>
      <c r="AB44" s="49">
        <v>2.4326989999999999</v>
      </c>
      <c r="AC44" s="47">
        <v>2.5260210000000001</v>
      </c>
      <c r="AD44" s="47">
        <v>2.9773869999999998</v>
      </c>
      <c r="AE44" s="47"/>
      <c r="AF44" s="47">
        <v>6.1249459999999996</v>
      </c>
      <c r="AG44" s="47">
        <v>6.3695349999999999</v>
      </c>
      <c r="AH44" s="47">
        <v>3.8291759999999999</v>
      </c>
      <c r="AI44" s="53">
        <v>2.8253370000000002</v>
      </c>
      <c r="AJ44" s="49">
        <v>2.625896</v>
      </c>
      <c r="AK44" s="47">
        <v>2.6965620000000001</v>
      </c>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row>
    <row r="45" spans="1:69" ht="27" x14ac:dyDescent="0.35">
      <c r="A45" s="29">
        <v>40</v>
      </c>
      <c r="B45" s="152" t="s">
        <v>11</v>
      </c>
      <c r="C45" s="199">
        <v>2.5267179999999998</v>
      </c>
      <c r="D45" s="169">
        <v>1.745098</v>
      </c>
      <c r="E45" s="167">
        <v>2.6336360000000001</v>
      </c>
      <c r="F45" s="155">
        <v>2.0667589999999998</v>
      </c>
      <c r="G45" s="168">
        <v>2.6295630000000001</v>
      </c>
      <c r="H45" s="155"/>
      <c r="I45" s="181">
        <v>3.3782510000000001</v>
      </c>
      <c r="J45" s="155"/>
      <c r="K45" s="175">
        <v>3.9748239999999999</v>
      </c>
      <c r="L45" s="155">
        <v>5.0047879999999996</v>
      </c>
      <c r="M45" s="155">
        <v>4.7165229999999996</v>
      </c>
      <c r="N45" s="155">
        <v>3.2412570000000001</v>
      </c>
      <c r="O45" s="176">
        <v>3.23516</v>
      </c>
      <c r="Q45" s="36"/>
      <c r="R45" s="36">
        <v>2.564349</v>
      </c>
      <c r="S45" s="36">
        <v>2.5623800000000001</v>
      </c>
      <c r="T45" s="48">
        <v>0.88851800000000003</v>
      </c>
      <c r="U45" s="36">
        <v>0.918906</v>
      </c>
      <c r="V45" s="36">
        <v>1.1537630000000001</v>
      </c>
      <c r="W45" s="36">
        <v>1.967543</v>
      </c>
      <c r="X45" s="36"/>
      <c r="Y45" s="47">
        <v>0.86548899999999995</v>
      </c>
      <c r="Z45" s="49">
        <v>0.80623199999999995</v>
      </c>
      <c r="AA45" s="47">
        <v>0.82989299999999999</v>
      </c>
      <c r="AB45" s="47">
        <v>0.96807799999999999</v>
      </c>
      <c r="AC45" s="47">
        <v>0.918906</v>
      </c>
      <c r="AD45" s="47">
        <v>2.5749040000000001</v>
      </c>
      <c r="AE45" s="47"/>
      <c r="AF45" s="47">
        <v>0.90495599999999998</v>
      </c>
      <c r="AG45" s="47">
        <v>0.91064500000000004</v>
      </c>
      <c r="AH45" s="47">
        <v>0.90869</v>
      </c>
      <c r="AI45" s="52">
        <v>0.85847099999999998</v>
      </c>
      <c r="AJ45" s="47">
        <v>0.912605</v>
      </c>
      <c r="AK45" s="47">
        <v>0.89289700000000005</v>
      </c>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c r="BO45" s="36"/>
      <c r="BP45" s="36"/>
      <c r="BQ45" s="36"/>
    </row>
    <row r="46" spans="1:69" ht="27" x14ac:dyDescent="0.35">
      <c r="A46" s="29">
        <v>41</v>
      </c>
      <c r="B46" s="153" t="s">
        <v>1408</v>
      </c>
      <c r="C46" s="199">
        <v>1.969042</v>
      </c>
      <c r="D46" s="169">
        <v>1.5082530000000001</v>
      </c>
      <c r="E46" s="167">
        <v>2.3545120000000002</v>
      </c>
      <c r="F46" s="155">
        <v>1.8024249999999999</v>
      </c>
      <c r="G46" s="168">
        <v>3.241727</v>
      </c>
      <c r="H46" s="155"/>
      <c r="I46" s="181">
        <v>1.682345</v>
      </c>
      <c r="J46" s="155"/>
      <c r="K46" s="177">
        <v>2.222766</v>
      </c>
      <c r="L46" s="155">
        <v>2.3784320000000001</v>
      </c>
      <c r="M46" s="155">
        <v>2.3714379999999999</v>
      </c>
      <c r="N46" s="155">
        <v>2.3670089999999999</v>
      </c>
      <c r="O46" s="168">
        <v>2.3541729999999998</v>
      </c>
      <c r="Q46" s="36"/>
      <c r="R46" s="36">
        <v>1.1497919999999999</v>
      </c>
      <c r="S46" s="48">
        <v>1.1062050000000001</v>
      </c>
      <c r="T46" s="36">
        <v>3.5289079999999999</v>
      </c>
      <c r="U46" s="36">
        <v>4.177575</v>
      </c>
      <c r="V46" s="36">
        <v>4.6153170000000001</v>
      </c>
      <c r="W46" s="36">
        <v>4.8095809999999997</v>
      </c>
      <c r="X46" s="36"/>
      <c r="Y46" s="47">
        <v>6.7908150000000003</v>
      </c>
      <c r="Z46" s="47">
        <v>5.3423400000000001</v>
      </c>
      <c r="AA46" s="47">
        <v>4.5182729999999998</v>
      </c>
      <c r="AB46" s="47">
        <v>4.175325</v>
      </c>
      <c r="AC46" s="47">
        <v>4.177575</v>
      </c>
      <c r="AD46" s="49">
        <v>1.445926</v>
      </c>
      <c r="AE46" s="47"/>
      <c r="AF46" s="47">
        <v>6.9071680000000004</v>
      </c>
      <c r="AG46" s="47">
        <v>6.6971160000000003</v>
      </c>
      <c r="AH46" s="47">
        <v>4.2195349999999996</v>
      </c>
      <c r="AI46" s="53">
        <v>4.0897119999999996</v>
      </c>
      <c r="AJ46" s="49">
        <v>4.0474309999999996</v>
      </c>
      <c r="AK46" s="47">
        <v>4.1016180000000002</v>
      </c>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c r="BM46" s="36"/>
      <c r="BN46" s="36"/>
      <c r="BO46" s="36"/>
      <c r="BP46" s="36"/>
      <c r="BQ46" s="36"/>
    </row>
    <row r="47" spans="1:69" ht="27" x14ac:dyDescent="0.35">
      <c r="A47" s="29">
        <v>42</v>
      </c>
      <c r="B47" s="152" t="s">
        <v>3912</v>
      </c>
      <c r="C47" s="199">
        <v>2.0002249999999999</v>
      </c>
      <c r="D47" s="167">
        <v>2.2822390000000001</v>
      </c>
      <c r="E47" s="167">
        <v>2.328303</v>
      </c>
      <c r="F47" s="170">
        <v>1.4965679999999999</v>
      </c>
      <c r="G47" s="168">
        <v>2.3413740000000001</v>
      </c>
      <c r="H47" s="155"/>
      <c r="I47" s="181">
        <v>1.571016</v>
      </c>
      <c r="J47" s="155"/>
      <c r="K47" s="177">
        <v>2.4976539999999998</v>
      </c>
      <c r="L47" s="155">
        <v>3.8372980000000001</v>
      </c>
      <c r="M47" s="155">
        <v>3.4616539999999998</v>
      </c>
      <c r="N47" s="155">
        <v>2.6126040000000001</v>
      </c>
      <c r="O47" s="168">
        <v>2.6180850000000002</v>
      </c>
      <c r="Q47" s="36"/>
      <c r="R47" s="48">
        <v>1.0675589999999999</v>
      </c>
      <c r="S47" s="36">
        <v>3.6673930000000001</v>
      </c>
      <c r="T47" s="36">
        <v>6.0054169999999996</v>
      </c>
      <c r="U47" s="36">
        <v>6.2377589999999996</v>
      </c>
      <c r="V47" s="36">
        <v>6.1438750000000004</v>
      </c>
      <c r="W47" s="36">
        <v>6.3024579999999997</v>
      </c>
      <c r="X47" s="36"/>
      <c r="Y47" s="47">
        <v>1.2674479999999999</v>
      </c>
      <c r="Z47" s="47">
        <v>1.371791</v>
      </c>
      <c r="AA47" s="47">
        <v>1.548705</v>
      </c>
      <c r="AB47" s="47">
        <v>6.4103060000000003</v>
      </c>
      <c r="AC47" s="47">
        <v>6.2377589999999996</v>
      </c>
      <c r="AD47" s="49">
        <v>1.0740229999999999</v>
      </c>
      <c r="AE47" s="47"/>
      <c r="AF47" s="47">
        <v>7.2429079999999999</v>
      </c>
      <c r="AG47" s="47">
        <v>6.2302080000000002</v>
      </c>
      <c r="AH47" s="47">
        <v>3.0055230000000002</v>
      </c>
      <c r="AI47" s="52">
        <v>2.076346</v>
      </c>
      <c r="AJ47" s="47">
        <v>4.9131790000000004</v>
      </c>
      <c r="AK47" s="47">
        <v>5.9550010000000002</v>
      </c>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c r="BM47" s="36"/>
      <c r="BN47" s="36"/>
      <c r="BO47" s="36"/>
      <c r="BP47" s="36"/>
      <c r="BQ47" s="36"/>
    </row>
    <row r="48" spans="1:69" ht="21" customHeight="1" x14ac:dyDescent="0.35">
      <c r="A48" s="29">
        <v>43</v>
      </c>
      <c r="B48" s="153" t="s">
        <v>1462</v>
      </c>
      <c r="C48" s="166">
        <v>1.740559</v>
      </c>
      <c r="D48" s="167">
        <v>2.4154979999999999</v>
      </c>
      <c r="E48" s="167">
        <v>2.421586</v>
      </c>
      <c r="F48" s="155">
        <v>1.74369</v>
      </c>
      <c r="G48" s="168">
        <v>2.4254039999999999</v>
      </c>
      <c r="H48" s="155"/>
      <c r="I48" s="181">
        <v>1.6937089999999999</v>
      </c>
      <c r="J48" s="155"/>
      <c r="K48" s="175">
        <v>2.5443289999999998</v>
      </c>
      <c r="L48" s="155">
        <v>2.5168569999999999</v>
      </c>
      <c r="M48" s="170">
        <v>2.422631</v>
      </c>
      <c r="N48" s="155">
        <v>2.5663399999999998</v>
      </c>
      <c r="O48" s="168">
        <v>2.5025019999999998</v>
      </c>
      <c r="Q48" s="36"/>
      <c r="R48" s="36">
        <v>0.49072199999999999</v>
      </c>
      <c r="S48" s="48">
        <v>0.38749099999999997</v>
      </c>
      <c r="T48" s="36">
        <v>0.49818699999999999</v>
      </c>
      <c r="U48" s="36">
        <v>0.71754899999999999</v>
      </c>
      <c r="V48" s="36">
        <v>1.0684100000000001</v>
      </c>
      <c r="W48" s="36">
        <v>1.632644</v>
      </c>
      <c r="X48" s="36"/>
      <c r="Y48" s="47">
        <v>0.71407900000000002</v>
      </c>
      <c r="Z48" s="47">
        <v>0.62813099999999999</v>
      </c>
      <c r="AA48" s="49">
        <v>0.61056699999999997</v>
      </c>
      <c r="AB48" s="47">
        <v>0.73452200000000001</v>
      </c>
      <c r="AC48" s="47">
        <v>0.71754899999999999</v>
      </c>
      <c r="AD48" s="47">
        <v>1.8323670000000001</v>
      </c>
      <c r="AE48" s="47"/>
      <c r="AF48" s="47">
        <v>0.74632600000000004</v>
      </c>
      <c r="AG48" s="47">
        <v>0.84335300000000002</v>
      </c>
      <c r="AH48" s="47">
        <v>0.64007000000000003</v>
      </c>
      <c r="AI48" s="53">
        <v>0.72130399999999995</v>
      </c>
      <c r="AJ48" s="49">
        <v>0.63005900000000004</v>
      </c>
      <c r="AK48" s="47">
        <v>0.65108900000000003</v>
      </c>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row>
    <row r="49" spans="1:69" ht="27" x14ac:dyDescent="0.35">
      <c r="A49" s="29">
        <v>44</v>
      </c>
      <c r="B49" s="153" t="s">
        <v>1437</v>
      </c>
      <c r="C49" s="199">
        <v>1.4455579999999999</v>
      </c>
      <c r="D49" s="167">
        <v>2.1516799999999998</v>
      </c>
      <c r="E49" s="167">
        <v>3.0415100000000002</v>
      </c>
      <c r="F49" s="170">
        <v>1.332689</v>
      </c>
      <c r="G49" s="168">
        <v>2.172326</v>
      </c>
      <c r="H49" s="155"/>
      <c r="I49" s="181">
        <v>1.446725</v>
      </c>
      <c r="J49" s="155"/>
      <c r="K49" s="177">
        <v>2.238883</v>
      </c>
      <c r="L49" s="155">
        <v>2.3375050000000002</v>
      </c>
      <c r="M49" s="155">
        <v>2.3409399999999998</v>
      </c>
      <c r="N49" s="155">
        <v>2.3386230000000001</v>
      </c>
      <c r="O49" s="168">
        <v>2.357993</v>
      </c>
      <c r="Q49" s="36"/>
      <c r="R49" s="48">
        <v>0.73124500000000003</v>
      </c>
      <c r="S49" s="36">
        <v>0.74217500000000003</v>
      </c>
      <c r="T49" s="36">
        <v>0.82330899999999996</v>
      </c>
      <c r="U49" s="36">
        <v>1.107861</v>
      </c>
      <c r="V49" s="36">
        <v>1.6855180000000001</v>
      </c>
      <c r="W49" s="36">
        <v>2.8502160000000001</v>
      </c>
      <c r="X49" s="36"/>
      <c r="Y49" s="47">
        <v>0.95522300000000004</v>
      </c>
      <c r="Z49" s="47">
        <v>1.072522</v>
      </c>
      <c r="AA49" s="49">
        <v>0.91146499999999997</v>
      </c>
      <c r="AB49" s="47">
        <v>1.027428</v>
      </c>
      <c r="AC49" s="47">
        <v>1.107861</v>
      </c>
      <c r="AD49" s="47">
        <v>1.1189070000000001</v>
      </c>
      <c r="AE49" s="47"/>
      <c r="AF49" s="47">
        <v>4.6114670000000002</v>
      </c>
      <c r="AG49" s="47">
        <v>4.4164440000000003</v>
      </c>
      <c r="AH49" s="47">
        <v>2.3524859999999999</v>
      </c>
      <c r="AI49" s="53">
        <v>1.3929849999999999</v>
      </c>
      <c r="AJ49" s="47">
        <v>1.2803720000000001</v>
      </c>
      <c r="AK49" s="49">
        <v>0.99224400000000001</v>
      </c>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c r="BP49" s="36"/>
      <c r="BQ49" s="36"/>
    </row>
    <row r="50" spans="1:69" ht="27" x14ac:dyDescent="0.35">
      <c r="A50" s="29">
        <v>45</v>
      </c>
      <c r="B50" s="152" t="s">
        <v>3917</v>
      </c>
      <c r="C50" s="199">
        <v>2.4054160000000002</v>
      </c>
      <c r="D50" s="169">
        <v>1.1303939999999999</v>
      </c>
      <c r="E50" s="167">
        <v>1.996453</v>
      </c>
      <c r="F50" s="155">
        <v>1.157516</v>
      </c>
      <c r="G50" s="168">
        <v>1.9973110000000001</v>
      </c>
      <c r="H50" s="155"/>
      <c r="I50" s="181">
        <v>1.3038989999999999</v>
      </c>
      <c r="J50" s="155"/>
      <c r="K50" s="175">
        <v>3.483552</v>
      </c>
      <c r="L50" s="155">
        <v>3.3173910000000002</v>
      </c>
      <c r="M50" s="155">
        <v>2.144908</v>
      </c>
      <c r="N50" s="170">
        <v>2.1356410000000001</v>
      </c>
      <c r="O50" s="168">
        <v>2.1381540000000001</v>
      </c>
      <c r="Q50" s="36"/>
      <c r="R50" s="36">
        <v>1.2897780000000001</v>
      </c>
      <c r="S50" s="48">
        <v>1.2659910000000001</v>
      </c>
      <c r="T50" s="36">
        <v>1.771131</v>
      </c>
      <c r="U50" s="36">
        <v>2.045121</v>
      </c>
      <c r="V50" s="36">
        <v>3.7644380000000002</v>
      </c>
      <c r="W50" s="36">
        <v>5.5104610000000003</v>
      </c>
      <c r="X50" s="36"/>
      <c r="Y50" s="47">
        <v>1.728583</v>
      </c>
      <c r="Z50" s="47">
        <v>1.9112150000000001</v>
      </c>
      <c r="AA50" s="47">
        <v>2.0438459999999998</v>
      </c>
      <c r="AB50" s="47">
        <v>2.085073</v>
      </c>
      <c r="AC50" s="47">
        <v>2.045121</v>
      </c>
      <c r="AD50" s="49">
        <v>1.3088630000000001</v>
      </c>
      <c r="AE50" s="47"/>
      <c r="AF50" s="47">
        <v>5.9733539999999996</v>
      </c>
      <c r="AG50" s="47">
        <v>5.5395899999999996</v>
      </c>
      <c r="AH50" s="47">
        <v>2.1997770000000001</v>
      </c>
      <c r="AI50" s="53">
        <v>2.3065820000000001</v>
      </c>
      <c r="AJ50" s="49">
        <v>1.914847</v>
      </c>
      <c r="AK50" s="47">
        <v>1.937945</v>
      </c>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c r="BM50" s="36"/>
      <c r="BN50" s="36"/>
      <c r="BO50" s="36"/>
      <c r="BP50" s="36"/>
      <c r="BQ50" s="36"/>
    </row>
    <row r="51" spans="1:69" ht="27" x14ac:dyDescent="0.35">
      <c r="A51" s="29">
        <v>46</v>
      </c>
      <c r="B51" s="153" t="s">
        <v>1346</v>
      </c>
      <c r="C51" s="166">
        <v>1.609008</v>
      </c>
      <c r="D51" s="167">
        <v>1.9767570000000001</v>
      </c>
      <c r="E51" s="167">
        <v>1.9797480000000001</v>
      </c>
      <c r="F51" s="155">
        <v>1.7733190000000001</v>
      </c>
      <c r="G51" s="168">
        <v>1.979438</v>
      </c>
      <c r="H51" s="155"/>
      <c r="I51" s="181">
        <v>1.300643</v>
      </c>
      <c r="J51" s="155"/>
      <c r="K51" s="175">
        <v>2.3722509999999999</v>
      </c>
      <c r="L51" s="155">
        <v>2.3102339999999999</v>
      </c>
      <c r="M51" s="155">
        <v>2.3090099999999998</v>
      </c>
      <c r="N51" s="170">
        <v>2.308119</v>
      </c>
      <c r="O51" s="168">
        <v>2.3199109999999998</v>
      </c>
      <c r="Q51" s="36"/>
      <c r="R51" s="36">
        <v>0.75356400000000001</v>
      </c>
      <c r="S51" s="48">
        <v>0.68957199999999996</v>
      </c>
      <c r="T51" s="36">
        <v>1.009171</v>
      </c>
      <c r="U51" s="36">
        <v>1.1198589999999999</v>
      </c>
      <c r="V51" s="36">
        <v>1.656684</v>
      </c>
      <c r="W51" s="36">
        <v>2.4768729999999999</v>
      </c>
      <c r="X51" s="36"/>
      <c r="Y51" s="47">
        <v>1.434606</v>
      </c>
      <c r="Z51" s="47">
        <v>1.374106</v>
      </c>
      <c r="AA51" s="47">
        <v>1.243671</v>
      </c>
      <c r="AB51" s="47">
        <v>1.3114030000000001</v>
      </c>
      <c r="AC51" s="47">
        <v>1.1198589999999999</v>
      </c>
      <c r="AD51" s="49">
        <v>0.79191599999999995</v>
      </c>
      <c r="AE51" s="47"/>
      <c r="AF51" s="47">
        <v>1.8702840000000001</v>
      </c>
      <c r="AG51" s="47">
        <v>1.9740839999999999</v>
      </c>
      <c r="AH51" s="47">
        <v>1.359653</v>
      </c>
      <c r="AI51" s="52">
        <v>1.1210039999999999</v>
      </c>
      <c r="AJ51" s="47">
        <v>1.1417010000000001</v>
      </c>
      <c r="AK51" s="47">
        <v>1.213155</v>
      </c>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row>
    <row r="52" spans="1:69" ht="27" x14ac:dyDescent="0.35">
      <c r="A52" s="29">
        <v>47</v>
      </c>
      <c r="B52" s="152" t="s">
        <v>1402</v>
      </c>
      <c r="C52" s="199">
        <v>1.128676</v>
      </c>
      <c r="D52" s="167">
        <v>1.686237</v>
      </c>
      <c r="E52" s="167">
        <v>1.6874499999999999</v>
      </c>
      <c r="F52" s="170">
        <v>0.82599599999999995</v>
      </c>
      <c r="G52" s="168">
        <v>1.689891</v>
      </c>
      <c r="H52" s="155"/>
      <c r="I52" s="181">
        <v>0.99414100000000005</v>
      </c>
      <c r="J52" s="155"/>
      <c r="K52" s="175">
        <v>2.5065539999999999</v>
      </c>
      <c r="L52" s="155">
        <v>2.6064050000000001</v>
      </c>
      <c r="M52" s="155">
        <v>1.757895</v>
      </c>
      <c r="N52" s="170">
        <v>1.7333190000000001</v>
      </c>
      <c r="O52" s="168">
        <v>1.7567919999999999</v>
      </c>
      <c r="Q52" s="36"/>
      <c r="R52" s="36">
        <v>0.69819500000000001</v>
      </c>
      <c r="S52" s="48">
        <v>0.69303599999999999</v>
      </c>
      <c r="T52" s="36">
        <v>0.71346200000000004</v>
      </c>
      <c r="U52" s="36">
        <v>0.75371200000000005</v>
      </c>
      <c r="V52" s="36">
        <v>1.6018619999999999</v>
      </c>
      <c r="W52" s="36">
        <v>2.1120359999999998</v>
      </c>
      <c r="X52" s="36"/>
      <c r="Y52" s="47">
        <v>0.85531000000000001</v>
      </c>
      <c r="Z52" s="47">
        <v>0.75666800000000001</v>
      </c>
      <c r="AA52" s="47">
        <v>0.75007299999999999</v>
      </c>
      <c r="AB52" s="47">
        <v>0.92179500000000003</v>
      </c>
      <c r="AC52" s="47">
        <v>0.75371200000000005</v>
      </c>
      <c r="AD52" s="49">
        <v>0.71028800000000003</v>
      </c>
      <c r="AE52" s="47"/>
      <c r="AF52" s="47">
        <v>3.37154</v>
      </c>
      <c r="AG52" s="47">
        <v>3.3495140000000001</v>
      </c>
      <c r="AH52" s="47">
        <v>1.583351</v>
      </c>
      <c r="AI52" s="53">
        <v>1.127974</v>
      </c>
      <c r="AJ52" s="49">
        <v>0.80255799999999999</v>
      </c>
      <c r="AK52" s="47">
        <v>0.94861799999999996</v>
      </c>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c r="BM52" s="36"/>
      <c r="BN52" s="36"/>
      <c r="BO52" s="36"/>
      <c r="BP52" s="36"/>
      <c r="BQ52" s="36"/>
    </row>
    <row r="53" spans="1:69" ht="27" x14ac:dyDescent="0.35">
      <c r="A53" s="29">
        <v>48</v>
      </c>
      <c r="B53" s="152" t="s">
        <v>1371</v>
      </c>
      <c r="C53" s="199">
        <v>1.1885300000000001</v>
      </c>
      <c r="D53" s="167">
        <v>1.6427389999999999</v>
      </c>
      <c r="E53" s="167">
        <v>1.6396109999999999</v>
      </c>
      <c r="F53" s="170">
        <v>0.77891999999999995</v>
      </c>
      <c r="G53" s="168">
        <v>1.6455439999999999</v>
      </c>
      <c r="H53" s="155"/>
      <c r="I53" s="181">
        <v>0.85894899999999996</v>
      </c>
      <c r="J53" s="155"/>
      <c r="K53" s="175">
        <v>1.859899</v>
      </c>
      <c r="L53" s="155">
        <v>1.6989259999999999</v>
      </c>
      <c r="M53" s="170">
        <v>1.6762060000000001</v>
      </c>
      <c r="N53" s="155">
        <v>1.685551</v>
      </c>
      <c r="O53" s="168">
        <v>1.6842200000000001</v>
      </c>
      <c r="Q53" s="36"/>
      <c r="R53" s="48">
        <v>0.44650600000000001</v>
      </c>
      <c r="S53" s="36">
        <v>0.452901</v>
      </c>
      <c r="T53" s="36">
        <v>0.46580100000000002</v>
      </c>
      <c r="U53" s="36">
        <v>0.51997800000000005</v>
      </c>
      <c r="V53" s="36">
        <v>0.79097200000000001</v>
      </c>
      <c r="W53" s="36">
        <v>1.5404899999999999</v>
      </c>
      <c r="X53" s="36"/>
      <c r="Y53" s="47">
        <v>0.48528100000000002</v>
      </c>
      <c r="Z53" s="47">
        <v>0.62544</v>
      </c>
      <c r="AA53" s="47">
        <v>0.52425200000000005</v>
      </c>
      <c r="AB53" s="47">
        <v>0.55877600000000005</v>
      </c>
      <c r="AC53" s="47">
        <v>0.51997800000000005</v>
      </c>
      <c r="AD53" s="49">
        <v>0.48383300000000001</v>
      </c>
      <c r="AE53" s="47"/>
      <c r="AF53" s="47">
        <v>3.8463880000000001</v>
      </c>
      <c r="AG53" s="47">
        <v>3.838438</v>
      </c>
      <c r="AH53" s="47">
        <v>1.9361330000000001</v>
      </c>
      <c r="AI53" s="53">
        <v>1.075196</v>
      </c>
      <c r="AJ53" s="49">
        <v>0.47320099999999998</v>
      </c>
      <c r="AK53" s="47">
        <v>0.49225099999999999</v>
      </c>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c r="BM53" s="36"/>
      <c r="BN53" s="36"/>
      <c r="BO53" s="36"/>
      <c r="BP53" s="36"/>
      <c r="BQ53" s="36"/>
    </row>
    <row r="54" spans="1:69" ht="27" x14ac:dyDescent="0.35">
      <c r="A54" s="29">
        <v>49</v>
      </c>
      <c r="B54" s="152" t="s">
        <v>3919</v>
      </c>
      <c r="C54" s="199">
        <v>0.81185799999999997</v>
      </c>
      <c r="D54" s="169">
        <v>0.47302</v>
      </c>
      <c r="E54" s="167">
        <v>1.3474079999999999</v>
      </c>
      <c r="F54" s="155">
        <v>0.91337000000000002</v>
      </c>
      <c r="G54" s="168">
        <v>1.3483449999999999</v>
      </c>
      <c r="H54" s="155"/>
      <c r="I54" s="181">
        <v>0.62366100000000002</v>
      </c>
      <c r="J54" s="155"/>
      <c r="K54" s="175">
        <v>2.5753889999999999</v>
      </c>
      <c r="L54" s="155">
        <v>2.3505379999999998</v>
      </c>
      <c r="M54" s="155">
        <v>1.519293</v>
      </c>
      <c r="N54" s="170">
        <v>1.5024109999999999</v>
      </c>
      <c r="O54" s="168">
        <v>1.5153509999999999</v>
      </c>
      <c r="Q54" s="36"/>
      <c r="R54" s="36">
        <v>9.0593999999999994E-2</v>
      </c>
      <c r="S54" s="36">
        <v>8.3215999999999998E-2</v>
      </c>
      <c r="T54" s="48">
        <v>6.5948000000000007E-2</v>
      </c>
      <c r="U54" s="36">
        <v>6.9968000000000002E-2</v>
      </c>
      <c r="V54" s="36">
        <v>9.0593999999999994E-2</v>
      </c>
      <c r="W54" s="36">
        <v>9.0593999999999994E-2</v>
      </c>
      <c r="X54" s="36"/>
      <c r="Y54" s="47">
        <v>9.9423999999999998E-2</v>
      </c>
      <c r="Z54" s="47">
        <v>7.4588000000000002E-2</v>
      </c>
      <c r="AA54" s="47">
        <v>7.0073999999999997E-2</v>
      </c>
      <c r="AB54" s="47">
        <v>7.1620000000000003E-2</v>
      </c>
      <c r="AC54" s="49">
        <v>6.9968000000000002E-2</v>
      </c>
      <c r="AD54" s="47">
        <v>1.5362180000000001</v>
      </c>
      <c r="AE54" s="47"/>
      <c r="AF54" s="47">
        <v>0.201511</v>
      </c>
      <c r="AG54" s="47">
        <v>0.20094400000000001</v>
      </c>
      <c r="AH54" s="47">
        <v>0.21540100000000001</v>
      </c>
      <c r="AI54" s="53">
        <v>0.108086</v>
      </c>
      <c r="AJ54" s="47">
        <v>7.6687000000000005E-2</v>
      </c>
      <c r="AK54" s="49">
        <v>6.6035999999999997E-2</v>
      </c>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c r="BM54" s="36"/>
      <c r="BN54" s="36"/>
      <c r="BO54" s="36"/>
      <c r="BP54" s="36"/>
      <c r="BQ54" s="36"/>
    </row>
    <row r="55" spans="1:69" ht="28" thickBot="1" x14ac:dyDescent="0.4">
      <c r="A55" s="32">
        <v>50</v>
      </c>
      <c r="B55" s="154" t="s">
        <v>3920</v>
      </c>
      <c r="C55" s="200">
        <v>0.367365</v>
      </c>
      <c r="D55" s="169">
        <v>0.36409900000000001</v>
      </c>
      <c r="E55" s="201">
        <v>0.37388900000000003</v>
      </c>
      <c r="F55" s="172">
        <v>0.37246699999999999</v>
      </c>
      <c r="G55" s="173">
        <v>1.2378739999999999</v>
      </c>
      <c r="H55" s="155"/>
      <c r="I55" s="181">
        <v>2.154563</v>
      </c>
      <c r="J55" s="155"/>
      <c r="K55" s="178">
        <v>1.4256489999999999</v>
      </c>
      <c r="L55" s="172">
        <v>1.326783</v>
      </c>
      <c r="M55" s="179">
        <v>1.313777</v>
      </c>
      <c r="N55" s="172">
        <v>1.325831</v>
      </c>
      <c r="O55" s="173">
        <v>1.332773</v>
      </c>
      <c r="Q55" s="36"/>
      <c r="R55" s="36">
        <v>0.42020400000000002</v>
      </c>
      <c r="S55" s="48">
        <v>0.34439500000000001</v>
      </c>
      <c r="T55" s="36">
        <v>0.37906899999999999</v>
      </c>
      <c r="U55" s="36">
        <v>0.40839599999999998</v>
      </c>
      <c r="V55" s="36">
        <v>0.42020400000000002</v>
      </c>
      <c r="W55" s="36">
        <v>0.42020400000000002</v>
      </c>
      <c r="X55" s="36"/>
      <c r="Y55" s="47">
        <v>0.350883</v>
      </c>
      <c r="Z55" s="49">
        <v>0.33395799999999998</v>
      </c>
      <c r="AA55" s="47">
        <v>0.34735300000000002</v>
      </c>
      <c r="AB55" s="47">
        <v>0.40576099999999998</v>
      </c>
      <c r="AC55" s="47">
        <v>0.40839599999999998</v>
      </c>
      <c r="AD55" s="47">
        <v>0.34820899999999999</v>
      </c>
      <c r="AE55" s="47"/>
      <c r="AF55" s="47">
        <v>2.3521540000000001</v>
      </c>
      <c r="AG55" s="47">
        <v>2.3990469999999999</v>
      </c>
      <c r="AH55" s="47">
        <v>1.4637290000000001</v>
      </c>
      <c r="AI55" s="54">
        <v>0.96733800000000003</v>
      </c>
      <c r="AJ55" s="49">
        <v>0.35204800000000003</v>
      </c>
      <c r="AK55" s="47">
        <v>0.37093300000000001</v>
      </c>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c r="BM55" s="36"/>
      <c r="BN55" s="36"/>
      <c r="BO55" s="36"/>
      <c r="BP55" s="36"/>
      <c r="BQ55" s="36"/>
    </row>
  </sheetData>
  <phoneticPr fontId="5" type="noConversion"/>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4014</v>
      </c>
      <c r="G2" s="37">
        <v>1</v>
      </c>
      <c r="H2" s="37">
        <v>5</v>
      </c>
      <c r="I2" s="37">
        <v>10</v>
      </c>
      <c r="J2" s="37">
        <v>20</v>
      </c>
      <c r="K2" s="37">
        <v>50</v>
      </c>
    </row>
    <row r="3" spans="4:11" ht="22" x14ac:dyDescent="0.3">
      <c r="G3" s="48">
        <v>1</v>
      </c>
      <c r="H3" s="36">
        <v>5</v>
      </c>
      <c r="I3" s="36">
        <v>10</v>
      </c>
      <c r="J3" s="36">
        <v>20</v>
      </c>
      <c r="K3" s="36">
        <v>50</v>
      </c>
    </row>
    <row r="4" spans="4:11" ht="26" x14ac:dyDescent="0.35">
      <c r="D4" s="119" t="s">
        <v>1434</v>
      </c>
      <c r="E4" s="126">
        <v>8</v>
      </c>
      <c r="G4" s="131">
        <v>77.040000000000006</v>
      </c>
      <c r="H4" s="36">
        <v>78.7</v>
      </c>
      <c r="I4" s="46">
        <v>80.73</v>
      </c>
      <c r="J4" s="36">
        <v>83.74</v>
      </c>
      <c r="K4" s="36">
        <v>84.15</v>
      </c>
    </row>
    <row r="5" spans="4:11" ht="26" x14ac:dyDescent="0.35">
      <c r="D5" s="119" t="s">
        <v>1425</v>
      </c>
      <c r="E5" s="126">
        <v>8</v>
      </c>
      <c r="G5" s="131">
        <v>314.91000000000003</v>
      </c>
      <c r="H5" s="36">
        <v>346.79</v>
      </c>
      <c r="I5" s="46">
        <v>361.58</v>
      </c>
      <c r="J5" s="36">
        <v>373.56</v>
      </c>
      <c r="K5" s="36">
        <v>459.74</v>
      </c>
    </row>
    <row r="6" spans="4:11" ht="26" x14ac:dyDescent="0.35">
      <c r="D6" s="119" t="s">
        <v>1371</v>
      </c>
      <c r="E6" s="126">
        <v>8</v>
      </c>
      <c r="G6" s="131">
        <v>8.24</v>
      </c>
      <c r="H6" s="36">
        <v>10.68</v>
      </c>
      <c r="I6" s="46">
        <v>9.3800000000000008</v>
      </c>
      <c r="J6" s="36">
        <v>13.4</v>
      </c>
      <c r="K6" s="36">
        <v>16.28</v>
      </c>
    </row>
    <row r="7" spans="4:11" ht="26" x14ac:dyDescent="0.35">
      <c r="D7" s="119" t="s">
        <v>1391</v>
      </c>
      <c r="E7" s="126">
        <v>8</v>
      </c>
      <c r="G7" s="46">
        <v>18.805613999999998</v>
      </c>
      <c r="H7" s="36">
        <v>18.904789999999998</v>
      </c>
      <c r="I7" s="131">
        <v>18.391950999999999</v>
      </c>
      <c r="J7" s="36">
        <v>18.900238000000002</v>
      </c>
      <c r="K7" s="36">
        <v>18.893045999999998</v>
      </c>
    </row>
    <row r="8" spans="4:11" ht="26" x14ac:dyDescent="0.35">
      <c r="D8" s="119" t="s">
        <v>3919</v>
      </c>
      <c r="E8" s="126">
        <v>6</v>
      </c>
      <c r="G8" s="131">
        <v>14.428466999999999</v>
      </c>
      <c r="H8" s="36">
        <v>15.304182000000001</v>
      </c>
      <c r="I8" s="46">
        <v>16.322202000000001</v>
      </c>
      <c r="J8" s="36">
        <v>16.401510999999999</v>
      </c>
      <c r="K8" s="36">
        <v>18.420000000000002</v>
      </c>
    </row>
    <row r="9" spans="4:11" ht="26" x14ac:dyDescent="0.35">
      <c r="D9" s="119" t="s">
        <v>1346</v>
      </c>
      <c r="E9" s="126">
        <v>8</v>
      </c>
      <c r="G9" s="131">
        <v>30.21</v>
      </c>
      <c r="H9" s="36">
        <v>35.42</v>
      </c>
      <c r="I9" s="46">
        <v>31.91</v>
      </c>
      <c r="J9" s="36">
        <v>39.119999999999997</v>
      </c>
      <c r="K9" s="36">
        <v>36.229999999999997</v>
      </c>
    </row>
    <row r="10" spans="4:11" ht="26" x14ac:dyDescent="0.35">
      <c r="D10" s="119" t="s">
        <v>3912</v>
      </c>
      <c r="E10" s="126">
        <v>8</v>
      </c>
      <c r="G10" s="131">
        <v>19.72</v>
      </c>
      <c r="H10" s="36">
        <v>21.48</v>
      </c>
      <c r="I10" s="46">
        <v>22.56</v>
      </c>
      <c r="J10" s="36">
        <v>22.32</v>
      </c>
      <c r="K10" s="36">
        <v>23.6</v>
      </c>
    </row>
    <row r="11" spans="4:11" ht="26" x14ac:dyDescent="0.35">
      <c r="D11" s="119" t="s">
        <v>1434</v>
      </c>
      <c r="E11" s="126">
        <v>5</v>
      </c>
      <c r="G11" s="131">
        <v>26.810158999999999</v>
      </c>
      <c r="H11" s="36">
        <v>27.03</v>
      </c>
      <c r="I11" s="46">
        <v>28.97</v>
      </c>
      <c r="J11" s="36">
        <v>30.15</v>
      </c>
      <c r="K11" s="36">
        <v>31.55</v>
      </c>
    </row>
    <row r="12" spans="4:11" ht="26" x14ac:dyDescent="0.35">
      <c r="D12" s="119" t="s">
        <v>1450</v>
      </c>
      <c r="E12" s="126">
        <v>9</v>
      </c>
      <c r="G12" s="46">
        <v>31.71</v>
      </c>
      <c r="H12" s="36">
        <v>32.32</v>
      </c>
      <c r="I12" s="131">
        <v>31.33</v>
      </c>
      <c r="J12" s="36">
        <v>31.89</v>
      </c>
      <c r="K12" s="36">
        <v>31.44</v>
      </c>
    </row>
    <row r="13" spans="4:11" ht="26" x14ac:dyDescent="0.35">
      <c r="D13" s="119" t="s">
        <v>1</v>
      </c>
      <c r="E13" s="126">
        <v>8</v>
      </c>
      <c r="G13" s="131">
        <v>178.12</v>
      </c>
      <c r="H13" s="36">
        <v>183.51</v>
      </c>
      <c r="I13" s="46">
        <v>185.28</v>
      </c>
      <c r="J13" s="36">
        <v>188.54</v>
      </c>
      <c r="K13" s="36">
        <v>201.56</v>
      </c>
    </row>
    <row r="14" spans="4:11" ht="26" x14ac:dyDescent="0.35">
      <c r="D14" s="119" t="s">
        <v>1371</v>
      </c>
      <c r="E14" s="126">
        <v>6</v>
      </c>
      <c r="G14" s="131">
        <v>35.24</v>
      </c>
      <c r="H14" s="36">
        <v>35.92</v>
      </c>
      <c r="I14" s="46">
        <v>36.520000000000003</v>
      </c>
      <c r="J14" s="36">
        <v>36.67</v>
      </c>
      <c r="K14" s="36">
        <v>37.9</v>
      </c>
    </row>
    <row r="15" spans="4:11" ht="26" x14ac:dyDescent="0.35">
      <c r="D15" s="119" t="s">
        <v>3912</v>
      </c>
      <c r="E15" s="126">
        <v>6</v>
      </c>
      <c r="G15" s="131">
        <v>56.564124</v>
      </c>
      <c r="H15" s="36">
        <v>57.61</v>
      </c>
      <c r="I15" s="46">
        <v>59.59</v>
      </c>
      <c r="J15" s="36">
        <v>60.99</v>
      </c>
      <c r="K15" s="36">
        <v>66.08</v>
      </c>
    </row>
    <row r="16" spans="4:11" ht="26" x14ac:dyDescent="0.35">
      <c r="D16" s="119" t="s">
        <v>1</v>
      </c>
      <c r="E16" s="126">
        <v>5</v>
      </c>
      <c r="G16" s="131">
        <v>52</v>
      </c>
      <c r="H16" s="36">
        <v>53.05</v>
      </c>
      <c r="I16" s="46">
        <v>52.94</v>
      </c>
      <c r="J16" s="36">
        <v>55.14</v>
      </c>
      <c r="K16" s="36">
        <v>58.28</v>
      </c>
    </row>
    <row r="17" spans="4:11" ht="26" x14ac:dyDescent="0.35">
      <c r="D17" s="119" t="s">
        <v>1450</v>
      </c>
      <c r="E17" s="126">
        <v>2</v>
      </c>
      <c r="G17" s="131">
        <v>19.39</v>
      </c>
      <c r="H17" s="36">
        <v>20.83</v>
      </c>
      <c r="I17" s="46">
        <v>23.54</v>
      </c>
      <c r="J17" s="36">
        <v>25.4</v>
      </c>
      <c r="K17" s="36">
        <v>26.61</v>
      </c>
    </row>
    <row r="18" spans="4:11" ht="26" x14ac:dyDescent="0.35">
      <c r="D18" s="119" t="s">
        <v>3912</v>
      </c>
      <c r="E18" s="126">
        <v>7</v>
      </c>
      <c r="G18" s="131">
        <v>18.91</v>
      </c>
      <c r="H18" s="36">
        <v>20.28</v>
      </c>
      <c r="I18" s="46">
        <v>21.88</v>
      </c>
      <c r="J18" s="36">
        <v>21.96</v>
      </c>
      <c r="K18" s="36">
        <v>24.24</v>
      </c>
    </row>
    <row r="19" spans="4:11" ht="26" x14ac:dyDescent="0.35">
      <c r="D19" s="119" t="s">
        <v>1436</v>
      </c>
      <c r="E19" s="126">
        <v>9</v>
      </c>
      <c r="G19" s="46">
        <v>57.78</v>
      </c>
      <c r="H19" s="36">
        <v>57.24</v>
      </c>
      <c r="I19" s="131">
        <v>52.12</v>
      </c>
      <c r="J19" s="36">
        <v>53.31</v>
      </c>
      <c r="K19" s="36">
        <v>52.71</v>
      </c>
    </row>
    <row r="20" spans="4:11" ht="26" x14ac:dyDescent="0.35">
      <c r="D20" s="119" t="s">
        <v>1433</v>
      </c>
      <c r="E20" s="126">
        <v>2</v>
      </c>
      <c r="G20" s="131">
        <v>26.82</v>
      </c>
      <c r="H20" s="36">
        <v>29.14</v>
      </c>
      <c r="I20" s="46">
        <v>31.46</v>
      </c>
      <c r="J20" s="36">
        <v>32.18</v>
      </c>
      <c r="K20" s="36">
        <v>35.75</v>
      </c>
    </row>
    <row r="21" spans="4:11" ht="26" x14ac:dyDescent="0.35">
      <c r="D21" s="119" t="s">
        <v>1434</v>
      </c>
      <c r="E21" s="126">
        <v>7</v>
      </c>
      <c r="G21" s="131">
        <v>71.010000000000005</v>
      </c>
      <c r="H21" s="36">
        <v>72.44</v>
      </c>
      <c r="I21" s="46">
        <v>72.67</v>
      </c>
      <c r="J21" s="36">
        <v>76.510000000000005</v>
      </c>
      <c r="K21" s="36">
        <v>77.94</v>
      </c>
    </row>
    <row r="22" spans="4:11" ht="26" x14ac:dyDescent="0.35">
      <c r="D22" s="119" t="s">
        <v>1450</v>
      </c>
      <c r="E22" s="126">
        <v>5</v>
      </c>
      <c r="G22" s="131">
        <v>537.62</v>
      </c>
      <c r="H22" s="36">
        <v>539.77</v>
      </c>
      <c r="I22" s="46">
        <v>540.20000000000005</v>
      </c>
      <c r="J22" s="36">
        <v>541.47</v>
      </c>
      <c r="K22" s="36">
        <v>540.38</v>
      </c>
    </row>
    <row r="23" spans="4:11" ht="26" x14ac:dyDescent="0.35">
      <c r="D23" s="119" t="s">
        <v>1461</v>
      </c>
      <c r="E23" s="126">
        <v>5</v>
      </c>
      <c r="G23" s="131">
        <v>131.59</v>
      </c>
      <c r="H23" s="36">
        <v>135.06</v>
      </c>
      <c r="I23" s="46">
        <v>136.94999999999999</v>
      </c>
      <c r="J23" s="36">
        <v>146.65</v>
      </c>
      <c r="K23" s="36">
        <v>143.77000000000001</v>
      </c>
    </row>
    <row r="24" spans="4:11" ht="26" x14ac:dyDescent="0.35">
      <c r="D24" s="119" t="s">
        <v>1436</v>
      </c>
      <c r="E24" s="126">
        <v>2</v>
      </c>
      <c r="G24" s="131">
        <v>27.73</v>
      </c>
      <c r="H24" s="36">
        <v>28.95</v>
      </c>
      <c r="I24" s="46">
        <v>30.63</v>
      </c>
      <c r="J24" s="36">
        <v>32.92</v>
      </c>
      <c r="K24" s="36">
        <v>33.979999999999997</v>
      </c>
    </row>
    <row r="25" spans="4:11" ht="26" x14ac:dyDescent="0.35">
      <c r="D25" s="119" t="s">
        <v>1461</v>
      </c>
      <c r="E25" s="126">
        <v>7</v>
      </c>
      <c r="G25" s="46">
        <v>452.29</v>
      </c>
      <c r="H25" s="48">
        <v>447.6</v>
      </c>
      <c r="I25" s="46">
        <v>451.24</v>
      </c>
      <c r="J25" s="36">
        <v>468.62</v>
      </c>
      <c r="K25" s="36">
        <v>463.81</v>
      </c>
    </row>
    <row r="26" spans="4:11" ht="26" x14ac:dyDescent="0.35">
      <c r="D26" s="119" t="s">
        <v>18</v>
      </c>
      <c r="E26" s="126">
        <v>5</v>
      </c>
      <c r="G26" s="131">
        <v>515.07000000000005</v>
      </c>
      <c r="H26" s="36">
        <v>515.6</v>
      </c>
      <c r="I26" s="46">
        <v>521.21</v>
      </c>
      <c r="J26" s="36">
        <v>518.69000000000005</v>
      </c>
      <c r="K26" s="36">
        <v>538.4</v>
      </c>
    </row>
    <row r="27" spans="4:11" ht="26" x14ac:dyDescent="0.35">
      <c r="D27" s="119" t="s">
        <v>1346</v>
      </c>
      <c r="E27" s="126">
        <v>7</v>
      </c>
      <c r="G27" s="131">
        <v>27.19</v>
      </c>
      <c r="H27" s="36">
        <v>27.64</v>
      </c>
      <c r="I27" s="46">
        <v>28.47</v>
      </c>
      <c r="J27" s="36">
        <v>29.34</v>
      </c>
      <c r="K27" s="36">
        <v>36.049999999999997</v>
      </c>
    </row>
    <row r="28" spans="4:11" ht="26" x14ac:dyDescent="0.35">
      <c r="D28" s="119" t="s">
        <v>1448</v>
      </c>
      <c r="E28" s="126">
        <v>9</v>
      </c>
      <c r="G28" s="46">
        <v>21.84</v>
      </c>
      <c r="H28" s="36">
        <v>20.059999999999999</v>
      </c>
      <c r="I28" s="131">
        <v>17.82</v>
      </c>
      <c r="J28" s="36">
        <v>18.41</v>
      </c>
      <c r="K28" s="36">
        <v>23.48</v>
      </c>
    </row>
    <row r="29" spans="4:11" ht="26" x14ac:dyDescent="0.35">
      <c r="D29" s="119" t="s">
        <v>1423</v>
      </c>
      <c r="E29" s="126">
        <v>5</v>
      </c>
      <c r="G29" s="131">
        <v>161.06</v>
      </c>
      <c r="H29" s="36">
        <v>161.63</v>
      </c>
      <c r="I29" s="46">
        <v>162.01</v>
      </c>
      <c r="J29" s="36">
        <v>162.51</v>
      </c>
      <c r="K29" s="36">
        <v>165.66</v>
      </c>
    </row>
    <row r="30" spans="4:11" ht="26" x14ac:dyDescent="0.35">
      <c r="D30" s="119" t="s">
        <v>1449</v>
      </c>
      <c r="E30" s="126">
        <v>2</v>
      </c>
      <c r="G30" s="131">
        <v>45.59</v>
      </c>
      <c r="H30" s="36">
        <v>46.55</v>
      </c>
      <c r="I30" s="46">
        <v>49.88</v>
      </c>
      <c r="J30" s="36">
        <v>52.08</v>
      </c>
      <c r="K30" s="36">
        <v>54.8</v>
      </c>
    </row>
    <row r="31" spans="4:11" ht="26" x14ac:dyDescent="0.35">
      <c r="D31" s="119" t="s">
        <v>1409</v>
      </c>
      <c r="E31" s="126">
        <v>9</v>
      </c>
      <c r="G31" s="131">
        <v>56.48</v>
      </c>
      <c r="H31" s="36">
        <v>59.64</v>
      </c>
      <c r="I31" s="46">
        <v>59.11</v>
      </c>
      <c r="J31" s="36">
        <v>64.290000000000006</v>
      </c>
      <c r="K31" s="36">
        <v>91.03</v>
      </c>
    </row>
    <row r="32" spans="4:11" ht="26" x14ac:dyDescent="0.35">
      <c r="D32" s="119" t="s">
        <v>1448</v>
      </c>
      <c r="E32" s="126">
        <v>5</v>
      </c>
      <c r="G32" s="131">
        <v>301.58999999999997</v>
      </c>
      <c r="H32" s="36">
        <v>301.73</v>
      </c>
      <c r="I32" s="46">
        <v>303.41000000000003</v>
      </c>
      <c r="J32" s="36">
        <v>303.2</v>
      </c>
      <c r="K32" s="36">
        <v>303.60000000000002</v>
      </c>
    </row>
    <row r="33" spans="4:11" ht="26" x14ac:dyDescent="0.35">
      <c r="D33" s="119" t="s">
        <v>1425</v>
      </c>
      <c r="E33" s="126">
        <v>5</v>
      </c>
      <c r="G33" s="131">
        <v>102.59</v>
      </c>
      <c r="H33" s="36">
        <v>103.73</v>
      </c>
      <c r="I33" s="46">
        <v>104.32</v>
      </c>
      <c r="J33" s="36">
        <v>105.16</v>
      </c>
      <c r="K33" s="36">
        <v>105.92</v>
      </c>
    </row>
    <row r="34" spans="4:11" ht="26" x14ac:dyDescent="0.35">
      <c r="D34" s="119" t="s">
        <v>1425</v>
      </c>
      <c r="E34" s="126">
        <v>7</v>
      </c>
      <c r="G34" s="46">
        <v>415.7</v>
      </c>
      <c r="H34" s="48">
        <v>411.76</v>
      </c>
      <c r="I34" s="46">
        <v>416.15</v>
      </c>
      <c r="J34" s="36">
        <v>421.95</v>
      </c>
      <c r="K34" s="36">
        <v>425.89</v>
      </c>
    </row>
    <row r="35" spans="4:11" ht="26" x14ac:dyDescent="0.35">
      <c r="D35" s="119" t="s">
        <v>1440</v>
      </c>
      <c r="E35" s="126">
        <v>9</v>
      </c>
      <c r="G35" s="46">
        <v>145.9</v>
      </c>
      <c r="H35" s="48">
        <v>145.84</v>
      </c>
      <c r="I35" s="46">
        <v>152.09</v>
      </c>
      <c r="J35" s="36">
        <v>153.85</v>
      </c>
      <c r="K35" s="36">
        <v>163.38999999999999</v>
      </c>
    </row>
    <row r="36" spans="4:11" ht="26" x14ac:dyDescent="0.35">
      <c r="D36" s="119" t="s">
        <v>1455</v>
      </c>
      <c r="E36" s="126">
        <v>2</v>
      </c>
      <c r="G36" s="131">
        <v>65.63</v>
      </c>
      <c r="H36" s="36">
        <v>67.53</v>
      </c>
      <c r="I36" s="46">
        <v>69.94</v>
      </c>
      <c r="J36" s="36">
        <v>69.790000000000006</v>
      </c>
      <c r="K36" s="36">
        <v>72.069999999999993</v>
      </c>
    </row>
    <row r="37" spans="4:11" ht="26" x14ac:dyDescent="0.35">
      <c r="D37" s="119" t="s">
        <v>1411</v>
      </c>
      <c r="E37" s="126">
        <v>5</v>
      </c>
      <c r="G37" s="46">
        <v>228.49</v>
      </c>
      <c r="H37" s="36">
        <v>232.63</v>
      </c>
      <c r="I37" s="131">
        <v>227.77</v>
      </c>
      <c r="J37" s="36">
        <v>233.07</v>
      </c>
      <c r="K37" s="36">
        <v>231.76</v>
      </c>
    </row>
    <row r="38" spans="4:11" ht="26" x14ac:dyDescent="0.35">
      <c r="D38" s="119" t="s">
        <v>1448</v>
      </c>
      <c r="E38" s="126">
        <v>2</v>
      </c>
      <c r="G38" s="131">
        <v>12.28</v>
      </c>
      <c r="H38" s="36">
        <v>15.06</v>
      </c>
      <c r="I38" s="46">
        <v>17.86</v>
      </c>
      <c r="J38" s="36">
        <v>15.42</v>
      </c>
      <c r="K38" s="36">
        <v>23.71</v>
      </c>
    </row>
    <row r="39" spans="4:11" ht="26" x14ac:dyDescent="0.35">
      <c r="D39" s="119" t="s">
        <v>1409</v>
      </c>
      <c r="E39" s="126">
        <v>2</v>
      </c>
      <c r="G39" s="46">
        <v>114.07</v>
      </c>
      <c r="H39" s="36">
        <v>114.54</v>
      </c>
      <c r="I39" s="131">
        <v>113.24</v>
      </c>
      <c r="J39" s="36">
        <v>123.68</v>
      </c>
      <c r="K39" s="36">
        <v>130.86000000000001</v>
      </c>
    </row>
    <row r="40" spans="4:11" ht="26" x14ac:dyDescent="0.35">
      <c r="D40" s="119" t="s">
        <v>1438</v>
      </c>
      <c r="E40" s="126">
        <v>2</v>
      </c>
      <c r="G40" s="131">
        <v>103.5</v>
      </c>
      <c r="H40" s="36">
        <v>104.32</v>
      </c>
      <c r="I40" s="46">
        <v>105.03</v>
      </c>
      <c r="J40" s="36">
        <v>108.89</v>
      </c>
      <c r="K40" s="36">
        <v>118.8</v>
      </c>
    </row>
    <row r="41" spans="4:11" ht="26" x14ac:dyDescent="0.35">
      <c r="D41" s="119" t="s">
        <v>1440</v>
      </c>
      <c r="E41" s="126">
        <v>2</v>
      </c>
      <c r="G41" s="131">
        <v>258.51</v>
      </c>
      <c r="H41" s="36">
        <v>261.52</v>
      </c>
      <c r="I41" s="46">
        <v>262.32</v>
      </c>
      <c r="J41" s="36">
        <v>267.82</v>
      </c>
      <c r="K41" s="36">
        <v>271.25</v>
      </c>
    </row>
    <row r="42" spans="4:11" ht="26" x14ac:dyDescent="0.35">
      <c r="D42" s="119" t="s">
        <v>18</v>
      </c>
      <c r="E42" s="126">
        <v>2</v>
      </c>
      <c r="G42" s="131">
        <v>67.16</v>
      </c>
      <c r="H42" s="36">
        <v>74.41</v>
      </c>
      <c r="I42" s="46">
        <v>72.069999999999993</v>
      </c>
      <c r="J42" s="36">
        <v>77.709999999999994</v>
      </c>
      <c r="K42" s="36">
        <v>82.07</v>
      </c>
    </row>
    <row r="43" spans="4:11" ht="26" x14ac:dyDescent="0.35">
      <c r="D43" s="119" t="s">
        <v>1411</v>
      </c>
      <c r="E43" s="126">
        <v>2</v>
      </c>
      <c r="G43" s="131">
        <v>43.25</v>
      </c>
      <c r="H43" s="36">
        <v>46.87</v>
      </c>
      <c r="I43" s="46">
        <v>49.96</v>
      </c>
      <c r="J43" s="36">
        <v>51.95</v>
      </c>
      <c r="K43" s="36">
        <v>52.7</v>
      </c>
    </row>
    <row r="166" spans="4:12" ht="22" x14ac:dyDescent="0.25">
      <c r="D166" s="62"/>
      <c r="F166" s="63"/>
      <c r="G166" s="127">
        <v>200</v>
      </c>
      <c r="H166" s="127">
        <v>500</v>
      </c>
      <c r="I166" s="63"/>
      <c r="J166" s="128">
        <v>1000</v>
      </c>
      <c r="K166" s="127">
        <v>2000</v>
      </c>
      <c r="L166" s="127">
        <v>5000</v>
      </c>
    </row>
    <row r="167" spans="4:12" ht="26" x14ac:dyDescent="0.35">
      <c r="D167" s="119" t="s">
        <v>1371</v>
      </c>
      <c r="E167" s="126">
        <v>8</v>
      </c>
      <c r="F167" s="63"/>
      <c r="G167" s="46">
        <v>13.54364</v>
      </c>
      <c r="H167" s="46">
        <v>11.058916</v>
      </c>
      <c r="I167" s="63"/>
      <c r="J167" s="129">
        <v>10.54932</v>
      </c>
      <c r="K167" s="129">
        <v>9.5753540000000008</v>
      </c>
      <c r="L167" s="130">
        <v>9.3826490000000007</v>
      </c>
    </row>
    <row r="168" spans="4:12" ht="26" x14ac:dyDescent="0.35">
      <c r="D168" s="119" t="s">
        <v>1448</v>
      </c>
      <c r="E168" s="126">
        <v>2</v>
      </c>
      <c r="F168" s="63"/>
      <c r="G168" s="46">
        <v>12.788163000000001</v>
      </c>
      <c r="H168" s="46">
        <v>12.079632</v>
      </c>
      <c r="I168" s="63"/>
      <c r="J168" s="129">
        <v>12.000914</v>
      </c>
      <c r="K168" s="130">
        <v>11.897131999999999</v>
      </c>
      <c r="L168" s="129">
        <v>11.965807</v>
      </c>
    </row>
    <row r="169" spans="4:12" ht="26" x14ac:dyDescent="0.35">
      <c r="D169" s="119" t="s">
        <v>1434</v>
      </c>
      <c r="E169" s="126">
        <v>9</v>
      </c>
      <c r="F169" s="63"/>
      <c r="G169" s="46">
        <v>12.858482</v>
      </c>
      <c r="H169" s="46">
        <v>11.344144</v>
      </c>
      <c r="I169" s="63"/>
      <c r="J169" s="129">
        <v>11.346026999999999</v>
      </c>
      <c r="K169" s="129">
        <v>10.822958</v>
      </c>
      <c r="L169" s="130">
        <v>10.63264</v>
      </c>
    </row>
    <row r="170" spans="4:12" ht="26" x14ac:dyDescent="0.35">
      <c r="D170" s="119" t="s">
        <v>1448</v>
      </c>
      <c r="E170" s="126">
        <v>9</v>
      </c>
      <c r="F170" s="63"/>
      <c r="G170" s="46">
        <v>16.193763000000001</v>
      </c>
      <c r="H170" s="46">
        <v>15.150978</v>
      </c>
      <c r="I170" s="63"/>
      <c r="J170" s="129">
        <v>14.904210000000001</v>
      </c>
      <c r="K170" s="129">
        <v>14.751607</v>
      </c>
      <c r="L170" s="130">
        <v>14.47226</v>
      </c>
    </row>
    <row r="171" spans="4:12" ht="26" x14ac:dyDescent="0.35">
      <c r="D171" s="119" t="s">
        <v>3919</v>
      </c>
      <c r="E171" s="126">
        <v>6</v>
      </c>
      <c r="F171" s="63"/>
      <c r="G171" s="46">
        <v>15.882463</v>
      </c>
      <c r="H171" s="46">
        <v>14.860891000000001</v>
      </c>
      <c r="I171" s="63"/>
      <c r="J171" s="129">
        <v>14.487270000000001</v>
      </c>
      <c r="K171" s="129">
        <v>14.476464999999999</v>
      </c>
      <c r="L171" s="130">
        <v>14.203853000000001</v>
      </c>
    </row>
    <row r="172" spans="4:12" ht="26" x14ac:dyDescent="0.35">
      <c r="D172" s="119" t="s">
        <v>1450</v>
      </c>
      <c r="E172" s="126">
        <v>2</v>
      </c>
      <c r="F172" s="63"/>
      <c r="G172" s="46">
        <v>20.029174000000001</v>
      </c>
      <c r="H172" s="46">
        <v>19.578617999999999</v>
      </c>
      <c r="I172" s="63"/>
      <c r="J172" s="129">
        <v>19.384395000000001</v>
      </c>
      <c r="K172" s="129">
        <v>19.237888000000002</v>
      </c>
      <c r="L172" s="130">
        <v>19.073582999999999</v>
      </c>
    </row>
    <row r="173" spans="4:12" ht="26" x14ac:dyDescent="0.35">
      <c r="D173" s="119" t="s">
        <v>3912</v>
      </c>
      <c r="E173" s="126">
        <v>7</v>
      </c>
      <c r="F173" s="63"/>
      <c r="G173" s="46">
        <v>34.568080000000002</v>
      </c>
      <c r="H173" s="46">
        <v>24.588723000000002</v>
      </c>
      <c r="I173" s="63"/>
      <c r="J173" s="129">
        <v>20.152498000000001</v>
      </c>
      <c r="K173" s="129">
        <v>19.448477</v>
      </c>
      <c r="L173" s="130">
        <v>19.217057</v>
      </c>
    </row>
    <row r="174" spans="4:12" ht="26" x14ac:dyDescent="0.35">
      <c r="D174" s="119" t="s">
        <v>1391</v>
      </c>
      <c r="E174" s="126">
        <v>8</v>
      </c>
      <c r="F174" s="63"/>
      <c r="G174" s="46">
        <v>21.110434000000001</v>
      </c>
      <c r="H174" s="46">
        <v>21.207367000000001</v>
      </c>
      <c r="I174" s="63"/>
      <c r="J174" s="129">
        <v>21.139455000000002</v>
      </c>
      <c r="K174" s="129">
        <v>20.869388000000001</v>
      </c>
      <c r="L174" s="130">
        <v>20.502189000000001</v>
      </c>
    </row>
    <row r="175" spans="4:12" ht="26" x14ac:dyDescent="0.35">
      <c r="D175" s="119" t="s">
        <v>3912</v>
      </c>
      <c r="E175" s="126">
        <v>8</v>
      </c>
      <c r="F175" s="63"/>
      <c r="G175" s="46">
        <v>75.953047999999995</v>
      </c>
      <c r="H175" s="46">
        <v>43.493969</v>
      </c>
      <c r="I175" s="63"/>
      <c r="J175" s="129">
        <v>31.078979</v>
      </c>
      <c r="K175" s="129">
        <v>21.583165000000001</v>
      </c>
      <c r="L175" s="130">
        <v>20.553267000000002</v>
      </c>
    </row>
    <row r="176" spans="4:12" ht="26" x14ac:dyDescent="0.35">
      <c r="D176" s="119" t="s">
        <v>1433</v>
      </c>
      <c r="E176" s="126">
        <v>2</v>
      </c>
      <c r="F176" s="63"/>
      <c r="G176" s="46">
        <v>27.189132000000001</v>
      </c>
      <c r="H176" s="46">
        <v>26.578852999999999</v>
      </c>
      <c r="I176" s="63"/>
      <c r="J176" s="129">
        <v>26.350819999999999</v>
      </c>
      <c r="K176" s="129">
        <v>26.263749000000001</v>
      </c>
      <c r="L176" s="130">
        <v>26.237069999999999</v>
      </c>
    </row>
    <row r="177" spans="4:12" ht="26" x14ac:dyDescent="0.35">
      <c r="D177" s="119" t="s">
        <v>1436</v>
      </c>
      <c r="E177" s="126">
        <v>2</v>
      </c>
      <c r="F177" s="63"/>
      <c r="G177" s="46">
        <v>28.438599</v>
      </c>
      <c r="H177" s="46">
        <v>27.813835999999998</v>
      </c>
      <c r="I177" s="63"/>
      <c r="J177" s="129">
        <v>27.514925000000002</v>
      </c>
      <c r="K177" s="129">
        <v>27.423697000000001</v>
      </c>
      <c r="L177" s="130">
        <v>27.150742000000001</v>
      </c>
    </row>
    <row r="178" spans="4:12" ht="26" x14ac:dyDescent="0.35">
      <c r="D178" s="119" t="s">
        <v>1346</v>
      </c>
      <c r="E178" s="126">
        <v>7</v>
      </c>
      <c r="F178" s="63"/>
      <c r="G178" s="46">
        <v>33.335923000000001</v>
      </c>
      <c r="H178" s="46">
        <v>30.186503999999999</v>
      </c>
      <c r="I178" s="63"/>
      <c r="J178" s="129">
        <v>29.310683999999998</v>
      </c>
      <c r="K178" s="129">
        <v>28.614498999999999</v>
      </c>
      <c r="L178" s="130">
        <v>27.933095999999999</v>
      </c>
    </row>
    <row r="179" spans="4:12" ht="26" x14ac:dyDescent="0.35">
      <c r="D179" s="119" t="s">
        <v>1434</v>
      </c>
      <c r="E179" s="126">
        <v>5</v>
      </c>
      <c r="F179" s="63"/>
      <c r="G179" s="46">
        <v>30.512947</v>
      </c>
      <c r="H179" s="46">
        <v>28.925176</v>
      </c>
      <c r="I179" s="63"/>
      <c r="J179" s="129">
        <v>27.991232</v>
      </c>
      <c r="K179" s="129">
        <v>27.713788999999998</v>
      </c>
      <c r="L179" s="130">
        <v>27.702086999999999</v>
      </c>
    </row>
    <row r="180" spans="4:12" ht="26" x14ac:dyDescent="0.35">
      <c r="D180" s="119" t="s">
        <v>1450</v>
      </c>
      <c r="E180" s="126">
        <v>9</v>
      </c>
      <c r="F180" s="63"/>
      <c r="G180" s="46">
        <v>31.849429000000001</v>
      </c>
      <c r="H180" s="46">
        <v>30.483691</v>
      </c>
      <c r="I180" s="63"/>
      <c r="J180" s="129">
        <v>30.275549000000002</v>
      </c>
      <c r="K180" s="129">
        <v>29.833859</v>
      </c>
      <c r="L180" s="130">
        <v>29.272964999999999</v>
      </c>
    </row>
    <row r="181" spans="4:12" ht="26" x14ac:dyDescent="0.35">
      <c r="D181" s="119" t="s">
        <v>1346</v>
      </c>
      <c r="E181" s="126">
        <v>8</v>
      </c>
      <c r="F181" s="63"/>
      <c r="G181" s="46">
        <v>46.730649</v>
      </c>
      <c r="H181" s="46">
        <v>36.440928999999997</v>
      </c>
      <c r="I181" s="63"/>
      <c r="J181" s="129">
        <v>35.511445000000002</v>
      </c>
      <c r="K181" s="129">
        <v>34.324876000000003</v>
      </c>
      <c r="L181" s="130">
        <v>33.138596</v>
      </c>
    </row>
    <row r="182" spans="4:12" ht="26" x14ac:dyDescent="0.35">
      <c r="D182" s="119" t="s">
        <v>1411</v>
      </c>
      <c r="E182" s="126">
        <v>2</v>
      </c>
      <c r="F182" s="63"/>
      <c r="G182" s="46">
        <v>43.553358000000003</v>
      </c>
      <c r="H182" s="46">
        <v>43.348028999999997</v>
      </c>
      <c r="I182" s="63"/>
      <c r="J182" s="130">
        <v>43.087567</v>
      </c>
      <c r="K182" s="129">
        <v>43.217061000000001</v>
      </c>
      <c r="L182" s="129">
        <v>43.196444</v>
      </c>
    </row>
    <row r="183" spans="4:12" ht="26" x14ac:dyDescent="0.35">
      <c r="D183" s="119" t="s">
        <v>1449</v>
      </c>
      <c r="E183" s="126">
        <v>2</v>
      </c>
      <c r="F183" s="63"/>
      <c r="G183" s="46">
        <v>45.849173999999998</v>
      </c>
      <c r="H183" s="46">
        <v>45.076729</v>
      </c>
      <c r="I183" s="63"/>
      <c r="J183" s="129">
        <v>44.855058999999997</v>
      </c>
      <c r="K183" s="129">
        <v>44.669365999999997</v>
      </c>
      <c r="L183" s="130">
        <v>44.600904</v>
      </c>
    </row>
    <row r="184" spans="4:12" ht="26" x14ac:dyDescent="0.35">
      <c r="D184" s="119" t="s">
        <v>1371</v>
      </c>
      <c r="E184" s="126">
        <v>6</v>
      </c>
      <c r="F184" s="63"/>
      <c r="G184" s="46">
        <v>182.14</v>
      </c>
      <c r="H184" s="46">
        <v>323.20999999999998</v>
      </c>
      <c r="I184" s="63"/>
      <c r="J184" s="130">
        <v>37.100543999999999</v>
      </c>
      <c r="K184" s="129">
        <v>414.23</v>
      </c>
      <c r="L184" s="129">
        <v>252.63</v>
      </c>
    </row>
    <row r="185" spans="4:12" ht="26" x14ac:dyDescent="0.35">
      <c r="D185" s="119" t="s">
        <v>1409</v>
      </c>
      <c r="E185" s="126">
        <v>9</v>
      </c>
      <c r="F185" s="63"/>
      <c r="G185" s="46">
        <v>53.351044000000002</v>
      </c>
      <c r="H185" s="46">
        <v>52.702143</v>
      </c>
      <c r="I185" s="63"/>
      <c r="J185" s="129">
        <v>52.645966000000001</v>
      </c>
      <c r="K185" s="130">
        <v>52.436013000000003</v>
      </c>
      <c r="L185" s="129">
        <v>52.632058999999998</v>
      </c>
    </row>
    <row r="186" spans="4:12" ht="26" x14ac:dyDescent="0.35">
      <c r="D186" s="119" t="s">
        <v>1436</v>
      </c>
      <c r="E186" s="126">
        <v>9</v>
      </c>
      <c r="F186" s="63"/>
      <c r="G186" s="46">
        <v>51.488273999999997</v>
      </c>
      <c r="H186" s="46">
        <v>50.519238999999999</v>
      </c>
      <c r="I186" s="63"/>
      <c r="J186" s="129">
        <v>49.816206000000001</v>
      </c>
      <c r="K186" s="129">
        <v>49.518030000000003</v>
      </c>
      <c r="L186" s="130">
        <v>49.189014999999998</v>
      </c>
    </row>
    <row r="187" spans="4:12" ht="26" x14ac:dyDescent="0.35">
      <c r="D187" s="119" t="s">
        <v>18</v>
      </c>
      <c r="E187" s="126">
        <v>2</v>
      </c>
      <c r="F187" s="63"/>
      <c r="G187" s="46">
        <v>67.527128000000005</v>
      </c>
      <c r="H187" s="46">
        <v>65.895708999999997</v>
      </c>
      <c r="I187" s="63"/>
      <c r="J187" s="129">
        <v>65.688942999999995</v>
      </c>
      <c r="K187" s="129">
        <v>65.747546</v>
      </c>
      <c r="L187" s="130">
        <v>65.533439000000001</v>
      </c>
    </row>
    <row r="188" spans="4:12" ht="26" x14ac:dyDescent="0.35">
      <c r="D188" s="119" t="s">
        <v>1455</v>
      </c>
      <c r="E188" s="126">
        <v>2</v>
      </c>
      <c r="F188" s="63"/>
      <c r="G188" s="46">
        <v>66.708554000000007</v>
      </c>
      <c r="H188" s="46">
        <v>65.846018999999998</v>
      </c>
      <c r="I188" s="63"/>
      <c r="J188" s="129">
        <v>65.728926999999999</v>
      </c>
      <c r="K188" s="129">
        <v>65.258746000000002</v>
      </c>
      <c r="L188" s="130">
        <v>65.123788000000005</v>
      </c>
    </row>
    <row r="189" spans="4:12" ht="26" x14ac:dyDescent="0.35">
      <c r="D189" s="119" t="s">
        <v>3912</v>
      </c>
      <c r="E189" s="126">
        <v>6</v>
      </c>
      <c r="F189" s="63"/>
      <c r="G189" s="46">
        <v>58.977201999999998</v>
      </c>
      <c r="H189" s="46">
        <v>57.302773000000002</v>
      </c>
      <c r="I189" s="63"/>
      <c r="J189" s="129">
        <v>56.745190999999998</v>
      </c>
      <c r="K189" s="129">
        <v>56.760914999999997</v>
      </c>
      <c r="L189" s="130">
        <v>56.493558999999998</v>
      </c>
    </row>
    <row r="190" spans="4:12" ht="26" x14ac:dyDescent="0.35">
      <c r="D190" s="119" t="s">
        <v>1</v>
      </c>
      <c r="E190" s="126">
        <v>5</v>
      </c>
      <c r="F190" s="63"/>
      <c r="G190" s="46">
        <v>66.516069999999999</v>
      </c>
      <c r="H190" s="46">
        <v>62.025692999999997</v>
      </c>
      <c r="I190" s="63"/>
      <c r="J190" s="129">
        <v>58.782516999999999</v>
      </c>
      <c r="K190" s="129">
        <v>56.222129000000002</v>
      </c>
      <c r="L190" s="130">
        <v>55.325994000000001</v>
      </c>
    </row>
    <row r="191" spans="4:12" ht="26" x14ac:dyDescent="0.35">
      <c r="D191" s="119" t="s">
        <v>1434</v>
      </c>
      <c r="E191" s="126">
        <v>7</v>
      </c>
      <c r="F191" s="63"/>
      <c r="G191" s="46">
        <v>86.230993999999995</v>
      </c>
      <c r="H191" s="46">
        <v>78.584799000000004</v>
      </c>
      <c r="I191" s="63"/>
      <c r="J191" s="129">
        <v>76.246281999999994</v>
      </c>
      <c r="K191" s="129">
        <v>75.104703999999998</v>
      </c>
      <c r="L191" s="130">
        <v>73.942231000000007</v>
      </c>
    </row>
    <row r="192" spans="4:12" ht="26" x14ac:dyDescent="0.35">
      <c r="D192" s="119" t="s">
        <v>1438</v>
      </c>
      <c r="E192" s="126">
        <v>2</v>
      </c>
      <c r="F192" s="63"/>
      <c r="G192" s="46">
        <v>103.158689</v>
      </c>
      <c r="H192" s="46">
        <v>101.854315</v>
      </c>
      <c r="I192" s="63"/>
      <c r="J192" s="129">
        <v>101.68702999999999</v>
      </c>
      <c r="K192" s="130">
        <v>101.487123</v>
      </c>
      <c r="L192" s="129">
        <v>101.760442</v>
      </c>
    </row>
    <row r="193" spans="4:12" ht="26" x14ac:dyDescent="0.35">
      <c r="D193" s="119" t="s">
        <v>1434</v>
      </c>
      <c r="E193" s="126">
        <v>8</v>
      </c>
      <c r="F193" s="63"/>
      <c r="G193" s="46">
        <v>150.038915</v>
      </c>
      <c r="H193" s="46">
        <v>109.63044600000001</v>
      </c>
      <c r="I193" s="63"/>
      <c r="J193" s="129">
        <v>91.936704000000006</v>
      </c>
      <c r="K193" s="129">
        <v>87.450755000000001</v>
      </c>
      <c r="L193" s="130">
        <v>83.806042000000005</v>
      </c>
    </row>
    <row r="194" spans="4:12" ht="26" x14ac:dyDescent="0.35">
      <c r="D194" s="119" t="s">
        <v>1409</v>
      </c>
      <c r="E194" s="126">
        <v>2</v>
      </c>
      <c r="F194" s="63"/>
      <c r="G194" s="131">
        <v>110.92055999999999</v>
      </c>
      <c r="H194" s="46">
        <v>110.981557</v>
      </c>
      <c r="I194" s="63"/>
      <c r="J194" s="129">
        <v>111.50702099999999</v>
      </c>
      <c r="K194" s="129">
        <v>111.404892</v>
      </c>
      <c r="L194" s="129">
        <v>111.08095299999999</v>
      </c>
    </row>
    <row r="195" spans="4:12" ht="26" x14ac:dyDescent="0.35">
      <c r="D195" s="119" t="s">
        <v>1425</v>
      </c>
      <c r="E195" s="126">
        <v>5</v>
      </c>
      <c r="F195" s="63"/>
      <c r="G195" s="46">
        <v>111.48347099999999</v>
      </c>
      <c r="H195" s="46">
        <v>110.17731499999999</v>
      </c>
      <c r="I195" s="63"/>
      <c r="J195" s="129">
        <v>108.6473</v>
      </c>
      <c r="K195" s="129">
        <v>106.658112</v>
      </c>
      <c r="L195" s="130">
        <v>105.072243</v>
      </c>
    </row>
    <row r="196" spans="4:12" ht="26" x14ac:dyDescent="0.35">
      <c r="D196" s="119" t="s">
        <v>1440</v>
      </c>
      <c r="E196" s="126">
        <v>9</v>
      </c>
      <c r="F196" s="63"/>
      <c r="G196" s="46">
        <v>141.467356</v>
      </c>
      <c r="H196" s="46">
        <v>140.31502399999999</v>
      </c>
      <c r="I196" s="63"/>
      <c r="J196" s="129">
        <v>139.541595</v>
      </c>
      <c r="K196" s="130">
        <v>139.316845</v>
      </c>
      <c r="L196" s="129">
        <v>139.42422500000001</v>
      </c>
    </row>
    <row r="197" spans="4:12" ht="26" x14ac:dyDescent="0.35">
      <c r="D197" s="119" t="s">
        <v>1461</v>
      </c>
      <c r="E197" s="126">
        <v>5</v>
      </c>
      <c r="F197" s="63"/>
      <c r="G197" s="46">
        <v>140.789737</v>
      </c>
      <c r="H197" s="46">
        <v>136.64110400000001</v>
      </c>
      <c r="I197" s="63"/>
      <c r="J197" s="129">
        <v>134.059369</v>
      </c>
      <c r="K197" s="129">
        <v>133.23129599999999</v>
      </c>
      <c r="L197" s="130">
        <v>132.552098</v>
      </c>
    </row>
    <row r="198" spans="4:12" ht="26" x14ac:dyDescent="0.35">
      <c r="D198" s="119" t="s">
        <v>1423</v>
      </c>
      <c r="E198" s="126">
        <v>5</v>
      </c>
      <c r="F198" s="63"/>
      <c r="G198" s="46">
        <v>172.945031</v>
      </c>
      <c r="H198" s="46">
        <v>171.09279699999999</v>
      </c>
      <c r="I198" s="63"/>
      <c r="J198" s="129">
        <v>170.19131300000001</v>
      </c>
      <c r="K198" s="129">
        <v>167.26216500000001</v>
      </c>
      <c r="L198" s="130">
        <v>164.30501599999999</v>
      </c>
    </row>
    <row r="199" spans="4:12" ht="26" x14ac:dyDescent="0.35">
      <c r="D199" s="119" t="s">
        <v>1440</v>
      </c>
      <c r="E199" s="126">
        <v>2</v>
      </c>
      <c r="F199" s="63"/>
      <c r="G199" s="46">
        <v>255.78950499999999</v>
      </c>
      <c r="H199" s="46">
        <v>255.00335100000001</v>
      </c>
      <c r="I199" s="63"/>
      <c r="J199" s="130">
        <v>254.48178100000001</v>
      </c>
      <c r="K199" s="129">
        <v>254.788084</v>
      </c>
      <c r="L199" s="129">
        <v>255.08629500000001</v>
      </c>
    </row>
    <row r="200" spans="4:12" ht="26" x14ac:dyDescent="0.35">
      <c r="D200" s="119" t="s">
        <v>1</v>
      </c>
      <c r="E200" s="126">
        <v>8</v>
      </c>
      <c r="F200" s="63"/>
      <c r="G200" s="46">
        <v>334.20178499999997</v>
      </c>
      <c r="H200" s="46">
        <v>247.02874199999999</v>
      </c>
      <c r="I200" s="63"/>
      <c r="J200" s="129">
        <v>230.81816599999999</v>
      </c>
      <c r="K200" s="129">
        <v>215.448431</v>
      </c>
      <c r="L200" s="130">
        <v>210.977701</v>
      </c>
    </row>
    <row r="201" spans="4:12" ht="26" x14ac:dyDescent="0.35">
      <c r="D201" s="119" t="s">
        <v>1411</v>
      </c>
      <c r="E201" s="126">
        <v>5</v>
      </c>
      <c r="F201" s="63"/>
      <c r="G201" s="46">
        <v>253.70969099999999</v>
      </c>
      <c r="H201" s="46">
        <v>241.22706700000001</v>
      </c>
      <c r="I201" s="63"/>
      <c r="J201" s="129">
        <v>239.10316599999999</v>
      </c>
      <c r="K201" s="129">
        <v>240.61417299999999</v>
      </c>
      <c r="L201" s="130">
        <v>238.252419</v>
      </c>
    </row>
    <row r="202" spans="4:12" ht="26" x14ac:dyDescent="0.35">
      <c r="D202" s="119" t="s">
        <v>1448</v>
      </c>
      <c r="E202" s="126">
        <v>5</v>
      </c>
      <c r="F202" s="63"/>
      <c r="G202" s="46">
        <v>322.00268299999999</v>
      </c>
      <c r="H202" s="46">
        <v>320.498245</v>
      </c>
      <c r="I202" s="63"/>
      <c r="J202" s="129">
        <v>318.40613100000002</v>
      </c>
      <c r="K202" s="129">
        <v>314.05160100000001</v>
      </c>
      <c r="L202" s="130">
        <v>308.617322</v>
      </c>
    </row>
    <row r="203" spans="4:12" ht="26" x14ac:dyDescent="0.35">
      <c r="D203" s="119" t="s">
        <v>1425</v>
      </c>
      <c r="E203" s="126">
        <v>7</v>
      </c>
      <c r="F203" s="63"/>
      <c r="G203" s="46">
        <v>484.22759600000001</v>
      </c>
      <c r="H203" s="46">
        <v>460.89117299999998</v>
      </c>
      <c r="I203" s="63"/>
      <c r="J203" s="129">
        <v>446.67361699999998</v>
      </c>
      <c r="K203" s="129">
        <v>435.329408</v>
      </c>
      <c r="L203" s="130">
        <v>425.68783300000001</v>
      </c>
    </row>
    <row r="204" spans="4:12" ht="26" x14ac:dyDescent="0.35">
      <c r="D204" s="119" t="s">
        <v>1425</v>
      </c>
      <c r="E204" s="126">
        <v>8</v>
      </c>
      <c r="F204" s="63"/>
      <c r="G204" s="46">
        <v>467.814437</v>
      </c>
      <c r="H204" s="46">
        <v>443.12676299999998</v>
      </c>
      <c r="I204" s="63"/>
      <c r="J204" s="129">
        <v>426.74191200000001</v>
      </c>
      <c r="K204" s="129">
        <v>412.03268100000003</v>
      </c>
      <c r="L204" s="130">
        <v>388.18367000000001</v>
      </c>
    </row>
    <row r="205" spans="4:12" ht="26" x14ac:dyDescent="0.35">
      <c r="D205" s="119" t="s">
        <v>1461</v>
      </c>
      <c r="E205" s="126">
        <v>7</v>
      </c>
      <c r="F205" s="63"/>
      <c r="G205" s="46">
        <v>528.18291099999999</v>
      </c>
      <c r="H205" s="46">
        <v>495.16969599999999</v>
      </c>
      <c r="I205" s="63"/>
      <c r="J205" s="129">
        <v>484.41130900000002</v>
      </c>
      <c r="K205" s="129">
        <v>473.17317000000003</v>
      </c>
      <c r="L205" s="130">
        <v>461.25565499999999</v>
      </c>
    </row>
    <row r="206" spans="4:12" ht="26" x14ac:dyDescent="0.35">
      <c r="D206" s="119" t="s">
        <v>18</v>
      </c>
      <c r="E206" s="126">
        <v>5</v>
      </c>
      <c r="F206" s="63"/>
      <c r="G206" s="46">
        <v>535.30194400000005</v>
      </c>
      <c r="H206" s="46">
        <v>524.99729600000001</v>
      </c>
      <c r="I206" s="63"/>
      <c r="J206" s="129">
        <v>518.47945700000002</v>
      </c>
      <c r="K206" s="129">
        <v>516.59616900000003</v>
      </c>
      <c r="L206" s="130">
        <v>515.24298899999997</v>
      </c>
    </row>
    <row r="207" spans="4:12" ht="26" x14ac:dyDescent="0.35">
      <c r="D207" s="119" t="s">
        <v>1450</v>
      </c>
      <c r="E207" s="126">
        <v>5</v>
      </c>
      <c r="F207" s="63"/>
      <c r="G207" s="46">
        <v>570.61415799999997</v>
      </c>
      <c r="H207" s="46">
        <v>570.125901</v>
      </c>
      <c r="I207" s="63"/>
      <c r="J207" s="129">
        <v>568.85147700000005</v>
      </c>
      <c r="K207" s="129">
        <v>561.15225999999996</v>
      </c>
      <c r="L207" s="130">
        <v>551.44410100000005</v>
      </c>
    </row>
    <row r="208" spans="4:12" ht="22" x14ac:dyDescent="0.25">
      <c r="D208" s="62"/>
      <c r="F208" s="63"/>
      <c r="G208" s="63"/>
      <c r="H208" s="63"/>
      <c r="I208" s="63"/>
    </row>
    <row r="209" spans="4:9" ht="22" x14ac:dyDescent="0.25">
      <c r="D209" s="62"/>
      <c r="F209" s="63"/>
      <c r="G209" s="63"/>
      <c r="H209" s="63"/>
      <c r="I209" s="63"/>
    </row>
    <row r="210" spans="4:9" ht="22" x14ac:dyDescent="0.25">
      <c r="D210" s="62"/>
      <c r="F210" s="63"/>
      <c r="G210" s="63"/>
      <c r="H210" s="63"/>
      <c r="I210" s="63"/>
    </row>
    <row r="211" spans="4:9" ht="22" x14ac:dyDescent="0.25">
      <c r="D211" s="62"/>
      <c r="F211" s="63"/>
      <c r="G211" s="63"/>
      <c r="H211" s="63"/>
      <c r="I211" s="63"/>
    </row>
    <row r="212" spans="4:9" ht="22" x14ac:dyDescent="0.25">
      <c r="D212" s="62"/>
      <c r="F212" s="63"/>
      <c r="G212" s="63"/>
      <c r="H212" s="63"/>
      <c r="I212" s="63"/>
    </row>
    <row r="213" spans="4:9" ht="22" x14ac:dyDescent="0.25">
      <c r="D213" s="62"/>
      <c r="F213" s="63"/>
      <c r="G213" s="63"/>
      <c r="H213" s="63"/>
      <c r="I213" s="63"/>
    </row>
    <row r="214" spans="4:9" ht="22" x14ac:dyDescent="0.25">
      <c r="D214" s="62"/>
      <c r="F214" s="63"/>
      <c r="G214" s="63"/>
      <c r="H214" s="63"/>
      <c r="I214" s="63"/>
    </row>
    <row r="215" spans="4:9" ht="22" x14ac:dyDescent="0.25">
      <c r="D215" s="62"/>
      <c r="F215" s="63"/>
      <c r="G215" s="63"/>
      <c r="H215" s="63"/>
      <c r="I215" s="63"/>
    </row>
    <row r="216" spans="4:9" ht="22" x14ac:dyDescent="0.25">
      <c r="D216" s="62"/>
      <c r="F216" s="63"/>
      <c r="G216" s="63"/>
      <c r="H216" s="63"/>
      <c r="I216" s="63"/>
    </row>
    <row r="217" spans="4:9" ht="22" x14ac:dyDescent="0.25">
      <c r="D217" s="62"/>
      <c r="F217" s="63"/>
      <c r="G217" s="63"/>
      <c r="H217" s="63"/>
      <c r="I217" s="63"/>
    </row>
    <row r="218" spans="4:9" ht="22" x14ac:dyDescent="0.25">
      <c r="D218" s="62"/>
      <c r="F218" s="63"/>
      <c r="G218" s="63"/>
      <c r="H218" s="63"/>
      <c r="I218" s="63"/>
    </row>
    <row r="219" spans="4:9" ht="22" x14ac:dyDescent="0.25">
      <c r="D219" s="62"/>
      <c r="F219" s="63"/>
      <c r="G219" s="63"/>
      <c r="H219" s="63"/>
      <c r="I219" s="63"/>
    </row>
    <row r="220" spans="4:9" ht="22" x14ac:dyDescent="0.25">
      <c r="D220" s="62"/>
      <c r="F220" s="63"/>
      <c r="G220" s="63"/>
      <c r="H220" s="63"/>
      <c r="I220" s="63"/>
    </row>
    <row r="221" spans="4:9" ht="22" x14ac:dyDescent="0.25">
      <c r="D221" s="62"/>
      <c r="F221" s="63"/>
      <c r="G221" s="63"/>
      <c r="H221" s="63"/>
      <c r="I221" s="63"/>
    </row>
    <row r="222" spans="4:9" ht="22" x14ac:dyDescent="0.25">
      <c r="D222" s="62"/>
      <c r="F222" s="63"/>
      <c r="G222" s="63"/>
      <c r="H222" s="63"/>
      <c r="I222" s="63"/>
    </row>
    <row r="223" spans="4:9" ht="22" x14ac:dyDescent="0.25">
      <c r="D223" s="62"/>
      <c r="F223" s="63"/>
      <c r="G223" s="63"/>
      <c r="H223" s="63"/>
      <c r="I223" s="63"/>
    </row>
    <row r="224" spans="4:9" ht="22" x14ac:dyDescent="0.25">
      <c r="D224" s="62"/>
      <c r="F224" s="63"/>
      <c r="G224" s="63"/>
      <c r="H224" s="63"/>
      <c r="I224" s="63"/>
    </row>
    <row r="225" spans="4:9" ht="22" x14ac:dyDescent="0.25">
      <c r="D225" s="62"/>
      <c r="F225" s="63"/>
      <c r="G225" s="63"/>
      <c r="H225" s="63"/>
      <c r="I225" s="63"/>
    </row>
    <row r="226" spans="4:9" ht="22" x14ac:dyDescent="0.25">
      <c r="D226" s="62"/>
      <c r="F226" s="63"/>
      <c r="G226" s="63"/>
      <c r="H226" s="63"/>
      <c r="I226" s="63"/>
    </row>
    <row r="227" spans="4:9" ht="22" x14ac:dyDescent="0.25">
      <c r="D227" s="62"/>
      <c r="F227" s="63"/>
      <c r="G227" s="63"/>
      <c r="H227" s="63"/>
      <c r="I227" s="63"/>
    </row>
    <row r="228" spans="4:9" ht="22" x14ac:dyDescent="0.25">
      <c r="D228" s="62"/>
      <c r="F228" s="63"/>
      <c r="G228" s="63"/>
      <c r="H228" s="63"/>
      <c r="I228" s="63"/>
    </row>
    <row r="229" spans="4:9" ht="22" x14ac:dyDescent="0.25">
      <c r="D229" s="62"/>
      <c r="F229" s="63"/>
      <c r="G229" s="63"/>
      <c r="H229" s="63"/>
      <c r="I229" s="63"/>
    </row>
    <row r="230" spans="4:9" ht="22" x14ac:dyDescent="0.25">
      <c r="D230" s="62"/>
      <c r="F230" s="63"/>
      <c r="G230" s="63"/>
      <c r="H230" s="63"/>
      <c r="I230" s="63"/>
    </row>
    <row r="231" spans="4:9" ht="22" x14ac:dyDescent="0.25">
      <c r="D231" s="62"/>
      <c r="F231" s="63"/>
      <c r="G231" s="63"/>
      <c r="H231" s="63"/>
      <c r="I231" s="63"/>
    </row>
    <row r="232" spans="4:9" ht="22" x14ac:dyDescent="0.25">
      <c r="D232" s="62"/>
      <c r="F232" s="63"/>
      <c r="G232" s="63"/>
      <c r="H232" s="63"/>
      <c r="I232" s="63"/>
    </row>
    <row r="233" spans="4:9" ht="22" x14ac:dyDescent="0.25">
      <c r="D233" s="62"/>
      <c r="F233" s="63"/>
      <c r="G233" s="63"/>
      <c r="H233" s="63"/>
      <c r="I233" s="63"/>
    </row>
    <row r="234" spans="4:9" ht="22" x14ac:dyDescent="0.25">
      <c r="D234" s="62"/>
      <c r="F234" s="63"/>
      <c r="G234" s="63"/>
      <c r="H234" s="63"/>
      <c r="I234" s="63"/>
    </row>
    <row r="235" spans="4:9" ht="22" x14ac:dyDescent="0.25">
      <c r="D235" s="62"/>
      <c r="F235" s="63"/>
      <c r="G235" s="63"/>
      <c r="H235" s="63"/>
      <c r="I235" s="63"/>
    </row>
    <row r="236" spans="4:9" ht="22" x14ac:dyDescent="0.25">
      <c r="D236" s="62"/>
      <c r="F236" s="63"/>
      <c r="G236" s="63"/>
      <c r="H236" s="63"/>
      <c r="I236" s="63"/>
    </row>
    <row r="237" spans="4:9" ht="22" x14ac:dyDescent="0.25">
      <c r="D237" s="62"/>
      <c r="F237" s="63"/>
      <c r="G237" s="63"/>
      <c r="H237" s="63"/>
      <c r="I237" s="63"/>
    </row>
    <row r="238" spans="4:9" ht="22" x14ac:dyDescent="0.25">
      <c r="D238" s="62"/>
      <c r="F238" s="63"/>
      <c r="G238" s="63"/>
      <c r="H238" s="63"/>
      <c r="I238" s="63"/>
    </row>
    <row r="239" spans="4:9" ht="22" x14ac:dyDescent="0.25">
      <c r="D239" s="62"/>
      <c r="F239" s="63"/>
      <c r="G239" s="63"/>
      <c r="H239" s="63"/>
      <c r="I239" s="63"/>
    </row>
    <row r="240" spans="4:9" ht="22" x14ac:dyDescent="0.25">
      <c r="D240" s="62"/>
      <c r="F240" s="63"/>
      <c r="G240" s="63"/>
      <c r="H240" s="63"/>
      <c r="I240" s="63"/>
    </row>
    <row r="241" spans="4:9" ht="22" x14ac:dyDescent="0.25">
      <c r="D241" s="62"/>
      <c r="F241" s="63"/>
      <c r="G241" s="63"/>
      <c r="H241" s="63"/>
      <c r="I241" s="63"/>
    </row>
    <row r="242" spans="4:9" ht="22" x14ac:dyDescent="0.25">
      <c r="D242" s="62"/>
      <c r="F242" s="63"/>
      <c r="G242" s="63"/>
      <c r="H242" s="63"/>
      <c r="I242" s="63"/>
    </row>
    <row r="243" spans="4:9" ht="22" x14ac:dyDescent="0.25">
      <c r="D243" s="62"/>
      <c r="F243" s="63"/>
      <c r="G243" s="63"/>
      <c r="H243" s="63"/>
      <c r="I243" s="63"/>
    </row>
    <row r="244" spans="4:9" ht="22" x14ac:dyDescent="0.25">
      <c r="D244" s="62"/>
      <c r="F244" s="63"/>
      <c r="G244" s="63"/>
      <c r="H244" s="63"/>
      <c r="I244" s="63"/>
    </row>
    <row r="245" spans="4:9" ht="22" x14ac:dyDescent="0.25">
      <c r="D245" s="62"/>
      <c r="F245" s="63"/>
      <c r="G245" s="63"/>
      <c r="H245" s="63"/>
      <c r="I245" s="63"/>
    </row>
    <row r="246" spans="4:9" ht="22" x14ac:dyDescent="0.25">
      <c r="D246" s="62"/>
      <c r="F246" s="63"/>
      <c r="G246" s="63"/>
      <c r="H246" s="63"/>
      <c r="I246" s="63"/>
    </row>
    <row r="247" spans="4:9" ht="22" x14ac:dyDescent="0.25">
      <c r="D247" s="62"/>
      <c r="F247" s="63"/>
      <c r="G247" s="63"/>
      <c r="H247" s="63"/>
      <c r="I247" s="63"/>
    </row>
    <row r="248" spans="4:9" ht="22" x14ac:dyDescent="0.25">
      <c r="D248" s="62"/>
      <c r="F248" s="63"/>
      <c r="G248" s="63"/>
      <c r="H248" s="63"/>
      <c r="I248" s="63"/>
    </row>
    <row r="249" spans="4:9" ht="22" x14ac:dyDescent="0.25">
      <c r="D249" s="62"/>
      <c r="F249" s="63"/>
      <c r="G249" s="63"/>
      <c r="H249" s="63"/>
      <c r="I249" s="63"/>
    </row>
    <row r="250" spans="4:9" ht="22" x14ac:dyDescent="0.25">
      <c r="D250" s="62"/>
      <c r="F250" s="63"/>
      <c r="G250" s="63"/>
      <c r="H250" s="63"/>
      <c r="I250" s="63"/>
    </row>
    <row r="251" spans="4:9" ht="22" x14ac:dyDescent="0.25">
      <c r="D251" s="62"/>
      <c r="F251" s="63"/>
      <c r="G251" s="63"/>
      <c r="H251" s="63"/>
      <c r="I251" s="63"/>
    </row>
    <row r="252" spans="4:9" ht="22" x14ac:dyDescent="0.25">
      <c r="D252" s="62"/>
      <c r="F252" s="63"/>
      <c r="G252" s="63"/>
      <c r="H252" s="63"/>
      <c r="I252" s="63"/>
    </row>
    <row r="253" spans="4:9" ht="22" x14ac:dyDescent="0.25">
      <c r="D253" s="62"/>
      <c r="F253" s="63"/>
      <c r="G253" s="63"/>
      <c r="H253" s="63"/>
      <c r="I253" s="63"/>
    </row>
    <row r="254" spans="4:9" ht="22" x14ac:dyDescent="0.25">
      <c r="D254" s="62"/>
      <c r="F254" s="63"/>
      <c r="G254" s="63"/>
      <c r="H254" s="63"/>
      <c r="I254" s="63"/>
    </row>
    <row r="255" spans="4:9" ht="22" x14ac:dyDescent="0.25">
      <c r="D255" s="62"/>
      <c r="F255" s="63"/>
      <c r="G255" s="63"/>
      <c r="H255" s="63"/>
      <c r="I255" s="63"/>
    </row>
    <row r="256" spans="4:9" ht="22" x14ac:dyDescent="0.25">
      <c r="D256" s="62"/>
      <c r="F256" s="63"/>
      <c r="G256" s="63"/>
      <c r="H256" s="63"/>
      <c r="I256" s="63"/>
    </row>
    <row r="257" spans="4:9" ht="22" x14ac:dyDescent="0.25">
      <c r="D257" s="62"/>
      <c r="F257" s="63"/>
      <c r="G257" s="63"/>
      <c r="H257" s="63"/>
      <c r="I257" s="63"/>
    </row>
    <row r="258" spans="4:9" ht="22" x14ac:dyDescent="0.25">
      <c r="D258" s="62"/>
      <c r="F258" s="63"/>
      <c r="G258" s="63"/>
      <c r="H258" s="63"/>
      <c r="I258" s="63"/>
    </row>
    <row r="259" spans="4:9" ht="22" x14ac:dyDescent="0.25">
      <c r="D259" s="62"/>
      <c r="F259" s="63"/>
      <c r="G259" s="63"/>
      <c r="H259" s="63"/>
      <c r="I259" s="63"/>
    </row>
    <row r="260" spans="4:9" ht="22" x14ac:dyDescent="0.25">
      <c r="D260" s="62"/>
      <c r="F260" s="63"/>
      <c r="G260" s="63"/>
      <c r="H260" s="63"/>
      <c r="I260" s="63"/>
    </row>
    <row r="261" spans="4:9" ht="22" x14ac:dyDescent="0.25">
      <c r="D261" s="62"/>
      <c r="F261" s="63"/>
      <c r="G261" s="63"/>
      <c r="H261" s="63"/>
      <c r="I261" s="63"/>
    </row>
    <row r="262" spans="4:9" ht="22" x14ac:dyDescent="0.25">
      <c r="D262" s="62"/>
      <c r="F262" s="63"/>
      <c r="G262" s="63"/>
      <c r="H262" s="63"/>
      <c r="I262" s="63"/>
    </row>
    <row r="263" spans="4:9" ht="22" x14ac:dyDescent="0.25">
      <c r="D263" s="62"/>
      <c r="F263" s="63"/>
      <c r="G263" s="63"/>
      <c r="H263" s="63"/>
      <c r="I263" s="63"/>
    </row>
    <row r="264" spans="4:9" ht="22" x14ac:dyDescent="0.25">
      <c r="D264" s="62"/>
      <c r="F264" s="63"/>
      <c r="G264" s="63"/>
      <c r="H264" s="63"/>
      <c r="I264" s="63"/>
    </row>
    <row r="265" spans="4:9" ht="22" x14ac:dyDescent="0.25">
      <c r="D265" s="62"/>
      <c r="F265" s="63"/>
      <c r="G265" s="63"/>
      <c r="H265" s="63"/>
      <c r="I265" s="63"/>
    </row>
    <row r="266" spans="4:9" ht="22" x14ac:dyDescent="0.25">
      <c r="D266" s="62"/>
      <c r="F266" s="63"/>
      <c r="G266" s="63"/>
      <c r="H266" s="63"/>
      <c r="I266" s="63"/>
    </row>
    <row r="267" spans="4:9" ht="22" x14ac:dyDescent="0.25">
      <c r="D267" s="62"/>
      <c r="F267" s="63"/>
      <c r="G267" s="63"/>
      <c r="H267" s="63"/>
      <c r="I267" s="63"/>
    </row>
    <row r="268" spans="4:9" ht="22" x14ac:dyDescent="0.25">
      <c r="D268" s="62"/>
      <c r="F268" s="63"/>
      <c r="G268" s="63"/>
      <c r="H268" s="63"/>
      <c r="I268" s="63"/>
    </row>
    <row r="269" spans="4:9" ht="22" x14ac:dyDescent="0.25">
      <c r="D269" s="62"/>
      <c r="F269" s="63"/>
      <c r="G269" s="63"/>
      <c r="H269" s="63"/>
      <c r="I269" s="63"/>
    </row>
    <row r="270" spans="4:9" ht="22" x14ac:dyDescent="0.25">
      <c r="D270" s="62"/>
      <c r="F270" s="63"/>
      <c r="G270" s="63"/>
      <c r="H270" s="63"/>
      <c r="I270" s="63"/>
    </row>
    <row r="271" spans="4:9" ht="22" x14ac:dyDescent="0.25">
      <c r="D271" s="62"/>
      <c r="F271" s="63"/>
      <c r="G271" s="63"/>
      <c r="H271" s="63"/>
      <c r="I271" s="63"/>
    </row>
    <row r="272" spans="4:9" ht="22" x14ac:dyDescent="0.25">
      <c r="D272" s="62"/>
      <c r="F272" s="63"/>
      <c r="G272" s="63"/>
      <c r="H272" s="63"/>
      <c r="I272" s="63"/>
    </row>
    <row r="273" spans="4:9" ht="22" x14ac:dyDescent="0.25">
      <c r="D273" s="62"/>
      <c r="F273" s="63"/>
      <c r="G273" s="63"/>
      <c r="H273" s="63"/>
      <c r="I273" s="63"/>
    </row>
    <row r="274" spans="4:9" ht="22" x14ac:dyDescent="0.25">
      <c r="D274" s="62"/>
      <c r="F274" s="63"/>
      <c r="G274" s="63"/>
      <c r="H274" s="63"/>
      <c r="I274" s="63"/>
    </row>
    <row r="275" spans="4:9" ht="22" x14ac:dyDescent="0.25">
      <c r="D275" s="62"/>
      <c r="F275" s="63"/>
      <c r="G275" s="63"/>
      <c r="H275" s="63"/>
      <c r="I275" s="63"/>
    </row>
    <row r="276" spans="4:9" ht="22" x14ac:dyDescent="0.25">
      <c r="D276" s="62"/>
      <c r="F276" s="63"/>
      <c r="G276" s="63"/>
      <c r="H276" s="63"/>
      <c r="I276" s="63"/>
    </row>
    <row r="277" spans="4:9" ht="22" x14ac:dyDescent="0.25">
      <c r="D277" s="62"/>
      <c r="F277" s="63"/>
      <c r="G277" s="63"/>
      <c r="H277" s="63"/>
      <c r="I277" s="63"/>
    </row>
    <row r="278" spans="4:9" ht="22" x14ac:dyDescent="0.25">
      <c r="D278" s="62"/>
      <c r="F278" s="63"/>
      <c r="G278" s="63"/>
      <c r="H278" s="63"/>
      <c r="I278" s="63"/>
    </row>
    <row r="279" spans="4:9" ht="22" x14ac:dyDescent="0.25">
      <c r="D279" s="62"/>
      <c r="F279" s="63"/>
      <c r="G279" s="63"/>
      <c r="H279" s="63"/>
      <c r="I279" s="63"/>
    </row>
    <row r="280" spans="4:9" ht="22" x14ac:dyDescent="0.25">
      <c r="D280" s="62"/>
      <c r="F280" s="63"/>
      <c r="G280" s="63"/>
      <c r="H280" s="63"/>
      <c r="I280" s="63"/>
    </row>
    <row r="281" spans="4:9" ht="22" x14ac:dyDescent="0.25">
      <c r="D281" s="62"/>
      <c r="F281" s="63"/>
      <c r="G281" s="63"/>
      <c r="H281" s="63"/>
      <c r="I281" s="63"/>
    </row>
    <row r="282" spans="4:9" ht="22" x14ac:dyDescent="0.25">
      <c r="D282" s="62"/>
      <c r="F282" s="63"/>
      <c r="G282" s="63"/>
      <c r="H282" s="63"/>
      <c r="I282" s="63"/>
    </row>
    <row r="283" spans="4:9" ht="22" x14ac:dyDescent="0.25">
      <c r="D283" s="62"/>
      <c r="F283" s="63"/>
      <c r="G283" s="63"/>
      <c r="H283" s="63"/>
      <c r="I283" s="63"/>
    </row>
    <row r="284" spans="4:9" ht="22" x14ac:dyDescent="0.25">
      <c r="D284" s="62"/>
      <c r="F284" s="63"/>
      <c r="G284" s="63"/>
      <c r="H284" s="63"/>
      <c r="I284" s="63"/>
    </row>
    <row r="285" spans="4:9" ht="22" x14ac:dyDescent="0.25">
      <c r="D285" s="62"/>
      <c r="F285" s="63"/>
      <c r="G285" s="63"/>
      <c r="H285" s="63"/>
      <c r="I285" s="63"/>
    </row>
    <row r="286" spans="4:9" ht="22" x14ac:dyDescent="0.25">
      <c r="D286" s="62"/>
      <c r="F286" s="63"/>
      <c r="G286" s="63"/>
      <c r="H286" s="63"/>
      <c r="I286" s="63"/>
    </row>
    <row r="287" spans="4:9" ht="22" x14ac:dyDescent="0.25">
      <c r="D287" s="62"/>
      <c r="F287" s="63"/>
      <c r="G287" s="63"/>
      <c r="H287" s="63"/>
      <c r="I287" s="63"/>
    </row>
    <row r="288" spans="4:9" ht="22" x14ac:dyDescent="0.25">
      <c r="D288" s="62"/>
      <c r="F288" s="63"/>
      <c r="G288" s="63"/>
      <c r="H288" s="63"/>
      <c r="I288" s="63"/>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224" t="s">
        <v>3911</v>
      </c>
      <c r="J4" s="224"/>
      <c r="K4" s="224"/>
      <c r="L4" s="224"/>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2"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225"/>
      <c r="I4" s="225"/>
      <c r="J4" s="225"/>
      <c r="K4" s="225"/>
      <c r="L4" s="37"/>
      <c r="M4" s="55"/>
      <c r="N4" s="55"/>
    </row>
    <row r="5" spans="3:23" x14ac:dyDescent="0.3">
      <c r="C5" s="13" t="s">
        <v>25</v>
      </c>
      <c r="D5" s="12" t="s">
        <v>13</v>
      </c>
      <c r="E5" s="12" t="s">
        <v>14</v>
      </c>
      <c r="F5" s="12" t="s">
        <v>15</v>
      </c>
      <c r="G5" s="13" t="s">
        <v>3932</v>
      </c>
      <c r="H5" s="13" t="s">
        <v>3943</v>
      </c>
      <c r="I5" s="13" t="s">
        <v>3944</v>
      </c>
      <c r="J5" s="13" t="s">
        <v>22</v>
      </c>
      <c r="K5" s="13" t="s">
        <v>23</v>
      </c>
      <c r="L5" s="13" t="s">
        <v>24</v>
      </c>
      <c r="M5" s="43" t="s">
        <v>3941</v>
      </c>
      <c r="N5" s="13" t="s">
        <v>3942</v>
      </c>
      <c r="O5" s="12" t="s">
        <v>21</v>
      </c>
    </row>
    <row r="6" spans="3:23" hidden="1" x14ac:dyDescent="0.3">
      <c r="C6" s="9" t="s">
        <v>16</v>
      </c>
      <c r="D6" s="11">
        <v>13593032</v>
      </c>
      <c r="E6" s="11">
        <v>669183050</v>
      </c>
      <c r="F6" s="11">
        <v>1052326</v>
      </c>
      <c r="G6" s="10"/>
      <c r="H6" s="28"/>
      <c r="I6" s="28"/>
      <c r="J6" s="10"/>
      <c r="K6" s="10"/>
      <c r="L6" s="9"/>
      <c r="M6" s="44"/>
      <c r="N6" s="25"/>
      <c r="O6" s="25"/>
    </row>
    <row r="7" spans="3:23" hidden="1" x14ac:dyDescent="0.3">
      <c r="C7" s="9" t="s">
        <v>3901</v>
      </c>
      <c r="D7" s="11">
        <v>18483186</v>
      </c>
      <c r="E7" s="11">
        <v>523574516</v>
      </c>
      <c r="F7" s="11">
        <v>194955</v>
      </c>
      <c r="G7" s="10"/>
      <c r="H7" s="28"/>
      <c r="I7" s="28"/>
      <c r="J7" s="10"/>
      <c r="K7" s="10"/>
      <c r="L7" s="9"/>
      <c r="M7" s="44"/>
      <c r="N7" s="25"/>
      <c r="O7" s="25"/>
    </row>
    <row r="8" spans="3:23" hidden="1" x14ac:dyDescent="0.3">
      <c r="C8" s="11" t="s">
        <v>1460</v>
      </c>
      <c r="D8" s="11">
        <v>4512099</v>
      </c>
      <c r="E8" s="11">
        <v>163921732</v>
      </c>
      <c r="F8" s="11">
        <v>288044</v>
      </c>
      <c r="G8" s="10"/>
      <c r="H8" s="28"/>
      <c r="I8" s="28"/>
      <c r="J8" s="10"/>
      <c r="K8" s="10"/>
      <c r="L8" s="9"/>
      <c r="M8" s="44"/>
      <c r="N8" s="25"/>
      <c r="O8" s="25"/>
    </row>
    <row r="9" spans="3:23" hidden="1" x14ac:dyDescent="0.3">
      <c r="C9" s="9" t="s">
        <v>3900</v>
      </c>
      <c r="D9" s="11">
        <v>1069126</v>
      </c>
      <c r="E9" s="11">
        <v>112613306</v>
      </c>
      <c r="F9" s="11">
        <v>11467</v>
      </c>
      <c r="G9" s="10"/>
      <c r="H9" s="28"/>
      <c r="I9" s="28"/>
      <c r="J9" s="10"/>
      <c r="K9" s="10"/>
      <c r="L9" s="9"/>
      <c r="M9" s="44"/>
      <c r="N9" s="25"/>
      <c r="O9" s="25"/>
    </row>
    <row r="10" spans="3:23" hidden="1" x14ac:dyDescent="0.3">
      <c r="C10" s="9" t="s">
        <v>1427</v>
      </c>
      <c r="D10" s="11">
        <v>2105723</v>
      </c>
      <c r="E10" s="11">
        <v>100093818</v>
      </c>
      <c r="F10" s="11">
        <v>218818</v>
      </c>
      <c r="G10" s="10"/>
      <c r="H10" s="28"/>
      <c r="I10" s="28"/>
      <c r="J10" s="10"/>
      <c r="K10" s="10"/>
      <c r="L10" s="9"/>
      <c r="M10" s="44"/>
      <c r="N10" s="25"/>
      <c r="O10" s="25"/>
    </row>
    <row r="11" spans="3:23" hidden="1" x14ac:dyDescent="0.3">
      <c r="C11" s="11" t="s">
        <v>1424</v>
      </c>
      <c r="D11" s="11">
        <v>2302925</v>
      </c>
      <c r="E11" s="11">
        <v>45676552</v>
      </c>
      <c r="F11" s="11">
        <v>27937</v>
      </c>
      <c r="G11" s="10"/>
      <c r="H11" s="28"/>
      <c r="I11" s="28"/>
      <c r="J11" s="10"/>
      <c r="K11" s="10"/>
      <c r="L11" s="9"/>
      <c r="M11" s="44"/>
      <c r="N11" s="25"/>
      <c r="O11" s="25"/>
    </row>
    <row r="12" spans="3:23" hidden="1" x14ac:dyDescent="0.3">
      <c r="C12" s="11" t="s">
        <v>1465</v>
      </c>
      <c r="D12" s="11">
        <v>68349466</v>
      </c>
      <c r="E12" s="11">
        <v>3623698684</v>
      </c>
      <c r="F12" s="11">
        <v>5214</v>
      </c>
      <c r="G12" s="10"/>
      <c r="H12" s="28"/>
      <c r="I12" s="28"/>
      <c r="J12" s="10"/>
      <c r="K12" s="10"/>
      <c r="L12" s="9"/>
      <c r="M12" s="44"/>
      <c r="N12" s="25"/>
      <c r="O12" s="25"/>
    </row>
    <row r="13" spans="3:23" hidden="1" x14ac:dyDescent="0.3">
      <c r="C13" s="9" t="s">
        <v>3914</v>
      </c>
      <c r="D13" s="11">
        <v>147925593</v>
      </c>
      <c r="E13" s="11">
        <v>893533906</v>
      </c>
      <c r="F13" s="11">
        <v>308477</v>
      </c>
      <c r="G13" s="10"/>
      <c r="H13" s="28"/>
      <c r="I13" s="28"/>
      <c r="J13" s="10"/>
      <c r="K13" s="10"/>
      <c r="L13" s="9"/>
      <c r="M13" s="44"/>
      <c r="N13" s="25"/>
      <c r="O13" s="25"/>
    </row>
    <row r="14" spans="3:23" hidden="1" x14ac:dyDescent="0.3">
      <c r="C14" s="11" t="s">
        <v>1417</v>
      </c>
      <c r="D14" s="11">
        <v>5203763</v>
      </c>
      <c r="E14" s="11">
        <v>97419242</v>
      </c>
      <c r="F14" s="11">
        <v>15016</v>
      </c>
      <c r="G14" s="10"/>
      <c r="H14" s="28"/>
      <c r="I14" s="28"/>
      <c r="J14" s="10"/>
      <c r="K14" s="10"/>
      <c r="L14" s="9"/>
      <c r="M14" s="44"/>
      <c r="N14" s="25"/>
      <c r="O14" s="25"/>
    </row>
    <row r="15" spans="3:23" hidden="1" x14ac:dyDescent="0.3">
      <c r="C15" s="11" t="s">
        <v>1435</v>
      </c>
      <c r="D15" s="11">
        <v>4846609</v>
      </c>
      <c r="E15" s="11">
        <v>85702474</v>
      </c>
      <c r="F15" s="11">
        <v>20333</v>
      </c>
      <c r="G15" s="10"/>
      <c r="H15" s="28"/>
      <c r="I15" s="28"/>
      <c r="J15" s="10"/>
      <c r="K15" s="10"/>
      <c r="L15" s="9"/>
      <c r="M15" s="44"/>
      <c r="N15" s="25"/>
      <c r="O15" s="25"/>
    </row>
    <row r="16" spans="3:23" ht="24" x14ac:dyDescent="0.3">
      <c r="C16" s="22" t="s">
        <v>3912</v>
      </c>
      <c r="D16" s="38">
        <v>4033138</v>
      </c>
      <c r="E16" s="38">
        <v>55866126</v>
      </c>
      <c r="F16" s="38">
        <v>2651</v>
      </c>
      <c r="G16" s="39">
        <v>287</v>
      </c>
      <c r="H16" s="41">
        <v>215</v>
      </c>
      <c r="I16" s="70">
        <v>0.92</v>
      </c>
      <c r="J16" s="41"/>
      <c r="K16" s="61"/>
      <c r="L16" s="56"/>
      <c r="M16" s="56"/>
      <c r="N16" s="34"/>
      <c r="O16" s="34"/>
      <c r="S16" s="35"/>
      <c r="U16" s="2"/>
      <c r="W16" s="2"/>
    </row>
    <row r="17" spans="3:23" ht="24" x14ac:dyDescent="0.3">
      <c r="C17" s="22" t="s">
        <v>3919</v>
      </c>
      <c r="D17" s="38">
        <v>2937612</v>
      </c>
      <c r="E17" s="38">
        <v>41919708</v>
      </c>
      <c r="F17" s="38">
        <v>4356</v>
      </c>
      <c r="G17" s="39">
        <v>27593398</v>
      </c>
      <c r="H17" s="41"/>
      <c r="I17" s="40"/>
      <c r="J17" s="41"/>
      <c r="K17" s="61"/>
      <c r="L17" s="56"/>
      <c r="M17" s="56"/>
      <c r="N17" s="34"/>
      <c r="O17" s="34"/>
      <c r="S17" s="35"/>
      <c r="U17" s="2"/>
      <c r="W17" s="2"/>
    </row>
    <row r="18" spans="3:23" ht="24" x14ac:dyDescent="0.3">
      <c r="C18" s="22" t="s">
        <v>3920</v>
      </c>
      <c r="D18" s="38">
        <v>1632803</v>
      </c>
      <c r="E18" s="38">
        <v>44603928</v>
      </c>
      <c r="F18" s="38">
        <v>14854</v>
      </c>
      <c r="G18" s="39">
        <v>19376873</v>
      </c>
      <c r="H18" s="41"/>
      <c r="I18" s="40"/>
      <c r="J18" s="41"/>
      <c r="K18" s="61"/>
      <c r="L18" s="56"/>
      <c r="M18" s="56"/>
      <c r="N18" s="34"/>
      <c r="O18" s="34"/>
      <c r="S18" s="35"/>
      <c r="U18" s="2"/>
      <c r="W18" s="2"/>
    </row>
    <row r="19" spans="3:23" ht="24" x14ac:dyDescent="0.3">
      <c r="C19" s="11" t="s">
        <v>1462</v>
      </c>
      <c r="D19" s="38">
        <v>33778221</v>
      </c>
      <c r="E19" s="38">
        <v>203595714</v>
      </c>
      <c r="F19" s="38">
        <v>29319</v>
      </c>
      <c r="G19" s="39">
        <v>103359042</v>
      </c>
      <c r="H19" s="41"/>
      <c r="I19" s="40"/>
      <c r="J19" s="41"/>
      <c r="K19" s="61"/>
      <c r="L19" s="56"/>
      <c r="M19" s="56"/>
      <c r="N19" s="34"/>
      <c r="O19" s="34"/>
      <c r="S19" s="35"/>
      <c r="U19" s="2"/>
      <c r="W19" s="2"/>
    </row>
    <row r="20" spans="3:23" ht="24" x14ac:dyDescent="0.3">
      <c r="C20" s="11" t="s">
        <v>6</v>
      </c>
      <c r="D20" s="38">
        <v>3072441</v>
      </c>
      <c r="E20" s="38">
        <v>234369798</v>
      </c>
      <c r="F20" s="38">
        <v>33313</v>
      </c>
      <c r="G20" s="39">
        <v>2270456447</v>
      </c>
      <c r="H20" s="41"/>
      <c r="I20" s="40"/>
      <c r="J20" s="41"/>
      <c r="K20" s="41"/>
      <c r="L20" s="56"/>
      <c r="M20" s="59"/>
      <c r="N20" s="34"/>
      <c r="O20" s="34"/>
      <c r="S20" s="35"/>
      <c r="U20" s="2"/>
      <c r="W20" s="2"/>
    </row>
    <row r="21" spans="3:23" ht="24" x14ac:dyDescent="0.3">
      <c r="C21" s="11" t="s">
        <v>1346</v>
      </c>
      <c r="D21" s="38">
        <v>1696415</v>
      </c>
      <c r="E21" s="38">
        <v>22190596</v>
      </c>
      <c r="F21" s="38">
        <v>35455</v>
      </c>
      <c r="G21" s="39">
        <v>37322355</v>
      </c>
      <c r="H21" s="41"/>
      <c r="I21" s="40"/>
      <c r="J21" s="41"/>
      <c r="K21" s="61"/>
      <c r="L21" s="56"/>
      <c r="M21" s="56"/>
      <c r="N21" s="34"/>
      <c r="O21" s="34"/>
      <c r="S21" s="35"/>
      <c r="U21" s="2"/>
      <c r="W21" s="2"/>
    </row>
    <row r="22" spans="3:23" ht="24" x14ac:dyDescent="0.3">
      <c r="C22" s="11" t="s">
        <v>7</v>
      </c>
      <c r="D22" s="38">
        <v>2584164</v>
      </c>
      <c r="E22" s="38">
        <v>56367036</v>
      </c>
      <c r="F22" s="38">
        <v>44065</v>
      </c>
      <c r="G22" s="39">
        <v>918563917</v>
      </c>
      <c r="H22" s="41"/>
      <c r="I22" s="40"/>
      <c r="J22" s="41"/>
      <c r="K22" s="41"/>
      <c r="L22" s="56"/>
      <c r="M22" s="59"/>
      <c r="N22" s="34"/>
      <c r="O22" s="34"/>
      <c r="S22" s="35"/>
      <c r="U22" s="2"/>
      <c r="W22" s="2"/>
    </row>
    <row r="23" spans="3:23" ht="24" x14ac:dyDescent="0.3">
      <c r="C23" s="11" t="s">
        <v>4</v>
      </c>
      <c r="D23" s="38">
        <v>1203995</v>
      </c>
      <c r="E23" s="38">
        <v>40033816</v>
      </c>
      <c r="F23" s="38">
        <v>81090</v>
      </c>
      <c r="G23" s="39">
        <v>148294115</v>
      </c>
      <c r="H23" s="41"/>
      <c r="I23" s="40"/>
      <c r="J23" s="41"/>
      <c r="K23" s="60"/>
      <c r="L23" s="56"/>
      <c r="M23" s="56"/>
      <c r="N23" s="34"/>
      <c r="O23" s="34"/>
      <c r="S23" s="35"/>
      <c r="U23" s="2"/>
      <c r="W23" s="2"/>
    </row>
    <row r="24" spans="3:23" ht="24" x14ac:dyDescent="0.3">
      <c r="C24" s="9" t="s">
        <v>1371</v>
      </c>
      <c r="D24" s="38">
        <v>2140198</v>
      </c>
      <c r="E24" s="38">
        <v>34029892</v>
      </c>
      <c r="F24" s="38">
        <v>97848</v>
      </c>
      <c r="G24" s="39">
        <v>19365288</v>
      </c>
      <c r="H24" s="41"/>
      <c r="I24" s="40"/>
      <c r="J24" s="41"/>
      <c r="K24" s="61"/>
      <c r="L24" s="56"/>
      <c r="M24" s="56"/>
      <c r="N24" s="34"/>
      <c r="O24" s="34"/>
      <c r="S24" s="35"/>
      <c r="U24" s="2"/>
      <c r="W24" s="2"/>
    </row>
    <row r="25" spans="3:23" ht="24" x14ac:dyDescent="0.3">
      <c r="C25" s="9" t="s">
        <v>11</v>
      </c>
      <c r="D25" s="38">
        <v>2394385</v>
      </c>
      <c r="E25" s="38">
        <v>9319130</v>
      </c>
      <c r="F25" s="38">
        <v>100029</v>
      </c>
      <c r="G25" s="39">
        <v>86333306</v>
      </c>
      <c r="H25" s="41"/>
      <c r="I25" s="40"/>
      <c r="J25" s="41"/>
      <c r="K25" s="61"/>
      <c r="L25" s="56"/>
      <c r="M25" s="56"/>
      <c r="N25" s="34"/>
      <c r="O25" s="34"/>
      <c r="S25" s="35"/>
      <c r="U25" s="2"/>
      <c r="W25" s="2"/>
    </row>
    <row r="26" spans="3:23" ht="24" x14ac:dyDescent="0.3">
      <c r="C26" s="11" t="s">
        <v>3</v>
      </c>
      <c r="D26" s="38">
        <v>2212663</v>
      </c>
      <c r="E26" s="38">
        <v>58330960</v>
      </c>
      <c r="F26" s="38">
        <v>137021</v>
      </c>
      <c r="G26" s="39">
        <v>1569924556</v>
      </c>
      <c r="H26" s="41"/>
      <c r="I26" s="40"/>
      <c r="J26" s="41"/>
      <c r="K26" s="41"/>
      <c r="L26" s="56"/>
      <c r="M26" s="59"/>
      <c r="N26" s="34"/>
      <c r="O26" s="34"/>
      <c r="S26" s="35"/>
      <c r="U26" s="2"/>
      <c r="W26" s="2"/>
    </row>
    <row r="27" spans="3:23" ht="24" x14ac:dyDescent="0.3">
      <c r="C27" s="9" t="s">
        <v>1434</v>
      </c>
      <c r="D27" s="38">
        <v>7825669</v>
      </c>
      <c r="E27" s="38">
        <v>124492028</v>
      </c>
      <c r="F27" s="38">
        <v>204282</v>
      </c>
      <c r="G27" s="39">
        <v>74995873</v>
      </c>
      <c r="H27" s="60"/>
      <c r="I27" s="40"/>
      <c r="J27" s="41"/>
      <c r="K27" s="40"/>
      <c r="L27" s="56"/>
      <c r="M27" s="56"/>
      <c r="N27" s="34"/>
      <c r="O27" s="34"/>
      <c r="S27" s="35"/>
      <c r="U27" s="2"/>
      <c r="W27" s="2"/>
    </row>
    <row r="28" spans="3:23" ht="24" x14ac:dyDescent="0.3">
      <c r="C28" s="9" t="s">
        <v>3917</v>
      </c>
      <c r="D28" s="38">
        <v>1791489</v>
      </c>
      <c r="E28" s="38">
        <v>50888414</v>
      </c>
      <c r="F28" s="38">
        <v>238342</v>
      </c>
      <c r="G28" s="39">
        <v>27229873</v>
      </c>
      <c r="H28" s="41"/>
      <c r="I28" s="40"/>
      <c r="J28" s="41"/>
      <c r="K28" s="61"/>
      <c r="L28" s="56"/>
      <c r="M28" s="56"/>
      <c r="N28" s="34"/>
      <c r="O28" s="34"/>
      <c r="S28" s="35"/>
      <c r="U28" s="2"/>
      <c r="W28" s="2"/>
    </row>
    <row r="29" spans="3:23" ht="24" x14ac:dyDescent="0.3">
      <c r="C29" s="9" t="s">
        <v>1443</v>
      </c>
      <c r="D29" s="38">
        <v>3924218</v>
      </c>
      <c r="E29" s="38">
        <v>152878772</v>
      </c>
      <c r="F29" s="38">
        <v>254555</v>
      </c>
      <c r="G29" s="39">
        <v>36008128</v>
      </c>
      <c r="H29" s="41"/>
      <c r="I29" s="40"/>
      <c r="J29" s="41"/>
      <c r="K29" s="41"/>
      <c r="L29" s="57"/>
      <c r="M29" s="59"/>
      <c r="N29" s="34"/>
      <c r="O29" s="34"/>
      <c r="S29" s="35"/>
      <c r="U29" s="2"/>
      <c r="W29" s="2"/>
    </row>
    <row r="30" spans="3:23" ht="24" x14ac:dyDescent="0.3">
      <c r="C30" s="9" t="s">
        <v>1414</v>
      </c>
      <c r="D30" s="38">
        <v>3033373</v>
      </c>
      <c r="E30" s="38">
        <v>87691916</v>
      </c>
      <c r="F30" s="38">
        <v>275166</v>
      </c>
      <c r="G30" s="39">
        <v>118034566</v>
      </c>
      <c r="H30" s="41"/>
      <c r="I30" s="40"/>
      <c r="J30" s="41"/>
      <c r="K30" s="60"/>
      <c r="L30" s="56"/>
      <c r="M30" s="56"/>
      <c r="N30" s="34"/>
      <c r="O30" s="34"/>
      <c r="S30" s="35"/>
      <c r="U30" s="2"/>
      <c r="W30" s="2"/>
    </row>
    <row r="31" spans="3:23" ht="24" x14ac:dyDescent="0.3">
      <c r="C31" s="9" t="s">
        <v>3913</v>
      </c>
      <c r="D31" s="38">
        <v>58655849</v>
      </c>
      <c r="E31" s="38">
        <v>522642066</v>
      </c>
      <c r="F31" s="38">
        <v>278489</v>
      </c>
      <c r="G31" s="39">
        <v>1117416174</v>
      </c>
      <c r="H31" s="41"/>
      <c r="I31" s="40"/>
      <c r="J31" s="41"/>
      <c r="K31" s="41"/>
      <c r="L31" s="56"/>
      <c r="M31" s="59"/>
      <c r="N31" s="34"/>
      <c r="O31" s="34"/>
      <c r="S31" s="35"/>
      <c r="U31" s="2"/>
      <c r="W31" s="2"/>
    </row>
    <row r="32" spans="3:23" ht="24" x14ac:dyDescent="0.3">
      <c r="C32" s="9" t="s">
        <v>1442</v>
      </c>
      <c r="D32" s="38">
        <v>3370462</v>
      </c>
      <c r="E32" s="38">
        <v>143901836</v>
      </c>
      <c r="F32" s="38">
        <v>282591</v>
      </c>
      <c r="G32" s="39">
        <v>563203047</v>
      </c>
      <c r="H32" s="41"/>
      <c r="I32" s="40"/>
      <c r="J32" s="41"/>
      <c r="K32" s="41"/>
      <c r="L32" s="58"/>
      <c r="M32" s="59"/>
      <c r="N32" s="34"/>
      <c r="O32" s="34"/>
      <c r="S32" s="35"/>
      <c r="U32" s="2"/>
      <c r="W32" s="2"/>
    </row>
    <row r="33" spans="3:29" ht="24" x14ac:dyDescent="0.3">
      <c r="C33" s="9" t="s">
        <v>1445</v>
      </c>
      <c r="D33" s="38">
        <v>2148791</v>
      </c>
      <c r="E33" s="38">
        <v>155750262</v>
      </c>
      <c r="F33" s="38">
        <v>286585</v>
      </c>
      <c r="G33" s="39">
        <v>147929073</v>
      </c>
      <c r="H33" s="41"/>
      <c r="I33" s="40"/>
      <c r="J33" s="41"/>
      <c r="K33" s="41"/>
      <c r="L33" s="56"/>
      <c r="M33" s="59"/>
      <c r="N33" s="34"/>
      <c r="O33" s="34"/>
      <c r="S33" s="35"/>
      <c r="U33" s="2"/>
      <c r="W33" s="2"/>
    </row>
    <row r="34" spans="3:29" ht="24" x14ac:dyDescent="0.3">
      <c r="C34" s="9" t="s">
        <v>1402</v>
      </c>
      <c r="D34" s="38">
        <v>2132864</v>
      </c>
      <c r="E34" s="38">
        <v>17441248</v>
      </c>
      <c r="F34" s="38">
        <v>306136</v>
      </c>
      <c r="G34" s="39">
        <v>11329220</v>
      </c>
      <c r="H34" s="41"/>
      <c r="I34" s="40"/>
      <c r="J34" s="41"/>
      <c r="K34" s="61"/>
      <c r="L34" s="56"/>
      <c r="M34" s="56"/>
      <c r="N34" s="34"/>
      <c r="O34" s="34"/>
      <c r="S34" s="35"/>
      <c r="U34" s="2"/>
      <c r="W34" s="2"/>
    </row>
    <row r="35" spans="3:29" ht="24" x14ac:dyDescent="0.3">
      <c r="C35" s="11" t="s">
        <v>5</v>
      </c>
      <c r="D35" s="38">
        <v>8730857</v>
      </c>
      <c r="E35" s="38">
        <v>654072972</v>
      </c>
      <c r="F35" s="38">
        <v>318268</v>
      </c>
      <c r="G35" s="39">
        <v>417032363</v>
      </c>
      <c r="H35" s="41"/>
      <c r="I35" s="40"/>
      <c r="J35" s="41"/>
      <c r="K35" s="60"/>
      <c r="L35" s="56"/>
      <c r="M35" s="56"/>
      <c r="N35" s="34"/>
      <c r="O35" s="34"/>
      <c r="S35" s="35"/>
      <c r="U35" s="2"/>
      <c r="W35" s="2"/>
    </row>
    <row r="36" spans="3:29" ht="24" x14ac:dyDescent="0.3">
      <c r="C36" s="9" t="s">
        <v>1452</v>
      </c>
      <c r="D36" s="38">
        <v>3175009</v>
      </c>
      <c r="E36" s="38">
        <v>206621674</v>
      </c>
      <c r="F36" s="38">
        <v>369566</v>
      </c>
      <c r="G36" s="39">
        <v>67547002</v>
      </c>
      <c r="H36" s="40"/>
      <c r="I36" s="40"/>
      <c r="J36" s="41"/>
      <c r="K36" s="41"/>
      <c r="L36" s="57"/>
      <c r="M36" s="59"/>
      <c r="N36" s="34"/>
      <c r="O36" s="34"/>
      <c r="S36" s="35"/>
      <c r="U36" s="2"/>
      <c r="W36" s="2"/>
    </row>
    <row r="37" spans="3:29" ht="24" x14ac:dyDescent="0.3">
      <c r="C37" s="11" t="s">
        <v>1437</v>
      </c>
      <c r="D37" s="38">
        <v>2981204</v>
      </c>
      <c r="E37" s="38">
        <v>42832752</v>
      </c>
      <c r="F37" s="38">
        <v>385104</v>
      </c>
      <c r="G37" s="39">
        <v>35290880</v>
      </c>
      <c r="H37" s="41"/>
      <c r="I37" s="40"/>
      <c r="J37" s="41"/>
      <c r="K37" s="61"/>
      <c r="L37" s="56"/>
      <c r="M37" s="56"/>
      <c r="N37" s="34"/>
      <c r="O37" s="34"/>
      <c r="S37" s="35"/>
      <c r="U37" s="2"/>
      <c r="W37" s="2"/>
    </row>
    <row r="38" spans="3:29" ht="24" x14ac:dyDescent="0.3">
      <c r="C38" s="9" t="s">
        <v>1451</v>
      </c>
      <c r="D38" s="38">
        <v>3333397</v>
      </c>
      <c r="E38" s="38">
        <v>200923810</v>
      </c>
      <c r="F38" s="38">
        <v>399358</v>
      </c>
      <c r="G38" s="39">
        <v>1902943357</v>
      </c>
      <c r="H38" s="41"/>
      <c r="I38" s="40"/>
      <c r="J38" s="41"/>
      <c r="K38" s="41"/>
      <c r="L38" s="56"/>
      <c r="M38" s="59"/>
      <c r="N38" s="34"/>
      <c r="O38" s="34"/>
      <c r="S38" s="35"/>
      <c r="U38" s="2"/>
      <c r="W38" s="2"/>
    </row>
    <row r="39" spans="3:29" ht="24" x14ac:dyDescent="0.3">
      <c r="C39" s="9" t="s">
        <v>10</v>
      </c>
      <c r="D39" s="38">
        <v>3603726</v>
      </c>
      <c r="E39" s="38">
        <v>155093964</v>
      </c>
      <c r="F39" s="38">
        <v>434234</v>
      </c>
      <c r="G39" s="39">
        <v>1237624958</v>
      </c>
      <c r="H39" s="41"/>
      <c r="I39" s="40"/>
      <c r="J39" s="41"/>
      <c r="K39" s="41"/>
      <c r="L39" s="57"/>
      <c r="M39" s="59"/>
      <c r="N39" s="34"/>
      <c r="O39" s="34"/>
      <c r="S39" s="35"/>
      <c r="U39" s="2"/>
      <c r="W39" s="2"/>
      <c r="AA39" s="2"/>
      <c r="AC39" s="2"/>
    </row>
    <row r="40" spans="3:29" ht="24" x14ac:dyDescent="0.3">
      <c r="C40" s="11" t="s">
        <v>1448</v>
      </c>
      <c r="D40" s="38">
        <v>5267977</v>
      </c>
      <c r="E40" s="38">
        <v>55363430</v>
      </c>
      <c r="F40" s="38">
        <v>590528</v>
      </c>
      <c r="G40" s="39">
        <v>99655585</v>
      </c>
      <c r="H40" s="41"/>
      <c r="I40" s="40"/>
      <c r="J40" s="41"/>
      <c r="K40" s="61"/>
      <c r="L40" s="56"/>
      <c r="M40" s="56"/>
      <c r="N40" s="34"/>
      <c r="O40" s="34"/>
      <c r="S40" s="35"/>
      <c r="U40" s="2"/>
      <c r="W40" s="2"/>
      <c r="AA40" s="2"/>
      <c r="AC40" s="2"/>
    </row>
    <row r="41" spans="3:29" ht="24" x14ac:dyDescent="0.3">
      <c r="C41" s="11" t="s">
        <v>1</v>
      </c>
      <c r="D41" s="38">
        <v>18268991</v>
      </c>
      <c r="E41" s="38">
        <v>253780418</v>
      </c>
      <c r="F41" s="38">
        <v>612308</v>
      </c>
      <c r="G41" s="39">
        <v>240680701</v>
      </c>
      <c r="H41" s="41"/>
      <c r="I41" s="40"/>
      <c r="J41" s="41"/>
      <c r="K41" s="60"/>
      <c r="L41" s="56"/>
      <c r="M41" s="56"/>
      <c r="N41" s="34"/>
      <c r="O41" s="34"/>
      <c r="S41" s="35"/>
      <c r="U41" s="2"/>
      <c r="W41" s="2"/>
      <c r="AA41" s="2"/>
      <c r="AC41" s="2"/>
    </row>
    <row r="42" spans="3:29" ht="24" x14ac:dyDescent="0.3">
      <c r="C42" s="11" t="s">
        <v>2</v>
      </c>
      <c r="D42" s="38">
        <v>4382070</v>
      </c>
      <c r="E42" s="38">
        <v>38996662</v>
      </c>
      <c r="F42" s="38">
        <v>699764</v>
      </c>
      <c r="G42" s="39">
        <v>287608260</v>
      </c>
      <c r="H42" s="41"/>
      <c r="I42" s="40"/>
      <c r="J42" s="41"/>
      <c r="K42" s="60"/>
      <c r="L42" s="56"/>
      <c r="M42" s="56"/>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56"/>
      <c r="M43" s="59"/>
      <c r="N43" s="34"/>
      <c r="O43" s="34"/>
      <c r="S43" s="35"/>
      <c r="U43" s="2"/>
      <c r="W43" s="2"/>
      <c r="AA43" s="2"/>
      <c r="AC43" s="2"/>
    </row>
    <row r="44" spans="3:29" ht="24" x14ac:dyDescent="0.3">
      <c r="C44" s="11" t="s">
        <v>1433</v>
      </c>
      <c r="D44" s="38">
        <v>2646291</v>
      </c>
      <c r="E44" s="38">
        <v>42433496</v>
      </c>
      <c r="F44" s="38">
        <v>850681</v>
      </c>
      <c r="G44" s="39">
        <v>110149144</v>
      </c>
      <c r="H44" s="41"/>
      <c r="I44" s="40"/>
      <c r="J44" s="41"/>
      <c r="K44" s="61"/>
      <c r="L44" s="56"/>
      <c r="M44" s="56"/>
      <c r="N44" s="34"/>
      <c r="O44" s="34"/>
      <c r="S44" s="35"/>
      <c r="U44" s="2"/>
      <c r="W44" s="2"/>
      <c r="AA44" s="2"/>
      <c r="AC44" s="2"/>
    </row>
    <row r="45" spans="3:29" ht="24" x14ac:dyDescent="0.3">
      <c r="C45" s="11" t="s">
        <v>1436</v>
      </c>
      <c r="D45" s="38">
        <v>3790750</v>
      </c>
      <c r="E45" s="38">
        <v>44273578</v>
      </c>
      <c r="F45" s="38">
        <v>866662</v>
      </c>
      <c r="G45" s="39">
        <v>489911259</v>
      </c>
      <c r="H45" s="41"/>
      <c r="I45" s="40"/>
      <c r="J45" s="41"/>
      <c r="K45" s="60"/>
      <c r="L45" s="56"/>
      <c r="M45" s="56"/>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56"/>
      <c r="M46" s="59"/>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56"/>
      <c r="M47" s="59"/>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56"/>
      <c r="M48" s="59"/>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0"/>
      <c r="L49" s="56"/>
      <c r="M49" s="56"/>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1"/>
      <c r="L50" s="56"/>
      <c r="M50" s="56"/>
      <c r="N50" s="34"/>
      <c r="O50" s="34"/>
      <c r="S50" s="35"/>
      <c r="U50" s="2"/>
      <c r="W50" s="2"/>
      <c r="AA50" s="2"/>
      <c r="AC50" s="2"/>
    </row>
    <row r="51" spans="3:29" ht="24" x14ac:dyDescent="0.3">
      <c r="C51" s="11" t="s">
        <v>1449</v>
      </c>
      <c r="D51" s="38">
        <v>4799646</v>
      </c>
      <c r="E51" s="38">
        <v>63844012</v>
      </c>
      <c r="F51" s="38">
        <v>1076572</v>
      </c>
      <c r="G51" s="39">
        <v>157475935</v>
      </c>
      <c r="H51" s="41"/>
      <c r="I51" s="40"/>
      <c r="J51" s="41"/>
      <c r="K51" s="60"/>
      <c r="L51" s="56"/>
      <c r="M51" s="56"/>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56"/>
      <c r="M52" s="59"/>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56"/>
      <c r="M53" s="59"/>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57"/>
      <c r="M54" s="59"/>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59"/>
      <c r="M55" s="56"/>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56"/>
      <c r="M56" s="59"/>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59"/>
      <c r="M57" s="56"/>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56"/>
      <c r="M58" s="59"/>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56"/>
      <c r="M59" s="59"/>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56"/>
      <c r="M60" s="59"/>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56"/>
      <c r="M61" s="59"/>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56"/>
      <c r="M62" s="59"/>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56"/>
      <c r="M63" s="59"/>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56"/>
      <c r="M64" s="59"/>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59"/>
      <c r="M65" s="56"/>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1:AL65"/>
  <sheetViews>
    <sheetView tabSelected="1" topLeftCell="C2" zoomScale="90" workbookViewId="0">
      <selection activeCell="P12" sqref="P12"/>
    </sheetView>
  </sheetViews>
  <sheetFormatPr baseColWidth="10" defaultRowHeight="16" x14ac:dyDescent="0.2"/>
  <cols>
    <col min="1" max="1" width="28.5" style="228" bestFit="1" customWidth="1"/>
    <col min="2" max="2" width="17.83203125" style="228" customWidth="1"/>
    <col min="3" max="3" width="19.1640625" style="228" bestFit="1" customWidth="1"/>
    <col min="4" max="4" width="15.5" style="228" customWidth="1"/>
    <col min="5" max="5" width="14.33203125" style="228" customWidth="1"/>
    <col min="6" max="6" width="11" style="228" bestFit="1" customWidth="1"/>
    <col min="8" max="8" width="26.5" customWidth="1"/>
    <col min="11" max="11" width="13.33203125" customWidth="1"/>
    <col min="13" max="13" width="11.33203125" customWidth="1"/>
    <col min="15" max="15" width="14.33203125" customWidth="1"/>
    <col min="18" max="18" width="11.6640625" bestFit="1" customWidth="1"/>
    <col min="25" max="25" width="19.6640625" customWidth="1"/>
    <col min="32" max="32" width="15.1640625" customWidth="1"/>
  </cols>
  <sheetData>
    <row r="1" spans="1:19" x14ac:dyDescent="0.2">
      <c r="L1" t="s">
        <v>4062</v>
      </c>
    </row>
    <row r="2" spans="1:19" ht="17" thickBot="1" x14ac:dyDescent="0.25"/>
    <row r="3" spans="1:19" ht="19" x14ac:dyDescent="0.2">
      <c r="A3" s="229" t="s">
        <v>3952</v>
      </c>
      <c r="B3" s="229" t="s">
        <v>3995</v>
      </c>
      <c r="C3" s="229" t="s">
        <v>3996</v>
      </c>
      <c r="D3" s="229" t="s">
        <v>4047</v>
      </c>
      <c r="E3" s="229" t="s">
        <v>15</v>
      </c>
      <c r="H3" s="211" t="s">
        <v>4048</v>
      </c>
      <c r="I3" s="211" t="s">
        <v>3995</v>
      </c>
      <c r="J3" s="211" t="s">
        <v>3996</v>
      </c>
      <c r="K3" s="211" t="s">
        <v>4064</v>
      </c>
      <c r="L3" s="209" t="s">
        <v>4049</v>
      </c>
      <c r="M3" s="209" t="s">
        <v>4051</v>
      </c>
      <c r="N3" s="209" t="s">
        <v>4052</v>
      </c>
      <c r="O3" s="209" t="s">
        <v>4050</v>
      </c>
      <c r="P3" s="209" t="s">
        <v>3935</v>
      </c>
      <c r="Q3" s="209" t="s">
        <v>4055</v>
      </c>
      <c r="R3" s="209" t="s">
        <v>4054</v>
      </c>
      <c r="S3" s="209" t="s">
        <v>4053</v>
      </c>
    </row>
    <row r="4" spans="1:19" ht="17" x14ac:dyDescent="0.2">
      <c r="A4" s="230" t="s">
        <v>3913</v>
      </c>
      <c r="B4" s="231">
        <v>58655849</v>
      </c>
      <c r="C4" s="231">
        <v>522642066</v>
      </c>
      <c r="D4" s="231">
        <v>8.9103145706747853</v>
      </c>
      <c r="E4" s="231">
        <v>278489</v>
      </c>
      <c r="H4" s="202" t="s">
        <v>3913</v>
      </c>
      <c r="I4" s="205" t="str">
        <f>TEXT(B4/1000000,IF(B4&gt;=100000000,"0.0",IF(B4&gt;=10000000,"0.00","0.000")))&amp;"M"</f>
        <v>58.66M</v>
      </c>
      <c r="J4" s="205" t="str">
        <f>TEXT(C4/1000000,IF(C4&gt;=100000000,"0.0",IF(C4&gt;=10000000,"0.00","0.000")))&amp;"M"</f>
        <v>522.6M</v>
      </c>
      <c r="K4" s="205" t="str">
        <f>TEXT(E4/1000,IF(E4&gt;=100000,"0.0",IF(E4&gt;=10000,"0.00","0.000")))&amp;"K"</f>
        <v>278.5K</v>
      </c>
      <c r="L4" s="205">
        <v>72.141434000000004</v>
      </c>
      <c r="M4" s="205">
        <v>32.451304999999998</v>
      </c>
      <c r="N4" s="205">
        <v>27.86</v>
      </c>
      <c r="O4" s="205">
        <v>144.30504400000001</v>
      </c>
      <c r="P4" s="205">
        <v>30.88738</v>
      </c>
      <c r="Q4" s="205">
        <f>L4/N4</f>
        <v>2.5894269203158653</v>
      </c>
      <c r="R4" s="205">
        <f>N4/P4</f>
        <v>0.90198650711067108</v>
      </c>
      <c r="S4" s="205">
        <f>O4/P4</f>
        <v>4.6719742496773762</v>
      </c>
    </row>
    <row r="5" spans="1:19" ht="17" x14ac:dyDescent="0.2">
      <c r="A5" s="230" t="s">
        <v>3915</v>
      </c>
      <c r="B5" s="231">
        <v>25921548</v>
      </c>
      <c r="C5" s="231">
        <v>1086367222</v>
      </c>
      <c r="D5" s="231">
        <v>41.909812716431901</v>
      </c>
      <c r="E5" s="231">
        <v>4271341</v>
      </c>
      <c r="H5" s="203" t="s">
        <v>3915</v>
      </c>
      <c r="I5" s="205" t="str">
        <f t="shared" ref="I5:J23" si="0">TEXT(B5/1000000,IF(B5&gt;=100000000,"0.0",IF(B5&gt;=10000000,"0.00","0.000")))&amp;"M"</f>
        <v>25.92M</v>
      </c>
      <c r="J5" s="205" t="str">
        <f t="shared" si="0"/>
        <v>1086.4M</v>
      </c>
      <c r="K5" s="205" t="str">
        <f t="shared" ref="K5:K23" si="1">TEXT(E5/1000,IF(E5&gt;=100000,"0.0",IF(E5&gt;=10000,"0.00","0.000")))&amp;"K"</f>
        <v>4271.3K</v>
      </c>
      <c r="L5" s="205">
        <v>151.533287</v>
      </c>
      <c r="M5" s="205">
        <v>222.62359000000001</v>
      </c>
      <c r="N5" s="205">
        <v>147.67106799999999</v>
      </c>
      <c r="O5" s="205">
        <v>227.71192199999999</v>
      </c>
      <c r="P5" s="205">
        <v>99.896929</v>
      </c>
      <c r="Q5" s="205">
        <f t="shared" ref="Q5:Q23" si="2">L5/N5</f>
        <v>1.0261542023925772</v>
      </c>
      <c r="R5" s="205">
        <f t="shared" ref="R5:R23" si="3">N5/P5</f>
        <v>1.4782343108865739</v>
      </c>
      <c r="S5" s="205">
        <f t="shared" ref="S5:S23" si="4">O5/P5</f>
        <v>2.2794686911746807</v>
      </c>
    </row>
    <row r="6" spans="1:19" ht="17" x14ac:dyDescent="0.2">
      <c r="A6" s="230" t="s">
        <v>1455</v>
      </c>
      <c r="B6" s="231">
        <v>8833229</v>
      </c>
      <c r="C6" s="231">
        <v>105882456</v>
      </c>
      <c r="D6" s="231">
        <v>11.986834712425093</v>
      </c>
      <c r="E6" s="231">
        <v>2126384</v>
      </c>
      <c r="H6" s="203" t="s">
        <v>1455</v>
      </c>
      <c r="I6" s="205" t="str">
        <f t="shared" si="0"/>
        <v>8.833M</v>
      </c>
      <c r="J6" s="205" t="str">
        <f t="shared" si="0"/>
        <v>105.9M</v>
      </c>
      <c r="K6" s="205" t="str">
        <f t="shared" si="1"/>
        <v>2126.4K</v>
      </c>
      <c r="L6" s="205">
        <v>112.67521000000001</v>
      </c>
      <c r="M6" s="205">
        <v>90.007458</v>
      </c>
      <c r="N6" s="205">
        <v>60.69</v>
      </c>
      <c r="O6" s="205">
        <v>306.40025200000002</v>
      </c>
      <c r="P6" s="205">
        <v>46.755004999999997</v>
      </c>
      <c r="Q6" s="205">
        <f t="shared" si="2"/>
        <v>1.8565696160817271</v>
      </c>
      <c r="R6" s="205">
        <f t="shared" si="3"/>
        <v>1.2980428512412736</v>
      </c>
      <c r="S6" s="205">
        <f t="shared" si="4"/>
        <v>6.5533144954214002</v>
      </c>
    </row>
    <row r="7" spans="1:19" ht="17" x14ac:dyDescent="0.2">
      <c r="A7" s="230" t="s">
        <v>1391</v>
      </c>
      <c r="B7" s="231">
        <v>8482737</v>
      </c>
      <c r="C7" s="231">
        <v>23585644</v>
      </c>
      <c r="D7" s="231">
        <v>2.7804285338564663</v>
      </c>
      <c r="E7" s="231">
        <v>8421430</v>
      </c>
      <c r="H7" s="203" t="s">
        <v>1391</v>
      </c>
      <c r="I7" s="205" t="str">
        <f t="shared" si="0"/>
        <v>8.483M</v>
      </c>
      <c r="J7" s="205" t="str">
        <f t="shared" si="0"/>
        <v>23.59M</v>
      </c>
      <c r="K7" s="205" t="str">
        <f t="shared" si="1"/>
        <v>8421.4K</v>
      </c>
      <c r="L7" s="205">
        <v>9.2547449999999998</v>
      </c>
      <c r="M7" s="205">
        <v>8.1007510000000007</v>
      </c>
      <c r="N7" s="205">
        <v>7.2945060000000002</v>
      </c>
      <c r="O7" s="205">
        <v>0.89532500000000004</v>
      </c>
      <c r="P7" s="205">
        <v>0.873803</v>
      </c>
      <c r="Q7" s="205">
        <f t="shared" si="2"/>
        <v>1.2687281359423106</v>
      </c>
      <c r="R7" s="205">
        <f t="shared" si="3"/>
        <v>8.3479983474536024</v>
      </c>
      <c r="S7" s="205">
        <f t="shared" si="4"/>
        <v>1.0246302656319559</v>
      </c>
    </row>
    <row r="8" spans="1:19" ht="17" x14ac:dyDescent="0.2">
      <c r="A8" s="230" t="s">
        <v>1423</v>
      </c>
      <c r="B8" s="231">
        <v>7570051</v>
      </c>
      <c r="C8" s="231">
        <v>43881980</v>
      </c>
      <c r="D8" s="231">
        <v>5.7967878948239582</v>
      </c>
      <c r="E8" s="231">
        <v>5669991</v>
      </c>
      <c r="H8" s="203" t="s">
        <v>1423</v>
      </c>
      <c r="I8" s="205" t="str">
        <f t="shared" si="0"/>
        <v>7.570M</v>
      </c>
      <c r="J8" s="205" t="str">
        <f t="shared" si="0"/>
        <v>43.88M</v>
      </c>
      <c r="K8" s="205" t="str">
        <f t="shared" si="1"/>
        <v>5670.0K</v>
      </c>
      <c r="L8" s="205">
        <v>14.093127000000001</v>
      </c>
      <c r="M8" s="205">
        <v>13.289847</v>
      </c>
      <c r="N8" s="205">
        <v>12.232373000000001</v>
      </c>
      <c r="O8" s="205">
        <v>4.7210000000000001</v>
      </c>
      <c r="P8" s="205">
        <v>2.3150789999999999</v>
      </c>
      <c r="Q8" s="205">
        <f t="shared" si="2"/>
        <v>1.1521171730129551</v>
      </c>
      <c r="R8" s="205">
        <f t="shared" si="3"/>
        <v>5.2837821085155197</v>
      </c>
      <c r="S8" s="205">
        <f t="shared" si="4"/>
        <v>2.039239265701084</v>
      </c>
    </row>
    <row r="9" spans="1:19" ht="17" x14ac:dyDescent="0.2">
      <c r="A9" s="231" t="s">
        <v>1450</v>
      </c>
      <c r="B9" s="231">
        <v>5867547</v>
      </c>
      <c r="C9" s="231">
        <v>61171040</v>
      </c>
      <c r="D9" s="231">
        <v>10.425317428220003</v>
      </c>
      <c r="E9" s="231">
        <v>959344</v>
      </c>
      <c r="H9" s="203" t="s">
        <v>1450</v>
      </c>
      <c r="I9" s="205" t="str">
        <f t="shared" si="0"/>
        <v>5.868M</v>
      </c>
      <c r="J9" s="205" t="str">
        <f t="shared" si="0"/>
        <v>61.17M</v>
      </c>
      <c r="K9" s="205" t="str">
        <f t="shared" si="1"/>
        <v>959.3K</v>
      </c>
      <c r="L9" s="205">
        <v>47.766303000000001</v>
      </c>
      <c r="M9" s="205">
        <v>35.560279000000001</v>
      </c>
      <c r="N9" s="205">
        <v>28.21</v>
      </c>
      <c r="O9" s="205">
        <v>123.493318</v>
      </c>
      <c r="P9" s="205">
        <v>20.122519</v>
      </c>
      <c r="Q9" s="205">
        <f t="shared" si="2"/>
        <v>1.6932400921658985</v>
      </c>
      <c r="R9" s="205">
        <f t="shared" si="3"/>
        <v>1.4019119574442942</v>
      </c>
      <c r="S9" s="205">
        <f t="shared" si="4"/>
        <v>6.1370705128915519</v>
      </c>
    </row>
    <row r="10" spans="1:19" ht="17" x14ac:dyDescent="0.2">
      <c r="A10" s="231" t="s">
        <v>1456</v>
      </c>
      <c r="B10" s="231">
        <v>5829441</v>
      </c>
      <c r="C10" s="231">
        <v>110439216</v>
      </c>
      <c r="D10" s="231">
        <v>18.945078267367318</v>
      </c>
      <c r="E10" s="231">
        <v>818185</v>
      </c>
      <c r="H10" s="203" t="s">
        <v>1456</v>
      </c>
      <c r="I10" s="205" t="str">
        <f t="shared" si="0"/>
        <v>5.829M</v>
      </c>
      <c r="J10" s="205" t="str">
        <f t="shared" si="0"/>
        <v>110.4M</v>
      </c>
      <c r="K10" s="205" t="str">
        <f t="shared" si="1"/>
        <v>818.2K</v>
      </c>
      <c r="L10" s="205">
        <v>79.435288</v>
      </c>
      <c r="M10" s="205">
        <v>52.55547</v>
      </c>
      <c r="N10" s="205">
        <v>46.29</v>
      </c>
      <c r="O10" s="205">
        <v>245.51799</v>
      </c>
      <c r="P10" s="205">
        <v>37.410254999999999</v>
      </c>
      <c r="Q10" s="205">
        <f t="shared" si="2"/>
        <v>1.7160356016418232</v>
      </c>
      <c r="R10" s="205">
        <f t="shared" si="3"/>
        <v>1.2373612529505613</v>
      </c>
      <c r="S10" s="205">
        <f t="shared" si="4"/>
        <v>6.562852618887522</v>
      </c>
    </row>
    <row r="11" spans="1:19" ht="17" x14ac:dyDescent="0.2">
      <c r="A11" s="230" t="s">
        <v>1440</v>
      </c>
      <c r="B11" s="231">
        <v>5812931</v>
      </c>
      <c r="C11" s="231">
        <v>54238524</v>
      </c>
      <c r="D11" s="231">
        <v>9.3306670937604448</v>
      </c>
      <c r="E11" s="231">
        <v>3504033</v>
      </c>
      <c r="H11" s="203" t="s">
        <v>1440</v>
      </c>
      <c r="I11" s="205" t="str">
        <f t="shared" si="0"/>
        <v>5.813M</v>
      </c>
      <c r="J11" s="205" t="str">
        <f t="shared" si="0"/>
        <v>54.24M</v>
      </c>
      <c r="K11" s="205" t="str">
        <f t="shared" si="1"/>
        <v>3504.0K</v>
      </c>
      <c r="L11" s="205">
        <v>6.0030999999999999</v>
      </c>
      <c r="M11" s="205">
        <v>6.1971189999999998</v>
      </c>
      <c r="N11" s="205">
        <v>4.798845</v>
      </c>
      <c r="O11" s="205">
        <v>9.5797369999999997</v>
      </c>
      <c r="P11" s="205">
        <v>3.0204589999999998</v>
      </c>
      <c r="Q11" s="205">
        <f t="shared" si="2"/>
        <v>1.25094684241729</v>
      </c>
      <c r="R11" s="205">
        <f t="shared" si="3"/>
        <v>1.5887800496547049</v>
      </c>
      <c r="S11" s="205">
        <f t="shared" si="4"/>
        <v>3.1716163007013174</v>
      </c>
    </row>
    <row r="12" spans="1:19" ht="17" x14ac:dyDescent="0.2">
      <c r="A12" s="231" t="s">
        <v>1443</v>
      </c>
      <c r="B12" s="231">
        <v>3924218</v>
      </c>
      <c r="C12" s="231">
        <v>152878772</v>
      </c>
      <c r="D12" s="231">
        <v>38.957767381934438</v>
      </c>
      <c r="E12" s="231">
        <v>254555</v>
      </c>
      <c r="H12" s="203" t="s">
        <v>1443</v>
      </c>
      <c r="I12" s="205" t="str">
        <f t="shared" si="0"/>
        <v>3.924M</v>
      </c>
      <c r="J12" s="205" t="str">
        <f t="shared" si="0"/>
        <v>152.9M</v>
      </c>
      <c r="K12" s="205" t="str">
        <f t="shared" si="1"/>
        <v>254.6K</v>
      </c>
      <c r="L12" s="205">
        <v>483.37426900000003</v>
      </c>
      <c r="M12" s="205">
        <v>483.67</v>
      </c>
      <c r="N12" s="205">
        <v>481.87422600000002</v>
      </c>
      <c r="O12" s="205">
        <v>450.831255</v>
      </c>
      <c r="P12" s="205">
        <v>112.903085</v>
      </c>
      <c r="Q12" s="205">
        <f t="shared" si="2"/>
        <v>1.0031129347017618</v>
      </c>
      <c r="R12" s="205">
        <f t="shared" si="3"/>
        <v>4.2680341817054863</v>
      </c>
      <c r="S12" s="205">
        <f t="shared" si="4"/>
        <v>3.9930818099434573</v>
      </c>
    </row>
    <row r="13" spans="1:19" ht="17" x14ac:dyDescent="0.2">
      <c r="A13" s="231" t="s">
        <v>10</v>
      </c>
      <c r="B13" s="231">
        <v>3603726</v>
      </c>
      <c r="C13" s="231">
        <v>155093964</v>
      </c>
      <c r="D13" s="231">
        <v>43.037113254448315</v>
      </c>
      <c r="E13" s="231">
        <v>434234</v>
      </c>
      <c r="H13" s="203" t="s">
        <v>10</v>
      </c>
      <c r="I13" s="205" t="str">
        <f t="shared" si="0"/>
        <v>3.604M</v>
      </c>
      <c r="J13" s="205" t="str">
        <f t="shared" si="0"/>
        <v>155.1M</v>
      </c>
      <c r="K13" s="205" t="str">
        <f t="shared" si="1"/>
        <v>434.2K</v>
      </c>
      <c r="L13" s="205">
        <v>147.66339600000001</v>
      </c>
      <c r="M13" s="205">
        <v>94.61</v>
      </c>
      <c r="N13" s="205">
        <v>74.099999999999994</v>
      </c>
      <c r="O13" s="205">
        <v>196.60153800000001</v>
      </c>
      <c r="P13" s="205">
        <v>68.88</v>
      </c>
      <c r="Q13" s="205">
        <f t="shared" si="2"/>
        <v>1.9927583805668019</v>
      </c>
      <c r="R13" s="205">
        <f t="shared" si="3"/>
        <v>1.0757839721254356</v>
      </c>
      <c r="S13" s="205">
        <f t="shared" si="4"/>
        <v>2.8542615853658537</v>
      </c>
    </row>
    <row r="14" spans="1:19" ht="17" x14ac:dyDescent="0.2">
      <c r="A14" s="230" t="s">
        <v>1409</v>
      </c>
      <c r="B14" s="231">
        <v>3411795</v>
      </c>
      <c r="C14" s="231">
        <v>26854686</v>
      </c>
      <c r="D14" s="231">
        <v>7.8711311787490166</v>
      </c>
      <c r="E14" s="231">
        <v>2487058</v>
      </c>
      <c r="H14" s="203" t="s">
        <v>1409</v>
      </c>
      <c r="I14" s="205" t="str">
        <f t="shared" si="0"/>
        <v>3.412M</v>
      </c>
      <c r="J14" s="205" t="str">
        <f t="shared" si="0"/>
        <v>26.85M</v>
      </c>
      <c r="K14" s="205" t="str">
        <f t="shared" si="1"/>
        <v>2487.1K</v>
      </c>
      <c r="L14" s="205">
        <v>4.6714419999999999</v>
      </c>
      <c r="M14" s="205">
        <v>3.4434170000000002</v>
      </c>
      <c r="N14" s="205">
        <v>2.5527690000000001</v>
      </c>
      <c r="O14" s="205">
        <v>0.94574000000000003</v>
      </c>
      <c r="P14" s="205">
        <v>0.85847099999999998</v>
      </c>
      <c r="Q14" s="205">
        <f t="shared" si="2"/>
        <v>1.8299509277964436</v>
      </c>
      <c r="R14" s="205">
        <f t="shared" si="3"/>
        <v>2.9736228713608264</v>
      </c>
      <c r="S14" s="205">
        <f t="shared" si="4"/>
        <v>1.1016563168703428</v>
      </c>
    </row>
    <row r="15" spans="1:19" ht="17" x14ac:dyDescent="0.2">
      <c r="A15" s="230" t="s">
        <v>1442</v>
      </c>
      <c r="B15" s="231">
        <v>3370462</v>
      </c>
      <c r="C15" s="231">
        <v>143901836</v>
      </c>
      <c r="D15" s="231">
        <v>42.694988402183441</v>
      </c>
      <c r="E15" s="231">
        <v>282591</v>
      </c>
      <c r="H15" s="203" t="s">
        <v>1442</v>
      </c>
      <c r="I15" s="205" t="str">
        <f t="shared" si="0"/>
        <v>3.370M</v>
      </c>
      <c r="J15" s="205" t="str">
        <f t="shared" si="0"/>
        <v>143.9M</v>
      </c>
      <c r="K15" s="205" t="str">
        <f t="shared" si="1"/>
        <v>282.6K</v>
      </c>
      <c r="L15" s="205">
        <v>156.71956700000001</v>
      </c>
      <c r="M15" s="205">
        <v>85.97</v>
      </c>
      <c r="N15" s="205">
        <v>73.61</v>
      </c>
      <c r="O15" s="205">
        <v>200.62130099999999</v>
      </c>
      <c r="P15" s="205">
        <v>47.39</v>
      </c>
      <c r="Q15" s="205">
        <f t="shared" si="2"/>
        <v>2.1290526694742562</v>
      </c>
      <c r="R15" s="205">
        <f t="shared" si="3"/>
        <v>1.5532812829710909</v>
      </c>
      <c r="S15" s="205">
        <f t="shared" si="4"/>
        <v>4.2334100232116478</v>
      </c>
    </row>
    <row r="16" spans="1:19" ht="17" x14ac:dyDescent="0.2">
      <c r="A16" s="231" t="s">
        <v>1451</v>
      </c>
      <c r="B16" s="231">
        <v>3333397</v>
      </c>
      <c r="C16" s="231">
        <v>200923810</v>
      </c>
      <c r="D16" s="231">
        <v>60.275991728557983</v>
      </c>
      <c r="E16" s="231">
        <v>399358</v>
      </c>
      <c r="H16" s="203" t="s">
        <v>1451</v>
      </c>
      <c r="I16" s="205" t="str">
        <f t="shared" si="0"/>
        <v>3.333M</v>
      </c>
      <c r="J16" s="205" t="str">
        <f t="shared" si="0"/>
        <v>200.9M</v>
      </c>
      <c r="K16" s="205" t="str">
        <f t="shared" si="1"/>
        <v>399.4K</v>
      </c>
      <c r="L16" s="205">
        <v>281.423633</v>
      </c>
      <c r="M16" s="205">
        <v>237.14</v>
      </c>
      <c r="N16" s="205">
        <v>199.82</v>
      </c>
      <c r="O16" s="205">
        <v>834.23</v>
      </c>
      <c r="P16" s="205">
        <v>179.01</v>
      </c>
      <c r="Q16" s="205">
        <f t="shared" si="2"/>
        <v>1.4083857121409269</v>
      </c>
      <c r="R16" s="205">
        <f t="shared" si="3"/>
        <v>1.1162504887995084</v>
      </c>
      <c r="S16" s="205">
        <f t="shared" si="4"/>
        <v>4.6602424445561708</v>
      </c>
    </row>
    <row r="17" spans="1:20" ht="17" x14ac:dyDescent="0.2">
      <c r="A17" s="231" t="s">
        <v>1452</v>
      </c>
      <c r="B17" s="231">
        <v>3175009</v>
      </c>
      <c r="C17" s="231">
        <v>206621674</v>
      </c>
      <c r="D17" s="231">
        <v>65.077508126748612</v>
      </c>
      <c r="E17" s="231">
        <v>369566</v>
      </c>
      <c r="H17" s="203" t="s">
        <v>1452</v>
      </c>
      <c r="I17" s="205" t="str">
        <f t="shared" si="0"/>
        <v>3.175M</v>
      </c>
      <c r="J17" s="205" t="str">
        <f t="shared" si="0"/>
        <v>206.6M</v>
      </c>
      <c r="K17" s="205" t="str">
        <f t="shared" si="1"/>
        <v>369.6K</v>
      </c>
      <c r="L17" s="205">
        <v>434.10890000000001</v>
      </c>
      <c r="M17" s="205">
        <v>493.98</v>
      </c>
      <c r="N17" s="205">
        <v>409.93960600000003</v>
      </c>
      <c r="O17" s="205">
        <v>346.19295299999999</v>
      </c>
      <c r="P17" s="205">
        <v>102.65375299999999</v>
      </c>
      <c r="Q17" s="205">
        <f t="shared" si="2"/>
        <v>1.0589581822450207</v>
      </c>
      <c r="R17" s="205">
        <f t="shared" si="3"/>
        <v>3.9934205425494773</v>
      </c>
      <c r="S17" s="205">
        <f t="shared" si="4"/>
        <v>3.3724334754716665</v>
      </c>
    </row>
    <row r="18" spans="1:20" ht="17" x14ac:dyDescent="0.2">
      <c r="A18" s="231" t="s">
        <v>6</v>
      </c>
      <c r="B18" s="231">
        <v>3072441</v>
      </c>
      <c r="C18" s="231">
        <v>234369798</v>
      </c>
      <c r="D18" s="231">
        <v>76.281301414738309</v>
      </c>
      <c r="E18" s="231">
        <v>33313</v>
      </c>
      <c r="H18" s="203" t="s">
        <v>6</v>
      </c>
      <c r="I18" s="205" t="str">
        <f t="shared" si="0"/>
        <v>3.072M</v>
      </c>
      <c r="J18" s="205" t="str">
        <f t="shared" si="0"/>
        <v>234.4M</v>
      </c>
      <c r="K18" s="205" t="str">
        <f t="shared" si="1"/>
        <v>33.31K</v>
      </c>
      <c r="L18" s="205">
        <v>111.967101</v>
      </c>
      <c r="M18" s="205">
        <v>88.42</v>
      </c>
      <c r="N18" s="205">
        <v>56.98</v>
      </c>
      <c r="O18" s="205">
        <v>281.76346699999999</v>
      </c>
      <c r="P18" s="205">
        <v>51.644970999999998</v>
      </c>
      <c r="Q18" s="205">
        <f t="shared" si="2"/>
        <v>1.9650245875745878</v>
      </c>
      <c r="R18" s="205">
        <f t="shared" si="3"/>
        <v>1.103302003984086</v>
      </c>
      <c r="S18" s="205">
        <f t="shared" si="4"/>
        <v>5.4557774270025243</v>
      </c>
    </row>
    <row r="19" spans="1:20" ht="17" x14ac:dyDescent="0.2">
      <c r="A19" s="230" t="s">
        <v>1404</v>
      </c>
      <c r="B19" s="231">
        <v>2939627</v>
      </c>
      <c r="C19" s="231">
        <v>20974994</v>
      </c>
      <c r="D19" s="231">
        <v>7.1352569560695969</v>
      </c>
      <c r="E19" s="231">
        <v>916719</v>
      </c>
      <c r="H19" s="203" t="s">
        <v>1404</v>
      </c>
      <c r="I19" s="205" t="str">
        <f t="shared" si="0"/>
        <v>2.940M</v>
      </c>
      <c r="J19" s="205" t="str">
        <f t="shared" si="0"/>
        <v>20.97M</v>
      </c>
      <c r="K19" s="205" t="str">
        <f t="shared" si="1"/>
        <v>916.7K</v>
      </c>
      <c r="L19" s="205">
        <v>5.0862049999999996</v>
      </c>
      <c r="M19" s="205">
        <v>4.4346589999999999</v>
      </c>
      <c r="N19" s="205">
        <v>3.2633320000000001</v>
      </c>
      <c r="O19" s="205">
        <v>5.7104470000000003</v>
      </c>
      <c r="P19" s="205">
        <v>2.0374910000000002</v>
      </c>
      <c r="Q19" s="205">
        <f t="shared" si="2"/>
        <v>1.5585925673514063</v>
      </c>
      <c r="R19" s="205">
        <f t="shared" si="3"/>
        <v>1.6016424121628021</v>
      </c>
      <c r="S19" s="205">
        <f t="shared" si="4"/>
        <v>2.8026857541947425</v>
      </c>
    </row>
    <row r="20" spans="1:20" ht="17" x14ac:dyDescent="0.2">
      <c r="A20" s="231" t="s">
        <v>1422</v>
      </c>
      <c r="B20" s="231">
        <v>2622756</v>
      </c>
      <c r="C20" s="231">
        <v>94934908</v>
      </c>
      <c r="D20" s="231">
        <v>36.196622179112353</v>
      </c>
      <c r="E20" s="231">
        <v>900354</v>
      </c>
      <c r="H20" s="203" t="s">
        <v>1422</v>
      </c>
      <c r="I20" s="205" t="str">
        <f t="shared" si="0"/>
        <v>2.623M</v>
      </c>
      <c r="J20" s="205" t="str">
        <f t="shared" si="0"/>
        <v>94.93M</v>
      </c>
      <c r="K20" s="205" t="str">
        <f t="shared" si="1"/>
        <v>900.4K</v>
      </c>
      <c r="L20" s="205">
        <v>25.453268000000001</v>
      </c>
      <c r="M20" s="205">
        <v>27.673922000000001</v>
      </c>
      <c r="N20" s="205">
        <v>23.282133000000002</v>
      </c>
      <c r="O20" s="205">
        <v>31.811346</v>
      </c>
      <c r="P20" s="205">
        <v>17.874461</v>
      </c>
      <c r="Q20" s="205">
        <f t="shared" si="2"/>
        <v>1.0932532685042216</v>
      </c>
      <c r="R20" s="205">
        <f t="shared" si="3"/>
        <v>1.3025362275259658</v>
      </c>
      <c r="S20" s="205">
        <f t="shared" si="4"/>
        <v>1.779709385362725</v>
      </c>
    </row>
    <row r="21" spans="1:20" ht="17" x14ac:dyDescent="0.2">
      <c r="A21" s="231" t="s">
        <v>11</v>
      </c>
      <c r="B21" s="231">
        <v>2394385</v>
      </c>
      <c r="C21" s="231">
        <v>9319130</v>
      </c>
      <c r="D21" s="231">
        <v>3.8920766710449657</v>
      </c>
      <c r="E21" s="231">
        <v>100029</v>
      </c>
      <c r="H21" s="203" t="s">
        <v>11</v>
      </c>
      <c r="I21" s="205" t="str">
        <f t="shared" si="0"/>
        <v>2.394M</v>
      </c>
      <c r="J21" s="205" t="str">
        <f t="shared" si="0"/>
        <v>9.319M</v>
      </c>
      <c r="K21" s="205" t="str">
        <f t="shared" si="1"/>
        <v>100.0K</v>
      </c>
      <c r="L21" s="205">
        <v>3.699408</v>
      </c>
      <c r="M21" s="205">
        <v>5.0047879999999996</v>
      </c>
      <c r="N21" s="205">
        <v>1.745098</v>
      </c>
      <c r="O21" s="205">
        <v>11.48353</v>
      </c>
      <c r="P21" s="205">
        <v>2.5116809999999998</v>
      </c>
      <c r="Q21" s="205">
        <f t="shared" si="2"/>
        <v>2.1198855307839444</v>
      </c>
      <c r="R21" s="205">
        <f t="shared" si="3"/>
        <v>0.69479284988818257</v>
      </c>
      <c r="S21" s="205">
        <f t="shared" si="4"/>
        <v>4.5720495556561529</v>
      </c>
    </row>
    <row r="22" spans="1:20" ht="17" x14ac:dyDescent="0.2">
      <c r="A22" s="230" t="s">
        <v>1445</v>
      </c>
      <c r="B22" s="231">
        <v>2148791</v>
      </c>
      <c r="C22" s="231">
        <v>155750262</v>
      </c>
      <c r="D22" s="231">
        <v>72.482741225181968</v>
      </c>
      <c r="E22" s="231">
        <v>286585</v>
      </c>
      <c r="H22" s="203" t="s">
        <v>1445</v>
      </c>
      <c r="I22" s="205" t="str">
        <f t="shared" si="0"/>
        <v>2.149M</v>
      </c>
      <c r="J22" s="205" t="str">
        <f t="shared" si="0"/>
        <v>155.8M</v>
      </c>
      <c r="K22" s="205" t="str">
        <f t="shared" si="1"/>
        <v>286.6K</v>
      </c>
      <c r="L22" s="205">
        <v>33.908831999999997</v>
      </c>
      <c r="M22" s="205">
        <v>38.217008999999997</v>
      </c>
      <c r="N22" s="205">
        <v>31.713341</v>
      </c>
      <c r="O22" s="205">
        <v>110.60061399999999</v>
      </c>
      <c r="P22" s="205">
        <v>23.840702</v>
      </c>
      <c r="Q22" s="205">
        <f t="shared" si="2"/>
        <v>1.0692292559147267</v>
      </c>
      <c r="R22" s="205">
        <f t="shared" si="3"/>
        <v>1.3302184222595459</v>
      </c>
      <c r="S22" s="205">
        <f t="shared" si="4"/>
        <v>4.6391508941305499</v>
      </c>
    </row>
    <row r="23" spans="1:20" ht="18" thickBot="1" x14ac:dyDescent="0.25">
      <c r="A23" s="230" t="s">
        <v>3917</v>
      </c>
      <c r="B23" s="231">
        <v>1791489</v>
      </c>
      <c r="C23" s="231">
        <v>50888414</v>
      </c>
      <c r="D23" s="231">
        <v>28.405652504704186</v>
      </c>
      <c r="E23" s="231">
        <v>238342</v>
      </c>
      <c r="H23" s="207" t="s">
        <v>3917</v>
      </c>
      <c r="I23" s="208" t="str">
        <f t="shared" si="0"/>
        <v>1.791M</v>
      </c>
      <c r="J23" s="208" t="str">
        <f t="shared" si="0"/>
        <v>50.89M</v>
      </c>
      <c r="K23" s="208" t="str">
        <f t="shared" si="1"/>
        <v>238.3K</v>
      </c>
      <c r="L23" s="208">
        <v>3.0097049999999999</v>
      </c>
      <c r="M23" s="208">
        <v>3.3173910000000002</v>
      </c>
      <c r="N23" s="208">
        <v>1.1303939999999999</v>
      </c>
      <c r="O23" s="208">
        <v>4.5417589999999999</v>
      </c>
      <c r="P23" s="208">
        <v>1.3929849999999999</v>
      </c>
      <c r="Q23" s="208">
        <f t="shared" si="2"/>
        <v>2.6625274019501166</v>
      </c>
      <c r="R23" s="208">
        <f t="shared" si="3"/>
        <v>0.81149043241671659</v>
      </c>
      <c r="S23" s="208">
        <f t="shared" si="4"/>
        <v>3.2604507586226701</v>
      </c>
    </row>
    <row r="25" spans="1:20" x14ac:dyDescent="0.2">
      <c r="K25" t="s">
        <v>4063</v>
      </c>
    </row>
    <row r="26" spans="1:20" ht="27" customHeight="1" thickBot="1" x14ac:dyDescent="0.25"/>
    <row r="27" spans="1:20" ht="20" customHeight="1" x14ac:dyDescent="0.2">
      <c r="H27" s="211" t="s">
        <v>4048</v>
      </c>
      <c r="I27" s="209" t="s">
        <v>4061</v>
      </c>
      <c r="J27" s="209" t="s">
        <v>4049</v>
      </c>
      <c r="K27" s="209" t="s">
        <v>4051</v>
      </c>
      <c r="L27" s="209" t="s">
        <v>4052</v>
      </c>
      <c r="M27" s="209" t="s">
        <v>4050</v>
      </c>
      <c r="N27" s="209" t="s">
        <v>3935</v>
      </c>
      <c r="O27" s="209" t="s">
        <v>4065</v>
      </c>
      <c r="P27" s="209" t="s">
        <v>4066</v>
      </c>
      <c r="Q27" s="209" t="s">
        <v>4053</v>
      </c>
      <c r="R27" s="209" t="s">
        <v>4040</v>
      </c>
      <c r="S27" s="209" t="s">
        <v>4041</v>
      </c>
      <c r="T27" s="209" t="s">
        <v>4042</v>
      </c>
    </row>
    <row r="28" spans="1:20" ht="17" x14ac:dyDescent="0.2">
      <c r="H28" s="219" t="s">
        <v>1391</v>
      </c>
      <c r="I28" s="236" t="s">
        <v>4056</v>
      </c>
      <c r="J28" s="236">
        <v>0.95930300000000002</v>
      </c>
      <c r="K28" s="236">
        <v>0.71632700000000005</v>
      </c>
      <c r="L28" s="236">
        <v>0.81052778007940951</v>
      </c>
      <c r="M28" s="236">
        <v>22.697265999999999</v>
      </c>
      <c r="N28" s="236">
        <v>1.06</v>
      </c>
      <c r="O28" s="236">
        <f>J28/K28</f>
        <v>1.3391970426913964</v>
      </c>
      <c r="P28" s="236">
        <f>K28/N28</f>
        <v>0.67578018867924528</v>
      </c>
      <c r="Q28" s="236">
        <f>IFERROR(M28/N28, "—")</f>
        <v>21.412515094339621</v>
      </c>
      <c r="R28" s="236">
        <v>125.99302299999999</v>
      </c>
      <c r="S28" s="236">
        <v>11.062585</v>
      </c>
      <c r="T28" s="236" t="s">
        <v>3904</v>
      </c>
    </row>
    <row r="29" spans="1:20" ht="17" x14ac:dyDescent="0.2">
      <c r="H29" s="237"/>
      <c r="I29" s="238" t="s">
        <v>4057</v>
      </c>
      <c r="J29" s="238">
        <v>3.9744980000000001</v>
      </c>
      <c r="K29" s="238">
        <v>3.6418330000000001</v>
      </c>
      <c r="L29" s="238">
        <v>3.7088738261185603</v>
      </c>
      <c r="M29" s="238" t="s">
        <v>3902</v>
      </c>
      <c r="N29" s="238">
        <v>4.4833990000000004</v>
      </c>
      <c r="O29" s="238">
        <f t="shared" ref="O29:O47" si="5">J29/K29</f>
        <v>1.0913454845403401</v>
      </c>
      <c r="P29" s="238">
        <f t="shared" ref="P29:P47" si="6">K29/N29</f>
        <v>0.81229286084062557</v>
      </c>
      <c r="Q29" s="238" t="str">
        <f>IFERROR(M29/N29, "—")</f>
        <v>—</v>
      </c>
      <c r="R29" s="238" t="s">
        <v>3902</v>
      </c>
      <c r="S29" s="238">
        <v>52.561739000000003</v>
      </c>
      <c r="T29" s="238" t="s">
        <v>3904</v>
      </c>
    </row>
    <row r="30" spans="1:20" ht="17" x14ac:dyDescent="0.2">
      <c r="H30" s="237"/>
      <c r="I30" s="238" t="s">
        <v>4058</v>
      </c>
      <c r="J30" s="238">
        <v>10.215752</v>
      </c>
      <c r="K30" s="238">
        <v>9.6017799999999998</v>
      </c>
      <c r="L30" s="238">
        <v>10.614105</v>
      </c>
      <c r="M30" s="238" t="s">
        <v>3902</v>
      </c>
      <c r="N30" s="238">
        <v>10.400954</v>
      </c>
      <c r="O30" s="238">
        <f t="shared" si="5"/>
        <v>1.0639435604648306</v>
      </c>
      <c r="P30" s="238">
        <f t="shared" si="6"/>
        <v>0.92316339443477968</v>
      </c>
      <c r="Q30" s="238" t="str">
        <f t="shared" ref="Q30:Q47" si="7">IFERROR(M30/N30, "—")</f>
        <v>—</v>
      </c>
      <c r="R30" s="238" t="s">
        <v>3902</v>
      </c>
      <c r="S30" s="238" t="s">
        <v>3904</v>
      </c>
      <c r="T30" s="238" t="s">
        <v>3904</v>
      </c>
    </row>
    <row r="31" spans="1:20" ht="17" x14ac:dyDescent="0.2">
      <c r="H31" s="237"/>
      <c r="I31" s="238" t="s">
        <v>4059</v>
      </c>
      <c r="J31" s="238">
        <v>27.740880000000001</v>
      </c>
      <c r="K31" s="238">
        <v>17.493758</v>
      </c>
      <c r="L31" s="238">
        <v>22.04</v>
      </c>
      <c r="M31" s="238" t="s">
        <v>3902</v>
      </c>
      <c r="N31" s="238">
        <v>18.383203999999999</v>
      </c>
      <c r="O31" s="238">
        <f t="shared" si="5"/>
        <v>1.5857587603532644</v>
      </c>
      <c r="P31" s="238">
        <f t="shared" si="6"/>
        <v>0.95161637764559437</v>
      </c>
      <c r="Q31" s="238" t="str">
        <f t="shared" si="7"/>
        <v>—</v>
      </c>
      <c r="R31" s="238" t="s">
        <v>3902</v>
      </c>
      <c r="S31" s="238" t="s">
        <v>3904</v>
      </c>
      <c r="T31" s="238" t="s">
        <v>3904</v>
      </c>
    </row>
    <row r="32" spans="1:20" ht="17" x14ac:dyDescent="0.2">
      <c r="H32" s="239"/>
      <c r="I32" s="226" t="s">
        <v>4060</v>
      </c>
      <c r="J32" s="226">
        <v>0.67594900000000002</v>
      </c>
      <c r="K32" s="226">
        <v>0.43043199999999998</v>
      </c>
      <c r="L32" s="226">
        <v>0.48676392664557155</v>
      </c>
      <c r="M32" s="226">
        <v>513.04049199999997</v>
      </c>
      <c r="N32" s="226">
        <v>0.43828400000000001</v>
      </c>
      <c r="O32" s="226">
        <f t="shared" si="5"/>
        <v>1.5703967177161551</v>
      </c>
      <c r="P32" s="226">
        <f t="shared" si="6"/>
        <v>0.98208467568973534</v>
      </c>
      <c r="Q32" s="226">
        <f t="shared" si="7"/>
        <v>1170.5663268565586</v>
      </c>
      <c r="R32" s="226">
        <v>21.219656000000001</v>
      </c>
      <c r="S32" s="226" t="s">
        <v>3902</v>
      </c>
      <c r="T32" s="226" t="s">
        <v>3904</v>
      </c>
    </row>
    <row r="33" spans="8:20" ht="17" x14ac:dyDescent="0.2">
      <c r="H33" s="240" t="s">
        <v>6</v>
      </c>
      <c r="I33" s="241" t="s">
        <v>4056</v>
      </c>
      <c r="J33" s="241">
        <v>3.1360899999999998</v>
      </c>
      <c r="K33" s="241">
        <v>3.012359</v>
      </c>
      <c r="L33" s="241">
        <v>3.0907948064231339</v>
      </c>
      <c r="M33" s="241">
        <v>165.95991699999999</v>
      </c>
      <c r="N33" s="241">
        <v>3.58</v>
      </c>
      <c r="O33" s="241">
        <f t="shared" si="5"/>
        <v>1.0410744536092809</v>
      </c>
      <c r="P33" s="241">
        <f t="shared" si="6"/>
        <v>0.84144106145251396</v>
      </c>
      <c r="Q33" s="241">
        <f t="shared" si="7"/>
        <v>46.357518715083792</v>
      </c>
      <c r="R33" s="241">
        <v>106.15593699999999</v>
      </c>
      <c r="S33" s="241" t="s">
        <v>3904</v>
      </c>
      <c r="T33" s="241" t="s">
        <v>3904</v>
      </c>
    </row>
    <row r="34" spans="8:20" ht="17" x14ac:dyDescent="0.2">
      <c r="H34" s="237"/>
      <c r="I34" s="238" t="s">
        <v>4057</v>
      </c>
      <c r="J34" s="238">
        <v>60.292859999999997</v>
      </c>
      <c r="K34" s="238">
        <v>51.250411</v>
      </c>
      <c r="L34" s="238">
        <v>67.69</v>
      </c>
      <c r="M34" s="238" t="s">
        <v>3902</v>
      </c>
      <c r="N34" s="238">
        <v>51.49</v>
      </c>
      <c r="O34" s="238">
        <f t="shared" si="5"/>
        <v>1.1764366143327123</v>
      </c>
      <c r="P34" s="238">
        <f t="shared" si="6"/>
        <v>0.99534688288988149</v>
      </c>
      <c r="Q34" s="238" t="str">
        <f t="shared" si="7"/>
        <v>—</v>
      </c>
      <c r="R34" s="238" t="s">
        <v>3902</v>
      </c>
      <c r="S34" s="238" t="s">
        <v>3902</v>
      </c>
      <c r="T34" s="238" t="s">
        <v>3902</v>
      </c>
    </row>
    <row r="35" spans="8:20" ht="17" x14ac:dyDescent="0.2">
      <c r="H35" s="237"/>
      <c r="I35" s="238" t="s">
        <v>4058</v>
      </c>
      <c r="J35" s="238">
        <v>183.11649399999999</v>
      </c>
      <c r="K35" s="238">
        <v>166.99404799999999</v>
      </c>
      <c r="L35" s="238">
        <v>185.81</v>
      </c>
      <c r="M35" s="238" t="s">
        <v>3902</v>
      </c>
      <c r="N35" s="238">
        <v>169.26</v>
      </c>
      <c r="O35" s="238">
        <f t="shared" si="5"/>
        <v>1.0965450337487477</v>
      </c>
      <c r="P35" s="238">
        <f t="shared" si="6"/>
        <v>0.98661259600614437</v>
      </c>
      <c r="Q35" s="238" t="str">
        <f t="shared" si="7"/>
        <v>—</v>
      </c>
      <c r="R35" s="238" t="s">
        <v>3902</v>
      </c>
      <c r="S35" s="238" t="s">
        <v>3902</v>
      </c>
      <c r="T35" s="238" t="s">
        <v>3904</v>
      </c>
    </row>
    <row r="36" spans="8:20" ht="17" x14ac:dyDescent="0.2">
      <c r="H36" s="237"/>
      <c r="I36" s="238" t="s">
        <v>4059</v>
      </c>
      <c r="J36" s="238">
        <v>199.14040499999999</v>
      </c>
      <c r="K36" s="238">
        <v>171.486345</v>
      </c>
      <c r="L36" s="238">
        <v>219.42</v>
      </c>
      <c r="M36" s="238" t="s">
        <v>3902</v>
      </c>
      <c r="N36" s="238">
        <v>171.52</v>
      </c>
      <c r="O36" s="238">
        <f t="shared" si="5"/>
        <v>1.1612610030262176</v>
      </c>
      <c r="P36" s="238">
        <f t="shared" si="6"/>
        <v>0.99980378381529844</v>
      </c>
      <c r="Q36" s="238" t="str">
        <f t="shared" si="7"/>
        <v>—</v>
      </c>
      <c r="R36" s="238" t="s">
        <v>3902</v>
      </c>
      <c r="S36" s="238" t="s">
        <v>3902</v>
      </c>
      <c r="T36" s="238" t="s">
        <v>3904</v>
      </c>
    </row>
    <row r="37" spans="8:20" ht="17" x14ac:dyDescent="0.2">
      <c r="H37" s="239"/>
      <c r="I37" s="226" t="s">
        <v>4060</v>
      </c>
      <c r="J37" s="226">
        <v>26.360195999999998</v>
      </c>
      <c r="K37" s="226">
        <v>19.142225</v>
      </c>
      <c r="L37" s="226">
        <v>23.32</v>
      </c>
      <c r="M37" s="226" t="s">
        <v>3902</v>
      </c>
      <c r="N37" s="226">
        <v>19.720583999999999</v>
      </c>
      <c r="O37" s="226">
        <f t="shared" si="5"/>
        <v>1.3770706383401092</v>
      </c>
      <c r="P37" s="226">
        <f t="shared" si="6"/>
        <v>0.97067231883193728</v>
      </c>
      <c r="Q37" s="226" t="str">
        <f t="shared" si="7"/>
        <v>—</v>
      </c>
      <c r="R37" s="226" t="s">
        <v>3902</v>
      </c>
      <c r="S37" s="226" t="s">
        <v>3902</v>
      </c>
      <c r="T37" s="226" t="s">
        <v>3902</v>
      </c>
    </row>
    <row r="38" spans="8:20" ht="17" x14ac:dyDescent="0.2">
      <c r="H38" s="240" t="s">
        <v>1404</v>
      </c>
      <c r="I38" s="241" t="s">
        <v>4056</v>
      </c>
      <c r="J38" s="241">
        <v>7.6090609999999996</v>
      </c>
      <c r="K38" s="241">
        <v>7.4755450000000003</v>
      </c>
      <c r="L38" s="241">
        <v>7.4755450000000003</v>
      </c>
      <c r="M38" s="241" t="s">
        <v>3902</v>
      </c>
      <c r="N38" s="241">
        <v>8.2200000000000006</v>
      </c>
      <c r="O38" s="241">
        <f t="shared" si="5"/>
        <v>1.0178603700465985</v>
      </c>
      <c r="P38" s="241">
        <f t="shared" si="6"/>
        <v>0.90943369829683696</v>
      </c>
      <c r="Q38" s="241" t="str">
        <f t="shared" si="7"/>
        <v>—</v>
      </c>
      <c r="R38" s="241">
        <v>462.53934400000003</v>
      </c>
      <c r="S38" s="241">
        <v>193.026005</v>
      </c>
      <c r="T38" s="241" t="s">
        <v>3904</v>
      </c>
    </row>
    <row r="39" spans="8:20" ht="17" x14ac:dyDescent="0.2">
      <c r="H39" s="237"/>
      <c r="I39" s="238" t="s">
        <v>4057</v>
      </c>
      <c r="J39" s="238">
        <v>132.91568799999999</v>
      </c>
      <c r="K39" s="238">
        <v>129.41498000000001</v>
      </c>
      <c r="L39" s="238">
        <v>128.891346</v>
      </c>
      <c r="M39" s="238" t="s">
        <v>3902</v>
      </c>
      <c r="N39" s="238">
        <v>128.85</v>
      </c>
      <c r="O39" s="238">
        <f t="shared" si="5"/>
        <v>1.0270502533787045</v>
      </c>
      <c r="P39" s="238">
        <f t="shared" si="6"/>
        <v>1.0043847885137758</v>
      </c>
      <c r="Q39" s="238" t="str">
        <f t="shared" si="7"/>
        <v>—</v>
      </c>
      <c r="R39" s="238" t="s">
        <v>3902</v>
      </c>
      <c r="S39" s="238" t="s">
        <v>3904</v>
      </c>
      <c r="T39" s="238" t="s">
        <v>3904</v>
      </c>
    </row>
    <row r="40" spans="8:20" ht="17" x14ac:dyDescent="0.2">
      <c r="H40" s="237"/>
      <c r="I40" s="238" t="s">
        <v>4058</v>
      </c>
      <c r="J40" s="238">
        <v>477.68529999999998</v>
      </c>
      <c r="K40" s="238">
        <v>468.679102</v>
      </c>
      <c r="L40" s="238">
        <v>474.36</v>
      </c>
      <c r="M40" s="238" t="s">
        <v>3902</v>
      </c>
      <c r="N40" s="238">
        <v>470.28</v>
      </c>
      <c r="O40" s="238">
        <f t="shared" si="5"/>
        <v>1.0192161288215491</v>
      </c>
      <c r="P40" s="238">
        <f t="shared" si="6"/>
        <v>0.99659586203963602</v>
      </c>
      <c r="Q40" s="238" t="str">
        <f t="shared" si="7"/>
        <v>—</v>
      </c>
      <c r="R40" s="238" t="s">
        <v>3902</v>
      </c>
      <c r="S40" s="238" t="s">
        <v>3904</v>
      </c>
      <c r="T40" s="238" t="s">
        <v>3904</v>
      </c>
    </row>
    <row r="41" spans="8:20" ht="17" x14ac:dyDescent="0.2">
      <c r="H41" s="237"/>
      <c r="I41" s="238" t="s">
        <v>4059</v>
      </c>
      <c r="J41" s="238">
        <v>529.66008199999999</v>
      </c>
      <c r="K41" s="238">
        <v>455.02047299999998</v>
      </c>
      <c r="L41" s="238">
        <v>459.38</v>
      </c>
      <c r="M41" s="238" t="s">
        <v>3902</v>
      </c>
      <c r="N41" s="238">
        <v>443.45</v>
      </c>
      <c r="O41" s="238">
        <f t="shared" si="5"/>
        <v>1.1640357158171211</v>
      </c>
      <c r="P41" s="238">
        <f t="shared" si="6"/>
        <v>1.0260919449768857</v>
      </c>
      <c r="Q41" s="238" t="str">
        <f t="shared" si="7"/>
        <v>—</v>
      </c>
      <c r="R41" s="238" t="s">
        <v>3902</v>
      </c>
      <c r="S41" s="238" t="s">
        <v>3904</v>
      </c>
      <c r="T41" s="238" t="s">
        <v>3904</v>
      </c>
    </row>
    <row r="42" spans="8:20" ht="17" x14ac:dyDescent="0.2">
      <c r="H42" s="239"/>
      <c r="I42" s="226" t="s">
        <v>4060</v>
      </c>
      <c r="J42" s="226">
        <v>6.6379760000000001</v>
      </c>
      <c r="K42" s="226">
        <v>6.3858839999999999</v>
      </c>
      <c r="L42" s="226">
        <v>6.3858839999999999</v>
      </c>
      <c r="M42" s="226" t="s">
        <v>3902</v>
      </c>
      <c r="N42" s="226">
        <v>7.13</v>
      </c>
      <c r="O42" s="226">
        <f t="shared" si="5"/>
        <v>1.0394764452345204</v>
      </c>
      <c r="P42" s="226">
        <f t="shared" si="6"/>
        <v>0.89563590462833098</v>
      </c>
      <c r="Q42" s="226" t="str">
        <f t="shared" si="7"/>
        <v>—</v>
      </c>
      <c r="R42" s="226">
        <v>131.83148399999999</v>
      </c>
      <c r="S42" s="226" t="s">
        <v>3904</v>
      </c>
      <c r="T42" s="226" t="s">
        <v>3904</v>
      </c>
    </row>
    <row r="43" spans="8:20" ht="17" x14ac:dyDescent="0.2">
      <c r="H43" s="220" t="s">
        <v>3917</v>
      </c>
      <c r="I43" s="205" t="s">
        <v>4056</v>
      </c>
      <c r="J43" s="205">
        <v>0.74348800000000004</v>
      </c>
      <c r="K43" s="205">
        <v>0.66657699999999998</v>
      </c>
      <c r="L43" s="205">
        <v>0.70355108204510386</v>
      </c>
      <c r="M43" s="205">
        <v>1016.850639</v>
      </c>
      <c r="N43" s="205">
        <v>1.06</v>
      </c>
      <c r="O43" s="205">
        <f t="shared" si="5"/>
        <v>1.1153820188815398</v>
      </c>
      <c r="P43" s="205">
        <f t="shared" si="6"/>
        <v>0.62884622641509424</v>
      </c>
      <c r="Q43" s="205">
        <f t="shared" si="7"/>
        <v>959.29305566037726</v>
      </c>
      <c r="R43" s="205">
        <v>29.697301</v>
      </c>
      <c r="S43" s="205" t="s">
        <v>3904</v>
      </c>
      <c r="T43" s="205" t="s">
        <v>3904</v>
      </c>
    </row>
    <row r="44" spans="8:20" ht="17" x14ac:dyDescent="0.2">
      <c r="H44" s="220"/>
      <c r="I44" s="205" t="s">
        <v>4057</v>
      </c>
      <c r="J44" s="205">
        <v>5.2184530000000002</v>
      </c>
      <c r="K44" s="205">
        <v>5.0369149999999996</v>
      </c>
      <c r="L44" s="205">
        <v>5.0765194544549637</v>
      </c>
      <c r="M44" s="205" t="s">
        <v>3902</v>
      </c>
      <c r="N44" s="205">
        <v>5.63</v>
      </c>
      <c r="O44" s="205">
        <f t="shared" si="5"/>
        <v>1.0360415055644181</v>
      </c>
      <c r="P44" s="205">
        <f t="shared" si="6"/>
        <v>0.89465630550621666</v>
      </c>
      <c r="Q44" s="205" t="str">
        <f t="shared" si="7"/>
        <v>—</v>
      </c>
      <c r="R44" s="205" t="s">
        <v>3902</v>
      </c>
      <c r="S44" s="205" t="s">
        <v>3904</v>
      </c>
      <c r="T44" s="205" t="s">
        <v>3904</v>
      </c>
    </row>
    <row r="45" spans="8:20" ht="17" x14ac:dyDescent="0.2">
      <c r="H45" s="220"/>
      <c r="I45" s="205" t="s">
        <v>4058</v>
      </c>
      <c r="J45" s="205">
        <v>14.052868</v>
      </c>
      <c r="K45" s="205">
        <v>15.422058</v>
      </c>
      <c r="L45" s="205">
        <v>13.420144000000001</v>
      </c>
      <c r="M45" s="205" t="s">
        <v>3902</v>
      </c>
      <c r="N45" s="205">
        <v>14.28</v>
      </c>
      <c r="O45" s="205">
        <f t="shared" si="5"/>
        <v>0.911218723208018</v>
      </c>
      <c r="P45" s="205">
        <f t="shared" si="6"/>
        <v>1.0799760504201681</v>
      </c>
      <c r="Q45" s="205" t="str">
        <f t="shared" si="7"/>
        <v>—</v>
      </c>
      <c r="R45" s="205" t="s">
        <v>3902</v>
      </c>
      <c r="S45" s="205" t="s">
        <v>3904</v>
      </c>
      <c r="T45" s="205" t="s">
        <v>3904</v>
      </c>
    </row>
    <row r="46" spans="8:20" ht="17" x14ac:dyDescent="0.2">
      <c r="H46" s="220"/>
      <c r="I46" s="205" t="s">
        <v>4059</v>
      </c>
      <c r="J46" s="205">
        <v>27.579222000000001</v>
      </c>
      <c r="K46" s="205">
        <v>15.958356</v>
      </c>
      <c r="L46" s="205">
        <v>22.5</v>
      </c>
      <c r="M46" s="205" t="s">
        <v>3902</v>
      </c>
      <c r="N46" s="205">
        <v>16.989999999999998</v>
      </c>
      <c r="O46" s="205">
        <f t="shared" si="5"/>
        <v>1.7281994461083585</v>
      </c>
      <c r="P46" s="205">
        <f t="shared" si="6"/>
        <v>0.93927934078869935</v>
      </c>
      <c r="Q46" s="205" t="str">
        <f t="shared" si="7"/>
        <v>—</v>
      </c>
      <c r="R46" s="205" t="s">
        <v>3902</v>
      </c>
      <c r="S46" s="205" t="s">
        <v>3904</v>
      </c>
      <c r="T46" s="205" t="s">
        <v>3904</v>
      </c>
    </row>
    <row r="47" spans="8:20" ht="18" thickBot="1" x14ac:dyDescent="0.25">
      <c r="H47" s="221"/>
      <c r="I47" s="208" t="s">
        <v>4060</v>
      </c>
      <c r="J47" s="208">
        <v>1.1241399999999999</v>
      </c>
      <c r="K47" s="208">
        <v>1.108528</v>
      </c>
      <c r="L47" s="208">
        <v>1.1439698692124307</v>
      </c>
      <c r="M47" s="208">
        <v>36.354160999999998</v>
      </c>
      <c r="N47" s="208">
        <v>1.74</v>
      </c>
      <c r="O47" s="208">
        <f t="shared" si="5"/>
        <v>1.0140835414170863</v>
      </c>
      <c r="P47" s="208">
        <f t="shared" si="6"/>
        <v>0.63708505747126432</v>
      </c>
      <c r="Q47" s="208">
        <f t="shared" si="7"/>
        <v>20.893195977011494</v>
      </c>
      <c r="R47" s="208">
        <v>48.400663999999999</v>
      </c>
      <c r="S47" s="208" t="s">
        <v>3904</v>
      </c>
      <c r="T47" s="208" t="s">
        <v>3904</v>
      </c>
    </row>
    <row r="49" spans="1:38" x14ac:dyDescent="0.2">
      <c r="K49" t="s">
        <v>4067</v>
      </c>
    </row>
    <row r="50" spans="1:38" ht="17" thickBot="1" x14ac:dyDescent="0.25"/>
    <row r="51" spans="1:38" ht="19" x14ac:dyDescent="0.2">
      <c r="A51" s="232" t="s">
        <v>3952</v>
      </c>
      <c r="B51" s="232" t="s">
        <v>3995</v>
      </c>
      <c r="C51" s="232" t="s">
        <v>3996</v>
      </c>
      <c r="D51" s="232" t="s">
        <v>15</v>
      </c>
      <c r="E51" s="232" t="s">
        <v>3960</v>
      </c>
      <c r="F51" s="232" t="s">
        <v>3961</v>
      </c>
      <c r="H51" s="209" t="s">
        <v>4048</v>
      </c>
      <c r="I51" s="211" t="s">
        <v>3995</v>
      </c>
      <c r="J51" s="211" t="s">
        <v>3996</v>
      </c>
      <c r="K51" s="211" t="s">
        <v>4064</v>
      </c>
      <c r="L51" s="210" t="s">
        <v>3960</v>
      </c>
      <c r="M51" s="210" t="s">
        <v>3961</v>
      </c>
      <c r="N51" s="209" t="s">
        <v>4049</v>
      </c>
      <c r="O51" s="209" t="s">
        <v>4051</v>
      </c>
      <c r="P51" s="209" t="s">
        <v>4052</v>
      </c>
      <c r="Q51" s="209" t="s">
        <v>4050</v>
      </c>
      <c r="R51" s="209" t="s">
        <v>3935</v>
      </c>
      <c r="S51" s="209" t="s">
        <v>4065</v>
      </c>
      <c r="T51" s="209" t="s">
        <v>4066</v>
      </c>
      <c r="U51" s="209" t="s">
        <v>4053</v>
      </c>
      <c r="V51" s="209" t="s">
        <v>4043</v>
      </c>
      <c r="W51" s="209" t="s">
        <v>3951</v>
      </c>
      <c r="Y51" s="209"/>
      <c r="Z51" s="211"/>
      <c r="AA51" s="211"/>
      <c r="AB51" s="211"/>
      <c r="AC51" s="210"/>
      <c r="AD51" s="210"/>
      <c r="AE51" s="209"/>
      <c r="AF51" s="209"/>
      <c r="AG51" s="209"/>
      <c r="AH51" s="209"/>
      <c r="AI51" s="209"/>
      <c r="AJ51" s="209"/>
      <c r="AK51" s="209"/>
      <c r="AL51" s="209"/>
    </row>
    <row r="52" spans="1:38" ht="17" x14ac:dyDescent="0.2">
      <c r="A52" s="228" t="s">
        <v>3919</v>
      </c>
      <c r="B52" s="233">
        <v>2937612</v>
      </c>
      <c r="C52" s="233">
        <v>41919708</v>
      </c>
      <c r="D52" s="228">
        <v>4356</v>
      </c>
      <c r="E52" s="228">
        <v>20</v>
      </c>
      <c r="F52" s="228">
        <v>0.95</v>
      </c>
      <c r="H52" s="212" t="str">
        <f>Table2[[#This Row],[Dataset]]</f>
        <v>socfb-B-anon</v>
      </c>
      <c r="I52" s="205" t="str">
        <f>TEXT(B52/1000000,IF(B52&gt;=100000000,"0.0",IF(B52&gt;=10000000,"0.00","0.000")))&amp;"M"</f>
        <v>2.938M</v>
      </c>
      <c r="J52" s="205" t="str">
        <f>TEXT(C52/1000000,IF(C52&gt;=100000000,"0.0",IF(C52&gt;=10000000,"0.00","0.000")))&amp;"M"</f>
        <v>41.92M</v>
      </c>
      <c r="K52" s="216">
        <v>4356</v>
      </c>
      <c r="L52" s="206">
        <f>Table2[[#This Row],[min_size]]</f>
        <v>20</v>
      </c>
      <c r="M52" s="204">
        <f>Table2[[#This Row],[gamma]]</f>
        <v>0.95</v>
      </c>
      <c r="N52" s="235" t="s">
        <v>3902</v>
      </c>
      <c r="O52" s="235">
        <v>801.23</v>
      </c>
      <c r="P52" s="235">
        <v>802.3</v>
      </c>
      <c r="Q52" s="205">
        <v>1708.14</v>
      </c>
      <c r="R52" s="205">
        <v>606.88300000000004</v>
      </c>
      <c r="S52" s="205" t="str">
        <f>IFERROR(N52/O52, "-")</f>
        <v>-</v>
      </c>
      <c r="T52" s="205">
        <f>O52/R52</f>
        <v>1.3202380030417724</v>
      </c>
      <c r="U52" s="205">
        <f>IFERROR(Q52/R52, "-")</f>
        <v>2.814611712636538</v>
      </c>
      <c r="V52" s="205" t="s">
        <v>3902</v>
      </c>
      <c r="W52" s="205">
        <v>1625.56</v>
      </c>
      <c r="Y52" s="212"/>
      <c r="Z52" s="205"/>
      <c r="AA52" s="205"/>
      <c r="AB52" s="216"/>
      <c r="AC52" s="206"/>
      <c r="AD52" s="204"/>
      <c r="AE52" s="205"/>
      <c r="AF52" s="205"/>
      <c r="AG52" s="205"/>
      <c r="AH52" s="205"/>
      <c r="AI52" s="205"/>
      <c r="AJ52" s="205"/>
      <c r="AK52" s="205"/>
      <c r="AL52" s="205"/>
    </row>
    <row r="53" spans="1:38" ht="17" x14ac:dyDescent="0.2">
      <c r="A53" s="228" t="s">
        <v>1531</v>
      </c>
      <c r="B53" s="233">
        <v>2523386</v>
      </c>
      <c r="C53" s="233">
        <v>15837602</v>
      </c>
      <c r="D53" s="228">
        <v>1474</v>
      </c>
      <c r="E53" s="228">
        <v>30</v>
      </c>
      <c r="F53" s="228">
        <v>0.95</v>
      </c>
      <c r="H53" s="212" t="str">
        <f>Table2[[#This Row],[Dataset]]</f>
        <v>Flixster</v>
      </c>
      <c r="I53" s="205" t="str">
        <f t="shared" ref="I53:I55" si="8">TEXT(B53/1000000,IF(B53&gt;=100000000,"0.0",IF(B53&gt;=10000000,"0.00","0.000")))&amp;"M"</f>
        <v>2.523M</v>
      </c>
      <c r="J53" s="205" t="str">
        <f t="shared" ref="J53:J59" si="9">TEXT(C53/1000000,IF(C53&gt;=100000000,"0.0",IF(C53&gt;=10000000,"0.00","0.000")))&amp;"M"</f>
        <v>15.84M</v>
      </c>
      <c r="K53" s="216">
        <v>1474</v>
      </c>
      <c r="L53" s="206">
        <f>Table2[[#This Row],[min_size]]</f>
        <v>30</v>
      </c>
      <c r="M53" s="204">
        <f>Table2[[#This Row],[gamma]]</f>
        <v>0.95</v>
      </c>
      <c r="N53" s="205">
        <v>115.79025300000001</v>
      </c>
      <c r="O53" s="205">
        <v>116.97499999999999</v>
      </c>
      <c r="P53" s="205">
        <v>117.34</v>
      </c>
      <c r="Q53" s="205" t="s">
        <v>3902</v>
      </c>
      <c r="R53" s="205">
        <v>25.606200000000001</v>
      </c>
      <c r="S53" s="205">
        <f t="shared" ref="S53:S62" si="10">IFERROR(N53/O53, "-")</f>
        <v>0.98987179311818774</v>
      </c>
      <c r="T53" s="205">
        <f t="shared" ref="T53:T62" si="11">O53/R53</f>
        <v>4.5682295694011605</v>
      </c>
      <c r="U53" s="205" t="str">
        <f t="shared" ref="U53:U62" si="12">IFERROR(Q53/R53, "-")</f>
        <v>-</v>
      </c>
      <c r="V53" s="205" t="s">
        <v>3902</v>
      </c>
      <c r="W53" s="205">
        <v>747.94</v>
      </c>
      <c r="Y53" s="212"/>
      <c r="Z53" s="205"/>
      <c r="AA53" s="205"/>
      <c r="AB53" s="216"/>
      <c r="AC53" s="206"/>
      <c r="AD53" s="204"/>
      <c r="AE53" s="205"/>
      <c r="AF53" s="205"/>
      <c r="AG53" s="205"/>
      <c r="AH53" s="205"/>
      <c r="AI53" s="205"/>
      <c r="AJ53" s="205"/>
      <c r="AK53" s="205"/>
      <c r="AL53" s="205"/>
    </row>
    <row r="54" spans="1:38" ht="17" x14ac:dyDescent="0.2">
      <c r="A54" s="228" t="s">
        <v>3920</v>
      </c>
      <c r="B54" s="233">
        <v>1632803</v>
      </c>
      <c r="C54" s="233">
        <v>44603928</v>
      </c>
      <c r="D54" s="228">
        <v>14854</v>
      </c>
      <c r="E54" s="228">
        <v>20</v>
      </c>
      <c r="F54" s="228">
        <v>0.9</v>
      </c>
      <c r="H54" s="212" t="str">
        <f>Table2[[#This Row],[Dataset]]</f>
        <v>soc-pokec</v>
      </c>
      <c r="I54" s="205" t="str">
        <f t="shared" si="8"/>
        <v>1.633M</v>
      </c>
      <c r="J54" s="205" t="str">
        <f t="shared" si="9"/>
        <v>44.60M</v>
      </c>
      <c r="K54" s="218">
        <v>14854</v>
      </c>
      <c r="L54" s="206">
        <f>Table2[[#This Row],[min_size]]</f>
        <v>20</v>
      </c>
      <c r="M54" s="204">
        <f>Table2[[#This Row],[gamma]]</f>
        <v>0.9</v>
      </c>
      <c r="N54" s="235">
        <v>546.25209800000005</v>
      </c>
      <c r="O54" s="235">
        <v>239.16300000000001</v>
      </c>
      <c r="P54" s="235">
        <v>240.10900000000001</v>
      </c>
      <c r="Q54" s="205">
        <v>362.80500000000001</v>
      </c>
      <c r="R54" s="205">
        <v>209.047</v>
      </c>
      <c r="S54" s="205">
        <f t="shared" si="10"/>
        <v>2.2840159138328255</v>
      </c>
      <c r="T54" s="205">
        <f t="shared" si="11"/>
        <v>1.1440632967705828</v>
      </c>
      <c r="U54" s="205">
        <f t="shared" si="12"/>
        <v>1.7355188067755098</v>
      </c>
      <c r="V54" s="205" t="s">
        <v>3902</v>
      </c>
      <c r="W54" s="205">
        <v>1260.92</v>
      </c>
      <c r="Y54" s="212"/>
      <c r="Z54" s="205"/>
      <c r="AA54" s="205"/>
      <c r="AB54" s="218"/>
      <c r="AC54" s="206"/>
      <c r="AD54" s="204"/>
      <c r="AE54" s="205"/>
      <c r="AF54" s="205"/>
      <c r="AG54" s="205"/>
      <c r="AH54" s="205"/>
      <c r="AI54" s="205"/>
      <c r="AJ54" s="205"/>
      <c r="AK54" s="205"/>
      <c r="AL54" s="205"/>
    </row>
    <row r="55" spans="1:38" ht="17" x14ac:dyDescent="0.2">
      <c r="A55" s="228" t="s">
        <v>1528</v>
      </c>
      <c r="B55" s="233">
        <v>1402673</v>
      </c>
      <c r="C55" s="233">
        <v>5554838</v>
      </c>
      <c r="D55" s="228">
        <v>31883</v>
      </c>
      <c r="E55" s="228">
        <v>20</v>
      </c>
      <c r="F55" s="228">
        <v>0.8</v>
      </c>
      <c r="H55" s="212" t="str">
        <f>Table2[[#This Row],[Dataset]]</f>
        <v>Hyves</v>
      </c>
      <c r="I55" s="205" t="str">
        <f t="shared" si="8"/>
        <v>1.403M</v>
      </c>
      <c r="J55" s="205" t="str">
        <f t="shared" si="9"/>
        <v>5.555M</v>
      </c>
      <c r="K55" s="218">
        <v>31883</v>
      </c>
      <c r="L55" s="206">
        <f>Table2[[#This Row],[min_size]]</f>
        <v>20</v>
      </c>
      <c r="M55" s="204">
        <f>Table2[[#This Row],[gamma]]</f>
        <v>0.8</v>
      </c>
      <c r="N55" s="205">
        <v>35.177663000000003</v>
      </c>
      <c r="O55" s="205">
        <v>39.1892</v>
      </c>
      <c r="P55" s="205">
        <v>38.831299999999999</v>
      </c>
      <c r="Q55" s="205">
        <v>1264.97</v>
      </c>
      <c r="R55" s="205">
        <v>26.52</v>
      </c>
      <c r="S55" s="205">
        <f t="shared" si="10"/>
        <v>0.89763667030712546</v>
      </c>
      <c r="T55" s="205">
        <f t="shared" si="11"/>
        <v>1.4777224736048264</v>
      </c>
      <c r="U55" s="205">
        <f t="shared" si="12"/>
        <v>47.698717948717949</v>
      </c>
      <c r="V55" s="205" t="s">
        <v>3902</v>
      </c>
      <c r="W55" s="205" t="s">
        <v>3902</v>
      </c>
      <c r="Y55" s="212"/>
      <c r="Z55" s="205"/>
      <c r="AA55" s="205"/>
      <c r="AB55" s="218"/>
      <c r="AC55" s="206"/>
      <c r="AD55" s="204"/>
      <c r="AE55" s="205"/>
      <c r="AF55" s="205"/>
      <c r="AG55" s="205"/>
      <c r="AH55" s="205"/>
      <c r="AI55" s="205"/>
      <c r="AJ55" s="205"/>
      <c r="AK55" s="205"/>
      <c r="AL55" s="205"/>
    </row>
    <row r="56" spans="1:38" ht="17" x14ac:dyDescent="0.2">
      <c r="A56" s="234" t="s">
        <v>1509</v>
      </c>
      <c r="B56" s="234">
        <v>154908</v>
      </c>
      <c r="C56" s="234">
        <v>654324</v>
      </c>
      <c r="D56" s="228">
        <v>287</v>
      </c>
      <c r="E56" s="228">
        <v>8</v>
      </c>
      <c r="F56" s="228">
        <v>0.5</v>
      </c>
      <c r="H56" s="212" t="str">
        <f>Table2[[#This Row],[Dataset]]</f>
        <v>Douban</v>
      </c>
      <c r="I56" s="205" t="str">
        <f>TEXT(B56/1000,IF(B56&gt;=100000,"0.0",IF(B56&gt;=10000,"0.00","0.000")))&amp;"K"</f>
        <v>154.9K</v>
      </c>
      <c r="J56" s="205" t="str">
        <f>TEXT(C56/1000,IF(C56&gt;=100000,"0.0",IF(C56&gt;=10000,"0.00","0.000")))&amp;"K"</f>
        <v>654.3K</v>
      </c>
      <c r="K56" s="216">
        <v>287</v>
      </c>
      <c r="L56" s="206">
        <f>Table2[[#This Row],[min_size]]</f>
        <v>8</v>
      </c>
      <c r="M56" s="204">
        <f>Table2[[#This Row],[gamma]]</f>
        <v>0.5</v>
      </c>
      <c r="N56" s="205">
        <v>26.232298</v>
      </c>
      <c r="O56" s="205">
        <v>26.390599999999999</v>
      </c>
      <c r="P56" s="205">
        <v>26.596</v>
      </c>
      <c r="Q56" s="205">
        <v>73.567599999999999</v>
      </c>
      <c r="R56" s="205">
        <v>6.8</v>
      </c>
      <c r="S56" s="205">
        <f t="shared" si="10"/>
        <v>0.99400157631884078</v>
      </c>
      <c r="T56" s="205">
        <f t="shared" si="11"/>
        <v>3.8809705882352943</v>
      </c>
      <c r="U56" s="205">
        <f t="shared" si="12"/>
        <v>10.818764705882353</v>
      </c>
      <c r="V56" s="205">
        <v>1095.1199999999999</v>
      </c>
      <c r="W56" s="205" t="s">
        <v>3902</v>
      </c>
      <c r="Y56" s="212"/>
      <c r="Z56" s="205"/>
      <c r="AA56" s="205"/>
      <c r="AB56" s="216"/>
      <c r="AC56" s="206"/>
      <c r="AD56" s="204"/>
      <c r="AE56" s="205"/>
      <c r="AF56" s="205"/>
      <c r="AG56" s="205"/>
      <c r="AH56" s="205"/>
      <c r="AI56" s="205"/>
      <c r="AJ56" s="205"/>
      <c r="AK56" s="205"/>
      <c r="AL56" s="205"/>
    </row>
    <row r="57" spans="1:38" ht="17" x14ac:dyDescent="0.2">
      <c r="A57" s="228" t="s">
        <v>1514</v>
      </c>
      <c r="B57" s="233">
        <v>146005</v>
      </c>
      <c r="C57" s="233">
        <v>1313998</v>
      </c>
      <c r="D57" s="228">
        <v>1008</v>
      </c>
      <c r="E57" s="228">
        <v>5</v>
      </c>
      <c r="F57" s="228">
        <v>0.8</v>
      </c>
      <c r="H57" s="212" t="str">
        <f>Table2[[#This Row],[Dataset]]</f>
        <v>WordNet</v>
      </c>
      <c r="I57" s="205" t="str">
        <f t="shared" ref="I57:J62" si="13">TEXT(B57/1000,IF(B57&gt;=100000,"0.0",IF(B57&gt;=10000,"0.00","0.000")))&amp;"K"</f>
        <v>146.0K</v>
      </c>
      <c r="J57" s="205" t="str">
        <f t="shared" si="9"/>
        <v>1.314M</v>
      </c>
      <c r="K57" s="216">
        <v>1008</v>
      </c>
      <c r="L57" s="206">
        <f>Table2[[#This Row],[min_size]]</f>
        <v>5</v>
      </c>
      <c r="M57" s="204">
        <f>Table2[[#This Row],[gamma]]</f>
        <v>0.8</v>
      </c>
      <c r="N57" s="205">
        <v>46.760027999999998</v>
      </c>
      <c r="O57" s="205">
        <v>49.295099999999998</v>
      </c>
      <c r="P57" s="205">
        <v>49.511099999999999</v>
      </c>
      <c r="Q57" s="205">
        <v>50.255800000000001</v>
      </c>
      <c r="R57" s="205">
        <v>8.5703300000000002</v>
      </c>
      <c r="S57" s="205">
        <f t="shared" si="10"/>
        <v>0.94857354990658305</v>
      </c>
      <c r="T57" s="205">
        <f t="shared" si="11"/>
        <v>5.751832193159423</v>
      </c>
      <c r="U57" s="205">
        <f t="shared" si="12"/>
        <v>5.8639282268010682</v>
      </c>
      <c r="V57" s="205">
        <v>294.916</v>
      </c>
      <c r="W57" s="205">
        <v>301.16000000000003</v>
      </c>
      <c r="Y57" s="212"/>
      <c r="Z57" s="205"/>
      <c r="AA57" s="205"/>
      <c r="AB57" s="216"/>
      <c r="AC57" s="206"/>
      <c r="AD57" s="204"/>
      <c r="AE57" s="205"/>
      <c r="AF57" s="205"/>
      <c r="AG57" s="205"/>
      <c r="AH57" s="205"/>
      <c r="AI57" s="205"/>
      <c r="AJ57" s="205"/>
      <c r="AK57" s="205"/>
      <c r="AL57" s="205"/>
    </row>
    <row r="58" spans="1:38" ht="17" x14ac:dyDescent="0.2">
      <c r="A58" s="228" t="s">
        <v>898</v>
      </c>
      <c r="B58" s="233">
        <v>51083</v>
      </c>
      <c r="C58" s="233">
        <v>233146</v>
      </c>
      <c r="D58" s="228">
        <v>2915</v>
      </c>
      <c r="E58" s="228">
        <v>6</v>
      </c>
      <c r="F58" s="228">
        <v>0.7</v>
      </c>
      <c r="H58" s="212" t="str">
        <f>Table2[[#This Row],[Dataset]]</f>
        <v>slashdot-threads</v>
      </c>
      <c r="I58" s="205" t="str">
        <f t="shared" si="13"/>
        <v>51.08K</v>
      </c>
      <c r="J58" s="205" t="str">
        <f t="shared" si="13"/>
        <v>233.1K</v>
      </c>
      <c r="K58" s="216">
        <v>2915</v>
      </c>
      <c r="L58" s="206">
        <f>Table2[[#This Row],[min_size]]</f>
        <v>6</v>
      </c>
      <c r="M58" s="204">
        <f>Table2[[#This Row],[gamma]]</f>
        <v>0.7</v>
      </c>
      <c r="N58" s="205">
        <v>29.290645000000001</v>
      </c>
      <c r="O58" s="205">
        <v>28.845099999999999</v>
      </c>
      <c r="P58" s="205">
        <v>28.958400000000001</v>
      </c>
      <c r="Q58" s="205">
        <v>2.7285699999999999</v>
      </c>
      <c r="R58" s="205">
        <v>3.37</v>
      </c>
      <c r="S58" s="205">
        <f t="shared" si="10"/>
        <v>1.0154461242984079</v>
      </c>
      <c r="T58" s="205">
        <f t="shared" si="11"/>
        <v>8.5593768545994067</v>
      </c>
      <c r="U58" s="205">
        <f t="shared" si="12"/>
        <v>0.80966468842729966</v>
      </c>
      <c r="V58" s="205">
        <v>62.515999999999998</v>
      </c>
      <c r="W58" s="205">
        <v>1.24</v>
      </c>
      <c r="Y58" s="212"/>
      <c r="Z58" s="205"/>
      <c r="AA58" s="205"/>
      <c r="AB58" s="216"/>
      <c r="AC58" s="206"/>
      <c r="AD58" s="204"/>
      <c r="AE58" s="205"/>
      <c r="AF58" s="205"/>
      <c r="AG58" s="205"/>
      <c r="AH58" s="205"/>
      <c r="AI58" s="205"/>
      <c r="AJ58" s="205"/>
      <c r="AK58" s="205"/>
      <c r="AL58" s="205"/>
    </row>
    <row r="59" spans="1:38" ht="17" x14ac:dyDescent="0.2">
      <c r="A59" s="228" t="s">
        <v>3957</v>
      </c>
      <c r="B59" s="233">
        <v>50515</v>
      </c>
      <c r="C59" s="233">
        <v>1638180</v>
      </c>
      <c r="D59" s="228">
        <v>1469</v>
      </c>
      <c r="E59" s="228">
        <v>23</v>
      </c>
      <c r="F59" s="228">
        <v>0.9</v>
      </c>
      <c r="H59" s="212" t="str">
        <f>Table2[[#This Row],[Dataset]]</f>
        <v>FB-Pages</v>
      </c>
      <c r="I59" s="205" t="str">
        <f t="shared" si="13"/>
        <v>50.52K</v>
      </c>
      <c r="J59" s="205" t="str">
        <f t="shared" si="9"/>
        <v>1.638M</v>
      </c>
      <c r="K59" s="216">
        <v>1469</v>
      </c>
      <c r="L59" s="206">
        <f>Table2[[#This Row],[min_size]]</f>
        <v>23</v>
      </c>
      <c r="M59" s="204">
        <f>Table2[[#This Row],[gamma]]</f>
        <v>0.9</v>
      </c>
      <c r="N59" s="205">
        <v>714.70367299999998</v>
      </c>
      <c r="O59" s="205">
        <v>406.31</v>
      </c>
      <c r="P59" s="205">
        <v>400.46</v>
      </c>
      <c r="Q59" s="205" t="s">
        <v>3902</v>
      </c>
      <c r="R59" s="205">
        <v>257.43</v>
      </c>
      <c r="S59" s="205">
        <f t="shared" si="10"/>
        <v>1.7590107873298713</v>
      </c>
      <c r="T59" s="205">
        <f t="shared" si="11"/>
        <v>1.5783319737404342</v>
      </c>
      <c r="U59" s="205" t="str">
        <f t="shared" si="12"/>
        <v>-</v>
      </c>
      <c r="V59" s="205" t="s">
        <v>3902</v>
      </c>
      <c r="W59" s="205" t="s">
        <v>3902</v>
      </c>
      <c r="Y59" s="212"/>
      <c r="Z59" s="205"/>
      <c r="AA59" s="205"/>
      <c r="AB59" s="216"/>
      <c r="AC59" s="206"/>
      <c r="AD59" s="204"/>
      <c r="AE59" s="205"/>
      <c r="AF59" s="205"/>
      <c r="AG59" s="205"/>
      <c r="AH59" s="205"/>
      <c r="AI59" s="205"/>
      <c r="AJ59" s="205"/>
      <c r="AK59" s="205"/>
      <c r="AL59" s="205"/>
    </row>
    <row r="60" spans="1:38" ht="17" x14ac:dyDescent="0.2">
      <c r="A60" s="228" t="s">
        <v>829</v>
      </c>
      <c r="B60" s="233">
        <v>39884</v>
      </c>
      <c r="C60" s="233">
        <v>152908</v>
      </c>
      <c r="D60" s="228">
        <v>23237</v>
      </c>
      <c r="E60" s="228">
        <v>7</v>
      </c>
      <c r="F60" s="228">
        <v>0.6</v>
      </c>
      <c r="H60" s="212" t="str">
        <f>Table2[[#This Row],[Dataset]]</f>
        <v>edit-kywiktionary</v>
      </c>
      <c r="I60" s="205" t="str">
        <f t="shared" si="13"/>
        <v>39.88K</v>
      </c>
      <c r="J60" s="205" t="str">
        <f t="shared" si="13"/>
        <v>152.9K</v>
      </c>
      <c r="K60" s="218">
        <v>23237</v>
      </c>
      <c r="L60" s="206">
        <f>Table2[[#This Row],[min_size]]</f>
        <v>7</v>
      </c>
      <c r="M60" s="204">
        <f>Table2[[#This Row],[gamma]]</f>
        <v>0.6</v>
      </c>
      <c r="N60" s="205">
        <v>41.543633999999997</v>
      </c>
      <c r="O60" s="205">
        <v>40.567500000000003</v>
      </c>
      <c r="P60" s="205">
        <v>40.704999999999998</v>
      </c>
      <c r="Q60" s="205">
        <v>5.4308800000000002</v>
      </c>
      <c r="R60" s="205">
        <v>7.05</v>
      </c>
      <c r="S60" s="205">
        <f t="shared" si="10"/>
        <v>1.024061970789425</v>
      </c>
      <c r="T60" s="205">
        <f t="shared" si="11"/>
        <v>5.7542553191489363</v>
      </c>
      <c r="U60" s="205">
        <f t="shared" si="12"/>
        <v>0.77033758865248236</v>
      </c>
      <c r="V60" s="205">
        <v>131.35</v>
      </c>
      <c r="W60" s="205">
        <v>381.49</v>
      </c>
      <c r="Y60" s="212"/>
      <c r="Z60" s="205"/>
      <c r="AA60" s="205"/>
      <c r="AB60" s="218"/>
      <c r="AC60" s="206"/>
      <c r="AD60" s="204"/>
      <c r="AE60" s="205"/>
      <c r="AF60" s="205"/>
      <c r="AG60" s="205"/>
      <c r="AH60" s="205"/>
      <c r="AI60" s="205"/>
      <c r="AJ60" s="205"/>
      <c r="AK60" s="205"/>
      <c r="AL60" s="205"/>
    </row>
    <row r="61" spans="1:38" ht="17" x14ac:dyDescent="0.2">
      <c r="A61" s="228" t="s">
        <v>593</v>
      </c>
      <c r="B61" s="233">
        <v>5111</v>
      </c>
      <c r="C61" s="233">
        <v>53698</v>
      </c>
      <c r="D61" s="228">
        <v>1730</v>
      </c>
      <c r="E61" s="228">
        <v>10</v>
      </c>
      <c r="F61" s="228">
        <v>0.72</v>
      </c>
      <c r="H61" s="212" t="str">
        <f>Table2[[#This Row],[Dataset]]</f>
        <v>wikilens-ratings</v>
      </c>
      <c r="I61" s="206">
        <f>Table2[[#This Row],[|V|]]</f>
        <v>5111</v>
      </c>
      <c r="J61" s="205" t="str">
        <f t="shared" si="13"/>
        <v>53.70K</v>
      </c>
      <c r="K61" s="216">
        <v>1730</v>
      </c>
      <c r="L61" s="206">
        <f>Table2[[#This Row],[min_size]]</f>
        <v>10</v>
      </c>
      <c r="M61" s="204">
        <f>Table2[[#This Row],[gamma]]</f>
        <v>0.72</v>
      </c>
      <c r="N61" s="205">
        <v>32.917819999999999</v>
      </c>
      <c r="O61" s="205">
        <v>38.271000000000001</v>
      </c>
      <c r="P61" s="205">
        <v>39.559600000000003</v>
      </c>
      <c r="Q61" s="205">
        <v>715.40200000000004</v>
      </c>
      <c r="R61" s="205">
        <v>33.93</v>
      </c>
      <c r="S61" s="205">
        <f t="shared" si="10"/>
        <v>0.86012437615949411</v>
      </c>
      <c r="T61" s="205">
        <f t="shared" si="11"/>
        <v>1.1279398762157382</v>
      </c>
      <c r="U61" s="205">
        <f t="shared" si="12"/>
        <v>21.084644857058652</v>
      </c>
      <c r="V61" s="205" t="s">
        <v>3902</v>
      </c>
      <c r="W61" s="205" t="s">
        <v>3902</v>
      </c>
      <c r="Y61" s="212"/>
      <c r="Z61" s="206"/>
      <c r="AA61" s="205"/>
      <c r="AB61" s="216"/>
      <c r="AC61" s="206"/>
      <c r="AD61" s="204"/>
      <c r="AE61" s="205"/>
      <c r="AF61" s="205"/>
      <c r="AG61" s="205"/>
      <c r="AH61" s="205"/>
      <c r="AI61" s="205"/>
      <c r="AJ61" s="205"/>
      <c r="AK61" s="205"/>
      <c r="AL61" s="205"/>
    </row>
    <row r="62" spans="1:38" ht="18" thickBot="1" x14ac:dyDescent="0.25">
      <c r="A62" s="228" t="s">
        <v>595</v>
      </c>
      <c r="B62" s="233">
        <v>2022</v>
      </c>
      <c r="C62" s="233">
        <v>22234</v>
      </c>
      <c r="D62" s="228">
        <v>604</v>
      </c>
      <c r="E62" s="228">
        <v>10</v>
      </c>
      <c r="F62" s="228">
        <v>0.7</v>
      </c>
      <c r="H62" s="213" t="str">
        <f>Table2[[#This Row],[Dataset]]</f>
        <v>edit-sswiki</v>
      </c>
      <c r="I62" s="214">
        <f>Table2[[#This Row],[|V|]]</f>
        <v>2022</v>
      </c>
      <c r="J62" s="208" t="str">
        <f t="shared" si="13"/>
        <v>22.23K</v>
      </c>
      <c r="K62" s="217">
        <v>604</v>
      </c>
      <c r="L62" s="214">
        <f>Table2[[#This Row],[min_size]]</f>
        <v>10</v>
      </c>
      <c r="M62" s="215">
        <f>Table2[[#This Row],[gamma]]</f>
        <v>0.7</v>
      </c>
      <c r="N62" s="208">
        <v>214.86993000000001</v>
      </c>
      <c r="O62" s="208">
        <v>112.27500000000001</v>
      </c>
      <c r="P62" s="208">
        <v>118.2</v>
      </c>
      <c r="Q62" s="208">
        <v>1021.56</v>
      </c>
      <c r="R62" s="208">
        <v>106.2</v>
      </c>
      <c r="S62" s="208">
        <f t="shared" si="10"/>
        <v>1.9137824983299934</v>
      </c>
      <c r="T62" s="208">
        <f t="shared" si="11"/>
        <v>1.0572033898305084</v>
      </c>
      <c r="U62" s="208">
        <f t="shared" si="12"/>
        <v>9.6192090395480214</v>
      </c>
      <c r="V62" s="208" t="s">
        <v>3902</v>
      </c>
      <c r="W62" s="208" t="s">
        <v>3902</v>
      </c>
      <c r="Y62" s="213"/>
      <c r="Z62" s="214"/>
      <c r="AA62" s="208"/>
      <c r="AB62" s="217"/>
      <c r="AC62" s="214"/>
      <c r="AD62" s="215"/>
      <c r="AE62" s="208"/>
      <c r="AF62" s="208"/>
      <c r="AG62" s="208"/>
      <c r="AH62" s="208"/>
      <c r="AI62" s="208"/>
      <c r="AJ62" s="208"/>
      <c r="AK62" s="208"/>
      <c r="AL62" s="208"/>
    </row>
    <row r="65" spans="27:27" x14ac:dyDescent="0.2">
      <c r="AA65" s="227"/>
    </row>
  </sheetData>
  <mergeCells count="4">
    <mergeCell ref="H28:H32"/>
    <mergeCell ref="H33:H37"/>
    <mergeCell ref="H38:H42"/>
    <mergeCell ref="H43:H47"/>
  </mergeCells>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A62"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91" t="s">
        <v>25</v>
      </c>
      <c r="Y1" s="90" t="s">
        <v>13</v>
      </c>
      <c r="Z1" s="90" t="s">
        <v>14</v>
      </c>
      <c r="AA1" s="90" t="s">
        <v>3969</v>
      </c>
      <c r="AB1" s="90" t="s">
        <v>15</v>
      </c>
      <c r="AC1" s="89" t="s">
        <v>3970</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3957</v>
      </c>
      <c r="R2" t="s">
        <v>3956</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96">
        <v>4579069</v>
      </c>
      <c r="Z6" s="96">
        <v>12530086</v>
      </c>
      <c r="AA6" s="96">
        <f>Table4[[#This Row],[E]]/Table4[[#This Row],[V]]</f>
        <v>2.7363828760824527</v>
      </c>
      <c r="AB6" s="96">
        <v>4043326</v>
      </c>
      <c r="AC6" s="96">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96">
        <v>8482737</v>
      </c>
      <c r="Z7" s="96">
        <v>23585644</v>
      </c>
      <c r="AA7" s="96">
        <f>Table4[[#This Row],[E]]/Table4[[#This Row],[V]]</f>
        <v>2.7804285338564663</v>
      </c>
      <c r="AB7" s="96">
        <v>8421430</v>
      </c>
      <c r="AC7" s="96">
        <v>1</v>
      </c>
      <c r="AE7" s="35"/>
      <c r="AK7" s="46">
        <v>331.87</v>
      </c>
      <c r="AL7" s="129">
        <v>280.97000000000003</v>
      </c>
      <c r="AM7" s="129" t="s">
        <v>3989</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96">
        <v>4063587</v>
      </c>
      <c r="Z8" s="96">
        <v>17652554</v>
      </c>
      <c r="AA8" s="96">
        <f>Table4[[#This Row],[E]]/Table4[[#This Row],[V]]</f>
        <v>4.344081718934528</v>
      </c>
      <c r="AB8" s="96">
        <v>4059644</v>
      </c>
      <c r="AC8" s="96">
        <v>1</v>
      </c>
      <c r="AE8" s="35"/>
      <c r="AK8" s="46">
        <v>234.39</v>
      </c>
      <c r="AL8" s="129">
        <v>175.57</v>
      </c>
      <c r="AM8" s="129" t="s">
        <v>3993</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96">
        <v>7570051</v>
      </c>
      <c r="Z9" s="96">
        <v>43881980</v>
      </c>
      <c r="AA9" s="96">
        <f>Table4[[#This Row],[E]]/Table4[[#This Row],[V]]</f>
        <v>5.7967878948239582</v>
      </c>
      <c r="AB9" s="96">
        <v>5669991</v>
      </c>
      <c r="AC9" s="96">
        <v>1</v>
      </c>
      <c r="AE9" s="35"/>
      <c r="AK9" s="46">
        <v>149.72999999999999</v>
      </c>
      <c r="AL9" s="129">
        <v>429.71</v>
      </c>
      <c r="AM9" s="129" t="s">
        <v>3990</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96">
        <v>5005932</v>
      </c>
      <c r="Z10" s="96">
        <v>33083838</v>
      </c>
      <c r="AA10" s="96">
        <f>Table4[[#This Row],[E]]/Table4[[#This Row],[V]]</f>
        <v>6.6089267692809255</v>
      </c>
      <c r="AB10" s="96">
        <v>1208022</v>
      </c>
      <c r="AC10" s="96">
        <v>1</v>
      </c>
      <c r="AE10" s="35"/>
      <c r="AK10" s="46">
        <v>42.43</v>
      </c>
      <c r="AL10" s="129">
        <v>177.48</v>
      </c>
      <c r="AM10" s="129" t="s">
        <v>3991</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96">
        <v>3496954</v>
      </c>
      <c r="Z11" s="96">
        <v>27305086</v>
      </c>
      <c r="AA11" s="96">
        <f>Table4[[#This Row],[E]]/Table4[[#This Row],[V]]</f>
        <v>7.808248550023821</v>
      </c>
      <c r="AB11" s="96">
        <v>2187803</v>
      </c>
      <c r="AC11" s="96">
        <v>1</v>
      </c>
      <c r="AE11" s="35"/>
      <c r="AK11" s="46">
        <v>191.64</v>
      </c>
      <c r="AL11" s="129">
        <v>41.58</v>
      </c>
      <c r="AM11" s="129" t="s">
        <v>3992</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96">
        <v>3411795</v>
      </c>
      <c r="Z12" s="96">
        <v>26854686</v>
      </c>
      <c r="AA12" s="96">
        <f>Table4[[#This Row],[E]]/Table4[[#This Row],[V]]</f>
        <v>7.8711311787490166</v>
      </c>
      <c r="AB12" s="96">
        <v>2487058</v>
      </c>
      <c r="AC12" s="96">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96">
        <v>33777768</v>
      </c>
      <c r="Z13" s="96">
        <v>274478882</v>
      </c>
      <c r="AA13" s="96">
        <f>Table4[[#This Row],[E]]/Table4[[#This Row],[V]]</f>
        <v>8.1260218851642296</v>
      </c>
      <c r="AB13" s="96">
        <v>1057783</v>
      </c>
      <c r="AC13" s="96">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96">
        <v>5812931</v>
      </c>
      <c r="Z14" s="96">
        <v>54238524</v>
      </c>
      <c r="AA14" s="96">
        <f>Table4[[#This Row],[E]]/Table4[[#This Row],[V]]</f>
        <v>9.3306670937604448</v>
      </c>
      <c r="AB14" s="96">
        <v>3504033</v>
      </c>
      <c r="AC14" s="96">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96">
        <v>27665730</v>
      </c>
      <c r="Z15" s="96">
        <v>281227494</v>
      </c>
      <c r="AA15" s="96">
        <f>Table4[[#This Row],[E]]/Table4[[#This Row],[V]]</f>
        <v>10.165193327629526</v>
      </c>
      <c r="AB15" s="96">
        <v>11571953</v>
      </c>
      <c r="AC15" s="96">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96">
        <v>5867547</v>
      </c>
      <c r="Z16" s="96">
        <v>61171040</v>
      </c>
      <c r="AA16" s="96">
        <f>Table4[[#This Row],[E]]/Table4[[#This Row],[V]]</f>
        <v>10.425317428220003</v>
      </c>
      <c r="AB16" s="96">
        <v>959344</v>
      </c>
      <c r="AC16" s="96">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96">
        <v>5267977</v>
      </c>
      <c r="Z17" s="96">
        <v>55363430</v>
      </c>
      <c r="AA17" s="96">
        <f>Table4[[#This Row],[E]]/Table4[[#This Row],[V]]</f>
        <v>10.509428951569074</v>
      </c>
      <c r="AB17" s="96">
        <v>590528</v>
      </c>
      <c r="AC17" s="96">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96">
        <v>3790750</v>
      </c>
      <c r="Z18" s="96">
        <v>44273578</v>
      </c>
      <c r="AA18" s="96">
        <f>Table4[[#This Row],[E]]/Table4[[#This Row],[V]]</f>
        <v>11.679371628305745</v>
      </c>
      <c r="AB18" s="96">
        <v>866662</v>
      </c>
      <c r="AC18" s="96">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96">
        <v>8833229</v>
      </c>
      <c r="Z19" s="96">
        <v>105882456</v>
      </c>
      <c r="AA19" s="96">
        <f>Table4[[#This Row],[E]]/Table4[[#This Row],[V]]</f>
        <v>11.986834712425093</v>
      </c>
      <c r="AB19" s="96">
        <v>2126384</v>
      </c>
      <c r="AC19" s="96">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96">
        <v>1696415</v>
      </c>
      <c r="Z20" s="96">
        <v>22190596</v>
      </c>
      <c r="AA20" s="96">
        <f>Table4[[#This Row],[E]]/Table4[[#This Row],[V]]</f>
        <v>13.080877025963575</v>
      </c>
      <c r="AB20" s="96">
        <v>35455</v>
      </c>
      <c r="AC20" s="96">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96">
        <v>4799646</v>
      </c>
      <c r="Z21" s="96">
        <v>63844012</v>
      </c>
      <c r="AA21" s="96">
        <f>Table4[[#This Row],[E]]/Table4[[#This Row],[V]]</f>
        <v>13.301816842325454</v>
      </c>
      <c r="AB21" s="96">
        <v>1076572</v>
      </c>
      <c r="AC21" s="96">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96">
        <v>18268991</v>
      </c>
      <c r="Z22" s="96">
        <v>253780418</v>
      </c>
      <c r="AA22" s="96">
        <f>Table4[[#This Row],[E]]/Table4[[#This Row],[V]]</f>
        <v>13.891320982094742</v>
      </c>
      <c r="AB22" s="96">
        <v>612308</v>
      </c>
      <c r="AC22" s="96">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96">
        <v>2981204</v>
      </c>
      <c r="Z23" s="96">
        <v>42832752</v>
      </c>
      <c r="AA23" s="96">
        <f>Table4[[#This Row],[E]]/Table4[[#This Row],[V]]</f>
        <v>14.367601814568879</v>
      </c>
      <c r="AB23" s="96">
        <v>385104</v>
      </c>
      <c r="AC23" s="96">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96">
        <v>2140198</v>
      </c>
      <c r="Z24" s="96">
        <v>34029892</v>
      </c>
      <c r="AA24" s="96">
        <f>Table4[[#This Row],[E]]/Table4[[#This Row],[V]]</f>
        <v>15.900347537938078</v>
      </c>
      <c r="AB24" s="96">
        <v>97848</v>
      </c>
      <c r="AC24" s="96">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96">
        <v>7825669</v>
      </c>
      <c r="Z25" s="96">
        <v>124492028</v>
      </c>
      <c r="AA25" s="96">
        <f>Table4[[#This Row],[E]]/Table4[[#This Row],[V]]</f>
        <v>15.90816427323977</v>
      </c>
      <c r="AB25" s="96">
        <v>204282</v>
      </c>
      <c r="AC25" s="96">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96">
        <v>2646291</v>
      </c>
      <c r="Z26" s="96">
        <v>42433496</v>
      </c>
      <c r="AA26" s="96">
        <f>Table4[[#This Row],[E]]/Table4[[#This Row],[V]]</f>
        <v>16.035083065316702</v>
      </c>
      <c r="AB26" s="96">
        <v>850681</v>
      </c>
      <c r="AC26" s="96">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96">
        <v>7891015</v>
      </c>
      <c r="Z27" s="96">
        <v>127830770</v>
      </c>
      <c r="AA27" s="96">
        <f>Table4[[#This Row],[E]]/Table4[[#This Row],[V]]</f>
        <v>16.199534533897097</v>
      </c>
      <c r="AB27" s="96">
        <v>3636005</v>
      </c>
      <c r="AC27" s="96">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96">
        <v>4033138</v>
      </c>
      <c r="Z28" s="96">
        <v>55866126</v>
      </c>
      <c r="AA28" s="96">
        <f>Table4[[#This Row],[E]]/Table4[[#This Row],[V]]</f>
        <v>13.851776457934244</v>
      </c>
      <c r="AB28" s="96">
        <v>2651</v>
      </c>
      <c r="AC28" s="96">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96">
        <v>2937612</v>
      </c>
      <c r="Z29" s="96">
        <v>41919708</v>
      </c>
      <c r="AA29" s="96">
        <f>Table4[[#This Row],[E]]/Table4[[#This Row],[V]]</f>
        <v>14.269994812112696</v>
      </c>
      <c r="AB29" s="96">
        <v>4356</v>
      </c>
      <c r="AC29" s="96">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17"/>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17"/>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17"/>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MC</vt:lpstr>
      <vt:lpstr>SM2</vt:lpstr>
      <vt:lpstr>MQC</vt:lpstr>
      <vt:lpstr>MC - para</vt:lpstr>
      <vt:lpstr>SM-para</vt:lpstr>
      <vt:lpstr>AIMD-ampere</vt:lpstr>
      <vt:lpstr>mce-gpu</vt:lpstr>
      <vt:lpstr>QC</vt:lpstr>
      <vt:lpstr>Tables for paper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2026-08-23T15:28:16Z</dcterms:modified>
</cp:coreProperties>
</file>