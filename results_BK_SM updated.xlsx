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codeName="ThisWorkbook" defaultThemeVersion="202300"/>
  <mc:AlternateContent xmlns:mc="http://schemas.openxmlformats.org/markup-compatibility/2006">
    <mc:Choice Requires="x15">
      <x15ac:absPath xmlns:x15ac="http://schemas.microsoft.com/office/spreadsheetml/2010/11/ac" url="/Users/akahmad/Documents/G-ThinkerCG/"/>
    </mc:Choice>
  </mc:AlternateContent>
  <xr:revisionPtr revIDLastSave="0" documentId="13_ncr:1_{BE079916-D207-FF40-993E-21A9C54A3A20}" xr6:coauthVersionLast="47" xr6:coauthVersionMax="47" xr10:uidLastSave="{00000000-0000-0000-0000-000000000000}"/>
  <bookViews>
    <workbookView xWindow="0" yWindow="760" windowWidth="30240" windowHeight="18880" activeTab="4" xr2:uid="{93E1CCD5-64A0-5F4C-A5F1-EE4B217F183B}"/>
  </bookViews>
  <sheets>
    <sheet name="SM2" sheetId="32" r:id="rId1"/>
    <sheet name="MC" sheetId="28" r:id="rId2"/>
    <sheet name="MQC" sheetId="27" r:id="rId3"/>
    <sheet name="SM-para" sheetId="30" r:id="rId4"/>
    <sheet name="MC - para" sheetId="29" r:id="rId5"/>
    <sheet name="AIMD-ampere" sheetId="11" r:id="rId6"/>
    <sheet name="mce-gpu" sheetId="9" r:id="rId7"/>
    <sheet name="QC" sheetId="31" r:id="rId8"/>
    <sheet name="SM-datasets" sheetId="33" r:id="rId9"/>
    <sheet name="Sheet4" sheetId="4"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32" l="1"/>
  <c r="M4" i="32"/>
  <c r="M5" i="32"/>
  <c r="M6" i="32"/>
  <c r="M7" i="32"/>
  <c r="M8" i="32"/>
  <c r="M9" i="32"/>
  <c r="M10" i="32"/>
  <c r="M11" i="32"/>
  <c r="M12" i="32"/>
  <c r="M13" i="32"/>
  <c r="M14" i="32"/>
  <c r="M15" i="32"/>
  <c r="M16" i="32"/>
  <c r="M17" i="32"/>
  <c r="M18" i="32"/>
  <c r="M19" i="32"/>
  <c r="M20" i="32"/>
  <c r="M21" i="32"/>
  <c r="M22" i="32"/>
  <c r="M23" i="32"/>
  <c r="M24" i="32"/>
  <c r="M25" i="32"/>
  <c r="M26" i="32"/>
  <c r="M27" i="32"/>
  <c r="M28" i="32"/>
  <c r="M29" i="32"/>
  <c r="M30" i="32"/>
  <c r="M31" i="32"/>
  <c r="M32" i="32"/>
  <c r="M33" i="32"/>
  <c r="M34" i="32"/>
  <c r="M35" i="32"/>
  <c r="M36" i="32"/>
  <c r="M37" i="32"/>
  <c r="M38" i="32"/>
  <c r="M39" i="32"/>
  <c r="M40" i="32"/>
  <c r="M41" i="32"/>
  <c r="M42" i="32"/>
  <c r="M51" i="32"/>
  <c r="M43" i="32"/>
  <c r="M65" i="32"/>
  <c r="M66" i="32"/>
  <c r="M55" i="32"/>
  <c r="M70" i="32"/>
  <c r="M81" i="32"/>
  <c r="M68" i="32"/>
  <c r="M50" i="32"/>
  <c r="M64" i="32"/>
  <c r="M47" i="32"/>
  <c r="M82" i="32"/>
  <c r="M49" i="32"/>
  <c r="M72" i="32"/>
  <c r="M53" i="32"/>
  <c r="M48" i="32"/>
  <c r="M52" i="32"/>
  <c r="M79" i="32"/>
  <c r="M77" i="32"/>
  <c r="M80" i="32"/>
  <c r="M58" i="32"/>
  <c r="M45" i="32"/>
  <c r="M56" i="32"/>
  <c r="M76" i="32"/>
  <c r="M59" i="32"/>
  <c r="M69" i="32"/>
  <c r="M57" i="32"/>
  <c r="M74" i="32"/>
  <c r="M63" i="32"/>
  <c r="M62" i="32"/>
  <c r="M60" i="32"/>
  <c r="M54" i="32"/>
  <c r="M46" i="32"/>
  <c r="M71" i="32"/>
  <c r="M67" i="32"/>
  <c r="M61" i="32"/>
  <c r="M73" i="32"/>
  <c r="M78" i="32"/>
  <c r="M75" i="32"/>
  <c r="M44" i="32"/>
  <c r="M83" i="32"/>
  <c r="M84" i="32"/>
  <c r="M85" i="32"/>
  <c r="M86" i="32"/>
  <c r="M87" i="32"/>
  <c r="M88" i="32"/>
  <c r="M89" i="32"/>
  <c r="M90" i="32"/>
  <c r="M91" i="32"/>
  <c r="M92" i="32"/>
  <c r="M93" i="32"/>
  <c r="M94" i="32"/>
  <c r="M95" i="32"/>
  <c r="M96" i="32"/>
  <c r="M97" i="32"/>
  <c r="M98" i="32"/>
  <c r="M99" i="32"/>
  <c r="M100" i="32"/>
  <c r="M101" i="32"/>
  <c r="M102" i="32"/>
  <c r="M103" i="32"/>
  <c r="M104" i="32"/>
  <c r="M105" i="32"/>
  <c r="M106" i="32"/>
  <c r="M107" i="32"/>
  <c r="M108" i="32"/>
  <c r="M109" i="32"/>
  <c r="M110" i="32"/>
  <c r="M111" i="32"/>
  <c r="M112" i="32"/>
  <c r="M113" i="32"/>
  <c r="M114" i="32"/>
  <c r="M115" i="32"/>
  <c r="M116" i="32"/>
  <c r="M117" i="32"/>
  <c r="M118" i="32"/>
  <c r="M119" i="32"/>
  <c r="M120" i="32"/>
  <c r="M121" i="32"/>
  <c r="M122" i="32"/>
  <c r="M123" i="32"/>
  <c r="M124" i="32"/>
  <c r="M125" i="32"/>
  <c r="M126" i="32"/>
  <c r="M127" i="32"/>
  <c r="M128" i="32"/>
  <c r="M129" i="32"/>
  <c r="M130" i="32"/>
  <c r="M131" i="32"/>
  <c r="M132" i="32"/>
  <c r="M133" i="32"/>
  <c r="M134" i="32"/>
  <c r="M135" i="32"/>
  <c r="M136" i="32"/>
  <c r="M137" i="32"/>
  <c r="M138" i="32"/>
  <c r="M139" i="32"/>
  <c r="M140" i="32"/>
  <c r="M141" i="32"/>
  <c r="M142" i="32"/>
  <c r="M143" i="32"/>
  <c r="M144" i="32"/>
  <c r="M145" i="32"/>
  <c r="M146" i="32"/>
  <c r="N3" i="32"/>
  <c r="N4" i="32"/>
  <c r="N5" i="32"/>
  <c r="N6" i="32"/>
  <c r="N7" i="32"/>
  <c r="N8" i="32"/>
  <c r="N9" i="32"/>
  <c r="N10" i="32"/>
  <c r="N11" i="32"/>
  <c r="N12" i="32"/>
  <c r="N13" i="32"/>
  <c r="N14" i="32"/>
  <c r="N15" i="32"/>
  <c r="N16" i="32"/>
  <c r="N17" i="32"/>
  <c r="N18" i="32"/>
  <c r="N19" i="32"/>
  <c r="N20" i="32"/>
  <c r="N21" i="32"/>
  <c r="N22" i="32"/>
  <c r="N23" i="32"/>
  <c r="N24" i="32"/>
  <c r="N25" i="32"/>
  <c r="N26" i="32"/>
  <c r="N27" i="32"/>
  <c r="N28" i="32"/>
  <c r="N29" i="32"/>
  <c r="N30" i="32"/>
  <c r="N31" i="32"/>
  <c r="N32" i="32"/>
  <c r="N33" i="32"/>
  <c r="N34" i="32"/>
  <c r="N35" i="32"/>
  <c r="N36" i="32"/>
  <c r="N37" i="32"/>
  <c r="N38" i="32"/>
  <c r="N39" i="32"/>
  <c r="N40" i="32"/>
  <c r="N41" i="32"/>
  <c r="N42" i="32"/>
  <c r="N51" i="32"/>
  <c r="N43" i="32"/>
  <c r="N65" i="32"/>
  <c r="N66" i="32"/>
  <c r="N55" i="32"/>
  <c r="N70" i="32"/>
  <c r="N81" i="32"/>
  <c r="N68" i="32"/>
  <c r="N50" i="32"/>
  <c r="N64" i="32"/>
  <c r="N47" i="32"/>
  <c r="N82" i="32"/>
  <c r="N49" i="32"/>
  <c r="N72" i="32"/>
  <c r="N53" i="32"/>
  <c r="N48" i="32"/>
  <c r="N52" i="32"/>
  <c r="N79" i="32"/>
  <c r="N77" i="32"/>
  <c r="N80" i="32"/>
  <c r="N58" i="32"/>
  <c r="N45" i="32"/>
  <c r="N56" i="32"/>
  <c r="N76" i="32"/>
  <c r="N59" i="32"/>
  <c r="N69" i="32"/>
  <c r="N57" i="32"/>
  <c r="N74" i="32"/>
  <c r="N63" i="32"/>
  <c r="N62" i="32"/>
  <c r="N60" i="32"/>
  <c r="N54" i="32"/>
  <c r="N46" i="32"/>
  <c r="N71" i="32"/>
  <c r="N67" i="32"/>
  <c r="N61" i="32"/>
  <c r="N73" i="32"/>
  <c r="N78" i="32"/>
  <c r="N75" i="32"/>
  <c r="N44" i="32"/>
  <c r="N83" i="32"/>
  <c r="N84" i="32"/>
  <c r="N85" i="32"/>
  <c r="N86" i="32"/>
  <c r="N87" i="32"/>
  <c r="N88" i="32"/>
  <c r="N89" i="32"/>
  <c r="N90" i="32"/>
  <c r="N91" i="32"/>
  <c r="N92" i="32"/>
  <c r="N93" i="32"/>
  <c r="N94" i="32"/>
  <c r="N95" i="32"/>
  <c r="N96" i="32"/>
  <c r="N97" i="32"/>
  <c r="N98" i="32"/>
  <c r="N99" i="32"/>
  <c r="N100" i="32"/>
  <c r="N101" i="32"/>
  <c r="N102" i="32"/>
  <c r="N103" i="32"/>
  <c r="N104" i="32"/>
  <c r="N105" i="32"/>
  <c r="N106" i="32"/>
  <c r="N107" i="32"/>
  <c r="N108" i="32"/>
  <c r="N109" i="32"/>
  <c r="N110" i="32"/>
  <c r="N111" i="32"/>
  <c r="N112" i="32"/>
  <c r="N113" i="32"/>
  <c r="N114" i="32"/>
  <c r="N115" i="32"/>
  <c r="N116" i="32"/>
  <c r="N117" i="32"/>
  <c r="N118" i="32"/>
  <c r="N119" i="32"/>
  <c r="N120" i="32"/>
  <c r="N121" i="32"/>
  <c r="N122" i="32"/>
  <c r="N123" i="32"/>
  <c r="N124" i="32"/>
  <c r="N125" i="32"/>
  <c r="N126" i="32"/>
  <c r="N127" i="32"/>
  <c r="N128" i="32"/>
  <c r="N129" i="32"/>
  <c r="N130" i="32"/>
  <c r="N131" i="32"/>
  <c r="N132" i="32"/>
  <c r="N133" i="32"/>
  <c r="N134" i="32"/>
  <c r="N135" i="32"/>
  <c r="N136" i="32"/>
  <c r="N137" i="32"/>
  <c r="N138" i="32"/>
  <c r="N139" i="32"/>
  <c r="N140" i="32"/>
  <c r="N141" i="32"/>
  <c r="N142" i="32"/>
  <c r="N143" i="32"/>
  <c r="N144" i="32"/>
  <c r="N145" i="32"/>
  <c r="N146" i="32"/>
  <c r="L3" i="32"/>
  <c r="L4" i="32"/>
  <c r="L5" i="32"/>
  <c r="L6" i="32"/>
  <c r="L7" i="32"/>
  <c r="L8" i="32"/>
  <c r="L9" i="32"/>
  <c r="L10" i="32"/>
  <c r="L11" i="32"/>
  <c r="L12" i="32"/>
  <c r="L13" i="32"/>
  <c r="L14" i="32"/>
  <c r="L15" i="32"/>
  <c r="L16" i="32"/>
  <c r="L17" i="32"/>
  <c r="L18" i="32"/>
  <c r="L19" i="32"/>
  <c r="L20" i="32"/>
  <c r="L21" i="32"/>
  <c r="L22" i="32"/>
  <c r="L23" i="32"/>
  <c r="L24" i="32"/>
  <c r="L25" i="32"/>
  <c r="L26" i="32"/>
  <c r="L27" i="32"/>
  <c r="L28" i="32"/>
  <c r="L29" i="32"/>
  <c r="L30" i="32"/>
  <c r="L31" i="32"/>
  <c r="L32" i="32"/>
  <c r="L33" i="32"/>
  <c r="L34" i="32"/>
  <c r="L35" i="32"/>
  <c r="L36" i="32"/>
  <c r="L37" i="32"/>
  <c r="L38" i="32"/>
  <c r="L39" i="32"/>
  <c r="L40" i="32"/>
  <c r="L41" i="32"/>
  <c r="L42" i="32"/>
  <c r="L51" i="32"/>
  <c r="L43" i="32"/>
  <c r="L47" i="32"/>
  <c r="L50" i="32"/>
  <c r="L53" i="32"/>
  <c r="L57" i="32"/>
  <c r="L48" i="32"/>
  <c r="L60" i="32"/>
  <c r="L45" i="32"/>
  <c r="L58" i="32"/>
  <c r="L49" i="32"/>
  <c r="L76" i="32"/>
  <c r="L56" i="32"/>
  <c r="L69" i="32"/>
  <c r="L52" i="32"/>
  <c r="L63" i="32"/>
  <c r="L54" i="32"/>
  <c r="L59" i="32"/>
  <c r="L62" i="32"/>
  <c r="L67" i="32"/>
  <c r="L66" i="32"/>
  <c r="L79" i="32"/>
  <c r="L81" i="32"/>
  <c r="L72" i="32"/>
  <c r="L46" i="32"/>
  <c r="L44" i="32"/>
  <c r="L55" i="32"/>
  <c r="L80" i="32"/>
  <c r="L77" i="32"/>
  <c r="L64" i="32"/>
  <c r="L68" i="32"/>
  <c r="L61" i="32"/>
  <c r="L65" i="32"/>
  <c r="L71" i="32"/>
  <c r="L70" i="32"/>
  <c r="L73" i="32"/>
  <c r="L75" i="32"/>
  <c r="L78" i="32"/>
  <c r="L82" i="32"/>
  <c r="L74" i="32"/>
  <c r="L83" i="32"/>
  <c r="L84" i="32"/>
  <c r="L85" i="32"/>
  <c r="L86" i="32"/>
  <c r="L87" i="32"/>
  <c r="L88" i="32"/>
  <c r="L89" i="32"/>
  <c r="L90" i="32"/>
  <c r="L91" i="32"/>
  <c r="L92" i="32"/>
  <c r="L93" i="32"/>
  <c r="L94" i="32"/>
  <c r="L95" i="32"/>
  <c r="L96" i="32"/>
  <c r="L97" i="32"/>
  <c r="L98" i="32"/>
  <c r="L99" i="32"/>
  <c r="L100" i="32"/>
  <c r="L101" i="32"/>
  <c r="L102" i="32"/>
  <c r="L103" i="32"/>
  <c r="L104" i="32"/>
  <c r="L105" i="32"/>
  <c r="L106" i="32"/>
  <c r="L107" i="32"/>
  <c r="L108" i="32"/>
  <c r="L109" i="32"/>
  <c r="L110" i="32"/>
  <c r="L111" i="32"/>
  <c r="L112" i="32"/>
  <c r="L113" i="32"/>
  <c r="L114" i="32"/>
  <c r="L115" i="32"/>
  <c r="L116" i="32"/>
  <c r="L117" i="32"/>
  <c r="L118" i="32"/>
  <c r="L119" i="32"/>
  <c r="L120" i="32"/>
  <c r="L121" i="32"/>
  <c r="L122" i="32"/>
  <c r="L123" i="32"/>
  <c r="L124" i="32"/>
  <c r="L125" i="32"/>
  <c r="L126" i="32"/>
  <c r="L127" i="32"/>
  <c r="L128" i="32"/>
  <c r="L129" i="32"/>
  <c r="L130" i="32"/>
  <c r="L131" i="32"/>
  <c r="L132" i="32"/>
  <c r="L133" i="32"/>
  <c r="L134" i="32"/>
  <c r="L135" i="32"/>
  <c r="L136" i="32"/>
  <c r="L137" i="32"/>
  <c r="L138" i="32"/>
  <c r="L139" i="32"/>
  <c r="L140" i="32"/>
  <c r="L141" i="32"/>
  <c r="L142" i="32"/>
  <c r="L143" i="32"/>
  <c r="L144" i="32"/>
  <c r="L145" i="32"/>
  <c r="L146" i="32"/>
  <c r="K3" i="32"/>
  <c r="K4" i="32"/>
  <c r="K5" i="32"/>
  <c r="K6" i="32"/>
  <c r="K7" i="32"/>
  <c r="K8" i="32"/>
  <c r="K9" i="32"/>
  <c r="K10" i="32"/>
  <c r="K11" i="32"/>
  <c r="K12" i="32"/>
  <c r="K13" i="32"/>
  <c r="K14" i="32"/>
  <c r="K15" i="32"/>
  <c r="K16" i="32"/>
  <c r="K17" i="32"/>
  <c r="K18" i="32"/>
  <c r="K19" i="32"/>
  <c r="K20" i="32"/>
  <c r="K21" i="32"/>
  <c r="K22" i="32"/>
  <c r="K23" i="32"/>
  <c r="K24" i="32"/>
  <c r="K25" i="32"/>
  <c r="K26" i="32"/>
  <c r="K27" i="32"/>
  <c r="K28" i="32"/>
  <c r="K29" i="32"/>
  <c r="K30" i="32"/>
  <c r="K31" i="32"/>
  <c r="K32" i="32"/>
  <c r="K33" i="32"/>
  <c r="K34" i="32"/>
  <c r="K35" i="32"/>
  <c r="K36" i="32"/>
  <c r="K37" i="32"/>
  <c r="K38" i="32"/>
  <c r="K39" i="32"/>
  <c r="K40" i="32"/>
  <c r="K41" i="32"/>
  <c r="K42" i="32"/>
  <c r="K51" i="32"/>
  <c r="K43" i="32"/>
  <c r="K47" i="32"/>
  <c r="K50" i="32"/>
  <c r="K53" i="32"/>
  <c r="K57" i="32"/>
  <c r="K48" i="32"/>
  <c r="K60" i="32"/>
  <c r="K45" i="32"/>
  <c r="K58" i="32"/>
  <c r="K49" i="32"/>
  <c r="K76" i="32"/>
  <c r="K56" i="32"/>
  <c r="K69" i="32"/>
  <c r="K52" i="32"/>
  <c r="K63" i="32"/>
  <c r="K54" i="32"/>
  <c r="K59" i="32"/>
  <c r="K62" i="32"/>
  <c r="K67" i="32"/>
  <c r="K66" i="32"/>
  <c r="K79" i="32"/>
  <c r="K81" i="32"/>
  <c r="K72" i="32"/>
  <c r="K46" i="32"/>
  <c r="K44" i="32"/>
  <c r="K55" i="32"/>
  <c r="K80" i="32"/>
  <c r="K77" i="32"/>
  <c r="K64" i="32"/>
  <c r="K68" i="32"/>
  <c r="K61" i="32"/>
  <c r="K65" i="32"/>
  <c r="K71" i="32"/>
  <c r="K70" i="32"/>
  <c r="K73" i="32"/>
  <c r="K75" i="32"/>
  <c r="K78" i="32"/>
  <c r="K82" i="32"/>
  <c r="K74" i="32"/>
  <c r="K83" i="32"/>
  <c r="K84" i="32"/>
  <c r="K85" i="32"/>
  <c r="K86" i="32"/>
  <c r="K87" i="32"/>
  <c r="K88" i="32"/>
  <c r="K89" i="32"/>
  <c r="K90" i="32"/>
  <c r="K91" i="32"/>
  <c r="K92" i="32"/>
  <c r="K93" i="32"/>
  <c r="K94" i="32"/>
  <c r="K95" i="32"/>
  <c r="K96" i="32"/>
  <c r="K97" i="32"/>
  <c r="K98" i="32"/>
  <c r="K99" i="32"/>
  <c r="K100" i="32"/>
  <c r="K101" i="32"/>
  <c r="K102" i="32"/>
  <c r="K103" i="32"/>
  <c r="K104" i="32"/>
  <c r="K105" i="32"/>
  <c r="K106" i="32"/>
  <c r="K107" i="32"/>
  <c r="K108" i="32"/>
  <c r="K109" i="32"/>
  <c r="K110" i="32"/>
  <c r="K111" i="32"/>
  <c r="K112" i="32"/>
  <c r="K113" i="32"/>
  <c r="K114" i="32"/>
  <c r="K115" i="32"/>
  <c r="K116" i="32"/>
  <c r="K117" i="32"/>
  <c r="K118" i="32"/>
  <c r="K119" i="32"/>
  <c r="K120" i="32"/>
  <c r="K121" i="32"/>
  <c r="K122" i="32"/>
  <c r="K123" i="32"/>
  <c r="K124" i="32"/>
  <c r="K125" i="32"/>
  <c r="K126" i="32"/>
  <c r="K127" i="32"/>
  <c r="K128" i="32"/>
  <c r="K129" i="32"/>
  <c r="K130" i="32"/>
  <c r="K131" i="32"/>
  <c r="K132" i="32"/>
  <c r="K133" i="32"/>
  <c r="K134" i="32"/>
  <c r="K135" i="32"/>
  <c r="K136" i="32"/>
  <c r="K137" i="32"/>
  <c r="K138" i="32"/>
  <c r="K139" i="32"/>
  <c r="K140" i="32"/>
  <c r="K141" i="32"/>
  <c r="K142" i="32"/>
  <c r="K143" i="32"/>
  <c r="K144" i="32"/>
  <c r="K145" i="32"/>
  <c r="K146" i="32"/>
  <c r="T46" i="28"/>
  <c r="T30" i="28"/>
  <c r="T32" i="28"/>
  <c r="T25" i="28"/>
  <c r="T27" i="28"/>
  <c r="T7" i="28"/>
  <c r="T42" i="28"/>
  <c r="T15" i="28"/>
  <c r="T44" i="28"/>
  <c r="T6" i="28"/>
  <c r="T14" i="28"/>
  <c r="T11" i="28"/>
  <c r="T18" i="28"/>
  <c r="T34" i="28"/>
  <c r="T38" i="28"/>
  <c r="T9" i="28"/>
  <c r="T13" i="28"/>
  <c r="T10" i="28"/>
  <c r="T12" i="28"/>
  <c r="T17" i="28"/>
  <c r="T19" i="28"/>
  <c r="T21" i="28"/>
  <c r="T8" i="28"/>
  <c r="T22" i="28"/>
  <c r="T24" i="28"/>
  <c r="T16" i="28"/>
  <c r="T41" i="28"/>
  <c r="T20" i="28"/>
  <c r="T23" i="28"/>
  <c r="T29" i="28"/>
  <c r="T28" i="28"/>
  <c r="T26" i="28"/>
  <c r="T50" i="28"/>
  <c r="T37" i="28"/>
  <c r="T35" i="28"/>
  <c r="T52" i="28"/>
  <c r="T45" i="28"/>
  <c r="T33" i="28"/>
  <c r="T31" i="28"/>
  <c r="T53" i="28"/>
  <c r="T40" i="28"/>
  <c r="T49" i="28"/>
  <c r="T51" i="28"/>
  <c r="T43" i="28"/>
  <c r="T36" i="28"/>
  <c r="T54" i="28"/>
  <c r="T39" i="28"/>
  <c r="T55" i="28"/>
  <c r="T47" i="28"/>
  <c r="T48" i="28"/>
  <c r="S55" i="28"/>
  <c r="S54" i="28"/>
  <c r="S53" i="28"/>
  <c r="S52" i="28"/>
  <c r="S48" i="28"/>
  <c r="S51" i="28"/>
  <c r="S21" i="28"/>
  <c r="S50" i="28"/>
  <c r="S49" i="28"/>
  <c r="S20" i="28"/>
  <c r="S47" i="28"/>
  <c r="S46" i="28"/>
  <c r="S45" i="28"/>
  <c r="S17" i="28"/>
  <c r="S44" i="28"/>
  <c r="S10" i="28"/>
  <c r="S13" i="28"/>
  <c r="S39" i="28"/>
  <c r="S42" i="28"/>
  <c r="S38" i="28"/>
  <c r="S41" i="28"/>
  <c r="S43" i="28"/>
  <c r="S37" i="28"/>
  <c r="S36" i="28"/>
  <c r="S40" i="28"/>
  <c r="S33" i="28"/>
  <c r="S14" i="28"/>
  <c r="S34" i="28"/>
  <c r="S12" i="28"/>
  <c r="S32" i="28"/>
  <c r="S35" i="28"/>
  <c r="S29" i="28"/>
  <c r="S30" i="28"/>
  <c r="S28" i="28"/>
  <c r="S27" i="28"/>
  <c r="S25" i="28"/>
  <c r="S24" i="28"/>
  <c r="S31" i="28"/>
  <c r="S18" i="28"/>
  <c r="S8" i="28"/>
  <c r="S22" i="28"/>
  <c r="S19" i="28"/>
  <c r="S16" i="28"/>
  <c r="S9" i="28"/>
  <c r="S6" i="28"/>
  <c r="S7" i="28"/>
  <c r="S26" i="28"/>
  <c r="S15" i="28"/>
  <c r="S11" i="28"/>
  <c r="S23" i="28"/>
  <c r="R55" i="28"/>
  <c r="R54" i="28"/>
  <c r="R53" i="28"/>
  <c r="R52" i="28"/>
  <c r="R48" i="28"/>
  <c r="R51" i="28"/>
  <c r="R21" i="28"/>
  <c r="R50" i="28"/>
  <c r="R49" i="28"/>
  <c r="R20" i="28"/>
  <c r="R47" i="28"/>
  <c r="R46" i="28"/>
  <c r="R45" i="28"/>
  <c r="R17" i="28"/>
  <c r="R44" i="28"/>
  <c r="R10" i="28"/>
  <c r="R13" i="28"/>
  <c r="R39" i="28"/>
  <c r="R42" i="28"/>
  <c r="R38" i="28"/>
  <c r="R41" i="28"/>
  <c r="R43" i="28"/>
  <c r="R37" i="28"/>
  <c r="R36" i="28"/>
  <c r="R40" i="28"/>
  <c r="R33" i="28"/>
  <c r="R14" i="28"/>
  <c r="R34" i="28"/>
  <c r="R12" i="28"/>
  <c r="R32" i="28"/>
  <c r="R35" i="28"/>
  <c r="R29" i="28"/>
  <c r="R30" i="28"/>
  <c r="R28" i="28"/>
  <c r="R27" i="28"/>
  <c r="R25" i="28"/>
  <c r="R24" i="28"/>
  <c r="R31" i="28"/>
  <c r="R18" i="28"/>
  <c r="R8" i="28"/>
  <c r="R22" i="28"/>
  <c r="R19" i="28"/>
  <c r="R16" i="28"/>
  <c r="R9" i="28"/>
  <c r="R6" i="28"/>
  <c r="R7" i="28"/>
  <c r="R26" i="28"/>
  <c r="R15" i="28"/>
  <c r="R11" i="28"/>
  <c r="R23" i="28"/>
  <c r="Q48" i="28"/>
  <c r="Q31" i="28"/>
  <c r="Q51" i="28"/>
  <c r="Q9" i="28"/>
  <c r="Q43" i="28"/>
  <c r="Q45" i="28"/>
  <c r="Q39" i="28"/>
  <c r="Q36" i="28"/>
  <c r="Q47" i="28"/>
  <c r="Q35" i="28"/>
  <c r="Q28" i="28"/>
  <c r="Q54" i="28"/>
  <c r="Q50" i="28"/>
  <c r="Q33" i="28"/>
  <c r="Q37" i="28"/>
  <c r="Q55" i="28"/>
  <c r="Q40" i="28"/>
  <c r="Q53" i="28"/>
  <c r="Q22" i="28"/>
  <c r="Q29" i="28"/>
  <c r="Q19" i="28"/>
  <c r="Q13" i="28"/>
  <c r="Q21" i="28"/>
  <c r="Q41" i="28"/>
  <c r="Q26" i="28"/>
  <c r="Q12" i="28"/>
  <c r="Q49" i="28"/>
  <c r="Q7" i="28"/>
  <c r="Q34" i="28"/>
  <c r="Q38" i="28"/>
  <c r="Q52" i="28"/>
  <c r="Q27" i="28"/>
  <c r="Q16" i="28"/>
  <c r="Q14" i="28"/>
  <c r="Q25" i="28"/>
  <c r="Q44" i="28"/>
  <c r="Q20" i="28"/>
  <c r="Q32" i="28"/>
  <c r="Q6" i="28"/>
  <c r="Q15" i="28"/>
  <c r="Q42" i="28"/>
  <c r="Q30" i="28"/>
  <c r="Q8" i="28"/>
  <c r="Q24" i="28"/>
  <c r="Q11" i="28"/>
  <c r="Q46" i="28"/>
  <c r="Q17" i="28"/>
  <c r="Q18" i="28"/>
  <c r="Q10" i="28"/>
  <c r="Q23" i="28"/>
  <c r="D26" i="33"/>
  <c r="D17" i="33"/>
  <c r="D27" i="33"/>
  <c r="AA2" i="4"/>
  <c r="AA3" i="4"/>
  <c r="AA4" i="4"/>
  <c r="AA5" i="4"/>
  <c r="AA6" i="4"/>
  <c r="AA7" i="4"/>
  <c r="AA8" i="4"/>
  <c r="AA9" i="4"/>
  <c r="AA10" i="4"/>
  <c r="AA11" i="4"/>
  <c r="AA12" i="4"/>
  <c r="AA13" i="4"/>
  <c r="AA14" i="4"/>
  <c r="AA15" i="4"/>
  <c r="AA16" i="4"/>
  <c r="AA17" i="4"/>
  <c r="AA18" i="4"/>
  <c r="AA19" i="4"/>
  <c r="AA20" i="4"/>
  <c r="AA21" i="4"/>
  <c r="AA28" i="4"/>
  <c r="AA22" i="4"/>
  <c r="AA29" i="4"/>
  <c r="AA23" i="4"/>
  <c r="AA24" i="4"/>
  <c r="AA25" i="4"/>
  <c r="AA26" i="4"/>
  <c r="AA27" i="4"/>
  <c r="AA30" i="4"/>
  <c r="AA31" i="4"/>
  <c r="AA32" i="4"/>
  <c r="AA33" i="4"/>
  <c r="AA34" i="4"/>
  <c r="AA35" i="4"/>
  <c r="AA36" i="4"/>
  <c r="AA37" i="4"/>
  <c r="AA38" i="4"/>
  <c r="AA39" i="4"/>
  <c r="AA40" i="4"/>
  <c r="AA41" i="4"/>
  <c r="AA42" i="4"/>
  <c r="AA43" i="4"/>
  <c r="AA44" i="4"/>
  <c r="AA45" i="4"/>
  <c r="AA46" i="4"/>
  <c r="AA47" i="4"/>
  <c r="AA48" i="4"/>
  <c r="AA49" i="4"/>
  <c r="AA50" i="4"/>
  <c r="AA51" i="4"/>
  <c r="H15" i="28"/>
  <c r="H30" i="28"/>
  <c r="H25" i="28"/>
  <c r="H9" i="28"/>
  <c r="H46" i="28"/>
  <c r="H32" i="28"/>
  <c r="H27" i="28"/>
  <c r="H34" i="28"/>
  <c r="H16" i="28"/>
  <c r="H42" i="28"/>
  <c r="H44" i="28"/>
  <c r="H11" i="28"/>
  <c r="H41" i="28"/>
  <c r="H24" i="28"/>
  <c r="H33" i="28"/>
  <c r="H39" i="28"/>
  <c r="H35" i="28"/>
  <c r="H18" i="28"/>
  <c r="H38" i="28"/>
  <c r="H22" i="28"/>
  <c r="H26" i="28"/>
  <c r="H37" i="28"/>
  <c r="H17" i="28"/>
  <c r="H29" i="28"/>
  <c r="H31" i="28"/>
  <c r="H40" i="28"/>
  <c r="H10" i="28"/>
  <c r="H8" i="28"/>
  <c r="H49" i="28"/>
  <c r="H7" i="28"/>
  <c r="H23" i="28"/>
  <c r="H52" i="28"/>
  <c r="H19" i="28"/>
  <c r="H13" i="28"/>
  <c r="H20" i="28"/>
  <c r="H28" i="28"/>
  <c r="H6" i="28"/>
  <c r="H50" i="28"/>
  <c r="H43" i="28"/>
  <c r="H14" i="28"/>
  <c r="H45" i="28"/>
  <c r="H53" i="28"/>
  <c r="H36" i="28"/>
  <c r="H21" i="28"/>
  <c r="H51" i="28"/>
  <c r="H12" i="28"/>
  <c r="H48" i="28"/>
  <c r="H55" i="28"/>
  <c r="H54" i="28"/>
  <c r="H47" i="28"/>
  <c r="M60" i="11"/>
  <c r="M53" i="11"/>
  <c r="M65" i="11"/>
  <c r="M46" i="11"/>
  <c r="M63" i="11"/>
  <c r="M64" i="11"/>
  <c r="M26" i="11"/>
  <c r="M59" i="11"/>
  <c r="M61" i="11"/>
  <c r="M52" i="11"/>
  <c r="M36" i="11"/>
  <c r="M44" i="11"/>
  <c r="M45" i="11"/>
  <c r="M58" i="11"/>
  <c r="M57" i="11"/>
  <c r="M33" i="11"/>
  <c r="M62" i="11"/>
  <c r="M39" i="11"/>
  <c r="M54" i="11"/>
  <c r="M24" i="11"/>
  <c r="M37" i="11"/>
  <c r="M28" i="11"/>
  <c r="M50" i="11"/>
  <c r="M56" i="11"/>
  <c r="M34" i="11"/>
  <c r="M43" i="11"/>
  <c r="M49" i="11"/>
  <c r="M47" i="11"/>
  <c r="M30" i="11"/>
  <c r="M38" i="11"/>
  <c r="M25" i="11"/>
  <c r="M20" i="11"/>
  <c r="M29" i="11"/>
  <c r="M55" i="11"/>
  <c r="M22" i="11"/>
  <c r="M40" i="11"/>
  <c r="M41" i="11"/>
  <c r="M48" i="11"/>
  <c r="M27" i="11"/>
  <c r="M21" i="11"/>
  <c r="M42" i="11"/>
  <c r="M18" i="11"/>
  <c r="M51" i="11"/>
  <c r="M35" i="11"/>
  <c r="M23" i="11"/>
  <c r="M31" i="11"/>
  <c r="M32" i="11"/>
  <c r="M17" i="11"/>
  <c r="M16" i="11"/>
  <c r="M19" i="11"/>
  <c r="N19" i="11"/>
  <c r="N16" i="11"/>
  <c r="N17" i="11"/>
  <c r="N32" i="11"/>
  <c r="N31" i="11"/>
  <c r="N23" i="11"/>
  <c r="N35" i="11"/>
  <c r="N51" i="11"/>
  <c r="N18" i="11"/>
  <c r="N42" i="11"/>
  <c r="N21" i="11"/>
  <c r="N27" i="11"/>
  <c r="N48" i="11"/>
  <c r="N41" i="11"/>
  <c r="N40" i="11"/>
  <c r="N22" i="11"/>
  <c r="N55" i="11"/>
  <c r="N29" i="11"/>
  <c r="N20" i="11"/>
  <c r="N25" i="11"/>
  <c r="N38" i="11"/>
  <c r="N30" i="11"/>
  <c r="N47" i="11"/>
  <c r="N49" i="11"/>
  <c r="N43" i="11"/>
  <c r="N34" i="11"/>
  <c r="N56" i="11"/>
  <c r="N50" i="11"/>
  <c r="N28" i="11"/>
  <c r="N37" i="11"/>
  <c r="N24" i="11"/>
  <c r="N54" i="11"/>
  <c r="N39" i="11"/>
  <c r="N62" i="11"/>
  <c r="N33" i="11"/>
  <c r="N57" i="11"/>
  <c r="N58" i="11"/>
  <c r="N45" i="11"/>
  <c r="N44" i="11"/>
  <c r="N36" i="11"/>
  <c r="N52" i="11"/>
  <c r="N61" i="11"/>
  <c r="N59" i="11"/>
  <c r="N26" i="11"/>
  <c r="N64" i="11"/>
  <c r="N63" i="11"/>
  <c r="N46" i="11"/>
  <c r="N65" i="11"/>
  <c r="N53" i="11"/>
  <c r="N60" i="11"/>
  <c r="N13" i="11"/>
  <c r="M13" i="11"/>
  <c r="N12" i="11"/>
  <c r="M12" i="11"/>
  <c r="N10" i="11"/>
  <c r="M10" i="11"/>
  <c r="N6" i="11"/>
  <c r="M6" i="11"/>
  <c r="N15" i="11"/>
  <c r="M15" i="11"/>
  <c r="N14" i="11"/>
  <c r="M14" i="11"/>
  <c r="N9" i="11"/>
  <c r="M9" i="11"/>
  <c r="N11" i="11"/>
  <c r="M11" i="11"/>
  <c r="N8" i="11"/>
  <c r="M8" i="11"/>
  <c r="N7" i="11"/>
  <c r="M7" i="11"/>
  <c r="J1325" i="4" l="1"/>
  <c r="J1275" i="4"/>
  <c r="J1239" i="4"/>
  <c r="J709" i="4"/>
  <c r="J222" i="4"/>
  <c r="J401" i="4"/>
  <c r="J193" i="4"/>
  <c r="J1259" i="4"/>
  <c r="J641" i="4"/>
  <c r="J586" i="4"/>
  <c r="J741" i="4"/>
  <c r="J97" i="4"/>
  <c r="J717" i="4"/>
  <c r="J350" i="4"/>
  <c r="J422" i="4"/>
  <c r="J632" i="4"/>
  <c r="J327" i="4"/>
  <c r="J771" i="4"/>
  <c r="J1206" i="4"/>
  <c r="J785" i="4"/>
  <c r="J1306" i="4"/>
  <c r="J609" i="4"/>
  <c r="J442" i="4"/>
  <c r="J619" i="4"/>
  <c r="J129" i="4"/>
  <c r="J2" i="4"/>
  <c r="J91" i="4"/>
  <c r="J229" i="4"/>
  <c r="J1033" i="4"/>
  <c r="J949" i="4"/>
  <c r="J665" i="4"/>
  <c r="J542" i="4"/>
  <c r="J293" i="4"/>
  <c r="J237" i="4"/>
  <c r="J172" i="4"/>
  <c r="J486" i="4"/>
  <c r="J1075" i="4"/>
  <c r="J323" i="4"/>
  <c r="J700" i="4"/>
  <c r="J127" i="4"/>
  <c r="J649" i="4"/>
  <c r="J277" i="4"/>
  <c r="J3" i="4"/>
  <c r="J434" i="4"/>
  <c r="J821" i="4"/>
  <c r="J344" i="4"/>
  <c r="J383" i="4"/>
  <c r="J727" i="4"/>
  <c r="J119" i="4"/>
  <c r="J4" i="4"/>
  <c r="J942" i="4"/>
  <c r="J328" i="4"/>
  <c r="J88" i="4"/>
  <c r="J844" i="4"/>
  <c r="J772" i="4"/>
  <c r="J5" i="4"/>
  <c r="J872" i="4"/>
  <c r="J569" i="4"/>
  <c r="J822" i="4"/>
  <c r="J139" i="4"/>
  <c r="J329" i="4"/>
  <c r="J1193" i="4"/>
  <c r="J135" i="4"/>
  <c r="J94" i="4"/>
  <c r="J1163" i="4"/>
  <c r="J87" i="4"/>
  <c r="J1018" i="4"/>
  <c r="J6" i="4"/>
  <c r="J908" i="4"/>
  <c r="J227" i="4"/>
  <c r="J804" i="4"/>
  <c r="J7" i="4"/>
  <c r="J1037" i="4"/>
  <c r="J150" i="4"/>
  <c r="J412" i="4"/>
  <c r="J8" i="4"/>
  <c r="J9" i="4"/>
  <c r="J109" i="4"/>
  <c r="J752" i="4"/>
  <c r="J346" i="4"/>
  <c r="J137" i="4"/>
  <c r="J359" i="4"/>
  <c r="J285" i="4"/>
  <c r="J358" i="4"/>
  <c r="J930" i="4"/>
  <c r="J964" i="4"/>
  <c r="J180" i="4"/>
  <c r="J896" i="4"/>
  <c r="J489" i="4"/>
  <c r="J90" i="4"/>
  <c r="J302" i="4"/>
  <c r="J290" i="4"/>
  <c r="J202" i="4"/>
  <c r="J10" i="4"/>
  <c r="J11" i="4"/>
  <c r="J1081" i="4"/>
  <c r="J12" i="4"/>
  <c r="J538" i="4"/>
  <c r="J404" i="4"/>
  <c r="J858" i="4"/>
  <c r="J336" i="4"/>
  <c r="J810" i="4"/>
  <c r="J524" i="4"/>
  <c r="J477" i="4"/>
  <c r="J415" i="4"/>
  <c r="J509" i="4"/>
  <c r="J118" i="4"/>
  <c r="J13" i="4"/>
  <c r="J265" i="4"/>
  <c r="J165" i="4"/>
  <c r="J436" i="4"/>
  <c r="J14" i="4"/>
  <c r="J610" i="4"/>
  <c r="J487" i="4"/>
  <c r="J320" i="4"/>
  <c r="J881" i="4"/>
  <c r="J1129" i="4"/>
  <c r="J296" i="4"/>
  <c r="J15" i="4"/>
  <c r="J152" i="4"/>
  <c r="J183" i="4"/>
  <c r="J240" i="4"/>
  <c r="J502" i="4"/>
  <c r="J16" i="4"/>
  <c r="J331" i="4"/>
  <c r="J407" i="4"/>
  <c r="J305" i="4"/>
  <c r="J743" i="4"/>
  <c r="J260" i="4"/>
  <c r="J697" i="4"/>
  <c r="J564" i="4"/>
  <c r="J575" i="4"/>
  <c r="J398" i="4"/>
  <c r="J232" i="4"/>
  <c r="J518" i="4"/>
  <c r="J435" i="4"/>
  <c r="J218" i="4"/>
  <c r="J371" i="4"/>
  <c r="J170" i="4"/>
  <c r="J419" i="4"/>
  <c r="J377" i="4"/>
  <c r="J698" i="4"/>
  <c r="J17" i="4"/>
  <c r="J711" i="4"/>
  <c r="J247" i="4"/>
  <c r="J465" i="4"/>
  <c r="J131" i="4"/>
  <c r="J234" i="4"/>
  <c r="J535" i="4"/>
  <c r="J1114" i="4"/>
  <c r="J485" i="4"/>
  <c r="J837" i="4"/>
  <c r="J871" i="4"/>
  <c r="J780" i="4"/>
  <c r="J877" i="4"/>
  <c r="J395" i="4"/>
  <c r="J475" i="4"/>
  <c r="J788" i="4"/>
  <c r="J267" i="4"/>
  <c r="J699" i="4"/>
  <c r="J882" i="4"/>
  <c r="J879" i="4"/>
  <c r="J801" i="4"/>
  <c r="J18" i="4"/>
  <c r="J171" i="4"/>
  <c r="J627" i="4"/>
  <c r="J833" i="4"/>
  <c r="J861" i="4"/>
  <c r="J269" i="4"/>
  <c r="J388" i="4"/>
  <c r="J447" i="4"/>
  <c r="J539" i="4"/>
  <c r="J281" i="4"/>
  <c r="J819" i="4"/>
  <c r="J161" i="4"/>
  <c r="J84" i="4"/>
  <c r="J345" i="4"/>
  <c r="J818" i="4"/>
  <c r="J353" i="4"/>
  <c r="J448" i="4"/>
  <c r="J390" i="4"/>
  <c r="J909" i="4"/>
  <c r="J884" i="4"/>
  <c r="J354" i="4"/>
  <c r="J705" i="4"/>
  <c r="J616" i="4"/>
  <c r="J403" i="4"/>
  <c r="J613" i="4"/>
  <c r="J213" i="4"/>
  <c r="J983" i="4"/>
  <c r="J507" i="4"/>
  <c r="J314" i="4"/>
  <c r="J321" i="4"/>
  <c r="J587" i="4"/>
  <c r="J503" i="4"/>
  <c r="J614" i="4"/>
  <c r="J462" i="4"/>
  <c r="J1076" i="4"/>
  <c r="J130" i="4"/>
  <c r="J793" i="4"/>
  <c r="J1295" i="4"/>
  <c r="J1315" i="4"/>
  <c r="J1316" i="4"/>
  <c r="J203" i="4"/>
  <c r="J96" i="4"/>
  <c r="J304" i="4"/>
  <c r="J19" i="4"/>
  <c r="J146" i="4"/>
  <c r="J495" i="4"/>
  <c r="J916" i="4"/>
  <c r="J418" i="4"/>
  <c r="J809" i="4"/>
  <c r="J20" i="4"/>
  <c r="J470" i="4"/>
  <c r="J132" i="4"/>
  <c r="J392" i="4"/>
  <c r="J817" i="4"/>
  <c r="J1101" i="4"/>
  <c r="J126" i="4"/>
  <c r="J774" i="4"/>
  <c r="J406" i="4"/>
  <c r="J21" i="4"/>
  <c r="J233" i="4"/>
  <c r="J259" i="4"/>
  <c r="J451" i="4"/>
  <c r="J192" i="4"/>
  <c r="J1317" i="4"/>
  <c r="J603" i="4"/>
  <c r="J440" i="4"/>
  <c r="J671" i="4"/>
  <c r="J841" i="4"/>
  <c r="J430" i="4"/>
  <c r="J904" i="4"/>
  <c r="J653" i="4"/>
  <c r="J673" i="4"/>
  <c r="J1249" i="4"/>
  <c r="J297" i="4"/>
  <c r="J1250" i="4"/>
  <c r="J445" i="4"/>
  <c r="J380" i="4"/>
  <c r="J521" i="4"/>
  <c r="J393" i="4"/>
  <c r="J85" i="4"/>
  <c r="J362" i="4"/>
  <c r="J22" i="4"/>
  <c r="J670" i="4"/>
  <c r="J854" i="4"/>
  <c r="J876" i="4"/>
  <c r="J141" i="4"/>
  <c r="J666" i="4"/>
  <c r="J707" i="4"/>
  <c r="J1130" i="4"/>
  <c r="J384" i="4"/>
  <c r="J1307" i="4"/>
  <c r="J23" i="4"/>
  <c r="J786" i="4"/>
  <c r="J266" i="4"/>
  <c r="J556" i="4"/>
  <c r="J545" i="4"/>
  <c r="J1320" i="4"/>
  <c r="J98" i="4"/>
  <c r="J547" i="4"/>
  <c r="J630" i="4"/>
  <c r="J829" i="4"/>
  <c r="J850" i="4"/>
  <c r="J667" i="4"/>
  <c r="J1202" i="4"/>
  <c r="J764" i="4"/>
  <c r="J664" i="4"/>
  <c r="J917" i="4"/>
  <c r="J24" i="4"/>
  <c r="J25" i="4"/>
  <c r="J26" i="4"/>
  <c r="J27" i="4"/>
  <c r="J749" i="4"/>
  <c r="J386" i="4"/>
  <c r="J676" i="4"/>
  <c r="J531" i="4"/>
  <c r="J1229" i="4"/>
  <c r="J747" i="4"/>
  <c r="J721" i="4"/>
  <c r="J325" i="4"/>
  <c r="J1233" i="4"/>
  <c r="J920" i="4"/>
  <c r="J657" i="4"/>
  <c r="J527" i="4"/>
  <c r="J352" i="4"/>
  <c r="J770" i="4"/>
  <c r="J789" i="4"/>
  <c r="J563" i="4"/>
  <c r="J301" i="4"/>
  <c r="J868" i="4"/>
  <c r="J655" i="4"/>
  <c r="J113" i="4"/>
  <c r="J413" i="4"/>
  <c r="J414" i="4"/>
  <c r="J617" i="4"/>
  <c r="J28" i="4"/>
  <c r="J1309" i="4"/>
  <c r="J187" i="4"/>
  <c r="J366" i="4"/>
  <c r="J782" i="4"/>
  <c r="J449" i="4"/>
  <c r="J647" i="4"/>
  <c r="J589" i="4"/>
  <c r="J467" i="4"/>
  <c r="J714" i="4"/>
  <c r="J918" i="4"/>
  <c r="J322" i="4"/>
  <c r="J279" i="4"/>
  <c r="J693" i="4"/>
  <c r="J287" i="4"/>
  <c r="J1046" i="4"/>
  <c r="J378" i="4"/>
  <c r="J862" i="4"/>
  <c r="J985" i="4"/>
  <c r="J478" i="4"/>
  <c r="J1226" i="4"/>
  <c r="J808" i="4"/>
  <c r="J826" i="4"/>
  <c r="J549" i="4"/>
  <c r="J421" i="4"/>
  <c r="J300" i="4"/>
  <c r="J103" i="4"/>
  <c r="J1313" i="4"/>
  <c r="J511" i="4"/>
  <c r="J1003" i="4"/>
  <c r="J29" i="4"/>
  <c r="J554" i="4"/>
  <c r="J319" i="4"/>
  <c r="J181" i="4"/>
  <c r="J30" i="4"/>
  <c r="J723" i="4"/>
  <c r="J683" i="4"/>
  <c r="J278" i="4"/>
  <c r="J123" i="4"/>
  <c r="J112" i="4"/>
  <c r="J1135" i="4"/>
  <c r="J702" i="4"/>
  <c r="J239" i="4"/>
  <c r="J927" i="4"/>
  <c r="J469" i="4"/>
  <c r="J684" i="4"/>
  <c r="J191" i="4"/>
  <c r="J516" i="4"/>
  <c r="J31" i="4"/>
  <c r="J898" i="4"/>
  <c r="J902" i="4"/>
  <c r="J225" i="4"/>
  <c r="J198" i="4"/>
  <c r="J428" i="4"/>
  <c r="J482" i="4"/>
  <c r="J611" i="4"/>
  <c r="J952" i="4"/>
  <c r="J32" i="4"/>
  <c r="J372" i="4"/>
  <c r="J1008" i="4"/>
  <c r="J326" i="4"/>
  <c r="J579" i="4"/>
  <c r="J550" i="4"/>
  <c r="J459" i="4"/>
  <c r="J160" i="4"/>
  <c r="J450" i="4"/>
  <c r="J115" i="4"/>
  <c r="J438" i="4"/>
  <c r="J678" i="4"/>
  <c r="J695" i="4"/>
  <c r="J89" i="4"/>
  <c r="J1030" i="4"/>
  <c r="J409" i="4"/>
  <c r="J803" i="4"/>
  <c r="J333" i="4"/>
  <c r="J490" i="4"/>
  <c r="J812" i="4"/>
  <c r="J791" i="4"/>
  <c r="J573" i="4"/>
  <c r="J184" i="4"/>
  <c r="J1032" i="4"/>
  <c r="J513" i="4"/>
  <c r="J660" i="4"/>
  <c r="J739" i="4"/>
  <c r="J574" i="4"/>
  <c r="J33" i="4"/>
  <c r="J746" i="4"/>
  <c r="J1318" i="4"/>
  <c r="J986" i="4"/>
  <c r="J446" i="4"/>
  <c r="J690" i="4"/>
  <c r="J724" i="4"/>
  <c r="J1017" i="4"/>
  <c r="J34" i="4"/>
  <c r="J815" i="4"/>
  <c r="J768" i="4"/>
  <c r="J790" i="4"/>
  <c r="J212" i="4"/>
  <c r="J889" i="4"/>
  <c r="J1007" i="4"/>
  <c r="J559" i="4"/>
  <c r="J205" i="4"/>
  <c r="J1187" i="4"/>
  <c r="J416" i="4"/>
  <c r="J994" i="4"/>
  <c r="J840" i="4"/>
  <c r="J719" i="4"/>
  <c r="J974" i="4"/>
  <c r="J107" i="4"/>
  <c r="J1012" i="4"/>
  <c r="J214" i="4"/>
  <c r="J431" i="4"/>
  <c r="J35" i="4"/>
  <c r="J457" i="4"/>
  <c r="J458" i="4"/>
  <c r="J1176" i="4"/>
  <c r="J703" i="4"/>
  <c r="J105" i="4"/>
  <c r="J659" i="4"/>
  <c r="J704" i="4"/>
  <c r="J243" i="4"/>
  <c r="J738" i="4"/>
  <c r="J755" i="4"/>
  <c r="J316" i="4"/>
  <c r="J1029" i="4"/>
  <c r="J36" i="4"/>
  <c r="J37" i="4"/>
  <c r="J736" i="4"/>
  <c r="J722" i="4"/>
  <c r="J147" i="4"/>
  <c r="J720" i="4"/>
  <c r="J244" i="4"/>
  <c r="J196" i="4"/>
  <c r="J174" i="4"/>
  <c r="J1088" i="4"/>
  <c r="J1006" i="4"/>
  <c r="J885" i="4"/>
  <c r="J972" i="4"/>
  <c r="J92" i="4"/>
  <c r="J945" i="4"/>
  <c r="J887" i="4"/>
  <c r="J827" i="4"/>
  <c r="J210" i="4"/>
  <c r="J907" i="4"/>
  <c r="J1310" i="4"/>
  <c r="J845" i="4"/>
  <c r="J38" i="4"/>
  <c r="J99" i="4"/>
  <c r="J783" i="4"/>
  <c r="J39" i="4"/>
  <c r="J476" i="4"/>
  <c r="J592" i="4"/>
  <c r="J761" i="4"/>
  <c r="J339" i="4"/>
  <c r="J40" i="4"/>
  <c r="J924" i="4"/>
  <c r="J807" i="4"/>
  <c r="J195" i="4"/>
  <c r="J250" i="4"/>
  <c r="J864" i="4"/>
  <c r="J361" i="4"/>
  <c r="J591" i="4"/>
  <c r="J443" i="4"/>
  <c r="J991" i="4"/>
  <c r="J439" i="4"/>
  <c r="J283" i="4"/>
  <c r="J778" i="4"/>
  <c r="J41" i="4"/>
  <c r="J253" i="4"/>
  <c r="J221" i="4"/>
  <c r="J42" i="4"/>
  <c r="J910" i="4"/>
  <c r="J1068" i="4"/>
  <c r="J43" i="4"/>
  <c r="J258" i="4"/>
  <c r="J44" i="4"/>
  <c r="J800" i="4"/>
  <c r="J756" i="4"/>
  <c r="J775" i="4"/>
  <c r="J276" i="4"/>
  <c r="J751" i="4"/>
  <c r="J262" i="4"/>
  <c r="J394" i="4"/>
  <c r="J219" i="4"/>
  <c r="J220" i="4"/>
  <c r="J368" i="4"/>
  <c r="J734" i="4"/>
  <c r="J157" i="4"/>
  <c r="J753" i="4"/>
  <c r="J806" i="4"/>
  <c r="J886" i="4"/>
  <c r="J669" i="4"/>
  <c r="J532" i="4"/>
  <c r="J223" i="4"/>
  <c r="J95" i="4"/>
  <c r="J280" i="4"/>
  <c r="J525" i="4"/>
  <c r="J154" i="4"/>
  <c r="J387" i="4"/>
  <c r="J197" i="4"/>
  <c r="J571" i="4"/>
  <c r="J615" i="4"/>
  <c r="J637" i="4"/>
  <c r="J526" i="4"/>
  <c r="J246" i="4"/>
  <c r="J928" i="4"/>
  <c r="J216" i="4"/>
  <c r="J824" i="4"/>
  <c r="J45" i="4"/>
  <c r="J980" i="4"/>
  <c r="J1077" i="4"/>
  <c r="J853" i="4"/>
  <c r="J959" i="4"/>
  <c r="J1020" i="4"/>
  <c r="J869" i="4"/>
  <c r="J682" i="4"/>
  <c r="J1300" i="4"/>
  <c r="J373" i="4"/>
  <c r="J880" i="4"/>
  <c r="J1311" i="4"/>
  <c r="J310" i="4"/>
  <c r="J46" i="4"/>
  <c r="J608" i="4"/>
  <c r="J873" i="4"/>
  <c r="J493" i="4"/>
  <c r="J251" i="4"/>
  <c r="J453" i="4"/>
  <c r="J47" i="4"/>
  <c r="J1050" i="4"/>
  <c r="J691" i="4"/>
  <c r="J794" i="4"/>
  <c r="J81" i="4"/>
  <c r="J48" i="4"/>
  <c r="J155" i="4"/>
  <c r="J638" i="4"/>
  <c r="J313" i="4"/>
  <c r="J441" i="4"/>
  <c r="J687" i="4"/>
  <c r="J674" i="4"/>
  <c r="J355" i="4"/>
  <c r="J483" i="4"/>
  <c r="J832" i="4"/>
  <c r="J456" i="4"/>
  <c r="J461" i="4"/>
  <c r="J970" i="4"/>
  <c r="J396" i="4"/>
  <c r="J860" i="4"/>
  <c r="J715" i="4"/>
  <c r="J572" i="4"/>
  <c r="J400" i="4"/>
  <c r="J49" i="4"/>
  <c r="J464" i="4"/>
  <c r="J936" i="4"/>
  <c r="J50" i="4"/>
  <c r="J744" i="4"/>
  <c r="J308" i="4"/>
  <c r="J1031" i="4"/>
  <c r="J471" i="4"/>
  <c r="J208" i="4"/>
  <c r="J481" i="4"/>
  <c r="J668" i="4"/>
  <c r="J500" i="4"/>
  <c r="J941" i="4"/>
  <c r="J565" i="4"/>
  <c r="J1321" i="4"/>
  <c r="J729" i="4"/>
  <c r="J288" i="4"/>
  <c r="J745" i="4"/>
  <c r="J1047" i="4"/>
  <c r="J427" i="4"/>
  <c r="J995" i="4"/>
  <c r="J51" i="4"/>
  <c r="J343" i="4"/>
  <c r="J52" i="4"/>
  <c r="J318" i="4"/>
  <c r="J249" i="4"/>
  <c r="J769" i="4"/>
  <c r="J677" i="4"/>
  <c r="J303" i="4"/>
  <c r="J1054" i="4"/>
  <c r="J814" i="4"/>
  <c r="J725" i="4"/>
  <c r="J1084" i="4"/>
  <c r="J474" i="4"/>
  <c r="J429" i="4"/>
  <c r="J956" i="4"/>
  <c r="J863" i="4"/>
  <c r="J1038" i="4"/>
  <c r="J248" i="4"/>
  <c r="J241" i="4"/>
  <c r="J562" i="4"/>
  <c r="J156" i="4"/>
  <c r="J588" i="4"/>
  <c r="J963" i="4"/>
  <c r="J900" i="4"/>
  <c r="J777" i="4"/>
  <c r="J1074" i="4"/>
  <c r="J629" i="4"/>
  <c r="J114" i="4"/>
  <c r="J93" i="4"/>
  <c r="J583" i="4"/>
  <c r="J426" i="4"/>
  <c r="J200" i="4"/>
  <c r="J238" i="4"/>
  <c r="J151" i="4"/>
  <c r="J463" i="4"/>
  <c r="J892" i="4"/>
  <c r="J204" i="4"/>
  <c r="J236" i="4"/>
  <c r="J654" i="4"/>
  <c r="J966" i="4"/>
  <c r="J363" i="4"/>
  <c r="J621" i="4"/>
  <c r="J953" i="4"/>
  <c r="J757" i="4"/>
  <c r="J454" i="4"/>
  <c r="J740" i="4"/>
  <c r="J110" i="4"/>
  <c r="J874" i="4"/>
  <c r="J828" i="4"/>
  <c r="J978" i="4"/>
  <c r="J650" i="4"/>
  <c r="J53" i="4"/>
  <c r="J694" i="4"/>
  <c r="J399" i="4"/>
  <c r="J912" i="4"/>
  <c r="J834" i="4"/>
  <c r="J598" i="4"/>
  <c r="J839" i="4"/>
  <c r="J990" i="4"/>
  <c r="J263" i="4"/>
  <c r="J919" i="4"/>
  <c r="J496" i="4"/>
  <c r="J402" i="4"/>
  <c r="J652" i="4"/>
  <c r="J825" i="4"/>
  <c r="J215" i="4"/>
  <c r="J499" i="4"/>
  <c r="J636" i="4"/>
  <c r="J1123" i="4"/>
  <c r="J830" i="4"/>
  <c r="J337" i="4"/>
  <c r="J888" i="4"/>
  <c r="J787" i="4"/>
  <c r="J1019" i="4"/>
  <c r="J286" i="4"/>
  <c r="J408" i="4"/>
  <c r="J369" i="4"/>
  <c r="J696" i="4"/>
  <c r="J640" i="4"/>
  <c r="J811" i="4"/>
  <c r="J1072" i="4"/>
  <c r="J865" i="4"/>
  <c r="J335" i="4"/>
  <c r="J536" i="4"/>
  <c r="J351" i="4"/>
  <c r="J760" i="4"/>
  <c r="J379" i="4"/>
  <c r="J701" i="4"/>
  <c r="J932" i="4"/>
  <c r="J742" i="4"/>
  <c r="J1082" i="4"/>
  <c r="J512" i="4"/>
  <c r="J142" i="4"/>
  <c r="J566" i="4"/>
  <c r="J1115" i="4"/>
  <c r="J582" i="4"/>
  <c r="J750" i="4"/>
  <c r="J951" i="4"/>
  <c r="J546" i="4"/>
  <c r="J813" i="4"/>
  <c r="J754" i="4"/>
  <c r="J639" i="4"/>
  <c r="J842" i="4"/>
  <c r="J971" i="4"/>
  <c r="J710" i="4"/>
  <c r="J590" i="4"/>
  <c r="J577" i="4"/>
  <c r="J54" i="4"/>
  <c r="J424" i="4"/>
  <c r="J466" i="4"/>
  <c r="J765" i="4"/>
  <c r="J1034" i="4"/>
  <c r="J1049" i="4"/>
  <c r="J226" i="4"/>
  <c r="J1126" i="4"/>
  <c r="J849" i="4"/>
  <c r="J86" i="4"/>
  <c r="J1143" i="4"/>
  <c r="J206" i="4"/>
  <c r="J332" i="4"/>
  <c r="J492" i="4"/>
  <c r="J519" i="4"/>
  <c r="J940" i="4"/>
  <c r="J762" i="4"/>
  <c r="J1025" i="4"/>
  <c r="J523" i="4"/>
  <c r="J194" i="4"/>
  <c r="J1055" i="4"/>
  <c r="J537" i="4"/>
  <c r="J973" i="4"/>
  <c r="J977" i="4"/>
  <c r="J1104" i="4"/>
  <c r="J295" i="4"/>
  <c r="J334" i="4"/>
  <c r="J663" i="4"/>
  <c r="J364" i="4"/>
  <c r="J984" i="4"/>
  <c r="J686" i="4"/>
  <c r="J1319" i="4"/>
  <c r="J716" i="4"/>
  <c r="J356" i="4"/>
  <c r="J1255" i="4"/>
  <c r="J560" i="4"/>
  <c r="J164" i="4"/>
  <c r="J1065" i="4"/>
  <c r="J903" i="4"/>
  <c r="J895" i="4"/>
  <c r="J957" i="4"/>
  <c r="J1291" i="4"/>
  <c r="J799" i="4"/>
  <c r="J444" i="4"/>
  <c r="J792" i="4"/>
  <c r="J585" i="4"/>
  <c r="J1070" i="4"/>
  <c r="J680" i="4"/>
  <c r="J1121" i="4"/>
  <c r="J997" i="4"/>
  <c r="J420" i="4"/>
  <c r="J1000" i="4"/>
  <c r="J847" i="4"/>
  <c r="J1040" i="4"/>
  <c r="J1053" i="4"/>
  <c r="J1144" i="4"/>
  <c r="J656" i="4"/>
  <c r="J596" i="4"/>
  <c r="J645" i="4"/>
  <c r="J688" i="4"/>
  <c r="J100" i="4"/>
  <c r="J748" i="4"/>
  <c r="J728" i="4"/>
  <c r="J820" i="4"/>
  <c r="J922" i="4"/>
  <c r="J597" i="4"/>
  <c r="J201" i="4"/>
  <c r="J138" i="4"/>
  <c r="J55" i="4"/>
  <c r="J938" i="4"/>
  <c r="J901" i="4"/>
  <c r="J375" i="4"/>
  <c r="J230" i="4"/>
  <c r="J548" i="4"/>
  <c r="J897" i="4"/>
  <c r="J1014" i="4"/>
  <c r="J504" i="4"/>
  <c r="J635" i="4"/>
  <c r="J1041" i="4"/>
  <c r="J374" i="4"/>
  <c r="J1026" i="4"/>
  <c r="J256" i="4"/>
  <c r="J494" i="4"/>
  <c r="J311" i="4"/>
  <c r="J1045" i="4"/>
  <c r="J1141" i="4"/>
  <c r="J1062" i="4"/>
  <c r="J56" i="4"/>
  <c r="J1125" i="4"/>
  <c r="J341" i="4"/>
  <c r="J975" i="4"/>
  <c r="J968" i="4"/>
  <c r="J600" i="4"/>
  <c r="J1087" i="4"/>
  <c r="J498" i="4"/>
  <c r="J913" i="4"/>
  <c r="J937" i="4"/>
  <c r="J522" i="4"/>
  <c r="J275" i="4"/>
  <c r="J856" i="4"/>
  <c r="J389" i="4"/>
  <c r="J57" i="4"/>
  <c r="J347" i="4"/>
  <c r="J648" i="4"/>
  <c r="J943" i="4"/>
  <c r="J1097" i="4"/>
  <c r="J1098" i="4"/>
  <c r="J584" i="4"/>
  <c r="J1002" i="4"/>
  <c r="J433" i="4"/>
  <c r="J252" i="4"/>
  <c r="J915" i="4"/>
  <c r="J633" i="4"/>
  <c r="J228" i="4"/>
  <c r="J1222" i="4"/>
  <c r="J576" i="4"/>
  <c r="J182" i="4"/>
  <c r="J299" i="4"/>
  <c r="J993" i="4"/>
  <c r="J349" i="4"/>
  <c r="J948" i="4"/>
  <c r="J166" i="4"/>
  <c r="J189" i="4"/>
  <c r="J954" i="4"/>
  <c r="J185" i="4"/>
  <c r="J425" i="4"/>
  <c r="J188" i="4"/>
  <c r="J1188" i="4"/>
  <c r="J528" i="4"/>
  <c r="J508" i="4"/>
  <c r="J1001" i="4"/>
  <c r="J950" i="4"/>
  <c r="J58" i="4"/>
  <c r="J235" i="4"/>
  <c r="J148" i="4"/>
  <c r="J423" i="4"/>
  <c r="J672" i="4"/>
  <c r="J1028" i="4"/>
  <c r="J59" i="4"/>
  <c r="J737" i="4"/>
  <c r="J382" i="4"/>
  <c r="J1096" i="4"/>
  <c r="J169" i="4"/>
  <c r="J852" i="4"/>
  <c r="J1303" i="4"/>
  <c r="J763" i="4"/>
  <c r="J121" i="4"/>
  <c r="J468" i="4"/>
  <c r="J1056" i="4"/>
  <c r="J306" i="4"/>
  <c r="J1146" i="4"/>
  <c r="J1036" i="4"/>
  <c r="J1139" i="4"/>
  <c r="J875" i="4"/>
  <c r="J1015" i="4"/>
  <c r="J606" i="4"/>
  <c r="J1016" i="4"/>
  <c r="J309" i="4"/>
  <c r="J883" i="4"/>
  <c r="J1086" i="4"/>
  <c r="J158" i="4"/>
  <c r="J651" i="4"/>
  <c r="J1267" i="4"/>
  <c r="J685" i="4"/>
  <c r="J931" i="4"/>
  <c r="J381" i="4"/>
  <c r="J731" i="4"/>
  <c r="J947" i="4"/>
  <c r="J376" i="4"/>
  <c r="J552" i="4"/>
  <c r="J989" i="4"/>
  <c r="J1090" i="4"/>
  <c r="J231" i="4"/>
  <c r="J1312" i="4"/>
  <c r="J911" i="4"/>
  <c r="J1133" i="4"/>
  <c r="J1069" i="4"/>
  <c r="J567" i="4"/>
  <c r="J1117" i="4"/>
  <c r="J410" i="4"/>
  <c r="J264" i="4"/>
  <c r="J175" i="4"/>
  <c r="J178" i="4"/>
  <c r="J906" i="4"/>
  <c r="J798" i="4"/>
  <c r="J618" i="4"/>
  <c r="J1023" i="4"/>
  <c r="J735" i="4"/>
  <c r="J626" i="4"/>
  <c r="J312" i="4"/>
  <c r="J891" i="4"/>
  <c r="J568" i="4"/>
  <c r="J1059" i="4"/>
  <c r="J497" i="4"/>
  <c r="J111" i="4"/>
  <c r="J1060" i="4"/>
  <c r="J921" i="4"/>
  <c r="J452" i="4"/>
  <c r="J929" i="4"/>
  <c r="J186" i="4"/>
  <c r="J1051" i="4"/>
  <c r="J604" i="4"/>
  <c r="J357" i="4"/>
  <c r="J979" i="4"/>
  <c r="J544" i="4"/>
  <c r="J1108" i="4"/>
  <c r="J1092" i="4"/>
  <c r="J998" i="4"/>
  <c r="J712" i="4"/>
  <c r="J1057" i="4"/>
  <c r="J1079" i="4"/>
  <c r="J1294" i="4"/>
  <c r="J1260" i="4"/>
  <c r="J1013" i="4"/>
  <c r="J209" i="4"/>
  <c r="J759" i="4"/>
  <c r="J969" i="4"/>
  <c r="J796" i="4"/>
  <c r="J933" i="4"/>
  <c r="J601" i="4"/>
  <c r="J692" i="4"/>
  <c r="J1120" i="4"/>
  <c r="J1044" i="4"/>
  <c r="J162" i="4"/>
  <c r="J766" i="4"/>
  <c r="J472" i="4"/>
  <c r="J1048" i="4"/>
  <c r="J988" i="4"/>
  <c r="J298" i="4"/>
  <c r="J1106" i="4"/>
  <c r="J1091" i="4"/>
  <c r="J625" i="4"/>
  <c r="J529" i="4"/>
  <c r="J1322" i="4"/>
  <c r="J505" i="4"/>
  <c r="J805" i="4"/>
  <c r="J802" i="4"/>
  <c r="J976" i="4"/>
  <c r="J1039" i="4"/>
  <c r="J795" i="4"/>
  <c r="J145" i="4"/>
  <c r="J890" i="4"/>
  <c r="J1314" i="4"/>
  <c r="J999" i="4"/>
  <c r="J675" i="4"/>
  <c r="J758" i="4"/>
  <c r="J1009" i="4"/>
  <c r="J776" i="4"/>
  <c r="J1230" i="4"/>
  <c r="J555" i="4"/>
  <c r="J1225" i="4"/>
  <c r="J60" i="4"/>
  <c r="J61" i="4"/>
  <c r="J835" i="4"/>
  <c r="J1027" i="4"/>
  <c r="J843" i="4"/>
  <c r="J831" i="4"/>
  <c r="J581" i="4"/>
  <c r="J294" i="4"/>
  <c r="J1154" i="4"/>
  <c r="J967" i="4"/>
  <c r="J1093" i="4"/>
  <c r="J1110" i="4"/>
  <c r="J836" i="4"/>
  <c r="J644" i="4"/>
  <c r="J1111" i="4"/>
  <c r="J432" i="4"/>
  <c r="J784" i="4"/>
  <c r="J642" i="4"/>
  <c r="J866" i="4"/>
  <c r="J257" i="4"/>
  <c r="J939" i="4"/>
  <c r="J923" i="4"/>
  <c r="J149" i="4"/>
  <c r="J1119" i="4"/>
  <c r="J946" i="4"/>
  <c r="J1288" i="4"/>
  <c r="J878" i="4"/>
  <c r="J718" i="4"/>
  <c r="J987" i="4"/>
  <c r="J962" i="4"/>
  <c r="J104" i="4"/>
  <c r="J405" i="4"/>
  <c r="J944" i="4"/>
  <c r="J506" i="4"/>
  <c r="J342" i="4"/>
  <c r="J1085" i="4"/>
  <c r="J823" i="4"/>
  <c r="J713" i="4"/>
  <c r="J153" i="4"/>
  <c r="J1011" i="4"/>
  <c r="J514" i="4"/>
  <c r="J120" i="4"/>
  <c r="J926" i="4"/>
  <c r="J282" i="4"/>
  <c r="J62" i="4"/>
  <c r="J143" i="4"/>
  <c r="J479" i="4"/>
  <c r="J291" i="4"/>
  <c r="J1042" i="4"/>
  <c r="J1158" i="4"/>
  <c r="J1134" i="4"/>
  <c r="J1103" i="4"/>
  <c r="J391" i="4"/>
  <c r="J1071" i="4"/>
  <c r="J681" i="4"/>
  <c r="J848" i="4"/>
  <c r="J726" i="4"/>
  <c r="J934" i="4"/>
  <c r="J1058" i="4"/>
  <c r="J1021" i="4"/>
  <c r="J63" i="4"/>
  <c r="J965" i="4"/>
  <c r="J706" i="4"/>
  <c r="J173" i="4"/>
  <c r="J612" i="4"/>
  <c r="J1149" i="4"/>
  <c r="J64" i="4"/>
  <c r="J1155" i="4"/>
  <c r="J570" i="4"/>
  <c r="J1061" i="4"/>
  <c r="J955" i="4"/>
  <c r="J190" i="4"/>
  <c r="J330" i="4"/>
  <c r="J732" i="4"/>
  <c r="J1175" i="4"/>
  <c r="J730" i="4"/>
  <c r="J658" i="4"/>
  <c r="J1184" i="4"/>
  <c r="J1043" i="4"/>
  <c r="J689" i="4"/>
  <c r="J1308" i="4"/>
  <c r="J838" i="4"/>
  <c r="J245" i="4"/>
  <c r="J272" i="4"/>
  <c r="J488" i="4"/>
  <c r="J1142" i="4"/>
  <c r="J602" i="4"/>
  <c r="J960" i="4"/>
  <c r="J140" i="4"/>
  <c r="J894" i="4"/>
  <c r="J65" i="4"/>
  <c r="J679" i="4"/>
  <c r="J661" i="4"/>
  <c r="J558" i="4"/>
  <c r="J66" i="4"/>
  <c r="J925" i="4"/>
  <c r="J1073" i="4"/>
  <c r="J411" i="4"/>
  <c r="J935" i="4"/>
  <c r="J958" i="4"/>
  <c r="J122" i="4"/>
  <c r="J133" i="4"/>
  <c r="J163" i="4"/>
  <c r="J733" i="4"/>
  <c r="J1131" i="4"/>
  <c r="J224" i="4"/>
  <c r="J473" i="4"/>
  <c r="J207" i="4"/>
  <c r="J1296" i="4"/>
  <c r="J1100" i="4"/>
  <c r="J1145" i="4"/>
  <c r="J781" i="4"/>
  <c r="J797" i="4"/>
  <c r="J101" i="4"/>
  <c r="J484" i="4"/>
  <c r="J177" i="4"/>
  <c r="J1167" i="4"/>
  <c r="J899" i="4"/>
  <c r="J1148" i="4"/>
  <c r="J1080" i="4"/>
  <c r="J961" i="4"/>
  <c r="J128" i="4"/>
  <c r="J580" i="4"/>
  <c r="J1035" i="4"/>
  <c r="J1078" i="4"/>
  <c r="J779" i="4"/>
  <c r="J324" i="4"/>
  <c r="J255" i="4"/>
  <c r="J594" i="4"/>
  <c r="J67" i="4"/>
  <c r="J1052" i="4"/>
  <c r="J1122" i="4"/>
  <c r="J159" i="4"/>
  <c r="J1217" i="4"/>
  <c r="J662" i="4"/>
  <c r="J83" i="4"/>
  <c r="J1095" i="4"/>
  <c r="J68" i="4"/>
  <c r="J69" i="4"/>
  <c r="J634" i="4"/>
  <c r="J867" i="4"/>
  <c r="J70" i="4"/>
  <c r="J540" i="4"/>
  <c r="J71" i="4"/>
  <c r="J551" i="4"/>
  <c r="J1112" i="4"/>
  <c r="J211" i="4"/>
  <c r="J534" i="4"/>
  <c r="J605" i="4"/>
  <c r="J1301" i="4"/>
  <c r="J455" i="4"/>
  <c r="J370" i="4"/>
  <c r="J1174" i="4"/>
  <c r="J397" i="4"/>
  <c r="J117" i="4"/>
  <c r="J996" i="4"/>
  <c r="J905" i="4"/>
  <c r="J773" i="4"/>
  <c r="J1102" i="4"/>
  <c r="J578" i="4"/>
  <c r="J1305" i="4"/>
  <c r="J501" i="4"/>
  <c r="J992" i="4"/>
  <c r="J543" i="4"/>
  <c r="J767" i="4"/>
  <c r="J607" i="4"/>
  <c r="J541" i="4"/>
  <c r="J1140" i="4"/>
  <c r="J254" i="4"/>
  <c r="J1105" i="4"/>
  <c r="J1299" i="4"/>
  <c r="J1116" i="4"/>
  <c r="J530" i="4"/>
  <c r="J561" i="4"/>
  <c r="J268" i="4"/>
  <c r="J1298" i="4"/>
  <c r="J1147" i="4"/>
  <c r="J1198" i="4"/>
  <c r="J553" i="4"/>
  <c r="J517" i="4"/>
  <c r="J1010" i="4"/>
  <c r="J870" i="4"/>
  <c r="J72" i="4"/>
  <c r="J1128" i="4"/>
  <c r="J855" i="4"/>
  <c r="J491" i="4"/>
  <c r="J1156" i="4"/>
  <c r="J1160" i="4"/>
  <c r="J340" i="4"/>
  <c r="J631" i="4"/>
  <c r="J73" i="4"/>
  <c r="J599" i="4"/>
  <c r="J1179" i="4"/>
  <c r="J1138" i="4"/>
  <c r="J292" i="4"/>
  <c r="J1224" i="4"/>
  <c r="J1243" i="4"/>
  <c r="J1132" i="4"/>
  <c r="J846" i="4"/>
  <c r="J167" i="4"/>
  <c r="J595" i="4"/>
  <c r="J816" i="4"/>
  <c r="J859" i="4"/>
  <c r="J1099" i="4"/>
  <c r="J106" i="4"/>
  <c r="J74" i="4"/>
  <c r="J480" i="4"/>
  <c r="J460" i="4"/>
  <c r="J893" i="4"/>
  <c r="J1251" i="4"/>
  <c r="J1205" i="4"/>
  <c r="J1159" i="4"/>
  <c r="J1169" i="4"/>
  <c r="J1234" i="4"/>
  <c r="J273" i="4"/>
  <c r="J1127" i="4"/>
  <c r="J1109" i="4"/>
  <c r="J116" i="4"/>
  <c r="J623" i="4"/>
  <c r="J1219" i="4"/>
  <c r="J75" i="4"/>
  <c r="J1242" i="4"/>
  <c r="J1192" i="4"/>
  <c r="J1063" i="4"/>
  <c r="J1066" i="4"/>
  <c r="J1004" i="4"/>
  <c r="J179" i="4"/>
  <c r="J1137" i="4"/>
  <c r="J199" i="4"/>
  <c r="J242" i="4"/>
  <c r="J338" i="4"/>
  <c r="J646" i="4"/>
  <c r="J557" i="4"/>
  <c r="J981" i="4"/>
  <c r="J261" i="4"/>
  <c r="J515" i="4"/>
  <c r="J76" i="4"/>
  <c r="J1024" i="4"/>
  <c r="J307" i="4"/>
  <c r="J102" i="4"/>
  <c r="J124" i="4"/>
  <c r="J1152" i="4"/>
  <c r="J1067" i="4"/>
  <c r="J270" i="4"/>
  <c r="J1171" i="4"/>
  <c r="J77" i="4"/>
  <c r="J1113" i="4"/>
  <c r="J1173" i="4"/>
  <c r="J1094" i="4"/>
  <c r="J857" i="4"/>
  <c r="J1258" i="4"/>
  <c r="J982" i="4"/>
  <c r="J1183" i="4"/>
  <c r="J851" i="4"/>
  <c r="J1089" i="4"/>
  <c r="J643" i="4"/>
  <c r="J1157" i="4"/>
  <c r="J622" i="4"/>
  <c r="J1276" i="4"/>
  <c r="J1005" i="4"/>
  <c r="J274" i="4"/>
  <c r="J1153" i="4"/>
  <c r="J78" i="4"/>
  <c r="J365" i="4"/>
  <c r="J1165" i="4"/>
  <c r="J1194" i="4"/>
  <c r="J136" i="4"/>
  <c r="J1168" i="4"/>
  <c r="J1170" i="4"/>
  <c r="J271" i="4"/>
  <c r="J1256" i="4"/>
  <c r="J1191" i="4"/>
  <c r="J1162" i="4"/>
  <c r="J1216" i="4"/>
  <c r="J1150" i="4"/>
  <c r="J1290" i="4"/>
  <c r="J1197" i="4"/>
  <c r="J533" i="4"/>
  <c r="J510" i="4"/>
  <c r="J1253" i="4"/>
  <c r="J1164" i="4"/>
  <c r="J1237" i="4"/>
  <c r="J620" i="4"/>
  <c r="J134" i="4"/>
  <c r="J79" i="4"/>
  <c r="J417" i="4"/>
  <c r="J1161" i="4"/>
  <c r="J1185" i="4"/>
  <c r="J708" i="4"/>
  <c r="J1172" i="4"/>
  <c r="J520" i="4"/>
  <c r="J125" i="4"/>
  <c r="J624" i="4"/>
  <c r="J1180" i="4"/>
  <c r="J437" i="4"/>
  <c r="J1280" i="4"/>
  <c r="J82" i="4"/>
  <c r="J1264" i="4"/>
  <c r="J1261" i="4"/>
  <c r="J1324" i="4"/>
  <c r="J1178" i="4"/>
  <c r="J1277" i="4"/>
  <c r="J108" i="4"/>
  <c r="J1271" i="4"/>
  <c r="J1064" i="4"/>
  <c r="J1200" i="4"/>
  <c r="J385" i="4"/>
  <c r="J1228" i="4"/>
  <c r="J1151" i="4"/>
  <c r="J1241" i="4"/>
  <c r="J1252" i="4"/>
  <c r="J1268" i="4"/>
  <c r="J80" i="4"/>
  <c r="J1272" i="4"/>
  <c r="J914" i="4"/>
  <c r="J1283" i="4"/>
  <c r="J1204" i="4"/>
  <c r="J1207" i="4"/>
  <c r="J1190" i="4"/>
  <c r="J1208" i="4"/>
  <c r="J1244" i="4"/>
  <c r="J1107" i="4"/>
  <c r="J289" i="4"/>
  <c r="J1181" i="4"/>
  <c r="J1177" i="4"/>
  <c r="J1263" i="4"/>
  <c r="J1195" i="4"/>
  <c r="J1274" i="4"/>
  <c r="J1273" i="4"/>
  <c r="J317" i="4"/>
  <c r="J1281" i="4"/>
  <c r="J1196" i="4"/>
  <c r="J1248" i="4"/>
  <c r="J1232" i="4"/>
  <c r="J1083" i="4"/>
  <c r="J1199" i="4"/>
  <c r="J1189" i="4"/>
  <c r="J168" i="4"/>
  <c r="J1240" i="4"/>
  <c r="J1166" i="4"/>
  <c r="J144" i="4"/>
  <c r="J1136" i="4"/>
  <c r="J1209" i="4"/>
  <c r="J348" i="4"/>
  <c r="J217" i="4"/>
  <c r="J1236" i="4"/>
  <c r="J628" i="4"/>
  <c r="J1323" i="4"/>
  <c r="J1220" i="4"/>
  <c r="J1266" i="4"/>
  <c r="J1210" i="4"/>
  <c r="J1297" i="4"/>
  <c r="J1227" i="4"/>
  <c r="J1270" i="4"/>
  <c r="J1235" i="4"/>
  <c r="J1182" i="4"/>
  <c r="J1246" i="4"/>
  <c r="J1186" i="4"/>
  <c r="J1213" i="4"/>
  <c r="J1262" i="4"/>
  <c r="J1285" i="4"/>
  <c r="J315" i="4"/>
  <c r="J1245" i="4"/>
  <c r="J284" i="4"/>
  <c r="J1238" i="4"/>
  <c r="J1211" i="4"/>
  <c r="J1124" i="4"/>
  <c r="J593" i="4"/>
  <c r="J1212" i="4"/>
  <c r="J176" i="4"/>
  <c r="J1278" i="4"/>
  <c r="J1223" i="4"/>
  <c r="J1118" i="4"/>
  <c r="J360" i="4"/>
  <c r="J1214" i="4"/>
  <c r="J1215" i="4"/>
  <c r="J1231" i="4"/>
  <c r="J1247" i="4"/>
  <c r="J1257" i="4"/>
  <c r="J1201" i="4"/>
  <c r="J1022" i="4"/>
  <c r="J1302" i="4"/>
  <c r="J1279" i="4"/>
  <c r="J1287" i="4"/>
  <c r="J1221" i="4"/>
  <c r="J1218" i="4"/>
  <c r="J1282" i="4"/>
  <c r="J1203" i="4"/>
  <c r="J1292" i="4"/>
  <c r="J1269" i="4"/>
  <c r="J1286" i="4"/>
  <c r="J1304" i="4"/>
  <c r="J1265" i="4"/>
  <c r="J1284" i="4"/>
  <c r="J1293" i="4"/>
  <c r="J1289" i="4"/>
  <c r="J1254" i="4"/>
  <c r="J367" i="4"/>
  <c r="H1325" i="4"/>
  <c r="H1323" i="4"/>
  <c r="H1324" i="4"/>
  <c r="H1302" i="4"/>
  <c r="H1305" i="4"/>
  <c r="H1322" i="4"/>
  <c r="H1314" i="4"/>
  <c r="H1308" i="4"/>
  <c r="H1312" i="4"/>
  <c r="H1301" i="4"/>
  <c r="H1299" i="4"/>
  <c r="H1319" i="4"/>
  <c r="H1290" i="4"/>
  <c r="H1304" i="4"/>
  <c r="H1298" i="4"/>
  <c r="H1321" i="4"/>
  <c r="H1296" i="4"/>
  <c r="H1303" i="4"/>
  <c r="H1246" i="4"/>
  <c r="H1293" i="4"/>
  <c r="H1292" i="4"/>
  <c r="H1297" i="4"/>
  <c r="H1289" i="4"/>
  <c r="H1286" i="4"/>
  <c r="H1284" i="4"/>
  <c r="H1318" i="4"/>
  <c r="H1287" i="4"/>
  <c r="H1311" i="4"/>
  <c r="H1227" i="4"/>
  <c r="H1282" i="4"/>
  <c r="H1285" i="4"/>
  <c r="H1320" i="4"/>
  <c r="H1279" i="4"/>
  <c r="H1269" i="4"/>
  <c r="H1294" i="4"/>
  <c r="H1278" i="4"/>
  <c r="H1265" i="4"/>
  <c r="H1310" i="4"/>
  <c r="H1254" i="4"/>
  <c r="H1203" i="4"/>
  <c r="H1281" i="4"/>
  <c r="H1288" i="4"/>
  <c r="H1283" i="4"/>
  <c r="H1270" i="4"/>
  <c r="H1273" i="4"/>
  <c r="H1257" i="4"/>
  <c r="H1317" i="4"/>
  <c r="H1274" i="4"/>
  <c r="H1313" i="4"/>
  <c r="H1280" i="4"/>
  <c r="H1266" i="4"/>
  <c r="H1262" i="4"/>
  <c r="H1277" i="4"/>
  <c r="H1272" i="4"/>
  <c r="H1260" i="4"/>
  <c r="H1300" i="4"/>
  <c r="H1271" i="4"/>
  <c r="H1267" i="4"/>
  <c r="H1263" i="4"/>
  <c r="H1268" i="4"/>
  <c r="H1309" i="4"/>
  <c r="H1247" i="4"/>
  <c r="H1264" i="4"/>
  <c r="H1315" i="4"/>
  <c r="H1316" i="4"/>
  <c r="H1291" i="4"/>
  <c r="H1276" i="4"/>
  <c r="H1261" i="4"/>
  <c r="H1245" i="4"/>
  <c r="H1252" i="4"/>
  <c r="H1248" i="4"/>
  <c r="H1307" i="4"/>
  <c r="H1256" i="4"/>
  <c r="H1253" i="4"/>
  <c r="H1238" i="4"/>
  <c r="H1258" i="4"/>
  <c r="H1244" i="4"/>
  <c r="H1255" i="4"/>
  <c r="H1235" i="4"/>
  <c r="H1231" i="4"/>
  <c r="H1240" i="4"/>
  <c r="H1236" i="4"/>
  <c r="H1241" i="4"/>
  <c r="H1190" i="4"/>
  <c r="H1232" i="4"/>
  <c r="H1251" i="4"/>
  <c r="H1221" i="4"/>
  <c r="H1218" i="4"/>
  <c r="H1223" i="4"/>
  <c r="H1237" i="4"/>
  <c r="H1215" i="4"/>
  <c r="H1214" i="4"/>
  <c r="H1228" i="4"/>
  <c r="H1220" i="4"/>
  <c r="H1212" i="4"/>
  <c r="H1242" i="4"/>
  <c r="H1211" i="4"/>
  <c r="H1213" i="4"/>
  <c r="H1243" i="4"/>
  <c r="H1201" i="4"/>
  <c r="H1210" i="4"/>
  <c r="H1209" i="4"/>
  <c r="H1234" i="4"/>
  <c r="H1225" i="4"/>
  <c r="H1207" i="4"/>
  <c r="H1208" i="4"/>
  <c r="H1204" i="4"/>
  <c r="H1199" i="4"/>
  <c r="H1216" i="4"/>
  <c r="H1222" i="4"/>
  <c r="H1200" i="4"/>
  <c r="H1224" i="4"/>
  <c r="H1196" i="4"/>
  <c r="H1219" i="4"/>
  <c r="H1295" i="4"/>
  <c r="H1195" i="4"/>
  <c r="H1197" i="4"/>
  <c r="H1189" i="4"/>
  <c r="H1205" i="4"/>
  <c r="H1186" i="4"/>
  <c r="H1136" i="4"/>
  <c r="H1217" i="4"/>
  <c r="H1194" i="4"/>
  <c r="H1182" i="4"/>
  <c r="H1118" i="4"/>
  <c r="H1230" i="4"/>
  <c r="H1198" i="4"/>
  <c r="H1191" i="4"/>
  <c r="H1160" i="4"/>
  <c r="H1188" i="4"/>
  <c r="H1185" i="4"/>
  <c r="H1192" i="4"/>
  <c r="H1161" i="4"/>
  <c r="H1181" i="4"/>
  <c r="H1177" i="4"/>
  <c r="H1180" i="4"/>
  <c r="H1178" i="4"/>
  <c r="H1183" i="4"/>
  <c r="H1229" i="4"/>
  <c r="H1083" i="4"/>
  <c r="H1172" i="4"/>
  <c r="H1233" i="4"/>
  <c r="H1166" i="4"/>
  <c r="H1170" i="4"/>
  <c r="H1168" i="4"/>
  <c r="H1164" i="4"/>
  <c r="H1109" i="4"/>
  <c r="H1128" i="4"/>
  <c r="H1173" i="4"/>
  <c r="H1171" i="4"/>
  <c r="H1226" i="4"/>
  <c r="H1179" i="4"/>
  <c r="H1151" i="4"/>
  <c r="H1162" i="4"/>
  <c r="H1022" i="4"/>
  <c r="H1124" i="4"/>
  <c r="H1163" i="4"/>
  <c r="H1169" i="4"/>
  <c r="H1165" i="4"/>
  <c r="H1157" i="4"/>
  <c r="H1184" i="4"/>
  <c r="H1153" i="4"/>
  <c r="H1150" i="4"/>
  <c r="H1187" i="4"/>
  <c r="H1174" i="4"/>
  <c r="H1159" i="4"/>
  <c r="H1152" i="4"/>
  <c r="H1100" i="4"/>
  <c r="H1167" i="4"/>
  <c r="H1156" i="4"/>
  <c r="H1175" i="4"/>
  <c r="H1202" i="4"/>
  <c r="H1107" i="4"/>
  <c r="H1137" i="4"/>
  <c r="H1141" i="4"/>
  <c r="H1250" i="4"/>
  <c r="H1249" i="4"/>
  <c r="H1147" i="4"/>
  <c r="H1127" i="4"/>
  <c r="H1138" i="4"/>
  <c r="H1113" i="4"/>
  <c r="H1132" i="4"/>
  <c r="H1155" i="4"/>
  <c r="H1140" i="4"/>
  <c r="H1148" i="4"/>
  <c r="H1158" i="4"/>
  <c r="H1306" i="4"/>
  <c r="H1145" i="4"/>
  <c r="H1091" i="4"/>
  <c r="H1094" i="4"/>
  <c r="H1010" i="4"/>
  <c r="H1149" i="4"/>
  <c r="H1061" i="4"/>
  <c r="H1064" i="4"/>
  <c r="H1089" i="4"/>
  <c r="H1142" i="4"/>
  <c r="H1131" i="4"/>
  <c r="H1154" i="4"/>
  <c r="H1116" i="4"/>
  <c r="H914" i="4"/>
  <c r="H1122" i="4"/>
  <c r="H1099" i="4"/>
  <c r="H1105" i="4"/>
  <c r="H1112" i="4"/>
  <c r="H1102" i="4"/>
  <c r="H1134" i="4"/>
  <c r="H1067" i="4"/>
  <c r="H1066" i="4"/>
  <c r="H1063" i="4"/>
  <c r="H1095" i="4"/>
  <c r="H1088" i="4"/>
  <c r="H1119" i="4"/>
  <c r="H1146" i="4"/>
  <c r="H1103" i="4"/>
  <c r="H1111" i="4"/>
  <c r="H1133" i="4"/>
  <c r="H1120" i="4"/>
  <c r="H1080" i="4"/>
  <c r="H1139" i="4"/>
  <c r="H1110" i="4"/>
  <c r="H1078" i="4"/>
  <c r="H1084" i="4"/>
  <c r="H1024" i="4"/>
  <c r="H857" i="4"/>
  <c r="H1005" i="4"/>
  <c r="H1117" i="4"/>
  <c r="H1106" i="4"/>
  <c r="H1144" i="4"/>
  <c r="H1108" i="4"/>
  <c r="H1093" i="4"/>
  <c r="H1073" i="4"/>
  <c r="H1015" i="4"/>
  <c r="H1052" i="4"/>
  <c r="H870" i="4"/>
  <c r="H1085" i="4"/>
  <c r="H1125" i="4"/>
  <c r="H1176" i="4"/>
  <c r="H1004" i="4"/>
  <c r="H982" i="4"/>
  <c r="H981" i="4"/>
  <c r="H1143" i="4"/>
  <c r="H1092" i="4"/>
  <c r="H1071" i="4"/>
  <c r="H1121" i="4"/>
  <c r="H1075" i="4"/>
  <c r="H1035" i="4"/>
  <c r="H1126" i="4"/>
  <c r="H1047" i="4"/>
  <c r="H1058" i="4"/>
  <c r="H1040" i="4"/>
  <c r="H1096" i="4"/>
  <c r="H1090" i="4"/>
  <c r="H1098" i="4"/>
  <c r="H1043" i="4"/>
  <c r="H1086" i="4"/>
  <c r="H1097" i="4"/>
  <c r="H1079" i="4"/>
  <c r="H992" i="4"/>
  <c r="H1042" i="4"/>
  <c r="H996" i="4"/>
  <c r="H1130" i="4"/>
  <c r="H1104" i="4"/>
  <c r="H1087" i="4"/>
  <c r="H1123" i="4"/>
  <c r="H1057" i="4"/>
  <c r="H1021" i="4"/>
  <c r="H1048" i="4"/>
  <c r="H1069" i="4"/>
  <c r="H1059" i="4"/>
  <c r="H1060" i="4"/>
  <c r="H1115" i="4"/>
  <c r="H1051" i="4"/>
  <c r="H1039" i="4"/>
  <c r="H1044" i="4"/>
  <c r="H878" i="4"/>
  <c r="H1027" i="4"/>
  <c r="H838" i="4"/>
  <c r="H708" i="4"/>
  <c r="H961" i="4"/>
  <c r="H1056" i="4"/>
  <c r="H1011" i="4"/>
  <c r="H958" i="4"/>
  <c r="H1062" i="4"/>
  <c r="H1009" i="4"/>
  <c r="H960" i="4"/>
  <c r="H1082" i="4"/>
  <c r="H1070" i="4"/>
  <c r="H987" i="4"/>
  <c r="H893" i="4"/>
  <c r="H965" i="4"/>
  <c r="H1065" i="4"/>
  <c r="H767" i="4"/>
  <c r="H1013" i="4"/>
  <c r="H999" i="4"/>
  <c r="H955" i="4"/>
  <c r="H1023" i="4"/>
  <c r="H1036" i="4"/>
  <c r="H1053" i="4"/>
  <c r="H1045" i="4"/>
  <c r="H935" i="4"/>
  <c r="H905" i="4"/>
  <c r="H823" i="4"/>
  <c r="H851" i="4"/>
  <c r="H1041" i="4"/>
  <c r="H998" i="4"/>
  <c r="H1072" i="4"/>
  <c r="H1129" i="4"/>
  <c r="H988" i="4"/>
  <c r="H1055" i="4"/>
  <c r="H1016" i="4"/>
  <c r="H925" i="4"/>
  <c r="H967" i="4"/>
  <c r="H976" i="4"/>
  <c r="H1028" i="4"/>
  <c r="H962" i="4"/>
  <c r="H1049" i="4"/>
  <c r="H934" i="4"/>
  <c r="H1135" i="4"/>
  <c r="H979" i="4"/>
  <c r="H1074" i="4"/>
  <c r="H944" i="4"/>
  <c r="H899" i="4"/>
  <c r="H859" i="4"/>
  <c r="H946" i="4"/>
  <c r="H989" i="4"/>
  <c r="H1026" i="4"/>
  <c r="H1017" i="4"/>
  <c r="H969" i="4"/>
  <c r="H926" i="4"/>
  <c r="H939" i="4"/>
  <c r="H1001" i="4"/>
  <c r="H1002" i="4"/>
  <c r="H805" i="4"/>
  <c r="H1034" i="4"/>
  <c r="H802" i="4"/>
  <c r="H1014" i="4"/>
  <c r="H993" i="4"/>
  <c r="H894" i="4"/>
  <c r="H855" i="4"/>
  <c r="H1077" i="4"/>
  <c r="H1025" i="4"/>
  <c r="H846" i="4"/>
  <c r="H923" i="4"/>
  <c r="H1054" i="4"/>
  <c r="H1101" i="4"/>
  <c r="H867" i="4"/>
  <c r="H997" i="4"/>
  <c r="H1000" i="4"/>
  <c r="H933" i="4"/>
  <c r="H975" i="4"/>
  <c r="H1038" i="4"/>
  <c r="H816" i="4"/>
  <c r="H624" i="4"/>
  <c r="H924" i="4"/>
  <c r="H1193" i="4"/>
  <c r="H1019" i="4"/>
  <c r="H947" i="4"/>
  <c r="H1050" i="4"/>
  <c r="H968" i="4"/>
  <c r="H950" i="4"/>
  <c r="H954" i="4"/>
  <c r="H929" i="4"/>
  <c r="H974" i="4"/>
  <c r="H984" i="4"/>
  <c r="H1031" i="4"/>
  <c r="H921" i="4"/>
  <c r="H620" i="4"/>
  <c r="H948" i="4"/>
  <c r="H977" i="4"/>
  <c r="H931" i="4"/>
  <c r="H766" i="4"/>
  <c r="H1259" i="4"/>
  <c r="H973" i="4"/>
  <c r="H1206" i="4"/>
  <c r="H943" i="4"/>
  <c r="H726" i="4"/>
  <c r="H1068" i="4"/>
  <c r="H971" i="4"/>
  <c r="H622" i="4"/>
  <c r="H367" i="4"/>
  <c r="H937" i="4"/>
  <c r="H990" i="4"/>
  <c r="H906" i="4"/>
  <c r="H911" i="4"/>
  <c r="H890" i="4"/>
  <c r="H957" i="4"/>
  <c r="H848" i="4"/>
  <c r="H938" i="4"/>
  <c r="H978" i="4"/>
  <c r="H866" i="4"/>
  <c r="H631" i="4"/>
  <c r="H1020" i="4"/>
  <c r="H995" i="4"/>
  <c r="H891" i="4"/>
  <c r="H915" i="4"/>
  <c r="H940" i="4"/>
  <c r="H913" i="4"/>
  <c r="H797" i="4"/>
  <c r="H951" i="4"/>
  <c r="H773" i="4"/>
  <c r="H922" i="4"/>
  <c r="H953" i="4"/>
  <c r="H963" i="4"/>
  <c r="H595" i="4"/>
  <c r="H779" i="4"/>
  <c r="H883" i="4"/>
  <c r="H781" i="4"/>
  <c r="H966" i="4"/>
  <c r="H843" i="4"/>
  <c r="H836" i="4"/>
  <c r="H831" i="4"/>
  <c r="H970" i="4"/>
  <c r="H956" i="4"/>
  <c r="H1029" i="4"/>
  <c r="H932" i="4"/>
  <c r="H835" i="4"/>
  <c r="H875" i="4"/>
  <c r="H903" i="4"/>
  <c r="H897" i="4"/>
  <c r="H980" i="4"/>
  <c r="H991" i="4"/>
  <c r="H1006" i="4"/>
  <c r="H634" i="4"/>
  <c r="H901" i="4"/>
  <c r="H869" i="4"/>
  <c r="H1032" i="4"/>
  <c r="H895" i="4"/>
  <c r="H628" i="4"/>
  <c r="H941" i="4"/>
  <c r="H1012" i="4"/>
  <c r="H1030" i="4"/>
  <c r="H1046" i="4"/>
  <c r="H919" i="4"/>
  <c r="H959" i="4"/>
  <c r="H852" i="4"/>
  <c r="H983" i="4"/>
  <c r="H1007" i="4"/>
  <c r="H784" i="4"/>
  <c r="H912" i="4"/>
  <c r="H972" i="4"/>
  <c r="H533" i="4"/>
  <c r="H936" i="4"/>
  <c r="H994" i="4"/>
  <c r="H856" i="4"/>
  <c r="H1114" i="4"/>
  <c r="H795" i="4"/>
  <c r="H796" i="4"/>
  <c r="H733" i="4"/>
  <c r="H593" i="4"/>
  <c r="H594" i="4"/>
  <c r="H1008" i="4"/>
  <c r="H986" i="4"/>
  <c r="H900" i="4"/>
  <c r="H928" i="4"/>
  <c r="H892" i="4"/>
  <c r="H798" i="4"/>
  <c r="H643" i="4"/>
  <c r="H776" i="4"/>
  <c r="H730" i="4"/>
  <c r="H1003" i="4"/>
  <c r="H732" i="4"/>
  <c r="H847" i="4"/>
  <c r="H945" i="4"/>
  <c r="H646" i="4"/>
  <c r="H849" i="4"/>
  <c r="H865" i="4"/>
  <c r="H758" i="4"/>
  <c r="H874" i="4"/>
  <c r="H985" i="4"/>
  <c r="H820" i="4"/>
  <c r="H1076" i="4"/>
  <c r="H842" i="4"/>
  <c r="H910" i="4"/>
  <c r="H706" i="4"/>
  <c r="H759" i="4"/>
  <c r="H713" i="4"/>
  <c r="H863" i="4"/>
  <c r="H623" i="4"/>
  <c r="H952" i="4"/>
  <c r="H530" i="4"/>
  <c r="H907" i="4"/>
  <c r="H763" i="4"/>
  <c r="H839" i="4"/>
  <c r="H834" i="4"/>
  <c r="H689" i="4"/>
  <c r="H718" i="4"/>
  <c r="H830" i="4"/>
  <c r="H662" i="4"/>
  <c r="H679" i="4"/>
  <c r="H799" i="4"/>
  <c r="H792" i="4"/>
  <c r="H540" i="4"/>
  <c r="H813" i="4"/>
  <c r="H880" i="4"/>
  <c r="H886" i="4"/>
  <c r="H873" i="4"/>
  <c r="H601" i="4"/>
  <c r="H888" i="4"/>
  <c r="H811" i="4"/>
  <c r="H626" i="4"/>
  <c r="H825" i="4"/>
  <c r="H1018" i="4"/>
  <c r="H964" i="4"/>
  <c r="H860" i="4"/>
  <c r="H828" i="4"/>
  <c r="H661" i="4"/>
  <c r="H735" i="4"/>
  <c r="H737" i="4"/>
  <c r="H927" i="4"/>
  <c r="H731" i="4"/>
  <c r="H887" i="4"/>
  <c r="H645" i="4"/>
  <c r="H829" i="4"/>
  <c r="H885" i="4"/>
  <c r="H841" i="4"/>
  <c r="H853" i="4"/>
  <c r="H681" i="4"/>
  <c r="H599" i="4"/>
  <c r="H832" i="4"/>
  <c r="H712" i="4"/>
  <c r="H658" i="4"/>
  <c r="H864" i="4"/>
  <c r="H787" i="4"/>
  <c r="H762" i="4"/>
  <c r="H814" i="4"/>
  <c r="H748" i="4"/>
  <c r="H691" i="4"/>
  <c r="H782" i="4"/>
  <c r="H607" i="4"/>
  <c r="H557" i="4"/>
  <c r="H889" i="4"/>
  <c r="H765" i="4"/>
  <c r="H902" i="4"/>
  <c r="H882" i="4"/>
  <c r="H1081" i="4"/>
  <c r="H520" i="4"/>
  <c r="H692" i="4"/>
  <c r="H568" i="4"/>
  <c r="H898" i="4"/>
  <c r="H918" i="4"/>
  <c r="H639" i="4"/>
  <c r="H824" i="4"/>
  <c r="H675" i="4"/>
  <c r="H754" i="4"/>
  <c r="H605" i="4"/>
  <c r="H770" i="4"/>
  <c r="H760" i="4"/>
  <c r="H920" i="4"/>
  <c r="H728" i="4"/>
  <c r="H750" i="4"/>
  <c r="H777" i="4"/>
  <c r="H510" i="4"/>
  <c r="H871" i="4"/>
  <c r="H879" i="4"/>
  <c r="H578" i="4"/>
  <c r="H861" i="4"/>
  <c r="H742" i="4"/>
  <c r="H794" i="4"/>
  <c r="H917" i="4"/>
  <c r="H806" i="4"/>
  <c r="H881" i="4"/>
  <c r="H827" i="4"/>
  <c r="H757" i="4"/>
  <c r="H722" i="4"/>
  <c r="H685" i="4"/>
  <c r="H769" i="4"/>
  <c r="H877" i="4"/>
  <c r="H602" i="4"/>
  <c r="H800" i="4"/>
  <c r="H845" i="4"/>
  <c r="H840" i="4"/>
  <c r="H644" i="4"/>
  <c r="H807" i="4"/>
  <c r="H612" i="4"/>
  <c r="H561" i="4"/>
  <c r="H716" i="4"/>
  <c r="H740" i="4"/>
  <c r="H642" i="4"/>
  <c r="H896" i="4"/>
  <c r="H580" i="4"/>
  <c r="H515" i="4"/>
  <c r="H553" i="4"/>
  <c r="H818" i="4"/>
  <c r="H710" i="4"/>
  <c r="H745" i="4"/>
  <c r="H577" i="4"/>
  <c r="H672" i="4"/>
  <c r="H455" i="4"/>
  <c r="H819" i="4"/>
  <c r="H793" i="4"/>
  <c r="H1239" i="4"/>
  <c r="H774" i="4"/>
  <c r="H837" i="4"/>
  <c r="H862" i="4"/>
  <c r="H551" i="4"/>
  <c r="H541" i="4"/>
  <c r="H744" i="4"/>
  <c r="H775" i="4"/>
  <c r="H778" i="4"/>
  <c r="H360" i="4"/>
  <c r="H688" i="4"/>
  <c r="H543" i="4"/>
  <c r="H625" i="4"/>
  <c r="H783" i="4"/>
  <c r="H695" i="4"/>
  <c r="H651" i="4"/>
  <c r="H868" i="4"/>
  <c r="H680" i="4"/>
  <c r="H904" i="4"/>
  <c r="H815" i="4"/>
  <c r="H558" i="4"/>
  <c r="H729" i="4"/>
  <c r="H725" i="4"/>
  <c r="H701" i="4"/>
  <c r="H908" i="4"/>
  <c r="H696" i="4"/>
  <c r="H812" i="4"/>
  <c r="H916" i="4"/>
  <c r="H942" i="4"/>
  <c r="H517" i="4"/>
  <c r="H528" i="4"/>
  <c r="H686" i="4"/>
  <c r="H791" i="4"/>
  <c r="H534" i="4"/>
  <c r="H803" i="4"/>
  <c r="H756" i="4"/>
  <c r="H753" i="4"/>
  <c r="H1037" i="4"/>
  <c r="H693" i="4"/>
  <c r="H790" i="4"/>
  <c r="H761" i="4"/>
  <c r="H660" i="4"/>
  <c r="H615" i="4"/>
  <c r="H826" i="4"/>
  <c r="H858" i="4"/>
  <c r="H570" i="4"/>
  <c r="H694" i="4"/>
  <c r="H581" i="4"/>
  <c r="H715" i="4"/>
  <c r="H876" i="4"/>
  <c r="H1033" i="4"/>
  <c r="H734" i="4"/>
  <c r="H656" i="4"/>
  <c r="H663" i="4"/>
  <c r="H618" i="4"/>
  <c r="H751" i="4"/>
  <c r="H648" i="4"/>
  <c r="H788" i="4"/>
  <c r="H565" i="4"/>
  <c r="H604" i="4"/>
  <c r="H501" i="4"/>
  <c r="H808" i="4"/>
  <c r="H909" i="4"/>
  <c r="H768" i="4"/>
  <c r="H707" i="4"/>
  <c r="H755" i="4"/>
  <c r="H437" i="4"/>
  <c r="H854" i="4"/>
  <c r="H633" i="4"/>
  <c r="H472" i="4"/>
  <c r="H480" i="4"/>
  <c r="H872" i="4"/>
  <c r="H635" i="4"/>
  <c r="H491" i="4"/>
  <c r="H606" i="4"/>
  <c r="H850" i="4"/>
  <c r="H315" i="4"/>
  <c r="H736" i="4"/>
  <c r="H810" i="4"/>
  <c r="H738" i="4"/>
  <c r="H555" i="4"/>
  <c r="H677" i="4"/>
  <c r="H687" i="4"/>
  <c r="H652" i="4"/>
  <c r="H746" i="4"/>
  <c r="H789" i="4"/>
  <c r="H600" i="4"/>
  <c r="H317" i="4"/>
  <c r="H739" i="4"/>
  <c r="H567" i="4"/>
  <c r="H668" i="4"/>
  <c r="H460" i="4"/>
  <c r="H720" i="4"/>
  <c r="H674" i="4"/>
  <c r="H654" i="4"/>
  <c r="H650" i="4"/>
  <c r="H884" i="4"/>
  <c r="H682" i="4"/>
  <c r="H417" i="4"/>
  <c r="H671" i="4"/>
  <c r="H670" i="4"/>
  <c r="H584" i="4"/>
  <c r="H724" i="4"/>
  <c r="H597" i="4"/>
  <c r="H949" i="4"/>
  <c r="H647" i="4"/>
  <c r="H514" i="4"/>
  <c r="H596" i="4"/>
  <c r="H636" i="4"/>
  <c r="H640" i="4"/>
  <c r="H804" i="4"/>
  <c r="H719" i="4"/>
  <c r="H743" i="4"/>
  <c r="H576" i="4"/>
  <c r="H673" i="4"/>
  <c r="H484" i="4"/>
  <c r="H284" i="4"/>
  <c r="H704" i="4"/>
  <c r="H544" i="4"/>
  <c r="H703" i="4"/>
  <c r="H585" i="4"/>
  <c r="H705" i="4"/>
  <c r="H786" i="4"/>
  <c r="H669" i="4"/>
  <c r="H552" i="4"/>
  <c r="H529" i="4"/>
  <c r="H817" i="4"/>
  <c r="H506" i="4"/>
  <c r="H629" i="4"/>
  <c r="H621" i="4"/>
  <c r="H844" i="4"/>
  <c r="H723" i="4"/>
  <c r="H574" i="4"/>
  <c r="H590" i="4"/>
  <c r="H764" i="4"/>
  <c r="H473" i="4"/>
  <c r="H385" i="4"/>
  <c r="H930" i="4"/>
  <c r="H809" i="4"/>
  <c r="H488" i="4"/>
  <c r="H747" i="4"/>
  <c r="H699" i="4"/>
  <c r="H711" i="4"/>
  <c r="H370" i="4"/>
  <c r="H598" i="4"/>
  <c r="H822" i="4"/>
  <c r="H630" i="4"/>
  <c r="H749" i="4"/>
  <c r="H505" i="4"/>
  <c r="H338" i="4"/>
  <c r="H833" i="4"/>
  <c r="H690" i="4"/>
  <c r="H638" i="4"/>
  <c r="H289" i="4"/>
  <c r="H582" i="4"/>
  <c r="H637" i="4"/>
  <c r="H560" i="4"/>
  <c r="H702" i="4"/>
  <c r="H714" i="4"/>
  <c r="H589" i="4"/>
  <c r="H479" i="4"/>
  <c r="H698" i="4"/>
  <c r="H627" i="4"/>
  <c r="H548" i="4"/>
  <c r="H493" i="4"/>
  <c r="H566" i="4"/>
  <c r="H497" i="4"/>
  <c r="H659" i="4"/>
  <c r="H721" i="4"/>
  <c r="H678" i="4"/>
  <c r="H772" i="4"/>
  <c r="H583" i="4"/>
  <c r="H697" i="4"/>
  <c r="H684" i="4"/>
  <c r="H340" i="4"/>
  <c r="H683" i="4"/>
  <c r="H588" i="4"/>
  <c r="H522" i="4"/>
  <c r="H752" i="4"/>
  <c r="H801" i="4"/>
  <c r="H348" i="4"/>
  <c r="H608" i="4"/>
  <c r="H508" i="4"/>
  <c r="H474" i="4"/>
  <c r="H546" i="4"/>
  <c r="H562" i="4"/>
  <c r="H821" i="4"/>
  <c r="H537" i="4"/>
  <c r="H549" i="4"/>
  <c r="H498" i="4"/>
  <c r="H271" i="4"/>
  <c r="H504" i="4"/>
  <c r="H572" i="4"/>
  <c r="H780" i="4"/>
  <c r="H365" i="4"/>
  <c r="H614" i="4"/>
  <c r="H519" i="4"/>
  <c r="H536" i="4"/>
  <c r="H591" i="4"/>
  <c r="H613" i="4"/>
  <c r="H603" i="4"/>
  <c r="H676" i="4"/>
  <c r="H494" i="4"/>
  <c r="H523" i="4"/>
  <c r="H397" i="4"/>
  <c r="H592" i="4"/>
  <c r="H324" i="4"/>
  <c r="H429" i="4"/>
  <c r="H270" i="4"/>
  <c r="H452" i="4"/>
  <c r="H571" i="4"/>
  <c r="H411" i="4"/>
  <c r="H512" i="4"/>
  <c r="H432" i="4"/>
  <c r="H667" i="4"/>
  <c r="H664" i="4"/>
  <c r="H657" i="4"/>
  <c r="H468" i="4"/>
  <c r="H655" i="4"/>
  <c r="H527" i="4"/>
  <c r="H499" i="4"/>
  <c r="H496" i="4"/>
  <c r="H531" i="4"/>
  <c r="H666" i="4"/>
  <c r="H492" i="4"/>
  <c r="H611" i="4"/>
  <c r="H727" i="4"/>
  <c r="H389" i="4"/>
  <c r="H274" i="4"/>
  <c r="H532" i="4"/>
  <c r="H443" i="4"/>
  <c r="H405" i="4"/>
  <c r="H261" i="4"/>
  <c r="H500" i="4"/>
  <c r="H526" i="4"/>
  <c r="H391" i="4"/>
  <c r="H579" i="4"/>
  <c r="H617" i="4"/>
  <c r="H525" i="4"/>
  <c r="H176" i="4"/>
  <c r="H559" i="4"/>
  <c r="H610" i="4"/>
  <c r="H426" i="4"/>
  <c r="H653" i="4"/>
  <c r="H466" i="4"/>
  <c r="H573" i="4"/>
  <c r="H521" i="4"/>
  <c r="H444" i="4"/>
  <c r="H433" i="4"/>
  <c r="H423" i="4"/>
  <c r="H425" i="4"/>
  <c r="H307" i="4"/>
  <c r="H410" i="4"/>
  <c r="H349" i="4"/>
  <c r="H717" i="4"/>
  <c r="H550" i="4"/>
  <c r="H481" i="4"/>
  <c r="H575" i="4"/>
  <c r="H483" i="4"/>
  <c r="H463" i="4"/>
  <c r="H564" i="4"/>
  <c r="H454" i="4"/>
  <c r="H554" i="4"/>
  <c r="H539" i="4"/>
  <c r="H291" i="4"/>
  <c r="H563" i="4"/>
  <c r="H471" i="4"/>
  <c r="H464" i="4"/>
  <c r="H513" i="4"/>
  <c r="H282" i="4"/>
  <c r="H503" i="4"/>
  <c r="H420" i="4"/>
  <c r="H272" i="4"/>
  <c r="H416" i="4"/>
  <c r="H356" i="4"/>
  <c r="H456" i="4"/>
  <c r="H424" i="4"/>
  <c r="H461" i="4"/>
  <c r="H292" i="4"/>
  <c r="H516" i="4"/>
  <c r="H453" i="4"/>
  <c r="H381" i="4"/>
  <c r="H700" i="4"/>
  <c r="H476" i="4"/>
  <c r="H556" i="4"/>
  <c r="H255" i="4"/>
  <c r="H771" i="4"/>
  <c r="H330" i="4"/>
  <c r="H382" i="4"/>
  <c r="H376" i="4"/>
  <c r="H511" i="4"/>
  <c r="H342" i="4"/>
  <c r="H441" i="4"/>
  <c r="H311" i="4"/>
  <c r="H518" i="4"/>
  <c r="H273" i="4"/>
  <c r="H547" i="4"/>
  <c r="H199" i="4"/>
  <c r="H217" i="4"/>
  <c r="H616" i="4"/>
  <c r="H545" i="4"/>
  <c r="H445" i="4"/>
  <c r="H357" i="4"/>
  <c r="H427" i="4"/>
  <c r="H587" i="4"/>
  <c r="H462" i="4"/>
  <c r="H490" i="4"/>
  <c r="H408" i="4"/>
  <c r="H245" i="4"/>
  <c r="H470" i="4"/>
  <c r="H440" i="4"/>
  <c r="H402" i="4"/>
  <c r="H368" i="4"/>
  <c r="H502" i="4"/>
  <c r="H509" i="4"/>
  <c r="H538" i="4"/>
  <c r="H439" i="4"/>
  <c r="H374" i="4"/>
  <c r="H458" i="4"/>
  <c r="H485" i="4"/>
  <c r="H457" i="4"/>
  <c r="H482" i="4"/>
  <c r="H375" i="4"/>
  <c r="H268" i="4"/>
  <c r="H399" i="4"/>
  <c r="H649" i="4"/>
  <c r="H524" i="4"/>
  <c r="H257" i="4"/>
  <c r="H211" i="4"/>
  <c r="H242" i="4"/>
  <c r="H475" i="4"/>
  <c r="H469" i="4"/>
  <c r="H446" i="4"/>
  <c r="H478" i="4"/>
  <c r="H665" i="4"/>
  <c r="H465" i="4"/>
  <c r="H207" i="4"/>
  <c r="H400" i="4"/>
  <c r="H379" i="4"/>
  <c r="H448" i="4"/>
  <c r="H347" i="4"/>
  <c r="H569" i="4"/>
  <c r="H364" i="4"/>
  <c r="H487" i="4"/>
  <c r="H449" i="4"/>
  <c r="H459" i="4"/>
  <c r="H447" i="4"/>
  <c r="H341" i="4"/>
  <c r="H431" i="4"/>
  <c r="H450" i="4"/>
  <c r="H275" i="4"/>
  <c r="H467" i="4"/>
  <c r="H294" i="4"/>
  <c r="H741" i="4"/>
  <c r="H396" i="4"/>
  <c r="H369" i="4"/>
  <c r="H254" i="4"/>
  <c r="H438" i="4"/>
  <c r="H312" i="4"/>
  <c r="H134" i="4"/>
  <c r="H477" i="4"/>
  <c r="H298" i="4"/>
  <c r="H418" i="4"/>
  <c r="H168" i="4"/>
  <c r="H351" i="4"/>
  <c r="H309" i="4"/>
  <c r="H394" i="4"/>
  <c r="H387" i="4"/>
  <c r="H507" i="4"/>
  <c r="H428" i="4"/>
  <c r="H306" i="4"/>
  <c r="H334" i="4"/>
  <c r="H384" i="4"/>
  <c r="H190" i="4"/>
  <c r="H363" i="4"/>
  <c r="H406" i="4"/>
  <c r="H252" i="4"/>
  <c r="H332" i="4"/>
  <c r="H373" i="4"/>
  <c r="H403" i="4"/>
  <c r="H392" i="4"/>
  <c r="H335" i="4"/>
  <c r="H409" i="4"/>
  <c r="H785" i="4"/>
  <c r="H299" i="4"/>
  <c r="H435" i="4"/>
  <c r="H535" i="4"/>
  <c r="H1275" i="4"/>
  <c r="H125" i="4"/>
  <c r="H421" i="4"/>
  <c r="H495" i="4"/>
  <c r="H228" i="4"/>
  <c r="H355" i="4"/>
  <c r="H436" i="4"/>
  <c r="H619" i="4"/>
  <c r="H343" i="4"/>
  <c r="H395" i="4"/>
  <c r="H419" i="4"/>
  <c r="H337" i="4"/>
  <c r="H144" i="4"/>
  <c r="H451" i="4"/>
  <c r="H179" i="4"/>
  <c r="H489" i="4"/>
  <c r="H224" i="4"/>
  <c r="H264" i="4"/>
  <c r="H362" i="4"/>
  <c r="H388" i="4"/>
  <c r="H609" i="4"/>
  <c r="H361" i="4"/>
  <c r="H414" i="4"/>
  <c r="H413" i="4"/>
  <c r="H319" i="4"/>
  <c r="H295" i="4"/>
  <c r="H390" i="4"/>
  <c r="H178" i="4"/>
  <c r="H108" i="4"/>
  <c r="H189" i="4"/>
  <c r="H262" i="4"/>
  <c r="H276" i="4"/>
  <c r="H398" i="4"/>
  <c r="H415" i="4"/>
  <c r="H318" i="4"/>
  <c r="H430" i="4"/>
  <c r="H339" i="4"/>
  <c r="H542" i="4"/>
  <c r="H372" i="4"/>
  <c r="H286" i="4"/>
  <c r="H303" i="4"/>
  <c r="H378" i="4"/>
  <c r="H386" i="4"/>
  <c r="H167" i="4"/>
  <c r="H136" i="4"/>
  <c r="H287" i="4"/>
  <c r="H308" i="4"/>
  <c r="H404" i="4"/>
  <c r="H177" i="4"/>
  <c r="H310" i="4"/>
  <c r="H354" i="4"/>
  <c r="H288" i="4"/>
  <c r="H246" i="4"/>
  <c r="H266" i="4"/>
  <c r="H313" i="4"/>
  <c r="H256" i="4"/>
  <c r="H253" i="4"/>
  <c r="H235" i="4"/>
  <c r="H366" i="4"/>
  <c r="H345" i="4"/>
  <c r="H166" i="4"/>
  <c r="H216" i="4"/>
  <c r="H143" i="4"/>
  <c r="H128" i="4"/>
  <c r="H209" i="4"/>
  <c r="H231" i="4"/>
  <c r="H159" i="4"/>
  <c r="H122" i="4"/>
  <c r="H316" i="4"/>
  <c r="H333" i="4"/>
  <c r="H632" i="4"/>
  <c r="H163" i="4"/>
  <c r="H117" i="4"/>
  <c r="H393" i="4"/>
  <c r="H106" i="4"/>
  <c r="H380" i="4"/>
  <c r="H82" i="4"/>
  <c r="H486" i="4"/>
  <c r="H173" i="4"/>
  <c r="H352" i="4"/>
  <c r="H223" i="4"/>
  <c r="H230" i="4"/>
  <c r="H314" i="4"/>
  <c r="H297" i="4"/>
  <c r="H321" i="4"/>
  <c r="H326" i="4"/>
  <c r="H263" i="4"/>
  <c r="H641" i="4"/>
  <c r="H280" i="4"/>
  <c r="H219" i="4"/>
  <c r="H283" i="4"/>
  <c r="H221" i="4"/>
  <c r="H265" i="4"/>
  <c r="H186" i="4"/>
  <c r="H442" i="4"/>
  <c r="H124" i="4"/>
  <c r="H226" i="4"/>
  <c r="H210" i="4"/>
  <c r="H79" i="4"/>
  <c r="H241" i="4"/>
  <c r="H248" i="4"/>
  <c r="H281" i="4"/>
  <c r="H322" i="4"/>
  <c r="H236" i="4"/>
  <c r="H201" i="4"/>
  <c r="H188" i="4"/>
  <c r="H120" i="4"/>
  <c r="H249" i="4"/>
  <c r="H331" i="4"/>
  <c r="H238" i="4"/>
  <c r="H212" i="4"/>
  <c r="H206" i="4"/>
  <c r="H258" i="4"/>
  <c r="H185" i="4"/>
  <c r="H251" i="4"/>
  <c r="H346" i="4"/>
  <c r="H407" i="4"/>
  <c r="H101" i="4"/>
  <c r="H182" i="4"/>
  <c r="H359" i="4"/>
  <c r="H175" i="4"/>
  <c r="H116" i="4"/>
  <c r="H358" i="4"/>
  <c r="H162" i="4"/>
  <c r="H336" i="4"/>
  <c r="H215" i="4"/>
  <c r="H434" i="4"/>
  <c r="H300" i="4"/>
  <c r="H320" i="4"/>
  <c r="H169" i="4"/>
  <c r="H194" i="4"/>
  <c r="H259" i="4"/>
  <c r="H149" i="4"/>
  <c r="H301" i="4"/>
  <c r="H250" i="4"/>
  <c r="H133" i="4"/>
  <c r="H68" i="4"/>
  <c r="H102" i="4"/>
  <c r="H709" i="4"/>
  <c r="H383" i="4"/>
  <c r="H278" i="4"/>
  <c r="H204" i="4"/>
  <c r="H142" i="4"/>
  <c r="H121" i="4"/>
  <c r="H83" i="4"/>
  <c r="H158" i="4"/>
  <c r="H200" i="4"/>
  <c r="H208" i="4"/>
  <c r="H353" i="4"/>
  <c r="H279" i="4"/>
  <c r="H244" i="4"/>
  <c r="H305" i="4"/>
  <c r="H296" i="4"/>
  <c r="H145" i="4"/>
  <c r="H325" i="4"/>
  <c r="H269" i="4"/>
  <c r="H371" i="4"/>
  <c r="H243" i="4"/>
  <c r="H140" i="4"/>
  <c r="H153" i="4"/>
  <c r="H304" i="4"/>
  <c r="H267" i="4"/>
  <c r="H220" i="4"/>
  <c r="H164" i="4"/>
  <c r="H233" i="4"/>
  <c r="H302" i="4"/>
  <c r="H412" i="4"/>
  <c r="H586" i="4"/>
  <c r="H148" i="4"/>
  <c r="H197" i="4"/>
  <c r="H247" i="4"/>
  <c r="H329" i="4"/>
  <c r="H290" i="4"/>
  <c r="H239" i="4"/>
  <c r="H214" i="4"/>
  <c r="H260" i="4"/>
  <c r="H344" i="4"/>
  <c r="H195" i="4"/>
  <c r="H328" i="4"/>
  <c r="H160" i="4"/>
  <c r="H213" i="4"/>
  <c r="H285" i="4"/>
  <c r="H225" i="4"/>
  <c r="H61" i="4"/>
  <c r="H62" i="4"/>
  <c r="H205" i="4"/>
  <c r="H138" i="4"/>
  <c r="H192" i="4"/>
  <c r="H196" i="4"/>
  <c r="H104" i="4"/>
  <c r="H65" i="4"/>
  <c r="H234" i="4"/>
  <c r="H156" i="4"/>
  <c r="H203" i="4"/>
  <c r="H151" i="4"/>
  <c r="H100" i="4"/>
  <c r="H110" i="4"/>
  <c r="H240" i="4"/>
  <c r="H111" i="4"/>
  <c r="H377" i="4"/>
  <c r="H232" i="4"/>
  <c r="H198" i="4"/>
  <c r="H155" i="4"/>
  <c r="H157" i="4"/>
  <c r="H174" i="4"/>
  <c r="H154" i="4"/>
  <c r="H191" i="4"/>
  <c r="H184" i="4"/>
  <c r="H45" i="4"/>
  <c r="H218" i="4"/>
  <c r="H323" i="4"/>
  <c r="H59" i="4"/>
  <c r="H93" i="4"/>
  <c r="H181" i="4"/>
  <c r="H67" i="4"/>
  <c r="H187" i="4"/>
  <c r="H73" i="4"/>
  <c r="H49" i="4"/>
  <c r="H202" i="4"/>
  <c r="H147" i="4"/>
  <c r="H89" i="4"/>
  <c r="H277" i="4"/>
  <c r="H80" i="4"/>
  <c r="H227" i="4"/>
  <c r="H171" i="4"/>
  <c r="H183" i="4"/>
  <c r="H114" i="4"/>
  <c r="H24" i="4"/>
  <c r="H161" i="4"/>
  <c r="H92" i="4"/>
  <c r="H107" i="4"/>
  <c r="H81" i="4"/>
  <c r="H40" i="4"/>
  <c r="H170" i="4"/>
  <c r="H146" i="4"/>
  <c r="H422" i="4"/>
  <c r="H86" i="4"/>
  <c r="H76" i="4"/>
  <c r="H27" i="4"/>
  <c r="H165" i="4"/>
  <c r="H42" i="4"/>
  <c r="H52" i="4"/>
  <c r="H98" i="4"/>
  <c r="H180" i="4"/>
  <c r="H69" i="4"/>
  <c r="H152" i="4"/>
  <c r="H401" i="4"/>
  <c r="H293" i="4"/>
  <c r="H66" i="4"/>
  <c r="H123" i="4"/>
  <c r="H105" i="4"/>
  <c r="H115" i="4"/>
  <c r="H95" i="4"/>
  <c r="H141" i="4"/>
  <c r="H99" i="4"/>
  <c r="H18" i="4"/>
  <c r="H58" i="4"/>
  <c r="H237" i="4"/>
  <c r="H112" i="4"/>
  <c r="H19" i="4"/>
  <c r="H150" i="4"/>
  <c r="H103" i="4"/>
  <c r="H113" i="4"/>
  <c r="H327" i="4"/>
  <c r="H96" i="4"/>
  <c r="H132" i="4"/>
  <c r="H43" i="4"/>
  <c r="H126" i="4"/>
  <c r="H137" i="4"/>
  <c r="H139" i="4"/>
  <c r="H71" i="4"/>
  <c r="H229" i="4"/>
  <c r="H350" i="4"/>
  <c r="H54" i="4"/>
  <c r="H78" i="4"/>
  <c r="H135" i="4"/>
  <c r="H130" i="4"/>
  <c r="H38" i="4"/>
  <c r="H48" i="4"/>
  <c r="H13" i="4"/>
  <c r="H46" i="4"/>
  <c r="H57" i="4"/>
  <c r="H172" i="4"/>
  <c r="H56" i="4"/>
  <c r="H131" i="4"/>
  <c r="H109" i="4"/>
  <c r="H33" i="4"/>
  <c r="H85" i="4"/>
  <c r="H90" i="4"/>
  <c r="H119" i="4"/>
  <c r="H129" i="4"/>
  <c r="H63" i="4"/>
  <c r="H36" i="4"/>
  <c r="H23" i="4"/>
  <c r="H70" i="4"/>
  <c r="H32" i="4"/>
  <c r="H127" i="4"/>
  <c r="H118" i="4"/>
  <c r="H77" i="4"/>
  <c r="H222" i="4"/>
  <c r="H94" i="4"/>
  <c r="H10" i="4"/>
  <c r="H37" i="4"/>
  <c r="H87" i="4"/>
  <c r="H60" i="4"/>
  <c r="H22" i="4"/>
  <c r="H35" i="4"/>
  <c r="H39" i="4"/>
  <c r="H47" i="4"/>
  <c r="H21" i="4"/>
  <c r="H84" i="4"/>
  <c r="H29" i="4"/>
  <c r="H88" i="4"/>
  <c r="H50" i="4"/>
  <c r="H44" i="4"/>
  <c r="H41" i="4"/>
  <c r="H91" i="4"/>
  <c r="H75" i="4"/>
  <c r="H28" i="4"/>
  <c r="H72" i="4"/>
  <c r="H16" i="4"/>
  <c r="H30" i="4"/>
  <c r="H34" i="4"/>
  <c r="H26" i="4"/>
  <c r="H64" i="4"/>
  <c r="H55" i="4"/>
  <c r="H51" i="4"/>
  <c r="H53" i="4"/>
  <c r="H7" i="4"/>
  <c r="H74" i="4"/>
  <c r="H193" i="4"/>
  <c r="H12" i="4"/>
  <c r="H17" i="4"/>
  <c r="H25" i="4"/>
  <c r="H11" i="4"/>
  <c r="H15" i="4"/>
  <c r="H97" i="4"/>
  <c r="H14" i="4"/>
  <c r="H20" i="4"/>
  <c r="H31" i="4"/>
  <c r="H8" i="4"/>
  <c r="H9" i="4"/>
  <c r="H5" i="4"/>
  <c r="H6" i="4"/>
  <c r="H4" i="4"/>
  <c r="H3" i="4"/>
  <c r="H2" i="4"/>
  <c r="AQ97" i="32" l="1"/>
  <c r="AQ48" i="32"/>
  <c r="AN48" i="32"/>
  <c r="AN61" i="32"/>
  <c r="AQ61" i="32"/>
  <c r="AQ23" i="32"/>
  <c r="AN23" i="32"/>
  <c r="AQ125" i="32"/>
  <c r="AQ93" i="32"/>
  <c r="AN84" i="32"/>
  <c r="AQ84" i="32"/>
  <c r="AN34" i="32"/>
  <c r="AQ34" i="32"/>
  <c r="AQ37" i="32"/>
  <c r="AN37" i="32"/>
  <c r="AN79" i="32"/>
  <c r="AQ79" i="32"/>
  <c r="AQ112" i="32"/>
  <c r="AQ126" i="32"/>
  <c r="AQ95" i="32"/>
  <c r="AQ136" i="32"/>
  <c r="AN136" i="32"/>
  <c r="AQ32" i="32"/>
  <c r="AN32" i="32"/>
  <c r="AN36" i="32"/>
  <c r="AQ36" i="32"/>
  <c r="AQ35" i="32"/>
  <c r="AN35" i="32"/>
  <c r="AQ102" i="32"/>
  <c r="AQ54" i="32"/>
  <c r="AN54" i="32"/>
  <c r="AQ71" i="32"/>
  <c r="AN71" i="32"/>
  <c r="AQ145" i="32"/>
  <c r="AN145" i="32"/>
  <c r="AN11" i="32"/>
  <c r="AQ11" i="32"/>
  <c r="AQ127" i="32"/>
  <c r="AQ104" i="32"/>
  <c r="AQ107" i="32"/>
  <c r="AQ122" i="32"/>
  <c r="AQ117" i="32"/>
  <c r="AQ5" i="32"/>
  <c r="AN5" i="32"/>
  <c r="AQ44" i="32"/>
  <c r="AN44" i="32"/>
  <c r="AN73" i="32"/>
  <c r="AQ73" i="32"/>
  <c r="AN38" i="32"/>
  <c r="AQ38" i="32"/>
  <c r="AQ106" i="32"/>
  <c r="AN140" i="32"/>
  <c r="AQ140" i="32"/>
  <c r="AN52" i="32"/>
  <c r="AQ52" i="32"/>
  <c r="AN7" i="32"/>
  <c r="AQ7" i="32"/>
  <c r="AN42" i="32"/>
  <c r="AQ42" i="32"/>
  <c r="AQ13" i="32"/>
  <c r="AN13" i="32"/>
  <c r="AQ25" i="32"/>
  <c r="AN25" i="32"/>
  <c r="AQ72" i="32"/>
  <c r="AN72" i="32"/>
  <c r="AN59" i="32"/>
  <c r="AQ59" i="32"/>
  <c r="AN65" i="32"/>
  <c r="AQ65" i="32"/>
  <c r="AQ146" i="32"/>
  <c r="AN146" i="32"/>
  <c r="AQ128" i="32"/>
  <c r="AN68" i="32"/>
  <c r="AQ68" i="32"/>
  <c r="AQ10" i="32"/>
  <c r="AN10" i="32"/>
  <c r="AQ100" i="32"/>
  <c r="AQ31" i="32"/>
  <c r="AN31" i="32"/>
  <c r="AN74" i="32"/>
  <c r="AQ74" i="32"/>
  <c r="AQ132" i="32"/>
  <c r="AQ18" i="32"/>
  <c r="AN18" i="32"/>
  <c r="AN17" i="32"/>
  <c r="AQ17" i="32"/>
  <c r="AQ22" i="32"/>
  <c r="AN22" i="32"/>
  <c r="AN41" i="32"/>
  <c r="AQ41" i="32"/>
  <c r="AQ76" i="32"/>
  <c r="AN76" i="32"/>
  <c r="AN81" i="32"/>
  <c r="AQ81" i="32"/>
  <c r="AQ60" i="32"/>
  <c r="AN60" i="32"/>
  <c r="AQ109" i="32"/>
  <c r="AQ141" i="32"/>
  <c r="AN141" i="32"/>
  <c r="AQ67" i="32"/>
  <c r="AN67" i="32"/>
  <c r="AN89" i="32"/>
  <c r="AQ89" i="32"/>
  <c r="AN82" i="32"/>
  <c r="AQ82" i="32"/>
  <c r="AQ115" i="32"/>
  <c r="AQ8" i="32"/>
  <c r="AN8" i="32"/>
  <c r="AQ50" i="32"/>
  <c r="AN50" i="32"/>
  <c r="AN49" i="32"/>
  <c r="AQ49" i="32"/>
  <c r="AQ131" i="32"/>
  <c r="AN78" i="32"/>
  <c r="AQ78" i="32"/>
  <c r="AQ75" i="32"/>
  <c r="AN75" i="32"/>
  <c r="AQ87" i="32"/>
  <c r="AN87" i="32"/>
  <c r="AN30" i="32"/>
  <c r="AQ30" i="32"/>
  <c r="AQ123" i="32"/>
  <c r="AQ46" i="32"/>
  <c r="AN46" i="32"/>
  <c r="AQ26" i="32"/>
  <c r="AN26" i="32"/>
  <c r="AN80" i="32"/>
  <c r="AQ80" i="32"/>
  <c r="AQ142" i="32"/>
  <c r="AN142" i="32"/>
  <c r="AN21" i="32"/>
  <c r="AQ21" i="32"/>
  <c r="AN70" i="32"/>
  <c r="AQ70" i="32"/>
  <c r="AQ9" i="32"/>
  <c r="AN9" i="32"/>
  <c r="AQ121" i="32"/>
  <c r="AN77" i="32"/>
  <c r="AQ77" i="32"/>
  <c r="AQ29" i="32"/>
  <c r="AN29" i="32"/>
  <c r="AN6" i="32"/>
  <c r="AQ6" i="32"/>
  <c r="AN86" i="32"/>
  <c r="AQ86" i="32"/>
  <c r="AQ24" i="32"/>
  <c r="AN24" i="32"/>
  <c r="AN33" i="32"/>
  <c r="AQ33" i="32"/>
  <c r="AQ129" i="32"/>
  <c r="AN134" i="32"/>
  <c r="AQ134" i="32"/>
  <c r="AQ85" i="32"/>
  <c r="AN85" i="32"/>
  <c r="AN12" i="32"/>
  <c r="AQ12" i="32"/>
  <c r="AN45" i="32"/>
  <c r="AQ45" i="32"/>
  <c r="AQ83" i="32"/>
  <c r="AN83" i="32"/>
  <c r="AQ113" i="32"/>
  <c r="AN88" i="32"/>
  <c r="AQ88" i="32"/>
  <c r="AN57" i="32"/>
  <c r="AQ57" i="32"/>
  <c r="AN63" i="32"/>
  <c r="AQ63" i="32"/>
  <c r="AQ137" i="32"/>
  <c r="AN137" i="32"/>
  <c r="AQ91" i="32"/>
  <c r="AQ116" i="32"/>
  <c r="AN64" i="32"/>
  <c r="AQ64" i="32"/>
  <c r="AQ51" i="32"/>
  <c r="AN51" i="32"/>
  <c r="AQ108" i="32"/>
  <c r="AN56" i="32"/>
  <c r="AQ56" i="32"/>
  <c r="AN3" i="32"/>
  <c r="AQ3" i="32"/>
  <c r="AQ118" i="32"/>
  <c r="AQ101" i="32"/>
  <c r="AQ94" i="32"/>
  <c r="AN62" i="32"/>
  <c r="AQ62" i="32"/>
  <c r="AN66" i="32"/>
  <c r="AQ66" i="32"/>
  <c r="AQ103" i="32"/>
  <c r="AQ98" i="32"/>
  <c r="AQ105" i="32"/>
  <c r="AN47" i="32"/>
  <c r="AQ47" i="32"/>
  <c r="AQ143" i="32"/>
  <c r="AN143" i="32"/>
  <c r="AQ4" i="32"/>
  <c r="AN4" i="32"/>
  <c r="AQ139" i="32"/>
  <c r="AN139" i="32"/>
  <c r="AQ40" i="32"/>
  <c r="AN40" i="32"/>
  <c r="AQ39" i="32"/>
  <c r="AN39" i="32"/>
  <c r="AQ96" i="32"/>
  <c r="AQ120" i="32"/>
  <c r="AQ111" i="32"/>
  <c r="AQ99" i="32"/>
  <c r="AQ114" i="32"/>
  <c r="AN58" i="32"/>
  <c r="AQ58" i="32"/>
  <c r="AQ92" i="32"/>
  <c r="AN55" i="32"/>
  <c r="AQ55" i="32"/>
  <c r="AN53" i="32"/>
  <c r="AQ53" i="32"/>
  <c r="AQ20" i="32"/>
  <c r="AN20" i="32"/>
  <c r="AN15" i="32"/>
  <c r="AQ15" i="32"/>
  <c r="AQ110" i="32"/>
  <c r="AQ133" i="32"/>
  <c r="AN138" i="32"/>
  <c r="AQ138" i="32"/>
  <c r="AQ14" i="32"/>
  <c r="AN14" i="32"/>
  <c r="AQ28" i="32"/>
  <c r="AN28" i="32"/>
  <c r="AN19" i="32"/>
  <c r="AQ19" i="32"/>
  <c r="AQ27" i="32"/>
  <c r="AN27" i="32"/>
  <c r="AN16" i="32"/>
  <c r="AQ16" i="32"/>
  <c r="AN43" i="32"/>
  <c r="AQ43" i="32"/>
  <c r="AN69" i="32"/>
  <c r="AQ69" i="32"/>
  <c r="AN144" i="32"/>
  <c r="AQ144" i="32"/>
  <c r="AQ124" i="32"/>
  <c r="AQ135" i="32"/>
  <c r="AN135" i="32"/>
  <c r="AQ130" i="32"/>
  <c r="AN90" i="32"/>
  <c r="AQ90" i="32"/>
  <c r="AQ119" i="32"/>
</calcChain>
</file>

<file path=xl/sharedStrings.xml><?xml version="1.0" encoding="utf-8"?>
<sst xmlns="http://schemas.openxmlformats.org/spreadsheetml/2006/main" count="7110" uniqueCount="4032">
  <si>
    <t>amazon0601</t>
  </si>
  <si>
    <t>dbpedia-link</t>
  </si>
  <si>
    <t>edit-ptwiki</t>
  </si>
  <si>
    <t>link-dynamic-frwiki</t>
  </si>
  <si>
    <t>link-dynamic-itwiki</t>
  </si>
  <si>
    <t>orkut-groupmemberships</t>
  </si>
  <si>
    <t>orkut-links</t>
  </si>
  <si>
    <t>sx-stackoverflow</t>
  </si>
  <si>
    <t>web-BerkStan</t>
  </si>
  <si>
    <t>web-Google</t>
  </si>
  <si>
    <t>wikipedia_link_de</t>
  </si>
  <si>
    <t>wiki-Talk</t>
  </si>
  <si>
    <t>AIMD</t>
  </si>
  <si>
    <t>V</t>
  </si>
  <si>
    <t>E</t>
  </si>
  <si>
    <t>d_max</t>
  </si>
  <si>
    <t>wikipedia_link_en</t>
  </si>
  <si>
    <t>edit-enwiki</t>
  </si>
  <si>
    <t>trackers</t>
  </si>
  <si>
    <t>Column1</t>
  </si>
  <si>
    <t>Column2</t>
  </si>
  <si>
    <t>Column3</t>
  </si>
  <si>
    <t>Column4</t>
  </si>
  <si>
    <t>Column5</t>
  </si>
  <si>
    <t>Column6</t>
  </si>
  <si>
    <t>dataset</t>
  </si>
  <si>
    <t>LiveJournal</t>
  </si>
  <si>
    <t>Orkut</t>
  </si>
  <si>
    <t>Netflix</t>
  </si>
  <si>
    <t>DBpedia</t>
  </si>
  <si>
    <t>PubMed</t>
  </si>
  <si>
    <t>Friendster</t>
  </si>
  <si>
    <t>Wikipedia links (sv)</t>
  </si>
  <si>
    <t>Dataset is available for download Dataset passed all tests  Unipartite, directed Unweighted, no multiple edges  Contains loops</t>
  </si>
  <si>
    <t>Wikipedia dynamic (fr)</t>
  </si>
  <si>
    <t>Dataset is available for download Dataset passed all tests  Unipartite, directed Dynamic  Edges are annotated with timestamps Contains loops</t>
  </si>
  <si>
    <t>Dataset is available for download Dataset passed all tests  Bipartite, undirected Unweighted, no multiple edges</t>
  </si>
  <si>
    <t>Wikipedia edits (ru)</t>
  </si>
  <si>
    <t>Dataset is available for download Dataset passed all tests  Bipartite, undirected Unweighted, multiple edges  Edges are annotated with timestamps</t>
  </si>
  <si>
    <t>Wikipedia edits (it)</t>
  </si>
  <si>
    <t>Wikipedia edits (es)</t>
  </si>
  <si>
    <t>Stack Overflow</t>
  </si>
  <si>
    <t>Dataset is available for download Dataset passed all tests  Unipartite, directed Unweighted, multiple edges  Edges are annotated with timestamps Contains loops Is a snapshot and likely to not contain all data</t>
  </si>
  <si>
    <t>Dataset is available for download Dataset passed all tests  Unipartite, undirected Unweighted, no multiple edges  Is a snapshot and likely to not contain all data Only the largest connected component of the original data is included</t>
  </si>
  <si>
    <t>Wikipedia links (fr)</t>
  </si>
  <si>
    <t>Wikipedia links (sr)</t>
  </si>
  <si>
    <t>Web trackers</t>
  </si>
  <si>
    <t>Wikipedia dynamic (de)</t>
  </si>
  <si>
    <t>Dataset is not available for download Dataset passed all tests  Bipartite, undirected Ratings, no multiple edges  Edges are annotated with timestamps Is a snapshot and likely to not contain all data</t>
  </si>
  <si>
    <t>DBpedia links</t>
  </si>
  <si>
    <t>Dataset is available for download Dataset passed all tests  Unipartite, directed Unweighted, multiple edges</t>
  </si>
  <si>
    <t>Wikipedia edits (fr)</t>
  </si>
  <si>
    <t>Wikipedia edits (de)</t>
  </si>
  <si>
    <t>UK domain (2002)</t>
  </si>
  <si>
    <t>Dataset is available for download Dataset passed all tests  Unipartite, undirected Unweighted, no multiple edges  Is a snapshot and likely to not contain all data Is not directed, but the underlying data is Does not have multiple edges, but the underlying data has</t>
  </si>
  <si>
    <t>Yahoo songs</t>
  </si>
  <si>
    <t>Dataset is available for download Dataset passed all tests  Bipartite, undirected Ratings, no multiple edges  Edges are annotated with timestamps</t>
  </si>
  <si>
    <t>Wikipedia links (en)</t>
  </si>
  <si>
    <t>Dataset is available for download Dataset passed all tests  Bipartite, undirected Unweighted, multiple edges</t>
  </si>
  <si>
    <t>Delicious user–tag</t>
  </si>
  <si>
    <t>Dataset is available for download Dataset passed all tests  Bipartite, undirected Unweighted, multiple edges  Edges are annotated with timestamps Is a snapshot and likely to not contain all data</t>
  </si>
  <si>
    <t>Delicious tag–item</t>
  </si>
  <si>
    <t>Delicious user–item</t>
  </si>
  <si>
    <t>Wikipedia edits (en)</t>
  </si>
  <si>
    <t>Dataset is available for download Check was not executed  Bipartite, undirected Unweighted, multiple edges  Edges are annotated with timestamps</t>
  </si>
  <si>
    <t>Twitter (WWW)</t>
  </si>
  <si>
    <t>Dataset is available for download Check was not executed  Unipartite, directed Unweighted, no multiple edges  Is a snapshot and likely to not contain all data Only the largest connected component of the original data is included</t>
  </si>
  <si>
    <t>Twitter (MPI)</t>
  </si>
  <si>
    <t>Dataset is available for download Check was not executed  Unipartite, directed Unweighted, no multiple edges  Is a snapshot and likely to not contain all data</t>
  </si>
  <si>
    <t>UK domain (2007)</t>
  </si>
  <si>
    <t>Dataset is available for download Check was not executed  Unipartite, undirected Unweighted, no multiple edges  Is a snapshot and likely to not contain all data Is not directed, but the underlying data is Does not have multiple edges, but the underlying data has</t>
  </si>
  <si>
    <t>DBLP</t>
  </si>
  <si>
    <t>Flickr</t>
  </si>
  <si>
    <t>Catster/Dogster</t>
  </si>
  <si>
    <t>YouTube</t>
  </si>
  <si>
    <t>Discogs</t>
  </si>
  <si>
    <t>Libimseti.cz</t>
  </si>
  <si>
    <t>Epinions</t>
  </si>
  <si>
    <t>Pokec</t>
  </si>
  <si>
    <t>Reuters</t>
  </si>
  <si>
    <t>Zhishi</t>
  </si>
  <si>
    <t>Wikipedia links (he)</t>
  </si>
  <si>
    <t>Catster/dogster friends</t>
  </si>
  <si>
    <t>Dataset is available for download Dataset passed all tests  Unipartite, undirected Unweighted, no multiple edges</t>
  </si>
  <si>
    <t>Wikipedia links (tr)</t>
  </si>
  <si>
    <t>Wiktionary edits (ru)</t>
  </si>
  <si>
    <t>Wikipedia links (fi)</t>
  </si>
  <si>
    <t>Flickr links</t>
  </si>
  <si>
    <t>Dataset is available for download Dataset passed all tests  Unipartite, undirected Unweighted, no multiple edges  Contains loops Is a snapshot and likely to not contain all data</t>
  </si>
  <si>
    <t>Indian domain</t>
  </si>
  <si>
    <t>Hudong internal</t>
  </si>
  <si>
    <t>Dataset is available for download Dataset passed all tests  Unipartite, undirected Unweighted, no multiple edges  Contains loops</t>
  </si>
  <si>
    <t>European Union domain</t>
  </si>
  <si>
    <t>MovieLens 10M</t>
  </si>
  <si>
    <t>Wikipedia edits (ro)</t>
  </si>
  <si>
    <t>Baidu internal</t>
  </si>
  <si>
    <t>Dataset is available for download Dataset passed all tests  Unipartite, directed Unweighted, multiple edges  Contains loops</t>
  </si>
  <si>
    <t>Western USA</t>
  </si>
  <si>
    <t>Dataset is available for download Dataset passed all tests  Unipartite, directed Unweighted, no multiple edges</t>
  </si>
  <si>
    <t>Wikipedia links (cs)</t>
  </si>
  <si>
    <t>US patents</t>
  </si>
  <si>
    <t>Dataset is available for download Dataset passed all tests  Unipartite, directed Unweighted, no multiple edges  Does not contain directed cycles</t>
  </si>
  <si>
    <t>Dataset is available for download Dataset passed all tests  Unipartite, undirected Unweighted, no multiple edges  Edges are annotated with timestamps</t>
  </si>
  <si>
    <t>Discogs artist–style</t>
  </si>
  <si>
    <t>Wikipedia links (hy)</t>
  </si>
  <si>
    <t>Wikipedia edits (id)</t>
  </si>
  <si>
    <t>Wikipedia links (no)</t>
  </si>
  <si>
    <t>Wikipedia links (oc)</t>
  </si>
  <si>
    <t>Dataset is available for download Dataset passed all tests  Unipartite, directed Ratings, no multiple edges</t>
  </si>
  <si>
    <t>Hudong related</t>
  </si>
  <si>
    <t>Wikipedia edits (cs)</t>
  </si>
  <si>
    <t>Wikipedia edits (sr)</t>
  </si>
  <si>
    <t>Wikipedia edits (fi)</t>
  </si>
  <si>
    <t>Wikipedia edits (tr)</t>
  </si>
  <si>
    <t>Wikipedia edits (ko)</t>
  </si>
  <si>
    <t>Twitter user–item</t>
  </si>
  <si>
    <t>Dataset is not available for download Dataset passed all tests  Bipartite, undirected Unweighted, multiple edges  Edges are annotated with timestamps Is a snapshot and likely to not contain all data</t>
  </si>
  <si>
    <t>Twitter mentions</t>
  </si>
  <si>
    <t>Dataset is not available for download Dataset passed all tests  Unipartite, directed Unweighted, multiple edges  Edges are annotated with timestamps Contains loops</t>
  </si>
  <si>
    <t>Wikipedia links (ms)</t>
  </si>
  <si>
    <t>Wikipedia edits (no)</t>
  </si>
  <si>
    <t>Wikipedia edits (ceb)</t>
  </si>
  <si>
    <t>Wikipedia links (ko)</t>
  </si>
  <si>
    <t>Wikipedia edits (ca)</t>
  </si>
  <si>
    <t>Wikipedia edits (hu)</t>
  </si>
  <si>
    <t>Last.fm bands</t>
  </si>
  <si>
    <t>Wikipedia edits (he)</t>
  </si>
  <si>
    <t>Wikipedia edits (fa)</t>
  </si>
  <si>
    <t>Last.fm songs</t>
  </si>
  <si>
    <t>Wikipedia links (ro)</t>
  </si>
  <si>
    <t>Wikipedia links (id)</t>
  </si>
  <si>
    <t>Wikipedia edits (uk)</t>
  </si>
  <si>
    <t>Actor collaborations</t>
  </si>
  <si>
    <t>Dataset is available for download Dataset passed all tests  Unipartite, undirected Unweighted, multiple edges</t>
  </si>
  <si>
    <t>Filmtipset ratings</t>
  </si>
  <si>
    <t>Dataset is not available for download Dataset passed all tests  Bipartite, undirected Ratings, multiple edges  Edges are annotated with timestamps</t>
  </si>
  <si>
    <t>Wikipedia edits (ar)</t>
  </si>
  <si>
    <t>Wikipedia links (war)</t>
  </si>
  <si>
    <t>Wikipedia links (ca)</t>
  </si>
  <si>
    <t>Wikipedia dynamic (nl)</t>
  </si>
  <si>
    <t>Wiktionary edits (mg)</t>
  </si>
  <si>
    <t>Wiktionary edits (fr)</t>
  </si>
  <si>
    <t>Central USA</t>
  </si>
  <si>
    <t>Wikipedia edits (vi)</t>
  </si>
  <si>
    <t>Wikipedia talk (en)</t>
  </si>
  <si>
    <t>Dataset is available for download Dataset passed all tests  Unipartite, directed Unweighted, multiple edges  Edges are annotated with timestamps Contains loops</t>
  </si>
  <si>
    <t>Wikipedia links (hu)</t>
  </si>
  <si>
    <t>Wikipedia links (es)</t>
  </si>
  <si>
    <t>Wikipedia dynamic (pl)</t>
  </si>
  <si>
    <t>Wikipedia links (vi)</t>
  </si>
  <si>
    <t>LiveJournal links</t>
  </si>
  <si>
    <t>Dataset is available for download Dataset passed all tests  Unipartite, undirected Unweighted, multiple edges  Edges are annotated with timestamps Is the join of an underlying network</t>
  </si>
  <si>
    <t>Wikipedia links (pt)</t>
  </si>
  <si>
    <t>Wikipedia links (uk)</t>
  </si>
  <si>
    <t>Wikipedia links (nl)</t>
  </si>
  <si>
    <t>Wikipedia edits (pt)</t>
  </si>
  <si>
    <t>Wikipedia edits (sv)</t>
  </si>
  <si>
    <t>Dataset is available for download Dataset passed all tests  Unipartite, directed Unweighted, no multiple edges  Edges are annotated with timestamps</t>
  </si>
  <si>
    <t>Wikipedia edits (zh)</t>
  </si>
  <si>
    <t>Wikipedia links (ar)</t>
  </si>
  <si>
    <t>Wikipedia dynamic (it)</t>
  </si>
  <si>
    <t>Wikipedia links (fa)</t>
  </si>
  <si>
    <t>NY Times</t>
  </si>
  <si>
    <t>Wikipedia links (pl)</t>
  </si>
  <si>
    <t>Full USA</t>
  </si>
  <si>
    <t>Wikipedia edits (sh)</t>
  </si>
  <si>
    <t>Wikipedia links (zh)</t>
  </si>
  <si>
    <t>Wikipedia edits (pl)</t>
  </si>
  <si>
    <t>Wikipedia edits (nl)</t>
  </si>
  <si>
    <t>Wikipedia edits (ja)</t>
  </si>
  <si>
    <t>Wikipedia links (ceb)</t>
  </si>
  <si>
    <t>Wikipedia growth (en)</t>
  </si>
  <si>
    <t>Wiktionary edits (en)</t>
  </si>
  <si>
    <t>Wikipedia links (ja)</t>
  </si>
  <si>
    <t>Wikipedia links (ru)</t>
  </si>
  <si>
    <t>Wikipedia links (de)</t>
  </si>
  <si>
    <t>Wikipedia links (sh)</t>
  </si>
  <si>
    <t>TREC (disks 4–5)</t>
  </si>
  <si>
    <t>Wikipedia links (it)</t>
  </si>
  <si>
    <t>brunson_south-africa</t>
  </si>
  <si>
    <t>brunson_southern-women</t>
  </si>
  <si>
    <t>hiv</t>
  </si>
  <si>
    <t>ucidata-zachary</t>
  </si>
  <si>
    <t>ucidata-gama</t>
  </si>
  <si>
    <t>moreno_taro</t>
  </si>
  <si>
    <t>opsahl-southernwomen</t>
  </si>
  <si>
    <t>moreno_zebra</t>
  </si>
  <si>
    <t>brunson_club-membership</t>
  </si>
  <si>
    <t>brunson_corporate-leadership</t>
  </si>
  <si>
    <t>moreno_kangaroo</t>
  </si>
  <si>
    <t>iceland</t>
  </si>
  <si>
    <t>edit-krwikiquote</t>
  </si>
  <si>
    <t>contiguous-usa</t>
  </si>
  <si>
    <t>moreno_rhesus</t>
  </si>
  <si>
    <t>dolphins</t>
  </si>
  <si>
    <t>dimacs10-chesapeake</t>
  </si>
  <si>
    <t>brunson_revolution</t>
  </si>
  <si>
    <t>edit-gnwikibooks</t>
  </si>
  <si>
    <t>edit-rmwikibooks</t>
  </si>
  <si>
    <t>edit-angwikisource</t>
  </si>
  <si>
    <t>edit-kswikiquote</t>
  </si>
  <si>
    <t>edit-bmwikibooks</t>
  </si>
  <si>
    <t>edit-bmwikiquote</t>
  </si>
  <si>
    <t>moreno_sampson</t>
  </si>
  <si>
    <t>edit-biwikibooks</t>
  </si>
  <si>
    <t>moreno_cattle</t>
  </si>
  <si>
    <t>maayan-pdzbase</t>
  </si>
  <si>
    <t>edit-rnwiktionary</t>
  </si>
  <si>
    <t>edit-mhwiktionary</t>
  </si>
  <si>
    <t>league-be1-2016</t>
  </si>
  <si>
    <t>edit-tkwikiquote</t>
  </si>
  <si>
    <t>edit-chwiktionary</t>
  </si>
  <si>
    <t>moreno_train</t>
  </si>
  <si>
    <t>edit-ugwikiquote</t>
  </si>
  <si>
    <t>edit-avwiktionary</t>
  </si>
  <si>
    <t>moreno_sheep</t>
  </si>
  <si>
    <t>edit-akwiktionary</t>
  </si>
  <si>
    <t>gene_fusion</t>
  </si>
  <si>
    <t>edit-kswikibooks</t>
  </si>
  <si>
    <t>moreno_lesmis</t>
  </si>
  <si>
    <t>edit-chwikibooks</t>
  </si>
  <si>
    <t>edit-aswikibooks</t>
  </si>
  <si>
    <t>edit-mywikibooks</t>
  </si>
  <si>
    <t>edit-aawikibooks</t>
  </si>
  <si>
    <t>league-de1-2016</t>
  </si>
  <si>
    <t>edit-nahwikibooks</t>
  </si>
  <si>
    <t>moreno_bison</t>
  </si>
  <si>
    <t>edit-gotwikibooks</t>
  </si>
  <si>
    <t>edit-crwiktionary</t>
  </si>
  <si>
    <t>edit-alswikiquote</t>
  </si>
  <si>
    <t>edit-ttwikiquote</t>
  </si>
  <si>
    <t>edit-quwikibooks</t>
  </si>
  <si>
    <t>adjnoun_adjacency</t>
  </si>
  <si>
    <t>moreno_beach</t>
  </si>
  <si>
    <t>edit-vowikiquote</t>
  </si>
  <si>
    <t>dimacs10-polbooks</t>
  </si>
  <si>
    <t>edit-sewikibooks</t>
  </si>
  <si>
    <t>edit-bowikibooks</t>
  </si>
  <si>
    <t>moreno_seventh</t>
  </si>
  <si>
    <t>edit-xhwiktionary</t>
  </si>
  <si>
    <t>edit-ugwikibooks</t>
  </si>
  <si>
    <t>league-fr1-2016</t>
  </si>
  <si>
    <t>league-uk1-2013</t>
  </si>
  <si>
    <t>moreno_highschool</t>
  </si>
  <si>
    <t>edit-miwikibooks</t>
  </si>
  <si>
    <t>edit-gawikiquote</t>
  </si>
  <si>
    <t>edit-rmwiktionary</t>
  </si>
  <si>
    <t>edit-akwikibooks</t>
  </si>
  <si>
    <t>edit-aawiktionary</t>
  </si>
  <si>
    <t>moreno_hens</t>
  </si>
  <si>
    <t>edit-guwikibooks</t>
  </si>
  <si>
    <t>edit-bmwiktionary</t>
  </si>
  <si>
    <t>edit-wawikibooks</t>
  </si>
  <si>
    <t>edit-lnwikibooks</t>
  </si>
  <si>
    <t>edit-yowikibooks</t>
  </si>
  <si>
    <t>dimacs10-football</t>
  </si>
  <si>
    <t>edit-kkwikiquote</t>
  </si>
  <si>
    <t>edit-bowiktionary</t>
  </si>
  <si>
    <t>edit-xhwikibooks</t>
  </si>
  <si>
    <t>edit-lbwikibooks</t>
  </si>
  <si>
    <t>edit-muswiki</t>
  </si>
  <si>
    <t>dbpedia-similar</t>
  </si>
  <si>
    <t>edit-zawikibooks</t>
  </si>
  <si>
    <t>edit-scwiktionary</t>
  </si>
  <si>
    <t>edit-biwiktionary</t>
  </si>
  <si>
    <t>edit-towiktionary</t>
  </si>
  <si>
    <t>edit-yowiktionary</t>
  </si>
  <si>
    <t>edit-pswikibooks</t>
  </si>
  <si>
    <t>edit-twwiktionary</t>
  </si>
  <si>
    <t>edit-dzwiktionary</t>
  </si>
  <si>
    <t>edit-knwikibooks</t>
  </si>
  <si>
    <t>edit-ndswikibooks</t>
  </si>
  <si>
    <t>edit-bhwiktionary</t>
  </si>
  <si>
    <t>edit-kjwiki</t>
  </si>
  <si>
    <t>edit-snwiktionary</t>
  </si>
  <si>
    <t>edit-swwikibooks</t>
  </si>
  <si>
    <t>edit-htwikisource</t>
  </si>
  <si>
    <t>edit-aswiktionary</t>
  </si>
  <si>
    <t>edit-cowikiquote</t>
  </si>
  <si>
    <t>edit-alswikibooks</t>
  </si>
  <si>
    <t>edit-howiki</t>
  </si>
  <si>
    <t>convote</t>
  </si>
  <si>
    <t>edit-mowiktionary</t>
  </si>
  <si>
    <t>edit-zuwikibooks</t>
  </si>
  <si>
    <t>edit-abwiktionary</t>
  </si>
  <si>
    <t>edit-tkwikibooks</t>
  </si>
  <si>
    <t>edit-mnwikibooks</t>
  </si>
  <si>
    <t>moreno_innovation</t>
  </si>
  <si>
    <t>edit-nawikibooks</t>
  </si>
  <si>
    <t>edit-krwiki</t>
  </si>
  <si>
    <t>edit-astwikibooks</t>
  </si>
  <si>
    <t>edit-hzwiki</t>
  </si>
  <si>
    <t>moreno_mac</t>
  </si>
  <si>
    <t>edit-vowikibooks</t>
  </si>
  <si>
    <t>edit-cowikibooks</t>
  </si>
  <si>
    <t>edit-suwikibooks</t>
  </si>
  <si>
    <t>edit-chowiki</t>
  </si>
  <si>
    <t>edit-uzwikibooks</t>
  </si>
  <si>
    <t>subelj_euroroad</t>
  </si>
  <si>
    <t>edit-iiwiki</t>
  </si>
  <si>
    <t>edit-astwikiquote</t>
  </si>
  <si>
    <t>edit-amwikiquote</t>
  </si>
  <si>
    <t>moreno_crime</t>
  </si>
  <si>
    <t>edit-dinwiki</t>
  </si>
  <si>
    <t>edit-mhwiki</t>
  </si>
  <si>
    <t>edit-lbwikiquote</t>
  </si>
  <si>
    <t>librec-filmtrust-trust</t>
  </si>
  <si>
    <t>dimacs10-celegans_metabolic</t>
  </si>
  <si>
    <t>edit-zh_min_nanwikibooks</t>
  </si>
  <si>
    <t>edit-lvwikibooks</t>
  </si>
  <si>
    <t>unicodelang</t>
  </si>
  <si>
    <t>edit-mgwikibooks</t>
  </si>
  <si>
    <t>edit-wowikiquote</t>
  </si>
  <si>
    <t>edit-kywikiquote</t>
  </si>
  <si>
    <t>edit-kywikibooks</t>
  </si>
  <si>
    <t>edit-zh_min_nanwikiquote</t>
  </si>
  <si>
    <t>arenas-jazz</t>
  </si>
  <si>
    <t>moreno_propro</t>
  </si>
  <si>
    <t>edit-fowikisource</t>
  </si>
  <si>
    <t>maayan-foodweb</t>
  </si>
  <si>
    <t>edit-iewikibooks</t>
  </si>
  <si>
    <t>edit-fywikibooks</t>
  </si>
  <si>
    <t>edit-cywikibooks</t>
  </si>
  <si>
    <t>dimacs10-netscience</t>
  </si>
  <si>
    <t>maayan-faa</t>
  </si>
  <si>
    <t>edit-aawiki</t>
  </si>
  <si>
    <t>edit-uzwikiquote</t>
  </si>
  <si>
    <t>moreno_oz</t>
  </si>
  <si>
    <t>edit-angwikiquote</t>
  </si>
  <si>
    <t>edit-tgwikibooks</t>
  </si>
  <si>
    <t>edit-pawikibooks</t>
  </si>
  <si>
    <t>ego-facebook</t>
  </si>
  <si>
    <t>edit-alswiktionary</t>
  </si>
  <si>
    <t>asoiaf</t>
  </si>
  <si>
    <t>edit-kuwikibooks</t>
  </si>
  <si>
    <t>edit-iawikibooks</t>
  </si>
  <si>
    <t>wiki_talk_ht</t>
  </si>
  <si>
    <t>edit-cvwikibooks</t>
  </si>
  <si>
    <t>edit-afwikibooks</t>
  </si>
  <si>
    <t>arenas-meta</t>
  </si>
  <si>
    <t>edit-zawiktionary</t>
  </si>
  <si>
    <t>edit-ocwikibooks</t>
  </si>
  <si>
    <t>edit-tewikibooks</t>
  </si>
  <si>
    <t>petster-hamster-household</t>
  </si>
  <si>
    <t>edit-ikwiktionary</t>
  </si>
  <si>
    <t>edit-kswiktionary</t>
  </si>
  <si>
    <t>edit-ngwiki</t>
  </si>
  <si>
    <t>dimacs10-celegansneural</t>
  </si>
  <si>
    <t>edit-sawikibooks</t>
  </si>
  <si>
    <t>edit-kkwikibooks</t>
  </si>
  <si>
    <t>arenas-email</t>
  </si>
  <si>
    <t>foodweb-baywet</t>
  </si>
  <si>
    <t>foodweb-baydry</t>
  </si>
  <si>
    <t>edit-mrwikiquote</t>
  </si>
  <si>
    <t>edit-liwikibooks</t>
  </si>
  <si>
    <t>edit-bewikibooks</t>
  </si>
  <si>
    <t>edit-angwikibooks</t>
  </si>
  <si>
    <t>edit-mrwikibooks</t>
  </si>
  <si>
    <t>edit-brwikiquote</t>
  </si>
  <si>
    <t>edit-bswikibooks</t>
  </si>
  <si>
    <t>edit-hawiktionary</t>
  </si>
  <si>
    <t>edit-tnwiktionary</t>
  </si>
  <si>
    <t>moreno_vdb</t>
  </si>
  <si>
    <t>edit-tswiktionary</t>
  </si>
  <si>
    <t>maayan-Stelzl</t>
  </si>
  <si>
    <t>edit-ttwikibooks</t>
  </si>
  <si>
    <t>maayan-vidal</t>
  </si>
  <si>
    <t>edit-lawikibooks</t>
  </si>
  <si>
    <t>maayan-figeys</t>
  </si>
  <si>
    <t>edit-suwikiquote</t>
  </si>
  <si>
    <t>edit-thwikinews</t>
  </si>
  <si>
    <t>edit-knwikiquote</t>
  </si>
  <si>
    <t>edit-sqwikiquote</t>
  </si>
  <si>
    <t>edit-sgwiktionary</t>
  </si>
  <si>
    <t>edit-skwikisource</t>
  </si>
  <si>
    <t>opsahl-powergrid</t>
  </si>
  <si>
    <t>edit-tiwiktionary</t>
  </si>
  <si>
    <t>edit-urwikibooks</t>
  </si>
  <si>
    <t>edit-cywikisource</t>
  </si>
  <si>
    <t>edit-afwikiquote</t>
  </si>
  <si>
    <t>edit-cywikiquote</t>
  </si>
  <si>
    <t>edit-kmwikibooks</t>
  </si>
  <si>
    <t>edit-mkwikibooks</t>
  </si>
  <si>
    <t>edit-urwikiquote</t>
  </si>
  <si>
    <t>edit-sdwikinews</t>
  </si>
  <si>
    <t>edit-bewikiquote</t>
  </si>
  <si>
    <t>moreno_names</t>
  </si>
  <si>
    <t>edit-dvwiktionary</t>
  </si>
  <si>
    <t>edit-tpiwiktionary</t>
  </si>
  <si>
    <t>edit-sswiktionary</t>
  </si>
  <si>
    <t>edit-etwikibooks</t>
  </si>
  <si>
    <t>edit-euwikibooks</t>
  </si>
  <si>
    <t>edit-kuwikiquote</t>
  </si>
  <si>
    <t>edit-hywikibooks</t>
  </si>
  <si>
    <t>edit-iuwiktionary</t>
  </si>
  <si>
    <t>edit-lnwiktionary</t>
  </si>
  <si>
    <t>edit-ltwikisource</t>
  </si>
  <si>
    <t>petster-friendships-hamster</t>
  </si>
  <si>
    <t>edit-liwikiquote</t>
  </si>
  <si>
    <t>pajek-erdos</t>
  </si>
  <si>
    <t>edit-zh_min_nanwikisource</t>
  </si>
  <si>
    <t>edit-euwikiquote</t>
  </si>
  <si>
    <t>edit-suwiktionary</t>
  </si>
  <si>
    <t>edit-pawikisource</t>
  </si>
  <si>
    <t>edit-iswikiquote</t>
  </si>
  <si>
    <t>edit-lawikiquote</t>
  </si>
  <si>
    <t>edit-mswikibooks</t>
  </si>
  <si>
    <t>petster-hamster-friend</t>
  </si>
  <si>
    <t>edit-tlwikibooks</t>
  </si>
  <si>
    <t>as20000102</t>
  </si>
  <si>
    <t>edit-sahwikisource</t>
  </si>
  <si>
    <t>edit-adywiki</t>
  </si>
  <si>
    <t>edit-atjwiki</t>
  </si>
  <si>
    <t>edit-hiwikibooks</t>
  </si>
  <si>
    <t>edit-siwikibooks</t>
  </si>
  <si>
    <t>edit-liwikisource</t>
  </si>
  <si>
    <t>edit-omwiktionary</t>
  </si>
  <si>
    <t>edit-quwiktionary</t>
  </si>
  <si>
    <t>edit-kswiki</t>
  </si>
  <si>
    <t>edit-rwwiktionary</t>
  </si>
  <si>
    <t>dnc-corecipient</t>
  </si>
  <si>
    <t>edit-gnwiktionary</t>
  </si>
  <si>
    <t>edit-kwwiktionary</t>
  </si>
  <si>
    <t>petster-hamster</t>
  </si>
  <si>
    <t>edit-bgwikibooks</t>
  </si>
  <si>
    <t>moreno_health</t>
  </si>
  <si>
    <t>edit-mowiki</t>
  </si>
  <si>
    <t>edit-nawiktionary</t>
  </si>
  <si>
    <t>edit-kbpwiki</t>
  </si>
  <si>
    <t>edit-newikibooks</t>
  </si>
  <si>
    <t>edit-etwikiquote</t>
  </si>
  <si>
    <t>edit-zuwiktionary</t>
  </si>
  <si>
    <t>edit-aywiktionary</t>
  </si>
  <si>
    <t>edit-bswikisource</t>
  </si>
  <si>
    <t>edit-sqwikinews</t>
  </si>
  <si>
    <t>edit-srwikibooks</t>
  </si>
  <si>
    <t>moreno_blogs</t>
  </si>
  <si>
    <t>edit-gvwiktionary</t>
  </si>
  <si>
    <t>edit-jbowiktionary</t>
  </si>
  <si>
    <t>edit-srwikiquote</t>
  </si>
  <si>
    <t>edit-jawikiversity</t>
  </si>
  <si>
    <t>edit-iewiktionary</t>
  </si>
  <si>
    <t>edit-roa_rupwiktionary</t>
  </si>
  <si>
    <t>edit-miwiktionary</t>
  </si>
  <si>
    <t>edit-slwikibooks</t>
  </si>
  <si>
    <t>edit-dawikiquote</t>
  </si>
  <si>
    <t>edit-skwikibooks</t>
  </si>
  <si>
    <t>edit-twwiki</t>
  </si>
  <si>
    <t>p2p-Gnutella08</t>
  </si>
  <si>
    <t>edit-yiwiktionary</t>
  </si>
  <si>
    <t>twin</t>
  </si>
  <si>
    <t>edit-bgwikisource</t>
  </si>
  <si>
    <t>edit-stwiktionary</t>
  </si>
  <si>
    <t>edit-tawikiquote</t>
  </si>
  <si>
    <t>edit-aswikisource</t>
  </si>
  <si>
    <t>wiki_talk_cy</t>
  </si>
  <si>
    <t>wiki_talk_oc</t>
  </si>
  <si>
    <t>edit-tawikibooks</t>
  </si>
  <si>
    <t>edit-amwiktionary</t>
  </si>
  <si>
    <t>edit-vewiki</t>
  </si>
  <si>
    <t>edit-kiwiki</t>
  </si>
  <si>
    <t>edit-bnwikibooks</t>
  </si>
  <si>
    <t>edit-tewikiquote</t>
  </si>
  <si>
    <t>edit-tiwiki</t>
  </si>
  <si>
    <t>arenas-pgp</t>
  </si>
  <si>
    <t>edit-siwiktionary</t>
  </si>
  <si>
    <t>edit-simplewikibooks</t>
  </si>
  <si>
    <t>edit-mlwikibooks</t>
  </si>
  <si>
    <t>edit-akwiki</t>
  </si>
  <si>
    <t>edit-guwikiquote</t>
  </si>
  <si>
    <t>edit-nywiki</t>
  </si>
  <si>
    <t>edit-kowikiversity</t>
  </si>
  <si>
    <t>edit-idwikiquote</t>
  </si>
  <si>
    <t>edit-kawikibooks</t>
  </si>
  <si>
    <t>p2p-Gnutella09</t>
  </si>
  <si>
    <t>edit-iswikisource</t>
  </si>
  <si>
    <t>edit-fjwiki</t>
  </si>
  <si>
    <t>edit-glwikisource</t>
  </si>
  <si>
    <t>edit-sgwiki</t>
  </si>
  <si>
    <t>dimacs10-polblogs</t>
  </si>
  <si>
    <t>edit-sowiktionary</t>
  </si>
  <si>
    <t>edit-rnwiki</t>
  </si>
  <si>
    <t>edit-chwiki</t>
  </si>
  <si>
    <t>edit-pawiktionary</t>
  </si>
  <si>
    <t>edit-hrwikibooks</t>
  </si>
  <si>
    <t>edit-rowikiquote</t>
  </si>
  <si>
    <t>edit-hiwikiquote</t>
  </si>
  <si>
    <t>edit-mlwikiquote</t>
  </si>
  <si>
    <t>edit-tumwiki</t>
  </si>
  <si>
    <t>edit-bgwikinews</t>
  </si>
  <si>
    <t>wiki_talk_br</t>
  </si>
  <si>
    <t>edit-glwikibooks</t>
  </si>
  <si>
    <t>edit-fowiktionary</t>
  </si>
  <si>
    <t>edit-nnwikiquote</t>
  </si>
  <si>
    <t>edit-yiwikisource</t>
  </si>
  <si>
    <t>edit-mkwikisource</t>
  </si>
  <si>
    <t>edit-guwiktionary</t>
  </si>
  <si>
    <t>edit-nowikiquote</t>
  </si>
  <si>
    <t>edit-mtwiktionary</t>
  </si>
  <si>
    <t>opsahl-openflights</t>
  </si>
  <si>
    <t>edit-eowikibooks</t>
  </si>
  <si>
    <t>edit-sawikiquote</t>
  </si>
  <si>
    <t>edit-mrwiktionary</t>
  </si>
  <si>
    <t>edit-ukwikibooks</t>
  </si>
  <si>
    <t>edit-glwikiquote</t>
  </si>
  <si>
    <t>p2p-Gnutella06</t>
  </si>
  <si>
    <t>edit-stwiki</t>
  </si>
  <si>
    <t>p2p-Gnutella05</t>
  </si>
  <si>
    <t>edit-ltwikibooks</t>
  </si>
  <si>
    <t>edit-tnwiki</t>
  </si>
  <si>
    <t>edit-hsbwiktionary</t>
  </si>
  <si>
    <t>edit-thwikiquote</t>
  </si>
  <si>
    <t>edit-ukwikivoyage</t>
  </si>
  <si>
    <t>edit-rowikivoyage</t>
  </si>
  <si>
    <t>edit-mrwikisource</t>
  </si>
  <si>
    <t>edit-lgwiki</t>
  </si>
  <si>
    <t>edit-ffwiki</t>
  </si>
  <si>
    <t>opsahl-usairport</t>
  </si>
  <si>
    <t>edit-azwikibooks</t>
  </si>
  <si>
    <t>edit-olowiki</t>
  </si>
  <si>
    <t>edit-chywiki</t>
  </si>
  <si>
    <t>edit-nowikinews</t>
  </si>
  <si>
    <t>edit-iswikibooks</t>
  </si>
  <si>
    <t>edit-klwiktionary</t>
  </si>
  <si>
    <t>edit-urwiktionary</t>
  </si>
  <si>
    <t>ego-twitter</t>
  </si>
  <si>
    <t>librec-ciaodvd-trust</t>
  </si>
  <si>
    <t>sociopatterns-infectious</t>
  </si>
  <si>
    <t>edit-jamwiki</t>
  </si>
  <si>
    <t>edit-svwikiquote</t>
  </si>
  <si>
    <t>edit-dzwiki</t>
  </si>
  <si>
    <t>edit-hrwikiquote</t>
  </si>
  <si>
    <t>edit-tyvwiki</t>
  </si>
  <si>
    <t>edit-wowiktionary</t>
  </si>
  <si>
    <t>edit-dawikibooks</t>
  </si>
  <si>
    <t>librec-filmtrust-ratings</t>
  </si>
  <si>
    <t>edit-svwikiversity</t>
  </si>
  <si>
    <t>edit-elwikivoyage</t>
  </si>
  <si>
    <t>edit-rowikibooks</t>
  </si>
  <si>
    <t>edit-kowikiquote</t>
  </si>
  <si>
    <t>edit-kowikinews</t>
  </si>
  <si>
    <t>edit-bswikinews</t>
  </si>
  <si>
    <t>p2p-Gnutella04</t>
  </si>
  <si>
    <t>sociopatterns-hypertext</t>
  </si>
  <si>
    <t>edit-omwiki</t>
  </si>
  <si>
    <t>contact</t>
  </si>
  <si>
    <t>edit-eowikiquote</t>
  </si>
  <si>
    <t>tntp-ChicagoRegional</t>
  </si>
  <si>
    <t>edit-xhwiki</t>
  </si>
  <si>
    <t>ego-gplus</t>
  </si>
  <si>
    <t>edit-elwikiquote</t>
  </si>
  <si>
    <t>edit-vecwiktionary</t>
  </si>
  <si>
    <t>edit-sdwiktionary</t>
  </si>
  <si>
    <t>edit-jawikiquote</t>
  </si>
  <si>
    <t>edit-tkwiktionary</t>
  </si>
  <si>
    <t>edit-viwikiquote</t>
  </si>
  <si>
    <t>edit-sqwikibooks</t>
  </si>
  <si>
    <t>edit-gdwiktionary</t>
  </si>
  <si>
    <t>edit-zawiki</t>
  </si>
  <si>
    <t>edit-kowikibooks</t>
  </si>
  <si>
    <t>dimacs10-as-22july06</t>
  </si>
  <si>
    <t>edit-tswiki</t>
  </si>
  <si>
    <t>edit-crwiki</t>
  </si>
  <si>
    <t>edit-dtywiki</t>
  </si>
  <si>
    <t>edit-cswikibooks</t>
  </si>
  <si>
    <t>edit-hawiki</t>
  </si>
  <si>
    <t>edit-hewikinews</t>
  </si>
  <si>
    <t>edit-orwikisource</t>
  </si>
  <si>
    <t>edit-kawikiquote</t>
  </si>
  <si>
    <t>edit-pnbwiktionary</t>
  </si>
  <si>
    <t>edit-elwikiversity</t>
  </si>
  <si>
    <t>edit-viwikivoyage</t>
  </si>
  <si>
    <t>edit-ugwiktionary</t>
  </si>
  <si>
    <t>as-caida20071105</t>
  </si>
  <si>
    <t>edit-bewikisource</t>
  </si>
  <si>
    <t>edit-anwiktionary</t>
  </si>
  <si>
    <t>edit-idwikisource</t>
  </si>
  <si>
    <t>soc-sign-bitcoinalpha</t>
  </si>
  <si>
    <t>edit-trwikibooks</t>
  </si>
  <si>
    <t>edit-iawiktionary</t>
  </si>
  <si>
    <t>edit-rowikinews</t>
  </si>
  <si>
    <t>edit-biwiki</t>
  </si>
  <si>
    <t>edit-gotwiki</t>
  </si>
  <si>
    <t>edit-ikwiki</t>
  </si>
  <si>
    <t>edit-zuwiki</t>
  </si>
  <si>
    <t>edit-eowikisource</t>
  </si>
  <si>
    <t>edit-simplewikiquote</t>
  </si>
  <si>
    <t>edit-slwikiquote</t>
  </si>
  <si>
    <t>edit-huwikinews</t>
  </si>
  <si>
    <t>edit-slwikiversity</t>
  </si>
  <si>
    <t>edit-smwiki</t>
  </si>
  <si>
    <t>edit-ltgwiki</t>
  </si>
  <si>
    <t>p2p-Gnutella25</t>
  </si>
  <si>
    <t>wikilens-ratings</t>
  </si>
  <si>
    <t>advogato</t>
  </si>
  <si>
    <t>edit-sswiki</t>
  </si>
  <si>
    <t>edit-towiki</t>
  </si>
  <si>
    <t>wiki_talk_nds</t>
  </si>
  <si>
    <t>edit-chrwiki</t>
  </si>
  <si>
    <t>edit-bmwiki</t>
  </si>
  <si>
    <t>edit-csbwiktionary</t>
  </si>
  <si>
    <t>edit-pntwiki</t>
  </si>
  <si>
    <t>edit-nowikibooks</t>
  </si>
  <si>
    <t>edit-tcywiki</t>
  </si>
  <si>
    <t>edit-svwikibooks</t>
  </si>
  <si>
    <t>openflights</t>
  </si>
  <si>
    <t>edit-pihwiki</t>
  </si>
  <si>
    <t>edit-nsowiki</t>
  </si>
  <si>
    <t>edit-elwikibooks</t>
  </si>
  <si>
    <t>edit-iuwiki</t>
  </si>
  <si>
    <t>opsahl-collaboration</t>
  </si>
  <si>
    <t>edit-fiwikiversity</t>
  </si>
  <si>
    <t>edit-eewiki</t>
  </si>
  <si>
    <t>edit-ukwikinews</t>
  </si>
  <si>
    <t>opsahl-ucforum</t>
  </si>
  <si>
    <t>edit-viwikibooks</t>
  </si>
  <si>
    <t>edit-svwikinews</t>
  </si>
  <si>
    <t>edit-thwikibooks</t>
  </si>
  <si>
    <t>wang-amazon</t>
  </si>
  <si>
    <t>p2p-Gnutella24</t>
  </si>
  <si>
    <t>edit-srnwiki</t>
  </si>
  <si>
    <t>edit-kgwiki</t>
  </si>
  <si>
    <t>edit-kaawiki</t>
  </si>
  <si>
    <t>edit-roa_rupwiki</t>
  </si>
  <si>
    <t>edit-huwikiquote</t>
  </si>
  <si>
    <t>edit-snwiki</t>
  </si>
  <si>
    <t>edit-dawikisource</t>
  </si>
  <si>
    <t>edit-bnwiktionary</t>
  </si>
  <si>
    <t>edit-glkwiki</t>
  </si>
  <si>
    <t>edit-rmywiki</t>
  </si>
  <si>
    <t>edit-trwikisource</t>
  </si>
  <si>
    <t>edit-newiktionary</t>
  </si>
  <si>
    <t>edit-fiwikivoyage</t>
  </si>
  <si>
    <t>edit-etwikisource</t>
  </si>
  <si>
    <t>edit-kbdwiki</t>
  </si>
  <si>
    <t>edit-abwiki</t>
  </si>
  <si>
    <t>edit-lbewiki</t>
  </si>
  <si>
    <t>edit-mkwiktionary</t>
  </si>
  <si>
    <t>edit-tywiki</t>
  </si>
  <si>
    <t>edit-bxrwiki</t>
  </si>
  <si>
    <t>dnc-temporalGraph</t>
  </si>
  <si>
    <t>edit-bewiktionary</t>
  </si>
  <si>
    <t>edit-azwikiquote</t>
  </si>
  <si>
    <t>edit-hrwikisource</t>
  </si>
  <si>
    <t>edit-zhwikiquote</t>
  </si>
  <si>
    <t>edit-tawikinews</t>
  </si>
  <si>
    <t>edit-fiwikiquote</t>
  </si>
  <si>
    <t>edit-arwikiquote</t>
  </si>
  <si>
    <t>edit-angwiktionary</t>
  </si>
  <si>
    <t>edit-mdfwiki</t>
  </si>
  <si>
    <t>edit-cswikinews</t>
  </si>
  <si>
    <t>wiki_talk_eo</t>
  </si>
  <si>
    <t>edit-koiwiki</t>
  </si>
  <si>
    <t>edit-azwikisource</t>
  </si>
  <si>
    <t>edit-idwikibooks</t>
  </si>
  <si>
    <t>edit-pagwiki</t>
  </si>
  <si>
    <t>edit-viwikisource</t>
  </si>
  <si>
    <t>edit-srwikisource</t>
  </si>
  <si>
    <t>edit-lowiki</t>
  </si>
  <si>
    <t>edit-nahwiktionary</t>
  </si>
  <si>
    <t>p2p-Gnutella30</t>
  </si>
  <si>
    <t>edit-bswikiquote</t>
  </si>
  <si>
    <t>edit-cbk_zamwiki</t>
  </si>
  <si>
    <t>edit-gawiktionary</t>
  </si>
  <si>
    <t>edit-nlwikiquote</t>
  </si>
  <si>
    <t>marvel</t>
  </si>
  <si>
    <t>soc-sign-bitcoinotc</t>
  </si>
  <si>
    <t>edit-pcdwiki</t>
  </si>
  <si>
    <t>subelj_cora</t>
  </si>
  <si>
    <t>edit-cawikibooks</t>
  </si>
  <si>
    <t>wikipedia_link_gag</t>
  </si>
  <si>
    <t>wikipedia_link_lo</t>
  </si>
  <si>
    <t>edit-fiwikinews</t>
  </si>
  <si>
    <t>edit-nlwikinews</t>
  </si>
  <si>
    <t>edit-arwikiversity</t>
  </si>
  <si>
    <t>dblp-cite</t>
  </si>
  <si>
    <t>edit-vecwikisource</t>
  </si>
  <si>
    <t>edit-tetwiki</t>
  </si>
  <si>
    <t>edit-bjnwiki</t>
  </si>
  <si>
    <t>edit-igwiki</t>
  </si>
  <si>
    <t>wikipedia_link_am</t>
  </si>
  <si>
    <t>wikipedia_link_mi</t>
  </si>
  <si>
    <t>edit-ltwikiquote</t>
  </si>
  <si>
    <t>wikipedia_link_so</t>
  </si>
  <si>
    <t>edit-gagwiki</t>
  </si>
  <si>
    <t>escorts</t>
  </si>
  <si>
    <t>edit-cdowiki</t>
  </si>
  <si>
    <t>edit-plwikivoyage</t>
  </si>
  <si>
    <t>edit-zhwikibooks</t>
  </si>
  <si>
    <t>edit-nlwikisource</t>
  </si>
  <si>
    <t>edit-pflwiki</t>
  </si>
  <si>
    <t>edit-avwiki</t>
  </si>
  <si>
    <t>edit-elwikinews</t>
  </si>
  <si>
    <t>edit-smwiktionary</t>
  </si>
  <si>
    <t>edit-kabwiki</t>
  </si>
  <si>
    <t>dimacs10-astro-ph</t>
  </si>
  <si>
    <t>wikipedia_link_vls</t>
  </si>
  <si>
    <t>edit-arwikinews</t>
  </si>
  <si>
    <t>edit-arwikibooks</t>
  </si>
  <si>
    <t>edit-rwwiki</t>
  </si>
  <si>
    <t>edit-bswiktionary</t>
  </si>
  <si>
    <t>edit-papwiki</t>
  </si>
  <si>
    <t>subelj_jung-j</t>
  </si>
  <si>
    <t>opsahl-ucsocial</t>
  </si>
  <si>
    <t>wiki_talk_eu</t>
  </si>
  <si>
    <t>edit-fawikibooks</t>
  </si>
  <si>
    <t>dimacs10-cond-mat-2003</t>
  </si>
  <si>
    <t>edit-cuwiki</t>
  </si>
  <si>
    <t>edit-klwiki</t>
  </si>
  <si>
    <t>wikipedia_link_bat_smg</t>
  </si>
  <si>
    <t>wiki_talk_gl</t>
  </si>
  <si>
    <t>edit-ukwikiquote</t>
  </si>
  <si>
    <t>edit-cowiktionary</t>
  </si>
  <si>
    <t>edit-thwikisource</t>
  </si>
  <si>
    <t>wikipedia_link_nds_nl</t>
  </si>
  <si>
    <t>edit-svwikivoyage</t>
  </si>
  <si>
    <t>edit-hawwiki</t>
  </si>
  <si>
    <t>edit-cswikiquote</t>
  </si>
  <si>
    <t>edit-bgwikiquote</t>
  </si>
  <si>
    <t>edit-lezwiki</t>
  </si>
  <si>
    <t>edit-sqwiktionary</t>
  </si>
  <si>
    <t>subelj_jdk</t>
  </si>
  <si>
    <t>wikipedia_link_myv</t>
  </si>
  <si>
    <t>edit-pswiktionary</t>
  </si>
  <si>
    <t>wikipedia_link_gv</t>
  </si>
  <si>
    <t>edit-lbwiktionary</t>
  </si>
  <si>
    <t>edit-ttwiktionary</t>
  </si>
  <si>
    <t>edit-nawiki</t>
  </si>
  <si>
    <t>edit-hywikiquote</t>
  </si>
  <si>
    <t>wikipedia_link_tk</t>
  </si>
  <si>
    <t>edit-skwikiquote</t>
  </si>
  <si>
    <t>edit-cswikiversity</t>
  </si>
  <si>
    <t>foldoc</t>
  </si>
  <si>
    <t>edit-guwikisource</t>
  </si>
  <si>
    <t>edit-xalwiki</t>
  </si>
  <si>
    <t>reactome</t>
  </si>
  <si>
    <t>edit-sdwiki</t>
  </si>
  <si>
    <t>edit-lrcwiki</t>
  </si>
  <si>
    <t>chess</t>
  </si>
  <si>
    <t>edit-tpiwiki</t>
  </si>
  <si>
    <t>edit-jawikisource</t>
  </si>
  <si>
    <t>edit-aywiki</t>
  </si>
  <si>
    <t>edit-lawikisource</t>
  </si>
  <si>
    <t>edit-fawikisource</t>
  </si>
  <si>
    <t>edit-nnwiktionary</t>
  </si>
  <si>
    <t>edit-zhwikivoyage</t>
  </si>
  <si>
    <t>edit-jawikibooks</t>
  </si>
  <si>
    <t>wikipedia_link_csb</t>
  </si>
  <si>
    <t>edit-knwikisource</t>
  </si>
  <si>
    <t>wiki_talk_lv</t>
  </si>
  <si>
    <t>librec-ciaodvd-movie_ratings</t>
  </si>
  <si>
    <t>wikipedia_link_crh</t>
  </si>
  <si>
    <t>edit-lvwiktionary</t>
  </si>
  <si>
    <t>edit-kawiktionary</t>
  </si>
  <si>
    <t>wikipedia_link_wa</t>
  </si>
  <si>
    <t>edit-ptwikiversity</t>
  </si>
  <si>
    <t>p2p-Gnutella31</t>
  </si>
  <si>
    <t>wikipedia_link_co</t>
  </si>
  <si>
    <t>wikipedia_link_gan</t>
  </si>
  <si>
    <t>radoslaw_email</t>
  </si>
  <si>
    <t>wikipedia_link_nah</t>
  </si>
  <si>
    <t>wikipedia_link_rue</t>
  </si>
  <si>
    <t>edit-arcwiki</t>
  </si>
  <si>
    <t>edit-tgwiktionary</t>
  </si>
  <si>
    <t>edit-huwikisource</t>
  </si>
  <si>
    <t>edit-fiwikibooks</t>
  </si>
  <si>
    <t>edit-cawikiquote</t>
  </si>
  <si>
    <t>edit-mwlwiki</t>
  </si>
  <si>
    <t>dbpedia-writer</t>
  </si>
  <si>
    <t>edit-eswikiversity</t>
  </si>
  <si>
    <t>edit-ukwikisource</t>
  </si>
  <si>
    <t>edit-elwikisource</t>
  </si>
  <si>
    <t>edit-myvwiki</t>
  </si>
  <si>
    <t>cfinder-google</t>
  </si>
  <si>
    <t>edit-fawikivoyage</t>
  </si>
  <si>
    <t>edit-pdcwiki</t>
  </si>
  <si>
    <t>edit-vepwiki</t>
  </si>
  <si>
    <t>edit-wowiki</t>
  </si>
  <si>
    <t>edit-kkwiktionary</t>
  </si>
  <si>
    <t>edit-rowikisource</t>
  </si>
  <si>
    <t>edit-acewiki</t>
  </si>
  <si>
    <t>edit-hewikiquote</t>
  </si>
  <si>
    <t>edit-mrjwiki</t>
  </si>
  <si>
    <t>wikipedia_link_lez</t>
  </si>
  <si>
    <t>edit-fiwikisource</t>
  </si>
  <si>
    <t>edit-gnwiki</t>
  </si>
  <si>
    <t>edit-piwiki</t>
  </si>
  <si>
    <t>wikipedia_link_dv</t>
  </si>
  <si>
    <t>edit-kmwiktionary</t>
  </si>
  <si>
    <t>dimacs10-cond-mat-2005</t>
  </si>
  <si>
    <t>edit-ruwikibooks</t>
  </si>
  <si>
    <t>edit-mswiktionary</t>
  </si>
  <si>
    <t>edit-cawikisource</t>
  </si>
  <si>
    <t>edit-ptwikivoyage</t>
  </si>
  <si>
    <t>edit-ruewiki</t>
  </si>
  <si>
    <t>edit-eswikivoyage</t>
  </si>
  <si>
    <t>movielens-100k_rating</t>
  </si>
  <si>
    <t>wikipedia_link_as</t>
  </si>
  <si>
    <t>edit-zeawiki</t>
  </si>
  <si>
    <t>edit-udmwiki</t>
  </si>
  <si>
    <t>ca-AstroPh</t>
  </si>
  <si>
    <t>wikipedia_link_si</t>
  </si>
  <si>
    <t>edit-extwiki</t>
  </si>
  <si>
    <t>wikipedia_link_kv</t>
  </si>
  <si>
    <t>munmun_digg_reply</t>
  </si>
  <si>
    <t>edit-hakwiki</t>
  </si>
  <si>
    <t>edit-emlwiki</t>
  </si>
  <si>
    <t>edit-krcwiki</t>
  </si>
  <si>
    <t>edit-jbowiki</t>
  </si>
  <si>
    <t>wikipedia_link_xal</t>
  </si>
  <si>
    <t>edit-nlwikivoyage</t>
  </si>
  <si>
    <t>edit-trwikiquote</t>
  </si>
  <si>
    <t>edit-hewikibooks</t>
  </si>
  <si>
    <t>movielens-10m_ti</t>
  </si>
  <si>
    <t>movielens-10m_ui</t>
  </si>
  <si>
    <t>movielens-10m_ut</t>
  </si>
  <si>
    <t>wikipedia_link_pam</t>
  </si>
  <si>
    <t>linux</t>
  </si>
  <si>
    <t>edit-zhwikinews</t>
  </si>
  <si>
    <t>edit-brwikisource</t>
  </si>
  <si>
    <t>edit-lnwiki</t>
  </si>
  <si>
    <t>edit-novwiki</t>
  </si>
  <si>
    <t>edit-stqwiki</t>
  </si>
  <si>
    <t>wikipedia_link_mhr</t>
  </si>
  <si>
    <t>edit-dvwiki</t>
  </si>
  <si>
    <t>edit-jvwiktionary</t>
  </si>
  <si>
    <t>edit-iewiki</t>
  </si>
  <si>
    <t>edit-ruwikiversity</t>
  </si>
  <si>
    <t>loc-brightkite_edges</t>
  </si>
  <si>
    <t>edit-kywiktionary</t>
  </si>
  <si>
    <t>wikipedia_link_fiu_vro</t>
  </si>
  <si>
    <t>edit-skwiktionary</t>
  </si>
  <si>
    <t>edit-sawikisource</t>
  </si>
  <si>
    <t>edit-fawikiquote</t>
  </si>
  <si>
    <t>elec</t>
  </si>
  <si>
    <t>dbpedia-producer</t>
  </si>
  <si>
    <t>edit-kvwiki</t>
  </si>
  <si>
    <t>wikipedia_link_se</t>
  </si>
  <si>
    <t>edit-ugwiki</t>
  </si>
  <si>
    <t>edit-ndswiktionary</t>
  </si>
  <si>
    <t>edit-bowiki</t>
  </si>
  <si>
    <t>edit-swwiktionary</t>
  </si>
  <si>
    <t>edit-frrwiki</t>
  </si>
  <si>
    <t>edit-dsbwiki</t>
  </si>
  <si>
    <t>edit-rmwiki</t>
  </si>
  <si>
    <t>edit-xmfwiki</t>
  </si>
  <si>
    <t>dbpedia-recordlabel</t>
  </si>
  <si>
    <t>edit-cawikinews</t>
  </si>
  <si>
    <t>edit-ptwikiquote</t>
  </si>
  <si>
    <t>edit-roa_tarawiki</t>
  </si>
  <si>
    <t>edit-nowikisource</t>
  </si>
  <si>
    <t>edit-scwiki</t>
  </si>
  <si>
    <t>edit-fywiktionary</t>
  </si>
  <si>
    <t>edit-crhwiki</t>
  </si>
  <si>
    <t>edit-sowiki</t>
  </si>
  <si>
    <t>edit-eowikinews</t>
  </si>
  <si>
    <t>edit-slwiktionary</t>
  </si>
  <si>
    <t>wiki_talk_bn</t>
  </si>
  <si>
    <t>wikipedia_link_fo</t>
  </si>
  <si>
    <t>wikipedia_link_hsb</t>
  </si>
  <si>
    <t>edit-mznwiki</t>
  </si>
  <si>
    <t>edit-hewikivoyage</t>
  </si>
  <si>
    <t>edit-tlwiktionary</t>
  </si>
  <si>
    <t>wikispeedia</t>
  </si>
  <si>
    <t>wikipedia_link_os</t>
  </si>
  <si>
    <t>wiki_talk_sk</t>
  </si>
  <si>
    <t>edit-jawikinews</t>
  </si>
  <si>
    <t>edit-afwiktionary</t>
  </si>
  <si>
    <t>edit-itwikiversity</t>
  </si>
  <si>
    <t>wikipedia_link_hif</t>
  </si>
  <si>
    <t>edit-miwiki</t>
  </si>
  <si>
    <t>wikipedia_link_diq</t>
  </si>
  <si>
    <t>edit-slwikisource</t>
  </si>
  <si>
    <t>wikipedia_link_vec</t>
  </si>
  <si>
    <t>edit-cswikisource</t>
  </si>
  <si>
    <t>dbpedia-occupation</t>
  </si>
  <si>
    <t>edit-nvwiki</t>
  </si>
  <si>
    <t>edit-kowikisource</t>
  </si>
  <si>
    <t>edit-lijwiki</t>
  </si>
  <si>
    <t>edit-scnwiktionary</t>
  </si>
  <si>
    <t>wikipedia_link_cdo</t>
  </si>
  <si>
    <t>edit-csbwiki</t>
  </si>
  <si>
    <t>edit-wuuwiki</t>
  </si>
  <si>
    <t>edit-maiwiki</t>
  </si>
  <si>
    <t>edit-aswiki</t>
  </si>
  <si>
    <t>edit-furwiki</t>
  </si>
  <si>
    <t>edit-mlwikisource</t>
  </si>
  <si>
    <t>edit-mhrwiki</t>
  </si>
  <si>
    <t>edit-zh_min_nanwiktionary</t>
  </si>
  <si>
    <t>wikipedia_link_glk</t>
  </si>
  <si>
    <t>edit-bclwiki</t>
  </si>
  <si>
    <t>wikipedia_link_kn</t>
  </si>
  <si>
    <t>edit-cywiktionary</t>
  </si>
  <si>
    <t>edit-fiu_vrowiki</t>
  </si>
  <si>
    <t>edit-hywikisource</t>
  </si>
  <si>
    <t>edit-orwiktionary</t>
  </si>
  <si>
    <t>edit-fywiki</t>
  </si>
  <si>
    <t>edit-kwwiki</t>
  </si>
  <si>
    <t>slashdot-threads</t>
  </si>
  <si>
    <t>edit-kshwiki</t>
  </si>
  <si>
    <t>wikipedia_link_sah</t>
  </si>
  <si>
    <t>wikipedia_link_map_bms</t>
  </si>
  <si>
    <t>youtube-groupmemberships</t>
  </si>
  <si>
    <t>edit-pswiki</t>
  </si>
  <si>
    <t>wikipedia_link_bcl</t>
  </si>
  <si>
    <t>wikipedia_link_gd</t>
  </si>
  <si>
    <t>edit-gomwiki</t>
  </si>
  <si>
    <t>edit-azbwiki</t>
  </si>
  <si>
    <t>dbpedia-starring</t>
  </si>
  <si>
    <t>edit-frpwiki</t>
  </si>
  <si>
    <t>edit-angwiki</t>
  </si>
  <si>
    <t>edit-plwikibooks</t>
  </si>
  <si>
    <t>dbpedia-location</t>
  </si>
  <si>
    <t>edit-kmwiki</t>
  </si>
  <si>
    <t>edit-astwiktionary</t>
  </si>
  <si>
    <t>edit-fjwiktionary</t>
  </si>
  <si>
    <t>edit-ladwiki</t>
  </si>
  <si>
    <t>edit-cowiki</t>
  </si>
  <si>
    <t>cit-HepTh</t>
  </si>
  <si>
    <t>edit-tewikisource</t>
  </si>
  <si>
    <t>wikipedia_link_bh</t>
  </si>
  <si>
    <t>eat</t>
  </si>
  <si>
    <t>topology</t>
  </si>
  <si>
    <t>wikipedia_link_li</t>
  </si>
  <si>
    <t>edit-lawiktionary</t>
  </si>
  <si>
    <t>edit-wawiktionary</t>
  </si>
  <si>
    <t>edit-bugwiki</t>
  </si>
  <si>
    <t>edit-tkwiki</t>
  </si>
  <si>
    <t>edit-szlwiki</t>
  </si>
  <si>
    <t>bag-kos</t>
  </si>
  <si>
    <t>edit-map_bmswiki</t>
  </si>
  <si>
    <t>wikipedia_link_xmf</t>
  </si>
  <si>
    <t>edit-mtwiki</t>
  </si>
  <si>
    <t>douban</t>
  </si>
  <si>
    <t>edit-ruwikivoyage</t>
  </si>
  <si>
    <t>edit-frwikiquote</t>
  </si>
  <si>
    <t>wiki_talk_el</t>
  </si>
  <si>
    <t>wikipedia_link_hak</t>
  </si>
  <si>
    <t>edit-nrmwiki</t>
  </si>
  <si>
    <t>wang-tripadvisor</t>
  </si>
  <si>
    <t>edit-vowiktionary</t>
  </si>
  <si>
    <t>edit-plwikinews</t>
  </si>
  <si>
    <t>wikipedia_link_ht</t>
  </si>
  <si>
    <t>edit-eswikiquote</t>
  </si>
  <si>
    <t>edit-hifwiki</t>
  </si>
  <si>
    <t>wikipedia_link_nso</t>
  </si>
  <si>
    <t>edit-ruwikiquote</t>
  </si>
  <si>
    <t>cit-HepPh</t>
  </si>
  <si>
    <t>edit-ukwiktionary</t>
  </si>
  <si>
    <t>email-EuAll</t>
  </si>
  <si>
    <t>edit-brwiktionary</t>
  </si>
  <si>
    <t>edit-nlwikibooks</t>
  </si>
  <si>
    <t>edit-trwikinews</t>
  </si>
  <si>
    <t>edit-arwikisource</t>
  </si>
  <si>
    <t>wikipedia_link_mn</t>
  </si>
  <si>
    <t>edit-hrwiktionary</t>
  </si>
  <si>
    <t>edit-hewiktionary</t>
  </si>
  <si>
    <t>edit-diqwiki</t>
  </si>
  <si>
    <t>wikipedia_link_arz</t>
  </si>
  <si>
    <t>wikipedia_link_or</t>
  </si>
  <si>
    <t>edit-fawikinews</t>
  </si>
  <si>
    <t>edit-mnwiktionary</t>
  </si>
  <si>
    <t>edit-eswikibooks</t>
  </si>
  <si>
    <t>edit-ptwikisource</t>
  </si>
  <si>
    <t>edit-iswiktionary</t>
  </si>
  <si>
    <t>github</t>
  </si>
  <si>
    <t>soc-Epinions1</t>
  </si>
  <si>
    <t>dbpedia-genre</t>
  </si>
  <si>
    <t>edit-huwikibooks</t>
  </si>
  <si>
    <t>edit-itwikibooks</t>
  </si>
  <si>
    <t>edit-kywiki</t>
  </si>
  <si>
    <t>edit-ptwikinews</t>
  </si>
  <si>
    <t>edit-zh_classicalwiki</t>
  </si>
  <si>
    <t>edit-sewiki</t>
  </si>
  <si>
    <t>edit-nds_nlwiki</t>
  </si>
  <si>
    <t>edit-pamwiki</t>
  </si>
  <si>
    <t>edit-orwiki</t>
  </si>
  <si>
    <t>edit-vlswiki</t>
  </si>
  <si>
    <t>wikipedia_link_pa</t>
  </si>
  <si>
    <t>edit-ocwiktionary</t>
  </si>
  <si>
    <t>edit-ilowiki</t>
  </si>
  <si>
    <t>wikipedia_link_nds</t>
  </si>
  <si>
    <t>edit-gvwiki</t>
  </si>
  <si>
    <t>edit-dawiktionary</t>
  </si>
  <si>
    <t>edit-frwikivoyage</t>
  </si>
  <si>
    <t>wikipedia_link_ps</t>
  </si>
  <si>
    <t>petster-cat-household</t>
  </si>
  <si>
    <t>bookcrossing_rating</t>
  </si>
  <si>
    <t>edit-wawiki</t>
  </si>
  <si>
    <t>wikipedia_link_pms</t>
  </si>
  <si>
    <t>edit-svwikisource</t>
  </si>
  <si>
    <t>komarix-citeseer</t>
  </si>
  <si>
    <t>edit-amwiki</t>
  </si>
  <si>
    <t>edit-fowiki</t>
  </si>
  <si>
    <t>wiki_talk_sr</t>
  </si>
  <si>
    <t>edit-bat_smgwiki</t>
  </si>
  <si>
    <t>edit-dewikiquote</t>
  </si>
  <si>
    <t>edit-sahwiki</t>
  </si>
  <si>
    <t>dbpedia-country</t>
  </si>
  <si>
    <t>edit-hsbwiki</t>
  </si>
  <si>
    <t>wikipedia_link_yi</t>
  </si>
  <si>
    <t>slashdot-zoo</t>
  </si>
  <si>
    <t>edit-nahwiki</t>
  </si>
  <si>
    <t>edit-azwiktionary</t>
  </si>
  <si>
    <t>wikipedia_link_bar</t>
  </si>
  <si>
    <t>edit-siwiki</t>
  </si>
  <si>
    <t>edit-mywiki</t>
  </si>
  <si>
    <t>wiki_talk_ca</t>
  </si>
  <si>
    <t>edit-ptwikibooks</t>
  </si>
  <si>
    <t>edit-hiwiktionary</t>
  </si>
  <si>
    <t>edit-pawiki</t>
  </si>
  <si>
    <t>wordnet-words</t>
  </si>
  <si>
    <t>bag-nips</t>
  </si>
  <si>
    <t>edit-ganwiki</t>
  </si>
  <si>
    <t>edit-plwikiquote</t>
  </si>
  <si>
    <t>wikipedia_link_als</t>
  </si>
  <si>
    <t>edit-sawiki</t>
  </si>
  <si>
    <t>edit-liwiki</t>
  </si>
  <si>
    <t>wikipedia_link_io</t>
  </si>
  <si>
    <t>edit-euwiktionary</t>
  </si>
  <si>
    <t>edit-simplewiktionary</t>
  </si>
  <si>
    <t>wikipedia_link_ku</t>
  </si>
  <si>
    <t>wikipedia_link_min</t>
  </si>
  <si>
    <t>edit-itwikivoyage</t>
  </si>
  <si>
    <t>edit-frwikibooks</t>
  </si>
  <si>
    <t>edit-mnwiki</t>
  </si>
  <si>
    <t>edit-oswiki</t>
  </si>
  <si>
    <t>wikipedia_link_vo</t>
  </si>
  <si>
    <t>wikipedia_link_cv</t>
  </si>
  <si>
    <t>edit-dewikiversity</t>
  </si>
  <si>
    <t>dimacs9-NY</t>
  </si>
  <si>
    <t>wikipedia_link_ky</t>
  </si>
  <si>
    <t>wikisigned-k2</t>
  </si>
  <si>
    <t>edit-lowiktionary</t>
  </si>
  <si>
    <t>edit-guwiki</t>
  </si>
  <si>
    <t>edit-bhwiki</t>
  </si>
  <si>
    <t>edit-srwiktionary</t>
  </si>
  <si>
    <t>edit-yiwiki</t>
  </si>
  <si>
    <t>edit-pnbwiki</t>
  </si>
  <si>
    <t>edit-ckbwiki</t>
  </si>
  <si>
    <t>wikipedia_link_nap</t>
  </si>
  <si>
    <t>edit-yowiki</t>
  </si>
  <si>
    <t>edit-gdwiki</t>
  </si>
  <si>
    <t>dimacs9-BAY</t>
  </si>
  <si>
    <t>wikipedia_link_roa_tara</t>
  </si>
  <si>
    <t>edit-scowiki</t>
  </si>
  <si>
    <t>edit-eowiktionary</t>
  </si>
  <si>
    <t>edit-ruwikinews</t>
  </si>
  <si>
    <t>edit-eswikinews</t>
  </si>
  <si>
    <t>edit-uzwiktionary</t>
  </si>
  <si>
    <t>edit-suwiki</t>
  </si>
  <si>
    <t>loc-gowalla_edges</t>
  </si>
  <si>
    <t>wikipedia_link_yo</t>
  </si>
  <si>
    <t>edit-sawiktionary</t>
  </si>
  <si>
    <t>edit-iawiki</t>
  </si>
  <si>
    <t>munmun_twitter_social</t>
  </si>
  <si>
    <t>edit-tawikisource</t>
  </si>
  <si>
    <t>sx-mathoverflow</t>
  </si>
  <si>
    <t>edit-vecwiki</t>
  </si>
  <si>
    <t>wikipedia_link_fy</t>
  </si>
  <si>
    <t>edit-mlwiktionary</t>
  </si>
  <si>
    <t>edit-dewikibooks</t>
  </si>
  <si>
    <t>edit-napwiki</t>
  </si>
  <si>
    <t>wikipedia_link_ckb</t>
  </si>
  <si>
    <t>edit-frwikiversity</t>
  </si>
  <si>
    <t>edit-newiki</t>
  </si>
  <si>
    <t>com-amazon</t>
  </si>
  <si>
    <t>wikipedia_link_sw</t>
  </si>
  <si>
    <t>wikipedia_link_is</t>
  </si>
  <si>
    <t>edit-barwiki</t>
  </si>
  <si>
    <t>wikipedia_link_mg</t>
  </si>
  <si>
    <t>wikipedia_link_my</t>
  </si>
  <si>
    <t>wikipedia_link_su</t>
  </si>
  <si>
    <t>wikipedia_link_qu</t>
  </si>
  <si>
    <t>edit-cvwiki</t>
  </si>
  <si>
    <t>edit-liwiktionary</t>
  </si>
  <si>
    <t>edit-kuwiki</t>
  </si>
  <si>
    <t>wikipedia_link_ba</t>
  </si>
  <si>
    <t>edit-glwiktionary</t>
  </si>
  <si>
    <t>edit-quwiki</t>
  </si>
  <si>
    <t>wiki_talk_sv</t>
  </si>
  <si>
    <t>edit-knwiktionary</t>
  </si>
  <si>
    <t>edit-arwiktionary</t>
  </si>
  <si>
    <t>wikipedia_link_ilo</t>
  </si>
  <si>
    <t>wikipedia_link_scn</t>
  </si>
  <si>
    <t>com-dblp</t>
  </si>
  <si>
    <t>dimacs9-COL</t>
  </si>
  <si>
    <t>wiki_talk_vi</t>
  </si>
  <si>
    <t>wikipedia_link_an</t>
  </si>
  <si>
    <t>edit-scnwiki</t>
  </si>
  <si>
    <t>edit-htwiki</t>
  </si>
  <si>
    <t>edit-alswiki</t>
  </si>
  <si>
    <t>wikipedia_link_mzn</t>
  </si>
  <si>
    <t>gottron-reuters</t>
  </si>
  <si>
    <t>bookcrossing_full-rating</t>
  </si>
  <si>
    <t>edit-lmowiki</t>
  </si>
  <si>
    <t>edit-bawiki</t>
  </si>
  <si>
    <t>wikipedia_link_lb</t>
  </si>
  <si>
    <t>edit-arzwiki</t>
  </si>
  <si>
    <t>wikipedia_link_gu</t>
  </si>
  <si>
    <t>edit-itwikiquote</t>
  </si>
  <si>
    <t>wikipedia_link_pnb</t>
  </si>
  <si>
    <t>facebook-wosn-links</t>
  </si>
  <si>
    <t>edit-dewikinews</t>
  </si>
  <si>
    <t>wikipedia_link_sco</t>
  </si>
  <si>
    <t>edit-fawiktionary</t>
  </si>
  <si>
    <t>edit-ndswiki</t>
  </si>
  <si>
    <t>edit-frwikinews</t>
  </si>
  <si>
    <t>edit-bpywiki</t>
  </si>
  <si>
    <t>edit-mgwiki</t>
  </si>
  <si>
    <t>wikipedia_link_eml</t>
  </si>
  <si>
    <t>edit-knwiki</t>
  </si>
  <si>
    <t>edit-mywiktionary</t>
  </si>
  <si>
    <t>edit-hewikisource</t>
  </si>
  <si>
    <t>edit-gawiki</t>
  </si>
  <si>
    <t>edit-chrwiktionary</t>
  </si>
  <si>
    <t>dbpedia-team</t>
  </si>
  <si>
    <t>wikipedia_link_ga</t>
  </si>
  <si>
    <t>edit-eswikisource</t>
  </si>
  <si>
    <t>wikipedia_link_br</t>
  </si>
  <si>
    <t>edit-bnwikisource</t>
  </si>
  <si>
    <t>edit-tgwiki</t>
  </si>
  <si>
    <t>edit-newwiki</t>
  </si>
  <si>
    <t>edit-pmswiki</t>
  </si>
  <si>
    <t>edit-cswiktionary</t>
  </si>
  <si>
    <t>edit-iowiki</t>
  </si>
  <si>
    <t>edit-dewikivoyage</t>
  </si>
  <si>
    <t>edit-idwiktionary</t>
  </si>
  <si>
    <t>edit-thwiktionary</t>
  </si>
  <si>
    <t>wikipedia_link_zh_yue</t>
  </si>
  <si>
    <t>actor-movie</t>
  </si>
  <si>
    <t>epinions</t>
  </si>
  <si>
    <t>librec-ciaodvd-review_ratings</t>
  </si>
  <si>
    <t>web-NotreDame</t>
  </si>
  <si>
    <t>edit-rowiktionary</t>
  </si>
  <si>
    <t>edit-tewiktionary</t>
  </si>
  <si>
    <t>wikipedia_link_mr</t>
  </si>
  <si>
    <t>wikipedia_link_new</t>
  </si>
  <si>
    <t>edit-zh_yuewiki</t>
  </si>
  <si>
    <t>edit-swwiki</t>
  </si>
  <si>
    <t>movielens-1m</t>
  </si>
  <si>
    <t>edit-jawiktionary</t>
  </si>
  <si>
    <t>wikipedia_link_jv</t>
  </si>
  <si>
    <t>edit-itwikinews</t>
  </si>
  <si>
    <t>mit</t>
  </si>
  <si>
    <t>roadNet-PA</t>
  </si>
  <si>
    <t>edit-astwiki</t>
  </si>
  <si>
    <t>facebook-wosn-wall</t>
  </si>
  <si>
    <t>citeseer</t>
  </si>
  <si>
    <t>edit-etwiktionary</t>
  </si>
  <si>
    <t>wikipedia_link_af</t>
  </si>
  <si>
    <t>wikipedia_link_ia</t>
  </si>
  <si>
    <t>edit-nowiktionary</t>
  </si>
  <si>
    <t>pics_ut</t>
  </si>
  <si>
    <t>wikipedia_link_ast</t>
  </si>
  <si>
    <t>sx-askubuntu</t>
  </si>
  <si>
    <t>edit-bgwiktionary</t>
  </si>
  <si>
    <t>lkml-reply</t>
  </si>
  <si>
    <t>edit-zhwikisource</t>
  </si>
  <si>
    <t>jester2</t>
  </si>
  <si>
    <t>wiki_talk_ja</t>
  </si>
  <si>
    <t>edit-cawiktionary</t>
  </si>
  <si>
    <t>wikipedia_link_ml</t>
  </si>
  <si>
    <t>flickrEdges</t>
  </si>
  <si>
    <t>wikipedia_link_bpy</t>
  </si>
  <si>
    <t>edit-jvwiki</t>
  </si>
  <si>
    <t>enron</t>
  </si>
  <si>
    <t>wikipedia_link_tl</t>
  </si>
  <si>
    <t>edit-hywiktionary</t>
  </si>
  <si>
    <t>livemocha</t>
  </si>
  <si>
    <t>pics_ti</t>
  </si>
  <si>
    <t>roadNet-TX</t>
  </si>
  <si>
    <t>pics_ui</t>
  </si>
  <si>
    <t>web-Stanford</t>
  </si>
  <si>
    <t>petster-dog-household</t>
  </si>
  <si>
    <t>wikipedia_link_sq</t>
  </si>
  <si>
    <t>wikipedia_link_be_x_old</t>
  </si>
  <si>
    <t>edit-enwikiquote</t>
  </si>
  <si>
    <t>wiki_talk_pl</t>
  </si>
  <si>
    <t>wikipedia_link_ne</t>
  </si>
  <si>
    <t>edit-iswiki</t>
  </si>
  <si>
    <t>edit-tlwiki</t>
  </si>
  <si>
    <t>edit-mrwiki</t>
  </si>
  <si>
    <t>edit-afwiki</t>
  </si>
  <si>
    <t>edit-anwiki</t>
  </si>
  <si>
    <t>stackexchange-stackoverflow</t>
  </si>
  <si>
    <t>edit-shwiktionary</t>
  </si>
  <si>
    <t>wikipedia_link_bn</t>
  </si>
  <si>
    <t>edit-enwikiversity</t>
  </si>
  <si>
    <t>wikipedia_link_te</t>
  </si>
  <si>
    <t>edit-plwikisource</t>
  </si>
  <si>
    <t>edit-sqwiki</t>
  </si>
  <si>
    <t>wikipedia_link_cy</t>
  </si>
  <si>
    <t>wiki_talk_nl</t>
  </si>
  <si>
    <t>petster-catdog-household</t>
  </si>
  <si>
    <t>discogs_lgenre</t>
  </si>
  <si>
    <t>sx-superuser</t>
  </si>
  <si>
    <t>edit-minwiki</t>
  </si>
  <si>
    <t>dimacs10-cnr-2000</t>
  </si>
  <si>
    <t>edit-tawiktionary</t>
  </si>
  <si>
    <t>edit-brwiki</t>
  </si>
  <si>
    <t>dbtropes-feature</t>
  </si>
  <si>
    <t>lasagne-yahoo</t>
  </si>
  <si>
    <t>zhishi-baidu-relatedpages</t>
  </si>
  <si>
    <t>komarix-imdb</t>
  </si>
  <si>
    <t>dimacs9-FLA</t>
  </si>
  <si>
    <t>edit-itwikisource</t>
  </si>
  <si>
    <t>lkml_person-thread</t>
  </si>
  <si>
    <t>edit-ltwiktionary</t>
  </si>
  <si>
    <t>com-youtube</t>
  </si>
  <si>
    <t>edit-cewiki</t>
  </si>
  <si>
    <t>edit-be_x_oldwiki</t>
  </si>
  <si>
    <t>ca-cit-HepTh</t>
  </si>
  <si>
    <t>edit-zh_min_nanwiki</t>
  </si>
  <si>
    <t>dimacs9-NW</t>
  </si>
  <si>
    <t>link-dynamic-simplewiki</t>
  </si>
  <si>
    <t>hyves</t>
  </si>
  <si>
    <t>edit-lbwiki</t>
  </si>
  <si>
    <t>roadNet-CA</t>
  </si>
  <si>
    <t>wikipedia_link_lmo</t>
  </si>
  <si>
    <t>edit-uzwiki</t>
  </si>
  <si>
    <t>edit-ocwiki</t>
  </si>
  <si>
    <t>edit-trwiktionary</t>
  </si>
  <si>
    <t>wikipedia_link_lv</t>
  </si>
  <si>
    <t>wikipedia_link_nn</t>
  </si>
  <si>
    <t>wikipedia_link_la</t>
  </si>
  <si>
    <t>edit-ttwiki</t>
  </si>
  <si>
    <t>digg-friends</t>
  </si>
  <si>
    <t>wikipedia_link_sa</t>
  </si>
  <si>
    <t>edit-viwiktionary</t>
  </si>
  <si>
    <t>edit-tewiki</t>
  </si>
  <si>
    <t>gottron-excellent</t>
  </si>
  <si>
    <t>edit-kuwiktionary</t>
  </si>
  <si>
    <t>bag-enron</t>
  </si>
  <si>
    <t>wiki_talk_ar</t>
  </si>
  <si>
    <t>edit-huwiktionary</t>
  </si>
  <si>
    <t>wikipedia_link_uz</t>
  </si>
  <si>
    <t>wiki-en-cat</t>
  </si>
  <si>
    <t>edit-ptwiktionary</t>
  </si>
  <si>
    <t>edit-tawiki</t>
  </si>
  <si>
    <t>discogs_lstyle</t>
  </si>
  <si>
    <t>edit-enwikivoyage</t>
  </si>
  <si>
    <t>edit-bswiki</t>
  </si>
  <si>
    <t>wiki_talk_ru</t>
  </si>
  <si>
    <t>edit-kkwiki</t>
  </si>
  <si>
    <t>actor2</t>
  </si>
  <si>
    <t>edit-enwikibooks</t>
  </si>
  <si>
    <t>wikipedia_link_az</t>
  </si>
  <si>
    <t>edit-mlwiki</t>
  </si>
  <si>
    <t>wikipedia_link_zh_min_nan</t>
  </si>
  <si>
    <t>edit-bewiki</t>
  </si>
  <si>
    <t>edit-iowiktionary</t>
  </si>
  <si>
    <t>wiki_talk_pt</t>
  </si>
  <si>
    <t>edit-lvwiki</t>
  </si>
  <si>
    <t>petster-friendships-cat</t>
  </si>
  <si>
    <t>wikipedia-discussions-de</t>
  </si>
  <si>
    <t>dimacs9-NE</t>
  </si>
  <si>
    <t>edit-bnwiki</t>
  </si>
  <si>
    <t>wikipedia_link_tt</t>
  </si>
  <si>
    <t>edit-ruwikisource</t>
  </si>
  <si>
    <t>wiki_talk_zh</t>
  </si>
  <si>
    <t>wikipedia_link_mk</t>
  </si>
  <si>
    <t>edit-urwiki</t>
  </si>
  <si>
    <t>wikipedia_link_ka</t>
  </si>
  <si>
    <t>edit-mkwiki</t>
  </si>
  <si>
    <t>jester1</t>
  </si>
  <si>
    <t>bibsonomy-2ut</t>
  </si>
  <si>
    <t>wikipedia_link_simple</t>
  </si>
  <si>
    <t>edit-svwiktionary</t>
  </si>
  <si>
    <t>wiki_talk_es</t>
  </si>
  <si>
    <t>wikipedia_link_et</t>
  </si>
  <si>
    <t>bibsonomy-2ui</t>
  </si>
  <si>
    <t>edit-cywiki</t>
  </si>
  <si>
    <t>edit-nnwiki</t>
  </si>
  <si>
    <t>bibsonomy-2ti</t>
  </si>
  <si>
    <t>wikipedia_link_bug</t>
  </si>
  <si>
    <t>wikipedia_link_tg</t>
  </si>
  <si>
    <t>edit-lawiki</t>
  </si>
  <si>
    <t>edit-dewikisource</t>
  </si>
  <si>
    <t>youtube-links</t>
  </si>
  <si>
    <t>dimacs9-CAL</t>
  </si>
  <si>
    <t>edit-hiwiki</t>
  </si>
  <si>
    <t>edit-itwiktionary</t>
  </si>
  <si>
    <t>edit-fiwiktionary</t>
  </si>
  <si>
    <t>digg-votes</t>
  </si>
  <si>
    <t>edit-vowiki</t>
  </si>
  <si>
    <t>edit-kawiki</t>
  </si>
  <si>
    <t>petster-cat-friend</t>
  </si>
  <si>
    <t>wikipedia_link_el</t>
  </si>
  <si>
    <t>wiki_talk_it</t>
  </si>
  <si>
    <t>citeulike-ut</t>
  </si>
  <si>
    <t>wikipedia_link_th</t>
  </si>
  <si>
    <t>edit-srwikinews</t>
  </si>
  <si>
    <t>edit-azwiki</t>
  </si>
  <si>
    <t>citeulike-ti</t>
  </si>
  <si>
    <t>citeulike-ui</t>
  </si>
  <si>
    <t>webuni</t>
  </si>
  <si>
    <t>wikipedia_link_lt</t>
  </si>
  <si>
    <t>edit-kowiktionary</t>
  </si>
  <si>
    <t>edit-nlwiktionary</t>
  </si>
  <si>
    <t>wikipedia_link_be</t>
  </si>
  <si>
    <t>wikipedia_link_gl</t>
  </si>
  <si>
    <t>prosper-loans</t>
  </si>
  <si>
    <t>ca-cit-HepPh</t>
  </si>
  <si>
    <t>edit-mswiki</t>
  </si>
  <si>
    <t>edit-elwiktionary</t>
  </si>
  <si>
    <t>wikipedia_link_ur</t>
  </si>
  <si>
    <t>wikipedia_link_ce</t>
  </si>
  <si>
    <t>wikipedia_link_hr</t>
  </si>
  <si>
    <t>edit-glwiki</t>
  </si>
  <si>
    <t>edit-etwiki</t>
  </si>
  <si>
    <t>wikipedia_link_sk</t>
  </si>
  <si>
    <t>wikipedia_link_ta</t>
  </si>
  <si>
    <t>edit-hrwiki</t>
  </si>
  <si>
    <t>wikipedia_link_hi</t>
  </si>
  <si>
    <t>petster-friendships-dog</t>
  </si>
  <si>
    <t>wikipedia_link_sl</t>
  </si>
  <si>
    <t>edit-slwiki</t>
  </si>
  <si>
    <t>edit-enwikinews</t>
  </si>
  <si>
    <t>dimacs9-LKS</t>
  </si>
  <si>
    <t>edit-ltwiki</t>
  </si>
  <si>
    <t>edit-eswiktionary</t>
  </si>
  <si>
    <t>flickr-groupmemberships</t>
  </si>
  <si>
    <t>edit-simplewiki</t>
  </si>
  <si>
    <t>wiki_talk_fr</t>
  </si>
  <si>
    <t>flixster</t>
  </si>
  <si>
    <t>wikipedia_link_eu</t>
  </si>
  <si>
    <t>munmun_twitterex_ut</t>
  </si>
  <si>
    <t>petster-dog-friend</t>
  </si>
  <si>
    <t>edit-hywiki</t>
  </si>
  <si>
    <t>trec-wt10g</t>
  </si>
  <si>
    <t>wikipedia_link_bg</t>
  </si>
  <si>
    <t>edit-zhwiktionary</t>
  </si>
  <si>
    <t>wikiconflict</t>
  </si>
  <si>
    <t>wikipedia_link_da</t>
  </si>
  <si>
    <t>edit-elwiki</t>
  </si>
  <si>
    <t>edit-thwiki</t>
  </si>
  <si>
    <t>edit-euwiki</t>
  </si>
  <si>
    <t>edit-plwiktionary</t>
  </si>
  <si>
    <t>edit-dewiktionary</t>
  </si>
  <si>
    <t>edit-skwiki</t>
  </si>
  <si>
    <t>edit-eowiki</t>
  </si>
  <si>
    <t>dimacs9-E</t>
  </si>
  <si>
    <t>wikipedia_link_eo</t>
  </si>
  <si>
    <t>wikipedia_link_bs</t>
  </si>
  <si>
    <t>edit-warwiki</t>
  </si>
  <si>
    <t>as-skitter</t>
  </si>
  <si>
    <t>edit-bgwiki</t>
  </si>
  <si>
    <t>edit-frwikisource</t>
  </si>
  <si>
    <t>wiki_talk_de</t>
  </si>
  <si>
    <t>edit-enwikisource</t>
  </si>
  <si>
    <t>amazon-ratings</t>
  </si>
  <si>
    <t>higgs-twitter-social</t>
  </si>
  <si>
    <t>edit-dawiki</t>
  </si>
  <si>
    <t>discogs_genre</t>
  </si>
  <si>
    <t>wikipedia_link_kk</t>
  </si>
  <si>
    <t>discogs_affiliation</t>
  </si>
  <si>
    <t>wikipedia_link_he</t>
  </si>
  <si>
    <t>petster-catdog-friend</t>
  </si>
  <si>
    <t>wikipedia_link_tr</t>
  </si>
  <si>
    <t>edit-ruwiktionary</t>
  </si>
  <si>
    <t>dblp-author</t>
  </si>
  <si>
    <t>wikipedia_link_fi</t>
  </si>
  <si>
    <t>flickr-links</t>
  </si>
  <si>
    <t>dimacs10-in-2004</t>
  </si>
  <si>
    <t>zhishi-hudong-internallink</t>
  </si>
  <si>
    <t>dbpedia-all</t>
  </si>
  <si>
    <t>petster-carnivore</t>
  </si>
  <si>
    <t>dimacs10-eu-2005</t>
  </si>
  <si>
    <t>movielens-10m_rating</t>
  </si>
  <si>
    <t>edit-rowiki</t>
  </si>
  <si>
    <t>zhishi-baidu-internallink</t>
  </si>
  <si>
    <t>dimacs9-W</t>
  </si>
  <si>
    <t>wikipedia_link_cs</t>
  </si>
  <si>
    <t>patentcite</t>
  </si>
  <si>
    <t>youtube-u-growth</t>
  </si>
  <si>
    <t>discogs_style</t>
  </si>
  <si>
    <t>wikipedia_link_hy</t>
  </si>
  <si>
    <t>edit-idwiki</t>
  </si>
  <si>
    <t>wikipedia_link_no</t>
  </si>
  <si>
    <t>wikipedia_link_oc</t>
  </si>
  <si>
    <t>libimseti</t>
  </si>
  <si>
    <t>zhishi-hudong-relatedpages</t>
  </si>
  <si>
    <t>edit-cswiki</t>
  </si>
  <si>
    <t>edit-srwiki</t>
  </si>
  <si>
    <t>edit-fiwiki</t>
  </si>
  <si>
    <t>edit-trwiki</t>
  </si>
  <si>
    <t>epinions-rating</t>
  </si>
  <si>
    <t>edit-kowiki</t>
  </si>
  <si>
    <t>wikipedia_link_ms</t>
  </si>
  <si>
    <t>edit-nowiki</t>
  </si>
  <si>
    <t>edit-cebwiki</t>
  </si>
  <si>
    <t>wikipedia_link_ko</t>
  </si>
  <si>
    <t>edit-cawiki</t>
  </si>
  <si>
    <t>edit-huwiki</t>
  </si>
  <si>
    <t>lastfm_band</t>
  </si>
  <si>
    <t>soc-pokec-relationships</t>
  </si>
  <si>
    <t>edit-hewiki</t>
  </si>
  <si>
    <t>edit-fawiki</t>
  </si>
  <si>
    <t>lastfm_song</t>
  </si>
  <si>
    <t>wikipedia_link_ro</t>
  </si>
  <si>
    <t>wikipedia_link_id</t>
  </si>
  <si>
    <t>edit-ukwiki</t>
  </si>
  <si>
    <t>actor-collaboration</t>
  </si>
  <si>
    <t>edit-arwiki</t>
  </si>
  <si>
    <t>wikipedia_link_war</t>
  </si>
  <si>
    <t>wikipedia_link_ca</t>
  </si>
  <si>
    <t>link-dynamic-nlwiki</t>
  </si>
  <si>
    <t>edit-mgwiktionary</t>
  </si>
  <si>
    <t>edit-frwiktionary</t>
  </si>
  <si>
    <t>dimacs9-CTR</t>
  </si>
  <si>
    <t>edit-viwiki</t>
  </si>
  <si>
    <t>wiki_talk_en</t>
  </si>
  <si>
    <t>wikipedia_link_hu</t>
  </si>
  <si>
    <t>wikipedia_link_es</t>
  </si>
  <si>
    <t>link-dynamic-plwiki</t>
  </si>
  <si>
    <t>wikipedia_link_vi</t>
  </si>
  <si>
    <t>livejournal-links</t>
  </si>
  <si>
    <t>dblp_coauthor</t>
  </si>
  <si>
    <t>wikipedia_link_pt</t>
  </si>
  <si>
    <t>wikipedia_link_uk</t>
  </si>
  <si>
    <t>reuters</t>
  </si>
  <si>
    <t>wikipedia_link_nl</t>
  </si>
  <si>
    <t>edit-svwiki</t>
  </si>
  <si>
    <t>flickr-growth</t>
  </si>
  <si>
    <t>edit-zhwiki</t>
  </si>
  <si>
    <t>wikipedia_link_ar</t>
  </si>
  <si>
    <t>wikipedia_link_fa</t>
  </si>
  <si>
    <t>bag-nytimes</t>
  </si>
  <si>
    <t>wikipedia_link_pl</t>
  </si>
  <si>
    <t>dimacs9-USA</t>
  </si>
  <si>
    <t>edit-shwiki</t>
  </si>
  <si>
    <t>wikipedia_link_zh</t>
  </si>
  <si>
    <t>edit-plwiki</t>
  </si>
  <si>
    <t>zhishi-all</t>
  </si>
  <si>
    <t>soc-LiveJournal1</t>
  </si>
  <si>
    <t>edit-nlwiki</t>
  </si>
  <si>
    <t>edit-jawiki</t>
  </si>
  <si>
    <t>wikipedia_link_ceb</t>
  </si>
  <si>
    <t>wikipedia-growth</t>
  </si>
  <si>
    <t>edit-enwiktionary</t>
  </si>
  <si>
    <t>wikipedia_link_ja</t>
  </si>
  <si>
    <t>wikipedia_link_ru</t>
  </si>
  <si>
    <t>wikipedia_link_sh</t>
  </si>
  <si>
    <t>gottron-trec</t>
  </si>
  <si>
    <t>wikipedia_link_it</t>
  </si>
  <si>
    <t>wikipedia_link_sv</t>
  </si>
  <si>
    <t>livejournal-groupmemberships</t>
  </si>
  <si>
    <t>edit-ruwiki</t>
  </si>
  <si>
    <t>edit-itwiki</t>
  </si>
  <si>
    <t>edit-eswiki</t>
  </si>
  <si>
    <t>wikipedia_link_fr</t>
  </si>
  <si>
    <t>wikipedia_link_sr</t>
  </si>
  <si>
    <t>trackers-trackers</t>
  </si>
  <si>
    <t>link-dynamic-dewiki</t>
  </si>
  <si>
    <t>edit-frwiki</t>
  </si>
  <si>
    <t>edit-dewiki</t>
  </si>
  <si>
    <t>dimacs10-uk-2002</t>
  </si>
  <si>
    <t>yahoo-song</t>
  </si>
  <si>
    <t>bag-pubmed</t>
  </si>
  <si>
    <t>delicious-ut</t>
  </si>
  <si>
    <t>delicious-ti</t>
  </si>
  <si>
    <t>delicious-ui</t>
  </si>
  <si>
    <t>twitter</t>
  </si>
  <si>
    <t>twitter_mpi</t>
  </si>
  <si>
    <t>friendster</t>
  </si>
  <si>
    <t>dimacs10-uk-2007-05</t>
  </si>
  <si>
    <t>SC</t>
  </si>
  <si>
    <t>HIV</t>
  </si>
  <si>
    <t>Zebra</t>
  </si>
  <si>
    <t>Kangaroos</t>
  </si>
  <si>
    <t>Iceland</t>
  </si>
  <si>
    <t>Dolphins</t>
  </si>
  <si>
    <t>Cattle</t>
  </si>
  <si>
    <t>PDZBase</t>
  </si>
  <si>
    <t>Sheep</t>
  </si>
  <si>
    <t>Bison</t>
  </si>
  <si>
    <t>Windsurfers</t>
  </si>
  <si>
    <t>Highschool</t>
  </si>
  <si>
    <t>Hens</t>
  </si>
  <si>
    <t>Physicians</t>
  </si>
  <si>
    <t>Euroroads</t>
  </si>
  <si>
    <t>Crime</t>
  </si>
  <si>
    <t>Yeast</t>
  </si>
  <si>
    <t>Facebook</t>
  </si>
  <si>
    <t>Florida</t>
  </si>
  <si>
    <t>Bible</t>
  </si>
  <si>
    <t>Erdős</t>
  </si>
  <si>
    <t>Blogs</t>
  </si>
  <si>
    <t>Infectious</t>
  </si>
  <si>
    <t>Haggle</t>
  </si>
  <si>
    <t>Chicago</t>
  </si>
  <si>
    <t>CAIDA</t>
  </si>
  <si>
    <t>WikiLens</t>
  </si>
  <si>
    <t>Advogato</t>
  </si>
  <si>
    <t>Marvel</t>
  </si>
  <si>
    <t>Cora</t>
  </si>
  <si>
    <t>Astrophysics</t>
  </si>
  <si>
    <t>JUNG/Javax</t>
  </si>
  <si>
    <t>FOLDOC</t>
  </si>
  <si>
    <t>Reactome</t>
  </si>
  <si>
    <t>Chess</t>
  </si>
  <si>
    <t>Writers</t>
  </si>
  <si>
    <t>Digg</t>
  </si>
  <si>
    <t>Brightkite</t>
  </si>
  <si>
    <t>Producers</t>
  </si>
  <si>
    <t>Wikispeedia</t>
  </si>
  <si>
    <t>Occupations</t>
  </si>
  <si>
    <t>Slashdot</t>
  </si>
  <si>
    <t>Douban</t>
  </si>
  <si>
    <t>TripAdvisor</t>
  </si>
  <si>
    <t>Github</t>
  </si>
  <si>
    <t>Catster</t>
  </si>
  <si>
    <t>CiteSeer</t>
  </si>
  <si>
    <t>WordNet</t>
  </si>
  <si>
    <t>WikiSigned</t>
  </si>
  <si>
    <t>Gowalla</t>
  </si>
  <si>
    <t>MathOverflow</t>
  </si>
  <si>
    <t>Colorado</t>
  </si>
  <si>
    <t>Reuters-21578</t>
  </si>
  <si>
    <t>Teams</t>
  </si>
  <si>
    <t>Pennsylvania</t>
  </si>
  <si>
    <t>Enron</t>
  </si>
  <si>
    <t>Livemocha</t>
  </si>
  <si>
    <t>Texas</t>
  </si>
  <si>
    <t>Stanford</t>
  </si>
  <si>
    <t>Dogster</t>
  </si>
  <si>
    <t>IMDB</t>
  </si>
  <si>
    <t>Hyves</t>
  </si>
  <si>
    <t>California</t>
  </si>
  <si>
    <t>Berkeley/Stanford</t>
  </si>
  <si>
    <t>Flixster</t>
  </si>
  <si>
    <t>Skitter</t>
  </si>
  <si>
    <t>Higgs</t>
  </si>
  <si>
    <t>South African companies</t>
  </si>
  <si>
    <t xml:space="preserve">    Sw</t>
  </si>
  <si>
    <t>Southern women (small)</t>
  </si>
  <si>
    <t xml:space="preserve">    HI</t>
  </si>
  <si>
    <t xml:space="preserve">    ZA</t>
  </si>
  <si>
    <t>Zachary karate club</t>
  </si>
  <si>
    <t xml:space="preserve">    HT</t>
  </si>
  <si>
    <t>Highland tribes</t>
  </si>
  <si>
    <t>Dataset is available for download Dataset passed all tests  Unipartite, undirected Signed, possibly weighted, no multiple edges</t>
  </si>
  <si>
    <t xml:space="preserve">    MT</t>
  </si>
  <si>
    <t>Taro exchange</t>
  </si>
  <si>
    <t xml:space="preserve">    SW</t>
  </si>
  <si>
    <t>Southern women (large)</t>
  </si>
  <si>
    <t>Dataset is available for download Dataset passed all tests  Bipartite, undirected Unweighted, no multiple edges  Is a snapshot and likely to not contain all data Is the join of an underlying network</t>
  </si>
  <si>
    <t xml:space="preserve">    MZ</t>
  </si>
  <si>
    <t xml:space="preserve">    BM</t>
  </si>
  <si>
    <t>Corporate club memberships</t>
  </si>
  <si>
    <t xml:space="preserve">    BC</t>
  </si>
  <si>
    <t>Corporate leaderships</t>
  </si>
  <si>
    <t xml:space="preserve">    MK</t>
  </si>
  <si>
    <t>Dataset is available for download Dataset passed all tests  Unipartite, undirected Positive weights, no multiple edges</t>
  </si>
  <si>
    <t xml:space="preserve">    IC</t>
  </si>
  <si>
    <t xml:space="preserve">    qkr</t>
  </si>
  <si>
    <t>Wikiquote edits (kr)</t>
  </si>
  <si>
    <t xml:space="preserve">    CU</t>
  </si>
  <si>
    <t>Contiguous USA</t>
  </si>
  <si>
    <t xml:space="preserve">    MR</t>
  </si>
  <si>
    <t>Rhesus macaques</t>
  </si>
  <si>
    <t>Dataset is available for download Dataset passed all tests  Unipartite, directed Positive weights, no multiple edges</t>
  </si>
  <si>
    <t xml:space="preserve">    DO</t>
  </si>
  <si>
    <t xml:space="preserve">    CB</t>
  </si>
  <si>
    <t>Chesapeake Bay</t>
  </si>
  <si>
    <t xml:space="preserve">    Ar</t>
  </si>
  <si>
    <t>American Revolution</t>
  </si>
  <si>
    <t xml:space="preserve">    bgn</t>
  </si>
  <si>
    <t>Wikibooks edits (gn)</t>
  </si>
  <si>
    <t xml:space="preserve">    brm</t>
  </si>
  <si>
    <t>Wikibooks edits (rm)</t>
  </si>
  <si>
    <t xml:space="preserve">    qang</t>
  </si>
  <si>
    <t>Wikiquote edits (ang)</t>
  </si>
  <si>
    <t xml:space="preserve">    qks</t>
  </si>
  <si>
    <t>Wikiquote edits (ks)</t>
  </si>
  <si>
    <t xml:space="preserve">    bbm</t>
  </si>
  <si>
    <t>Wikibooks edits (bm)</t>
  </si>
  <si>
    <t xml:space="preserve">    qbm</t>
  </si>
  <si>
    <t>Wikiquote edits (bm)</t>
  </si>
  <si>
    <t xml:space="preserve">    Ms</t>
  </si>
  <si>
    <t>Crisis in a Cloister</t>
  </si>
  <si>
    <t>Dataset is available for download Dataset passed all tests  Unipartite, directed Signed, possibly weighted, no multiple edges  Edges may have weight zero</t>
  </si>
  <si>
    <t xml:space="preserve">    bbi</t>
  </si>
  <si>
    <t>Wikibooks edits (bi)</t>
  </si>
  <si>
    <t xml:space="preserve">    MA</t>
  </si>
  <si>
    <t>Dataset is available for download Dataset passed all tests  Unipartite, directed Positive weights, no multiple edges  Inverted edges can be interpreted as negated edges</t>
  </si>
  <si>
    <t xml:space="preserve">    MP</t>
  </si>
  <si>
    <t xml:space="preserve">    mrn</t>
  </si>
  <si>
    <t>Wiktionary edits (rn)</t>
  </si>
  <si>
    <t xml:space="preserve">    mmh</t>
  </si>
  <si>
    <t>Wiktionary edits (mh)</t>
  </si>
  <si>
    <t xml:space="preserve">    b6</t>
  </si>
  <si>
    <t>Pro League (2016/2017)</t>
  </si>
  <si>
    <t>Dataset is available for download Dataset passed all tests  Unipartite, directed Signed, possibly weighted, multiple edges  Inverted edges can be interpreted as negated edges Edges may have weight zero</t>
  </si>
  <si>
    <t xml:space="preserve">    qtk</t>
  </si>
  <si>
    <t>Wikiquote edits (tk)</t>
  </si>
  <si>
    <t xml:space="preserve">    mch</t>
  </si>
  <si>
    <t>Wiktionary edits (ch)</t>
  </si>
  <si>
    <t xml:space="preserve">    Mt</t>
  </si>
  <si>
    <t>Train bombing</t>
  </si>
  <si>
    <t xml:space="preserve">    qug</t>
  </si>
  <si>
    <t>Wikiquote edits (ug)</t>
  </si>
  <si>
    <t xml:space="preserve">    mav</t>
  </si>
  <si>
    <t>Wiktionary edits (av)</t>
  </si>
  <si>
    <t xml:space="preserve">    Mc</t>
  </si>
  <si>
    <t xml:space="preserve">    mak</t>
  </si>
  <si>
    <t>Wiktionary edits (ak)</t>
  </si>
  <si>
    <t xml:space="preserve">    GF</t>
  </si>
  <si>
    <t>Gene fusion</t>
  </si>
  <si>
    <t>Dataset is available for download Dataset passed all tests  Unipartite, undirected Unweighted, no multiple edges  Is a snapshot and likely to not contain all data</t>
  </si>
  <si>
    <t xml:space="preserve">    bks</t>
  </si>
  <si>
    <t>Wikibooks edits (ks)</t>
  </si>
  <si>
    <t xml:space="preserve">    Ml</t>
  </si>
  <si>
    <t>Les Misérables</t>
  </si>
  <si>
    <t xml:space="preserve">    bch</t>
  </si>
  <si>
    <t>Wikibooks edits (ch)</t>
  </si>
  <si>
    <t xml:space="preserve">    bas</t>
  </si>
  <si>
    <t>Wikibooks edits (as)</t>
  </si>
  <si>
    <t xml:space="preserve">    bmy</t>
  </si>
  <si>
    <t>Wikibooks edits (my)</t>
  </si>
  <si>
    <t xml:space="preserve">    baa</t>
  </si>
  <si>
    <t>Wikibooks edits (aa)</t>
  </si>
  <si>
    <t xml:space="preserve">    d6</t>
  </si>
  <si>
    <t>Bundesliga (2016/2017)</t>
  </si>
  <si>
    <t>Dataset is available for download Dataset passed all tests  Unipartite, directed Signed, possibly weighted, multiple edges  Inverted edges can be interpreted as negated edges Edges exist between all possible nodes Edges may have weight zero</t>
  </si>
  <si>
    <t xml:space="preserve">    bnah</t>
  </si>
  <si>
    <t>Wikibooks edits (nah)</t>
  </si>
  <si>
    <t xml:space="preserve">    MB</t>
  </si>
  <si>
    <t xml:space="preserve">    bgot</t>
  </si>
  <si>
    <t>Wikibooks edits (got)</t>
  </si>
  <si>
    <t xml:space="preserve">    mcr</t>
  </si>
  <si>
    <t>Wiktionary edits (cr)</t>
  </si>
  <si>
    <t xml:space="preserve">    qals</t>
  </si>
  <si>
    <t>Wikiquote edits (als)</t>
  </si>
  <si>
    <t xml:space="preserve">    qtt</t>
  </si>
  <si>
    <t>Wikiquote edits (tt)</t>
  </si>
  <si>
    <t xml:space="preserve">    bqu</t>
  </si>
  <si>
    <t>Wikibooks edits (qu)</t>
  </si>
  <si>
    <t xml:space="preserve">    AN</t>
  </si>
  <si>
    <t>David Copperfield</t>
  </si>
  <si>
    <t>Dataset is available for download Dataset passed all tests  Unipartite, undirected Unweighted, no multiple edges  Is not directed, but the underlying data is</t>
  </si>
  <si>
    <t xml:space="preserve">    MW</t>
  </si>
  <si>
    <t xml:space="preserve">    qvo</t>
  </si>
  <si>
    <t>Wikiquote edits (vo)</t>
  </si>
  <si>
    <t xml:space="preserve">    PB</t>
  </si>
  <si>
    <t>Political books</t>
  </si>
  <si>
    <t>Dataset is available for download Dataset passed all tests  Unipartite, undirected Unweighted, no multiple edges  Is a snapshot and likely to not contain all data Is the join of an underlying network Does not have multiple edges, but the underlying data has Only nodes with degree larger than a given threshold are included</t>
  </si>
  <si>
    <t xml:space="preserve">    bse</t>
  </si>
  <si>
    <t>Wikibooks edits (se)</t>
  </si>
  <si>
    <t xml:space="preserve">    bbo</t>
  </si>
  <si>
    <t>Wikibooks edits (bo)</t>
  </si>
  <si>
    <t xml:space="preserve">    MX</t>
  </si>
  <si>
    <t>Seventh graders</t>
  </si>
  <si>
    <t xml:space="preserve">    mxh</t>
  </si>
  <si>
    <t>Wiktionary edits (xh)</t>
  </si>
  <si>
    <t xml:space="preserve">    bug</t>
  </si>
  <si>
    <t>Wikibooks edits (ug)</t>
  </si>
  <si>
    <t xml:space="preserve">    f6</t>
  </si>
  <si>
    <t>Ligue 1 (2016/2017)</t>
  </si>
  <si>
    <t xml:space="preserve">    u3</t>
  </si>
  <si>
    <t>Premier League (2013/2014)</t>
  </si>
  <si>
    <t xml:space="preserve">    MH</t>
  </si>
  <si>
    <t xml:space="preserve">    bmi</t>
  </si>
  <si>
    <t>Wikibooks edits (mi)</t>
  </si>
  <si>
    <t xml:space="preserve">    qga</t>
  </si>
  <si>
    <t>Wikiquote edits (ga)</t>
  </si>
  <si>
    <t xml:space="preserve">    mrm</t>
  </si>
  <si>
    <t>Wiktionary edits (rm)</t>
  </si>
  <si>
    <t xml:space="preserve">    bak</t>
  </si>
  <si>
    <t>Wikibooks edits (ak)</t>
  </si>
  <si>
    <t xml:space="preserve">    maa</t>
  </si>
  <si>
    <t>Wiktionary edits (aa)</t>
  </si>
  <si>
    <t xml:space="preserve">    Mh</t>
  </si>
  <si>
    <t>Dataset is available for download Dataset passed all tests  Unipartite, directed Unweighted, no multiple edges  Inverted edges can be interpreted as negated edges Does not contain reciprocal edges All pairs of nodes are connected by a directed edge</t>
  </si>
  <si>
    <t xml:space="preserve">    bgu</t>
  </si>
  <si>
    <t>Wikibooks edits (gu)</t>
  </si>
  <si>
    <t xml:space="preserve">    mbm</t>
  </si>
  <si>
    <t>Wiktionary edits (bm)</t>
  </si>
  <si>
    <t xml:space="preserve">    bwa</t>
  </si>
  <si>
    <t>Wikibooks edits (wa)</t>
  </si>
  <si>
    <t xml:space="preserve">    bln</t>
  </si>
  <si>
    <t>Wikibooks edits (ln)</t>
  </si>
  <si>
    <t xml:space="preserve">    byo</t>
  </si>
  <si>
    <t>Wikibooks edits (yo)</t>
  </si>
  <si>
    <t xml:space="preserve">    AF</t>
  </si>
  <si>
    <t>American football</t>
  </si>
  <si>
    <t>Dataset is available for download Dataset passed all tests  Unipartite, undirected Unweighted, no multiple edges  Is not directed, but the underlying data is Does not have multiple edges, but the underlying data has</t>
  </si>
  <si>
    <t xml:space="preserve">    qkk</t>
  </si>
  <si>
    <t>Wikiquote edits (kk)</t>
  </si>
  <si>
    <t xml:space="preserve">    mbo</t>
  </si>
  <si>
    <t>Wiktionary edits (bo)</t>
  </si>
  <si>
    <t xml:space="preserve">    bxh</t>
  </si>
  <si>
    <t>Wikibooks edits (xh)</t>
  </si>
  <si>
    <t xml:space="preserve">    blb</t>
  </si>
  <si>
    <t>Wikibooks edits (lb)</t>
  </si>
  <si>
    <t xml:space="preserve">    mus</t>
  </si>
  <si>
    <t>Wikipedia edits (mus)</t>
  </si>
  <si>
    <t xml:space="preserve">    SI</t>
  </si>
  <si>
    <t>Similarities (DBpedia)</t>
  </si>
  <si>
    <t xml:space="preserve">    bza</t>
  </si>
  <si>
    <t>Wikibooks edits (za)</t>
  </si>
  <si>
    <t xml:space="preserve">    msc</t>
  </si>
  <si>
    <t>Wiktionary edits (sc)</t>
  </si>
  <si>
    <t xml:space="preserve">    mbi</t>
  </si>
  <si>
    <t>Wiktionary edits (bi)</t>
  </si>
  <si>
    <t xml:space="preserve">    mto</t>
  </si>
  <si>
    <t>Wiktionary edits (to)</t>
  </si>
  <si>
    <t xml:space="preserve">    myo</t>
  </si>
  <si>
    <t>Wiktionary edits (yo)</t>
  </si>
  <si>
    <t xml:space="preserve">    bps</t>
  </si>
  <si>
    <t>Wikibooks edits (ps)</t>
  </si>
  <si>
    <t xml:space="preserve">    mtw</t>
  </si>
  <si>
    <t>Wiktionary edits (tw)</t>
  </si>
  <si>
    <t xml:space="preserve">    mdz</t>
  </si>
  <si>
    <t>Wiktionary edits (dz)</t>
  </si>
  <si>
    <t xml:space="preserve">    bkn</t>
  </si>
  <si>
    <t>Wikibooks edits (kn)</t>
  </si>
  <si>
    <t xml:space="preserve">    bnds</t>
  </si>
  <si>
    <t>Wikibooks edits (nds)</t>
  </si>
  <si>
    <t xml:space="preserve">    mbh</t>
  </si>
  <si>
    <t>Wiktionary edits (bh)</t>
  </si>
  <si>
    <t xml:space="preserve">    kj</t>
  </si>
  <si>
    <t>Wikipedia edits (kj)</t>
  </si>
  <si>
    <t xml:space="preserve">    msn</t>
  </si>
  <si>
    <t>Wiktionary edits (sn)</t>
  </si>
  <si>
    <t xml:space="preserve">    bsw</t>
  </si>
  <si>
    <t>Wikibooks edits (sw)</t>
  </si>
  <si>
    <t xml:space="preserve">    qht</t>
  </si>
  <si>
    <t>Wikiquote edits (ht)</t>
  </si>
  <si>
    <t xml:space="preserve">    mas</t>
  </si>
  <si>
    <t>Wiktionary edits (as)</t>
  </si>
  <si>
    <t xml:space="preserve">    qco</t>
  </si>
  <si>
    <t>Wikiquote edits (co)</t>
  </si>
  <si>
    <t xml:space="preserve">    bals</t>
  </si>
  <si>
    <t>Wikibooks edits (als)</t>
  </si>
  <si>
    <t xml:space="preserve">    ho</t>
  </si>
  <si>
    <t>Wikipedia edits (ho)</t>
  </si>
  <si>
    <t xml:space="preserve">    CO</t>
  </si>
  <si>
    <t>Congress votes</t>
  </si>
  <si>
    <t>Dataset is available for download Dataset passed all tests  Unipartite, directed Signed, possibly weighted, multiple edges  Contains loops</t>
  </si>
  <si>
    <t xml:space="preserve">    mmo</t>
  </si>
  <si>
    <t>Wiktionary edits (mo)</t>
  </si>
  <si>
    <t xml:space="preserve">    bzu</t>
  </si>
  <si>
    <t>Wikibooks edits (zu)</t>
  </si>
  <si>
    <t xml:space="preserve">    mab</t>
  </si>
  <si>
    <t>Wiktionary edits (ab)</t>
  </si>
  <si>
    <t xml:space="preserve">    btk</t>
  </si>
  <si>
    <t>Wikibooks edits (tk)</t>
  </si>
  <si>
    <t xml:space="preserve">    bmn</t>
  </si>
  <si>
    <t>Wikibooks edits (mn)</t>
  </si>
  <si>
    <t xml:space="preserve">    MI</t>
  </si>
  <si>
    <t xml:space="preserve">    bna</t>
  </si>
  <si>
    <t>Wikibooks edits (na)</t>
  </si>
  <si>
    <t xml:space="preserve">    kr</t>
  </si>
  <si>
    <t>Wikipedia edits (kr)</t>
  </si>
  <si>
    <t xml:space="preserve">    bast</t>
  </si>
  <si>
    <t>Wikibooks edits (ast)</t>
  </si>
  <si>
    <t xml:space="preserve">    hz</t>
  </si>
  <si>
    <t>Wikipedia edits (hz)</t>
  </si>
  <si>
    <t xml:space="preserve">    MQ</t>
  </si>
  <si>
    <t>Japanese macaques</t>
  </si>
  <si>
    <t xml:space="preserve">    bvo</t>
  </si>
  <si>
    <t>Wikibooks edits (vo)</t>
  </si>
  <si>
    <t xml:space="preserve">    bco</t>
  </si>
  <si>
    <t>Wikibooks edits (co)</t>
  </si>
  <si>
    <t xml:space="preserve">    bsu</t>
  </si>
  <si>
    <t>Wikibooks edits (su)</t>
  </si>
  <si>
    <t xml:space="preserve">    cho</t>
  </si>
  <si>
    <t>Wikipedia edits (cho)</t>
  </si>
  <si>
    <t xml:space="preserve">    buz</t>
  </si>
  <si>
    <t>Wikibooks edits (uz)</t>
  </si>
  <si>
    <t xml:space="preserve">    ET</t>
  </si>
  <si>
    <t xml:space="preserve">    ii</t>
  </si>
  <si>
    <t>Wikipedia edits (ii)</t>
  </si>
  <si>
    <t xml:space="preserve">    qast</t>
  </si>
  <si>
    <t>Wikiquote edits (ast)</t>
  </si>
  <si>
    <t xml:space="preserve">    qam</t>
  </si>
  <si>
    <t>Wikiquote edits (am)</t>
  </si>
  <si>
    <t xml:space="preserve">    MC</t>
  </si>
  <si>
    <t xml:space="preserve">    din</t>
  </si>
  <si>
    <t>Wikipedia edits (din)</t>
  </si>
  <si>
    <t xml:space="preserve">    mh</t>
  </si>
  <si>
    <t>Wikipedia edits (mh)</t>
  </si>
  <si>
    <t xml:space="preserve">    qlb</t>
  </si>
  <si>
    <t>Wikiquote edits (lb)</t>
  </si>
  <si>
    <t xml:space="preserve">    FT</t>
  </si>
  <si>
    <t>FilmTrust trust</t>
  </si>
  <si>
    <t>Dataset is available for download Dataset passed all tests  Unipartite, directed Unweighted, no multiple edges  Is a snapshot and likely to not contain all data</t>
  </si>
  <si>
    <t xml:space="preserve">    CE</t>
  </si>
  <si>
    <t>Caenorhabditis elegans (metabolic)</t>
  </si>
  <si>
    <t xml:space="preserve">    bzh-min-nan</t>
  </si>
  <si>
    <t>Wikibooks edits (zh-min-nan)</t>
  </si>
  <si>
    <t xml:space="preserve">    blv</t>
  </si>
  <si>
    <t>Wikibooks edits (lv)</t>
  </si>
  <si>
    <t xml:space="preserve">    UL</t>
  </si>
  <si>
    <t>Unicode languages</t>
  </si>
  <si>
    <t>Dataset is available for download Dataset passed all tests  Bipartite, undirected Positive weights, no multiple edges  Edges may have weight zero</t>
  </si>
  <si>
    <t xml:space="preserve">    bmg</t>
  </si>
  <si>
    <t>Wikibooks edits (mg)</t>
  </si>
  <si>
    <t xml:space="preserve">    qwo</t>
  </si>
  <si>
    <t>Wikiquote edits (wo)</t>
  </si>
  <si>
    <t xml:space="preserve">    qky</t>
  </si>
  <si>
    <t>Wikiquote edits (ky)</t>
  </si>
  <si>
    <t xml:space="preserve">    bky</t>
  </si>
  <si>
    <t>Wikibooks edits (ky)</t>
  </si>
  <si>
    <t xml:space="preserve">    qzh-min-nan</t>
  </si>
  <si>
    <t>Wikiquote edits (zh-min-nan)</t>
  </si>
  <si>
    <t xml:space="preserve">    JZ</t>
  </si>
  <si>
    <t>Jazz musicians</t>
  </si>
  <si>
    <t>Dataset is available for download Dataset passed all tests  Unipartite, undirected Unweighted, no multiple edges  Is a snapshot and likely to not contain all data Is the join of an underlying network</t>
  </si>
  <si>
    <t xml:space="preserve">    Mp</t>
  </si>
  <si>
    <t xml:space="preserve">    qfo</t>
  </si>
  <si>
    <t>Wikiquote edits (fo)</t>
  </si>
  <si>
    <t xml:space="preserve">    ML</t>
  </si>
  <si>
    <t>Little Rock Lake</t>
  </si>
  <si>
    <t xml:space="preserve">    Lu</t>
  </si>
  <si>
    <t>LiquidFeedback (units)</t>
  </si>
  <si>
    <t>Dataset is not available for download Dataset passed all tests  Unipartite, directed Dynamic  Edges are annotated with timestamps</t>
  </si>
  <si>
    <t xml:space="preserve">    bie</t>
  </si>
  <si>
    <t>Wikibooks edits (ie)</t>
  </si>
  <si>
    <t xml:space="preserve">    bfy</t>
  </si>
  <si>
    <t>Wikibooks edits (fy)</t>
  </si>
  <si>
    <t xml:space="preserve">    bcy</t>
  </si>
  <si>
    <t>Wikibooks edits (cy)</t>
  </si>
  <si>
    <t xml:space="preserve">    NS</t>
  </si>
  <si>
    <t>Network science</t>
  </si>
  <si>
    <t>Dataset is available for download Dataset passed all tests  Unipartite, undirected Unweighted, no multiple edges  Is the join of an underlying network Does not have multiple edges, but the underlying data has</t>
  </si>
  <si>
    <t xml:space="preserve">    TC</t>
  </si>
  <si>
    <t>Air traffic control</t>
  </si>
  <si>
    <t xml:space="preserve">    aa</t>
  </si>
  <si>
    <t>Wikipedia edits (aa)</t>
  </si>
  <si>
    <t xml:space="preserve">    quz</t>
  </si>
  <si>
    <t>Wikiquote edits (uz)</t>
  </si>
  <si>
    <t xml:space="preserve">    MO</t>
  </si>
  <si>
    <t>Residence hall</t>
  </si>
  <si>
    <t xml:space="preserve">    btg</t>
  </si>
  <si>
    <t>Wikibooks edits (tg)</t>
  </si>
  <si>
    <t xml:space="preserve">    bpa</t>
  </si>
  <si>
    <t>Wikibooks edits (pa)</t>
  </si>
  <si>
    <t xml:space="preserve">    EF</t>
  </si>
  <si>
    <t>Facebook (NIPS)</t>
  </si>
  <si>
    <t xml:space="preserve">    mals</t>
  </si>
  <si>
    <t>Wiktionary edits (als)</t>
  </si>
  <si>
    <t xml:space="preserve">    IF</t>
  </si>
  <si>
    <t>A Song of Ice and Fire</t>
  </si>
  <si>
    <t xml:space="preserve">    bku</t>
  </si>
  <si>
    <t>Wikibooks edits (ku)</t>
  </si>
  <si>
    <t xml:space="preserve">    Lg</t>
  </si>
  <si>
    <t>LiquidFeedback (global)</t>
  </si>
  <si>
    <t xml:space="preserve">    bia</t>
  </si>
  <si>
    <t>Wikibooks edits (ia)</t>
  </si>
  <si>
    <t xml:space="preserve">    Tht</t>
  </si>
  <si>
    <t>Wikipedia talk (ht)</t>
  </si>
  <si>
    <t xml:space="preserve">    bcv</t>
  </si>
  <si>
    <t>Wikibooks edits (cv)</t>
  </si>
  <si>
    <t xml:space="preserve">    baf</t>
  </si>
  <si>
    <t>Wikibooks edits (af)</t>
  </si>
  <si>
    <t xml:space="preserve">    PM</t>
  </si>
  <si>
    <t>Caenorhabditis elegans</t>
  </si>
  <si>
    <t>Dataset is available for download Dataset passed all tests  Unipartite, undirected Unweighted, multiple edges  Contains loops</t>
  </si>
  <si>
    <t xml:space="preserve">    mza</t>
  </si>
  <si>
    <t>Wiktionary edits (za)</t>
  </si>
  <si>
    <t xml:space="preserve">    boc</t>
  </si>
  <si>
    <t>Wikibooks edits (oc)</t>
  </si>
  <si>
    <t xml:space="preserve">    bte</t>
  </si>
  <si>
    <t>Wikibooks edits (te)</t>
  </si>
  <si>
    <t xml:space="preserve">    PHh</t>
  </si>
  <si>
    <t>Hamsterster households</t>
  </si>
  <si>
    <t xml:space="preserve">    mik</t>
  </si>
  <si>
    <t>Wiktionary edits (ik)</t>
  </si>
  <si>
    <t xml:space="preserve">    mks</t>
  </si>
  <si>
    <t>Wiktionary edits (ks)</t>
  </si>
  <si>
    <t xml:space="preserve">    ng</t>
  </si>
  <si>
    <t>Wikipedia edits (ng)</t>
  </si>
  <si>
    <t>Caenorhabditis elegans (neural)</t>
  </si>
  <si>
    <t>Dataset is available for download Dataset passed all tests  Unipartite, directed Positive weights, no multiple edges  Is a snapshot and likely to not contain all data Does not have multiple edges, but the underlying data has</t>
  </si>
  <si>
    <t xml:space="preserve">    bsa</t>
  </si>
  <si>
    <t>Wikibooks edits (sa)</t>
  </si>
  <si>
    <t xml:space="preserve">    bkk</t>
  </si>
  <si>
    <t>Wikibooks edits (kk)</t>
  </si>
  <si>
    <t xml:space="preserve">    A@</t>
  </si>
  <si>
    <t>U. Rovira i Virgili</t>
  </si>
  <si>
    <t xml:space="preserve">    FW</t>
  </si>
  <si>
    <t>Florida ecosystem wet</t>
  </si>
  <si>
    <t xml:space="preserve">    FD</t>
  </si>
  <si>
    <t>Florida ecosystem dry</t>
  </si>
  <si>
    <t xml:space="preserve">    qmr</t>
  </si>
  <si>
    <t>Wikiquote edits (mr)</t>
  </si>
  <si>
    <t xml:space="preserve">    bli</t>
  </si>
  <si>
    <t>Wikibooks edits (li)</t>
  </si>
  <si>
    <t xml:space="preserve">    bbe</t>
  </si>
  <si>
    <t>Wikibooks edits (be)</t>
  </si>
  <si>
    <t xml:space="preserve">    bang</t>
  </si>
  <si>
    <t>Wikibooks edits (ang)</t>
  </si>
  <si>
    <t xml:space="preserve">    bmr</t>
  </si>
  <si>
    <t>Wikibooks edits (mr)</t>
  </si>
  <si>
    <t xml:space="preserve">    qbr</t>
  </si>
  <si>
    <t>Wikiquote edits (br)</t>
  </si>
  <si>
    <t xml:space="preserve">    bbs</t>
  </si>
  <si>
    <t>Wikibooks edits (bs)</t>
  </si>
  <si>
    <t xml:space="preserve">    mha</t>
  </si>
  <si>
    <t>Wiktionary edits (ha)</t>
  </si>
  <si>
    <t xml:space="preserve">    mtn</t>
  </si>
  <si>
    <t>Wiktionary edits (tn)</t>
  </si>
  <si>
    <t xml:space="preserve">    Mv</t>
  </si>
  <si>
    <t>Dutch college</t>
  </si>
  <si>
    <t>Dataset is available for download Dataset passed all tests  Unipartite, directed Signed, possibly weighted, multiple edges  Edges are annotated with timestamps Edges may have weight zero</t>
  </si>
  <si>
    <t xml:space="preserve">    mts</t>
  </si>
  <si>
    <t>Wiktionary edits (ts)</t>
  </si>
  <si>
    <t xml:space="preserve">    MS</t>
  </si>
  <si>
    <t>Human proteins (Stelzl)</t>
  </si>
  <si>
    <t xml:space="preserve">    btt</t>
  </si>
  <si>
    <t>Wikibooks edits (tt)</t>
  </si>
  <si>
    <t xml:space="preserve">    MV</t>
  </si>
  <si>
    <t>Human proteins (Vidal)</t>
  </si>
  <si>
    <t xml:space="preserve">    bla</t>
  </si>
  <si>
    <t>Wikibooks edits (la)</t>
  </si>
  <si>
    <t xml:space="preserve">    MF</t>
  </si>
  <si>
    <t>Human proteins (Figeys)</t>
  </si>
  <si>
    <t xml:space="preserve">    qsu</t>
  </si>
  <si>
    <t>Wikiquote edits (su)</t>
  </si>
  <si>
    <t xml:space="preserve">    nth</t>
  </si>
  <si>
    <t>Wikinews edits (th)</t>
  </si>
  <si>
    <t xml:space="preserve">    qkn</t>
  </si>
  <si>
    <t>Wikiquote edits (kn)</t>
  </si>
  <si>
    <t xml:space="preserve">    qsq</t>
  </si>
  <si>
    <t>Wikiquote edits (sq)</t>
  </si>
  <si>
    <t xml:space="preserve">    msg</t>
  </si>
  <si>
    <t>Wiktionary edits (sg)</t>
  </si>
  <si>
    <t xml:space="preserve">    qsk</t>
  </si>
  <si>
    <t>Wikiquote edits (sk)</t>
  </si>
  <si>
    <t xml:space="preserve">    UG</t>
  </si>
  <si>
    <t>US power grid</t>
  </si>
  <si>
    <t xml:space="preserve">    mti</t>
  </si>
  <si>
    <t>Wiktionary edits (ti)</t>
  </si>
  <si>
    <t xml:space="preserve">    bur</t>
  </si>
  <si>
    <t>Wikibooks edits (ur)</t>
  </si>
  <si>
    <t xml:space="preserve">    qcy</t>
  </si>
  <si>
    <t>Wikiquote edits (cy)</t>
  </si>
  <si>
    <t xml:space="preserve">    qaf</t>
  </si>
  <si>
    <t>Wikiquote edits (af)</t>
  </si>
  <si>
    <t xml:space="preserve">    bkm</t>
  </si>
  <si>
    <t>Wikibooks edits (km)</t>
  </si>
  <si>
    <t xml:space="preserve">    bmk</t>
  </si>
  <si>
    <t>Wikibooks edits (mk)</t>
  </si>
  <si>
    <t xml:space="preserve">    qur</t>
  </si>
  <si>
    <t>Wikiquote edits (ur)</t>
  </si>
  <si>
    <t xml:space="preserve">    nsd</t>
  </si>
  <si>
    <t>Wikinews edits (sd)</t>
  </si>
  <si>
    <t xml:space="preserve">    qbe</t>
  </si>
  <si>
    <t>Wikiquote edits (be)</t>
  </si>
  <si>
    <t xml:space="preserve">    MN</t>
  </si>
  <si>
    <t xml:space="preserve">    mdv</t>
  </si>
  <si>
    <t>Wiktionary edits (dv)</t>
  </si>
  <si>
    <t xml:space="preserve">    mtpi</t>
  </si>
  <si>
    <t>Wiktionary edits (tpi)</t>
  </si>
  <si>
    <t xml:space="preserve">    mss</t>
  </si>
  <si>
    <t>Wiktionary edits (ss)</t>
  </si>
  <si>
    <t xml:space="preserve">    bet</t>
  </si>
  <si>
    <t>Wikibooks edits (et)</t>
  </si>
  <si>
    <t xml:space="preserve">    beu</t>
  </si>
  <si>
    <t>Wikibooks edits (eu)</t>
  </si>
  <si>
    <t xml:space="preserve">    qku</t>
  </si>
  <si>
    <t>Wikiquote edits (ku)</t>
  </si>
  <si>
    <t xml:space="preserve">    bhy</t>
  </si>
  <si>
    <t>Wikibooks edits (hy)</t>
  </si>
  <si>
    <t xml:space="preserve">    miu</t>
  </si>
  <si>
    <t>Wiktionary edits (iu)</t>
  </si>
  <si>
    <t xml:space="preserve">    mln</t>
  </si>
  <si>
    <t>Wiktionary edits (ln)</t>
  </si>
  <si>
    <t xml:space="preserve">    qlt</t>
  </si>
  <si>
    <t>Wikiquote edits (lt)</t>
  </si>
  <si>
    <t xml:space="preserve">    Shf</t>
  </si>
  <si>
    <t>Hamsterster friendships</t>
  </si>
  <si>
    <t xml:space="preserve">    qli</t>
  </si>
  <si>
    <t>Wikiquote edits (li)</t>
  </si>
  <si>
    <t xml:space="preserve">    EO</t>
  </si>
  <si>
    <t>Dataset is available for download Dataset passed all tests  Unipartite, undirected Unweighted, no multiple edges  Is a snapshot and likely to not contain all data Is the join of an underlying network Does not have multiple edges, but the underlying data has Only the largest connected component of the original data is included</t>
  </si>
  <si>
    <t xml:space="preserve">    qeu</t>
  </si>
  <si>
    <t>Wikiquote edits (eu)</t>
  </si>
  <si>
    <t xml:space="preserve">    msu</t>
  </si>
  <si>
    <t>Wiktionary edits (su)</t>
  </si>
  <si>
    <t xml:space="preserve">    qpa</t>
  </si>
  <si>
    <t>Wikiquote edits (pa)</t>
  </si>
  <si>
    <t xml:space="preserve">    qis</t>
  </si>
  <si>
    <t>Wikiquote edits (is)</t>
  </si>
  <si>
    <t xml:space="preserve">    qla</t>
  </si>
  <si>
    <t>Wikiquote edits (la)</t>
  </si>
  <si>
    <t xml:space="preserve">    bms</t>
  </si>
  <si>
    <t>Wikibooks edits (ms)</t>
  </si>
  <si>
    <t xml:space="preserve">    PHf</t>
  </si>
  <si>
    <t>Hamsterster friends</t>
  </si>
  <si>
    <t xml:space="preserve">    btl</t>
  </si>
  <si>
    <t>Wikibooks edits (tl)</t>
  </si>
  <si>
    <t xml:space="preserve">    AS</t>
  </si>
  <si>
    <t>Route views</t>
  </si>
  <si>
    <t>Dataset is available for download Dataset passed all tests  Unipartite, undirected Unweighted, no multiple edges  Contains loops Is not directed, but the underlying data is</t>
  </si>
  <si>
    <t xml:space="preserve">    qsah</t>
  </si>
  <si>
    <t>Wikiquote edits (sah)</t>
  </si>
  <si>
    <t xml:space="preserve">    ady</t>
  </si>
  <si>
    <t>Wikipedia edits (ady)</t>
  </si>
  <si>
    <t xml:space="preserve">    atj</t>
  </si>
  <si>
    <t>Wikipedia edits (atj)</t>
  </si>
  <si>
    <t xml:space="preserve">    bhi</t>
  </si>
  <si>
    <t>Wikibooks edits (hi)</t>
  </si>
  <si>
    <t xml:space="preserve">    bsi</t>
  </si>
  <si>
    <t>Wikibooks edits (si)</t>
  </si>
  <si>
    <t xml:space="preserve">    mom</t>
  </si>
  <si>
    <t>Wiktionary edits (om)</t>
  </si>
  <si>
    <t xml:space="preserve">    mqu</t>
  </si>
  <si>
    <t>Wiktionary edits (qu)</t>
  </si>
  <si>
    <t xml:space="preserve">    ks</t>
  </si>
  <si>
    <t>Wikipedia edits (ks)</t>
  </si>
  <si>
    <t xml:space="preserve">    mrw</t>
  </si>
  <si>
    <t>Wiktionary edits (rw)</t>
  </si>
  <si>
    <t xml:space="preserve">    DN</t>
  </si>
  <si>
    <t>DNC co-recipients</t>
  </si>
  <si>
    <t>Dataset is available for download Dataset passed all tests  Unipartite, undirected Unweighted, multiple edges  Is a snapshot and likely to not contain all data Is the join of an underlying network</t>
  </si>
  <si>
    <t xml:space="preserve">    mgn</t>
  </si>
  <si>
    <t>Wiktionary edits (gn)</t>
  </si>
  <si>
    <t xml:space="preserve">    mkw</t>
  </si>
  <si>
    <t>Wiktionary edits (kw)</t>
  </si>
  <si>
    <t xml:space="preserve">    Sh</t>
  </si>
  <si>
    <t>Hamsterster full</t>
  </si>
  <si>
    <t xml:space="preserve">    bbg</t>
  </si>
  <si>
    <t>Wikibooks edits (bg)</t>
  </si>
  <si>
    <t xml:space="preserve">    ME</t>
  </si>
  <si>
    <t>Adolescent health</t>
  </si>
  <si>
    <t xml:space="preserve">    mo</t>
  </si>
  <si>
    <t>Wikipedia edits (mo)</t>
  </si>
  <si>
    <t xml:space="preserve">    mna</t>
  </si>
  <si>
    <t>Wiktionary edits (na)</t>
  </si>
  <si>
    <t xml:space="preserve">    kbp</t>
  </si>
  <si>
    <t>Wikipedia edits (kbp)</t>
  </si>
  <si>
    <t xml:space="preserve">    bne</t>
  </si>
  <si>
    <t>Wikibooks edits (ne)</t>
  </si>
  <si>
    <t xml:space="preserve">    qet</t>
  </si>
  <si>
    <t>Wikiquote edits (et)</t>
  </si>
  <si>
    <t xml:space="preserve">    mzu</t>
  </si>
  <si>
    <t>Wiktionary edits (zu)</t>
  </si>
  <si>
    <t xml:space="preserve">    may</t>
  </si>
  <si>
    <t>Wiktionary edits (ay)</t>
  </si>
  <si>
    <t xml:space="preserve">    qbs</t>
  </si>
  <si>
    <t>Wikiquote edits (bs)</t>
  </si>
  <si>
    <t xml:space="preserve">    nsq</t>
  </si>
  <si>
    <t>Wikinews edits (sq)</t>
  </si>
  <si>
    <t xml:space="preserve">    bsr</t>
  </si>
  <si>
    <t>Wikibooks edits (sr)</t>
  </si>
  <si>
    <t xml:space="preserve">    Mg</t>
  </si>
  <si>
    <t xml:space="preserve">    mgv</t>
  </si>
  <si>
    <t>Wiktionary edits (gv)</t>
  </si>
  <si>
    <t xml:space="preserve">    mjbo</t>
  </si>
  <si>
    <t>Wiktionary edits (jbo)</t>
  </si>
  <si>
    <t xml:space="preserve">    Li</t>
  </si>
  <si>
    <t>LiquidFeedback (issues)</t>
  </si>
  <si>
    <t xml:space="preserve">    qsr</t>
  </si>
  <si>
    <t>Wikiquote edits (sr)</t>
  </si>
  <si>
    <t xml:space="preserve">    yja</t>
  </si>
  <si>
    <t>Wikiversity edits (ja)</t>
  </si>
  <si>
    <t xml:space="preserve">    mie</t>
  </si>
  <si>
    <t>Wiktionary edits (ie)</t>
  </si>
  <si>
    <t xml:space="preserve">    mroa-rup</t>
  </si>
  <si>
    <t>Wiktionary edits (roa-rup)</t>
  </si>
  <si>
    <t xml:space="preserve">    mmi</t>
  </si>
  <si>
    <t>Wiktionary edits (mi)</t>
  </si>
  <si>
    <t xml:space="preserve">    bsl</t>
  </si>
  <si>
    <t>Wikibooks edits (sl)</t>
  </si>
  <si>
    <t xml:space="preserve">    La</t>
  </si>
  <si>
    <t>LiquidFeedback (areas)</t>
  </si>
  <si>
    <t xml:space="preserve">    qda</t>
  </si>
  <si>
    <t>Wikiquote edits (da)</t>
  </si>
  <si>
    <t xml:space="preserve">    bsk</t>
  </si>
  <si>
    <t>Wikibooks edits (sk)</t>
  </si>
  <si>
    <t xml:space="preserve">    tw</t>
  </si>
  <si>
    <t>Wikipedia edits (tw)</t>
  </si>
  <si>
    <t xml:space="preserve">    GN</t>
  </si>
  <si>
    <t>Gnutella (08)</t>
  </si>
  <si>
    <t>Dataset is available for download Dataset passed all tests  Unipartite, directed Unweighted, no multiple edges  Does not contain reciprocal edges</t>
  </si>
  <si>
    <t xml:space="preserve">    myi</t>
  </si>
  <si>
    <t>Wiktionary edits (yi)</t>
  </si>
  <si>
    <t xml:space="preserve">    PS</t>
  </si>
  <si>
    <t>Prosper groups</t>
  </si>
  <si>
    <t>Dataset is not available for download Dataset passed all tests  Bipartite, undirected Unweighted, no multiple edges</t>
  </si>
  <si>
    <t xml:space="preserve">    SC</t>
  </si>
  <si>
    <t>Sister cities</t>
  </si>
  <si>
    <t xml:space="preserve">    qbg</t>
  </si>
  <si>
    <t>Wikiquote edits (bg)</t>
  </si>
  <si>
    <t xml:space="preserve">    mst</t>
  </si>
  <si>
    <t>Wiktionary edits (st)</t>
  </si>
  <si>
    <t xml:space="preserve">    qta</t>
  </si>
  <si>
    <t>Wikiquote edits (ta)</t>
  </si>
  <si>
    <t xml:space="preserve">    qas</t>
  </si>
  <si>
    <t>Wikiquote edits (as)</t>
  </si>
  <si>
    <t xml:space="preserve">    Tcy</t>
  </si>
  <si>
    <t>Wikipedia talk (cy)</t>
  </si>
  <si>
    <t xml:space="preserve">    Toc</t>
  </si>
  <si>
    <t>Wikipedia talk (oc)</t>
  </si>
  <si>
    <t xml:space="preserve">    bta</t>
  </si>
  <si>
    <t>Wikibooks edits (ta)</t>
  </si>
  <si>
    <t xml:space="preserve">    mam</t>
  </si>
  <si>
    <t>Wiktionary edits (am)</t>
  </si>
  <si>
    <t xml:space="preserve">    ve</t>
  </si>
  <si>
    <t>Wikipedia edits (ve)</t>
  </si>
  <si>
    <t xml:space="preserve">    ki</t>
  </si>
  <si>
    <t>Wikipedia edits (ki)</t>
  </si>
  <si>
    <t xml:space="preserve">    bbn</t>
  </si>
  <si>
    <t>Wikibooks edits (bn)</t>
  </si>
  <si>
    <t xml:space="preserve">    qte</t>
  </si>
  <si>
    <t>Wikiquote edits (te)</t>
  </si>
  <si>
    <t xml:space="preserve">    ti</t>
  </si>
  <si>
    <t>Wikipedia edits (ti)</t>
  </si>
  <si>
    <t xml:space="preserve">    PG</t>
  </si>
  <si>
    <t>Pretty Good Privacy</t>
  </si>
  <si>
    <t xml:space="preserve">    msi</t>
  </si>
  <si>
    <t>Wiktionary edits (si)</t>
  </si>
  <si>
    <t xml:space="preserve">    bsimple</t>
  </si>
  <si>
    <t>Wikibooks edits (simple)</t>
  </si>
  <si>
    <t xml:space="preserve">    bml</t>
  </si>
  <si>
    <t>Wikibooks edits (ml)</t>
  </si>
  <si>
    <t xml:space="preserve">    ak</t>
  </si>
  <si>
    <t>Wikipedia edits (ak)</t>
  </si>
  <si>
    <t xml:space="preserve">    qgu</t>
  </si>
  <si>
    <t>Wikiquote edits (gu)</t>
  </si>
  <si>
    <t xml:space="preserve">    ny</t>
  </si>
  <si>
    <t>Wikipedia edits (ny)</t>
  </si>
  <si>
    <t xml:space="preserve">    yko</t>
  </si>
  <si>
    <t>Wikiversity edits (ko)</t>
  </si>
  <si>
    <t xml:space="preserve">    qid</t>
  </si>
  <si>
    <t>Wikiquote edits (id)</t>
  </si>
  <si>
    <t xml:space="preserve">    bka</t>
  </si>
  <si>
    <t>Wikibooks edits (ka)</t>
  </si>
  <si>
    <t>Gnutella (09)</t>
  </si>
  <si>
    <t xml:space="preserve">    fj</t>
  </si>
  <si>
    <t>Wikipedia edits (fj)</t>
  </si>
  <si>
    <t xml:space="preserve">    qgl</t>
  </si>
  <si>
    <t>Wikiquote edits (gl)</t>
  </si>
  <si>
    <t xml:space="preserve">    sg</t>
  </si>
  <si>
    <t>Wikipedia edits (sg)</t>
  </si>
  <si>
    <t>Political blogs</t>
  </si>
  <si>
    <t xml:space="preserve">    mso</t>
  </si>
  <si>
    <t>Wiktionary edits (so)</t>
  </si>
  <si>
    <t xml:space="preserve">    rn</t>
  </si>
  <si>
    <t>Wikipedia edits (rn)</t>
  </si>
  <si>
    <t xml:space="preserve">    ch</t>
  </si>
  <si>
    <t>Wikipedia edits (ch)</t>
  </si>
  <si>
    <t xml:space="preserve">    mpa</t>
  </si>
  <si>
    <t>Wiktionary edits (pa)</t>
  </si>
  <si>
    <t xml:space="preserve">    bhr</t>
  </si>
  <si>
    <t>Wikibooks edits (hr)</t>
  </si>
  <si>
    <t xml:space="preserve">    qro</t>
  </si>
  <si>
    <t>Wikiquote edits (ro)</t>
  </si>
  <si>
    <t xml:space="preserve">    qhi</t>
  </si>
  <si>
    <t>Wikiquote edits (hi)</t>
  </si>
  <si>
    <t xml:space="preserve">    qml</t>
  </si>
  <si>
    <t>Wikiquote edits (ml)</t>
  </si>
  <si>
    <t xml:space="preserve">    tum</t>
  </si>
  <si>
    <t>Wikipedia edits (tum)</t>
  </si>
  <si>
    <t xml:space="preserve">    nbg</t>
  </si>
  <si>
    <t>Wikinews edits (bg)</t>
  </si>
  <si>
    <t xml:space="preserve">    Tbr</t>
  </si>
  <si>
    <t>Wikipedia talk (br)</t>
  </si>
  <si>
    <t xml:space="preserve">    bgl</t>
  </si>
  <si>
    <t>Wikibooks edits (gl)</t>
  </si>
  <si>
    <t xml:space="preserve">    mfo</t>
  </si>
  <si>
    <t>Wiktionary edits (fo)</t>
  </si>
  <si>
    <t xml:space="preserve">    qnn</t>
  </si>
  <si>
    <t>Wikiquote edits (nn)</t>
  </si>
  <si>
    <t xml:space="preserve">    qyi</t>
  </si>
  <si>
    <t>Wikiquote edits (yi)</t>
  </si>
  <si>
    <t xml:space="preserve">    qmk</t>
  </si>
  <si>
    <t>Wikiquote edits (mk)</t>
  </si>
  <si>
    <t xml:space="preserve">    mgu</t>
  </si>
  <si>
    <t>Wiktionary edits (gu)</t>
  </si>
  <si>
    <t xml:space="preserve">    qno</t>
  </si>
  <si>
    <t>Wikiquote edits (no)</t>
  </si>
  <si>
    <t xml:space="preserve">    mmt</t>
  </si>
  <si>
    <t>Wiktionary edits (mt)</t>
  </si>
  <si>
    <t xml:space="preserve">    OF</t>
  </si>
  <si>
    <t>OpenFlights (Opsahl)</t>
  </si>
  <si>
    <t xml:space="preserve">    beo</t>
  </si>
  <si>
    <t>Wikibooks edits (eo)</t>
  </si>
  <si>
    <t xml:space="preserve">    qsa</t>
  </si>
  <si>
    <t>Wikiquote edits (sa)</t>
  </si>
  <si>
    <t xml:space="preserve">    mmr</t>
  </si>
  <si>
    <t>Wiktionary edits (mr)</t>
  </si>
  <si>
    <t xml:space="preserve">    buk</t>
  </si>
  <si>
    <t>Wikibooks edits (uk)</t>
  </si>
  <si>
    <t>Gnutella (06)</t>
  </si>
  <si>
    <t xml:space="preserve">    st</t>
  </si>
  <si>
    <t>Wikipedia edits (st)</t>
  </si>
  <si>
    <t>Gnutella (05)</t>
  </si>
  <si>
    <t xml:space="preserve">    blt</t>
  </si>
  <si>
    <t>Wikibooks edits (lt)</t>
  </si>
  <si>
    <t xml:space="preserve">    tn</t>
  </si>
  <si>
    <t>Wikipedia edits (tn)</t>
  </si>
  <si>
    <t xml:space="preserve">    mhsb</t>
  </si>
  <si>
    <t>Wiktionary edits (hsb)</t>
  </si>
  <si>
    <t xml:space="preserve">    qth</t>
  </si>
  <si>
    <t>Wikiquote edits (th)</t>
  </si>
  <si>
    <t xml:space="preserve">    vuk</t>
  </si>
  <si>
    <t>Wikivoyage edits (uk)</t>
  </si>
  <si>
    <t xml:space="preserve">    vro</t>
  </si>
  <si>
    <t>Wikivoyage edits (ro)</t>
  </si>
  <si>
    <t xml:space="preserve">    lg</t>
  </si>
  <si>
    <t>Wikipedia edits (lg)</t>
  </si>
  <si>
    <t xml:space="preserve">    ff</t>
  </si>
  <si>
    <t>Wikipedia edits (ff)</t>
  </si>
  <si>
    <t>US airports</t>
  </si>
  <si>
    <t xml:space="preserve">    baz</t>
  </si>
  <si>
    <t>Wikibooks edits (az)</t>
  </si>
  <si>
    <t xml:space="preserve">    olo</t>
  </si>
  <si>
    <t>Wikipedia edits (olo)</t>
  </si>
  <si>
    <t xml:space="preserve">    chy</t>
  </si>
  <si>
    <t>Wikipedia edits (chy)</t>
  </si>
  <si>
    <t xml:space="preserve">    nno</t>
  </si>
  <si>
    <t>Wikinews edits (no)</t>
  </si>
  <si>
    <t xml:space="preserve">    bis</t>
  </si>
  <si>
    <t>Wikibooks edits (is)</t>
  </si>
  <si>
    <t xml:space="preserve">    mkl</t>
  </si>
  <si>
    <t>Wiktionary edits (kl)</t>
  </si>
  <si>
    <t xml:space="preserve">    mur</t>
  </si>
  <si>
    <t>Wiktionary edits (ur)</t>
  </si>
  <si>
    <t xml:space="preserve">    TL</t>
  </si>
  <si>
    <t>Twitter lists</t>
  </si>
  <si>
    <t xml:space="preserve">    CT</t>
  </si>
  <si>
    <t>CiaoDVD trust</t>
  </si>
  <si>
    <t xml:space="preserve">    If</t>
  </si>
  <si>
    <t>Dataset is available for download Dataset passed all tests  Unipartite, undirected Unweighted, multiple edges  Edges are annotated with timestamps</t>
  </si>
  <si>
    <t xml:space="preserve">    jam</t>
  </si>
  <si>
    <t>Wikipedia edits (jam)</t>
  </si>
  <si>
    <t xml:space="preserve">    qsv</t>
  </si>
  <si>
    <t>Wikiquote edits (sv)</t>
  </si>
  <si>
    <t xml:space="preserve">    dz</t>
  </si>
  <si>
    <t>Wikipedia edits (dz)</t>
  </si>
  <si>
    <t xml:space="preserve">    qhr</t>
  </si>
  <si>
    <t>Wikiquote edits (hr)</t>
  </si>
  <si>
    <t xml:space="preserve">    tyv</t>
  </si>
  <si>
    <t>Wikipedia edits (tyv)</t>
  </si>
  <si>
    <t xml:space="preserve">    mwo</t>
  </si>
  <si>
    <t>Wiktionary edits (wo)</t>
  </si>
  <si>
    <t xml:space="preserve">    bda</t>
  </si>
  <si>
    <t>Wikibooks edits (da)</t>
  </si>
  <si>
    <t xml:space="preserve">    FR</t>
  </si>
  <si>
    <t>FilmTrust ratings</t>
  </si>
  <si>
    <t>Dataset is available for download Dataset passed all tests  Bipartite, undirected Ratings, no multiple edges  Is a snapshot and likely to not contain all data</t>
  </si>
  <si>
    <t xml:space="preserve">    ysv</t>
  </si>
  <si>
    <t>Wikiversity edits (sv)</t>
  </si>
  <si>
    <t xml:space="preserve">    vel</t>
  </si>
  <si>
    <t>Wikivoyage edits (el)</t>
  </si>
  <si>
    <t xml:space="preserve">    bro</t>
  </si>
  <si>
    <t>Wikibooks edits (ro)</t>
  </si>
  <si>
    <t xml:space="preserve">    PW</t>
  </si>
  <si>
    <t>Prosper listings</t>
  </si>
  <si>
    <t xml:space="preserve">    qko</t>
  </si>
  <si>
    <t>Wikiquote edits (ko)</t>
  </si>
  <si>
    <t xml:space="preserve">    nko</t>
  </si>
  <si>
    <t>Wikinews edits (ko)</t>
  </si>
  <si>
    <t xml:space="preserve">    nbs</t>
  </si>
  <si>
    <t>Wikinews edits (bs)</t>
  </si>
  <si>
    <t>Gnutella (04)</t>
  </si>
  <si>
    <t xml:space="preserve">    HY</t>
  </si>
  <si>
    <t>Hypertext 2009</t>
  </si>
  <si>
    <t xml:space="preserve">    om</t>
  </si>
  <si>
    <t>Wikipedia edits (om)</t>
  </si>
  <si>
    <t xml:space="preserve">    HA</t>
  </si>
  <si>
    <t xml:space="preserve">    qeo</t>
  </si>
  <si>
    <t>Wikiquote edits (eo)</t>
  </si>
  <si>
    <t xml:space="preserve">    CR</t>
  </si>
  <si>
    <t>LiquidFeedback (all)</t>
  </si>
  <si>
    <t xml:space="preserve">    xh</t>
  </si>
  <si>
    <t>Wikipedia edits (xh)</t>
  </si>
  <si>
    <t xml:space="preserve">    GP</t>
  </si>
  <si>
    <t>Google+ (NIPS)</t>
  </si>
  <si>
    <t xml:space="preserve">    LQt</t>
  </si>
  <si>
    <t>LiquidFeedback (temporal)</t>
  </si>
  <si>
    <t xml:space="preserve">    qel</t>
  </si>
  <si>
    <t>Wikiquote edits (el)</t>
  </si>
  <si>
    <t xml:space="preserve">    mvec</t>
  </si>
  <si>
    <t>Wiktionary edits (vec)</t>
  </si>
  <si>
    <t xml:space="preserve">    msd</t>
  </si>
  <si>
    <t>Wiktionary edits (sd)</t>
  </si>
  <si>
    <t xml:space="preserve">    qja</t>
  </si>
  <si>
    <t>Wikiquote edits (ja)</t>
  </si>
  <si>
    <t xml:space="preserve">    mtk</t>
  </si>
  <si>
    <t>Wiktionary edits (tk)</t>
  </si>
  <si>
    <t xml:space="preserve">    qvi</t>
  </si>
  <si>
    <t>Wikiquote edits (vi)</t>
  </si>
  <si>
    <t xml:space="preserve">    bsq</t>
  </si>
  <si>
    <t>Wikibooks edits (sq)</t>
  </si>
  <si>
    <t xml:space="preserve">    mgd</t>
  </si>
  <si>
    <t>Wiktionary edits (gd)</t>
  </si>
  <si>
    <t xml:space="preserve">    za</t>
  </si>
  <si>
    <t>Wikipedia edits (za)</t>
  </si>
  <si>
    <t xml:space="preserve">    bko</t>
  </si>
  <si>
    <t>Wikibooks edits (ko)</t>
  </si>
  <si>
    <t>Autonomous systems (DIMACS10)</t>
  </si>
  <si>
    <t>Dataset is available for download Dataset passed all tests  Unipartite, undirected Unweighted, no multiple edges  Is a snapshot and likely to not contain all data Is not directed, but the underlying data is</t>
  </si>
  <si>
    <t xml:space="preserve">    ts</t>
  </si>
  <si>
    <t>Wikipedia edits (ts)</t>
  </si>
  <si>
    <t xml:space="preserve">    cr</t>
  </si>
  <si>
    <t>Wikipedia edits (cr)</t>
  </si>
  <si>
    <t xml:space="preserve">    dty</t>
  </si>
  <si>
    <t>Wikipedia edits (dty)</t>
  </si>
  <si>
    <t xml:space="preserve">    bcs</t>
  </si>
  <si>
    <t>Wikibooks edits (cs)</t>
  </si>
  <si>
    <t xml:space="preserve">    ha</t>
  </si>
  <si>
    <t>Wikipedia edits (ha)</t>
  </si>
  <si>
    <t xml:space="preserve">    nhe</t>
  </si>
  <si>
    <t>Wikinews edits (he)</t>
  </si>
  <si>
    <t xml:space="preserve">    qor</t>
  </si>
  <si>
    <t>Wikiquote edits (or)</t>
  </si>
  <si>
    <t xml:space="preserve">    qka</t>
  </si>
  <si>
    <t>Wikiquote edits (ka)</t>
  </si>
  <si>
    <t xml:space="preserve">    mpnb</t>
  </si>
  <si>
    <t>Wiktionary edits (pnb)</t>
  </si>
  <si>
    <t xml:space="preserve">    yel</t>
  </si>
  <si>
    <t>Wikiversity edits (el)</t>
  </si>
  <si>
    <t xml:space="preserve">    vvi</t>
  </si>
  <si>
    <t>Wikivoyage edits (vi)</t>
  </si>
  <si>
    <t xml:space="preserve">    mug</t>
  </si>
  <si>
    <t>Wiktionary edits (ug)</t>
  </si>
  <si>
    <t xml:space="preserve">    IN</t>
  </si>
  <si>
    <t xml:space="preserve">    man</t>
  </si>
  <si>
    <t>Wiktionary edits (an)</t>
  </si>
  <si>
    <t xml:space="preserve">    BA</t>
  </si>
  <si>
    <t>Bitcoin Alpha</t>
  </si>
  <si>
    <t>Dataset is available for download Dataset passed all tests  Unipartite, directed Signed, possibly weighted, no multiple edges  Edges are annotated with timestamps</t>
  </si>
  <si>
    <t xml:space="preserve">    btr</t>
  </si>
  <si>
    <t>Wikibooks edits (tr)</t>
  </si>
  <si>
    <t xml:space="preserve">    mia</t>
  </si>
  <si>
    <t>Wiktionary edits (ia)</t>
  </si>
  <si>
    <t xml:space="preserve">    nro</t>
  </si>
  <si>
    <t>Wikinews edits (ro)</t>
  </si>
  <si>
    <t xml:space="preserve">    bi</t>
  </si>
  <si>
    <t>Wikipedia edits (bi)</t>
  </si>
  <si>
    <t xml:space="preserve">    got</t>
  </si>
  <si>
    <t>Wikipedia edits (got)</t>
  </si>
  <si>
    <t xml:space="preserve">    ik</t>
  </si>
  <si>
    <t>Wikipedia edits (ik)</t>
  </si>
  <si>
    <t xml:space="preserve">    zu</t>
  </si>
  <si>
    <t>Wikipedia edits (zu)</t>
  </si>
  <si>
    <t xml:space="preserve">    qsimple</t>
  </si>
  <si>
    <t>Wikiquote edits (simple)</t>
  </si>
  <si>
    <t xml:space="preserve">    qsl</t>
  </si>
  <si>
    <t>Wikiquote edits (sl)</t>
  </si>
  <si>
    <t xml:space="preserve">    nhu</t>
  </si>
  <si>
    <t>Wikinews edits (hu)</t>
  </si>
  <si>
    <t xml:space="preserve">    ysl</t>
  </si>
  <si>
    <t>Wikiversity edits (sl)</t>
  </si>
  <si>
    <t xml:space="preserve">    sm</t>
  </si>
  <si>
    <t>Wikipedia edits (sm)</t>
  </si>
  <si>
    <t xml:space="preserve">    ltg</t>
  </si>
  <si>
    <t>Wikipedia edits (ltg)</t>
  </si>
  <si>
    <t>Gnutella (25)</t>
  </si>
  <si>
    <t xml:space="preserve">    WL</t>
  </si>
  <si>
    <t xml:space="preserve">    AD</t>
  </si>
  <si>
    <t>Dataset is available for download Dataset passed all tests  Unipartite, directed Positive weights, no multiple edges  Contains loops</t>
  </si>
  <si>
    <t xml:space="preserve">    ss</t>
  </si>
  <si>
    <t>Wikipedia edits (ss)</t>
  </si>
  <si>
    <t xml:space="preserve">    to</t>
  </si>
  <si>
    <t>Wikipedia edits (to)</t>
  </si>
  <si>
    <t xml:space="preserve">    Tnds</t>
  </si>
  <si>
    <t>Wikipedia talk (nds)</t>
  </si>
  <si>
    <t xml:space="preserve">    chr</t>
  </si>
  <si>
    <t>Wikipedia edits (chr)</t>
  </si>
  <si>
    <t xml:space="preserve">    bm</t>
  </si>
  <si>
    <t>Wikipedia edits (bm)</t>
  </si>
  <si>
    <t xml:space="preserve">    mcsb</t>
  </si>
  <si>
    <t>Wiktionary edits (csb)</t>
  </si>
  <si>
    <t xml:space="preserve">    pnt</t>
  </si>
  <si>
    <t>Wikipedia edits (pnt)</t>
  </si>
  <si>
    <t xml:space="preserve">    bno</t>
  </si>
  <si>
    <t>Wikibooks edits (no)</t>
  </si>
  <si>
    <t xml:space="preserve">    tcy</t>
  </si>
  <si>
    <t>Wikipedia edits (tcy)</t>
  </si>
  <si>
    <t xml:space="preserve">    bsv</t>
  </si>
  <si>
    <t>Wikibooks edits (sv)</t>
  </si>
  <si>
    <t>OpenFlights (Patokallio)</t>
  </si>
  <si>
    <t xml:space="preserve">    pih</t>
  </si>
  <si>
    <t>Wikipedia edits (pih)</t>
  </si>
  <si>
    <t xml:space="preserve">    nso</t>
  </si>
  <si>
    <t>Wikipedia edits (nso)</t>
  </si>
  <si>
    <t xml:space="preserve">    bel</t>
  </si>
  <si>
    <t>Wikibooks edits (el)</t>
  </si>
  <si>
    <t xml:space="preserve">    iu</t>
  </si>
  <si>
    <t>Wikipedia edits (iu)</t>
  </si>
  <si>
    <t xml:space="preserve">    AC</t>
  </si>
  <si>
    <t>arXiv cond-mat</t>
  </si>
  <si>
    <t xml:space="preserve">    yfi</t>
  </si>
  <si>
    <t>Wikiversity edits (fi)</t>
  </si>
  <si>
    <t xml:space="preserve">    ee</t>
  </si>
  <si>
    <t>Wikipedia edits (ee)</t>
  </si>
  <si>
    <t xml:space="preserve">    nuk</t>
  </si>
  <si>
    <t>Wikinews edits (uk)</t>
  </si>
  <si>
    <t xml:space="preserve">    UF</t>
  </si>
  <si>
    <t>UC Irvine forum</t>
  </si>
  <si>
    <t xml:space="preserve">    bvi</t>
  </si>
  <si>
    <t>Wikibooks edits (vi)</t>
  </si>
  <si>
    <t xml:space="preserve">    nsv</t>
  </si>
  <si>
    <t>Wikinews edits (sv)</t>
  </si>
  <si>
    <t xml:space="preserve">    bth</t>
  </si>
  <si>
    <t>Wikibooks edits (th)</t>
  </si>
  <si>
    <t xml:space="preserve">    AM</t>
  </si>
  <si>
    <t>Amazon (Wang)</t>
  </si>
  <si>
    <t>Dataset is available for download Dataset passed all tests  Bipartite, undirected Ratings, multiple edges  Edges are annotated with timestamps Is a snapshot and likely to not contain all data</t>
  </si>
  <si>
    <t>Gnutella (24)</t>
  </si>
  <si>
    <t xml:space="preserve">    srn</t>
  </si>
  <si>
    <t>Wikipedia edits (srn)</t>
  </si>
  <si>
    <t xml:space="preserve">    kg</t>
  </si>
  <si>
    <t>Wikipedia edits (kg)</t>
  </si>
  <si>
    <t xml:space="preserve">    kaa</t>
  </si>
  <si>
    <t>Wikipedia edits (kaa)</t>
  </si>
  <si>
    <t xml:space="preserve">    roa-rup</t>
  </si>
  <si>
    <t>Wikipedia edits (roa-rup)</t>
  </si>
  <si>
    <t xml:space="preserve">    qhu</t>
  </si>
  <si>
    <t>Wikiquote edits (hu)</t>
  </si>
  <si>
    <t xml:space="preserve">    sn</t>
  </si>
  <si>
    <t>Wikipedia edits (sn)</t>
  </si>
  <si>
    <t xml:space="preserve">    mbn</t>
  </si>
  <si>
    <t>Wiktionary edits (bn)</t>
  </si>
  <si>
    <t xml:space="preserve">    glk</t>
  </si>
  <si>
    <t>Wikipedia edits (glk)</t>
  </si>
  <si>
    <t xml:space="preserve">    rmy</t>
  </si>
  <si>
    <t>Wikipedia edits (rmy)</t>
  </si>
  <si>
    <t xml:space="preserve">    qtr</t>
  </si>
  <si>
    <t>Wikiquote edits (tr)</t>
  </si>
  <si>
    <t xml:space="preserve">    mne</t>
  </si>
  <si>
    <t>Wiktionary edits (ne)</t>
  </si>
  <si>
    <t xml:space="preserve">    vfi</t>
  </si>
  <si>
    <t>Wikivoyage edits (fi)</t>
  </si>
  <si>
    <t xml:space="preserve">    kbd</t>
  </si>
  <si>
    <t>Wikipedia edits (kbd)</t>
  </si>
  <si>
    <t xml:space="preserve">    ab</t>
  </si>
  <si>
    <t>Wikipedia edits (ab)</t>
  </si>
  <si>
    <t xml:space="preserve">    lbe</t>
  </si>
  <si>
    <t>Wikipedia edits (lbe)</t>
  </si>
  <si>
    <t xml:space="preserve">    mmk</t>
  </si>
  <si>
    <t>Wiktionary edits (mk)</t>
  </si>
  <si>
    <t xml:space="preserve">    ty</t>
  </si>
  <si>
    <t>Wikipedia edits (ty)</t>
  </si>
  <si>
    <t xml:space="preserve">    bxr</t>
  </si>
  <si>
    <t>Wikipedia edits (bxr)</t>
  </si>
  <si>
    <t xml:space="preserve">    DNc</t>
  </si>
  <si>
    <t>DNC emails</t>
  </si>
  <si>
    <t xml:space="preserve">    mbe</t>
  </si>
  <si>
    <t>Wiktionary edits (be)</t>
  </si>
  <si>
    <t xml:space="preserve">    qaz</t>
  </si>
  <si>
    <t>Wikiquote edits (az)</t>
  </si>
  <si>
    <t xml:space="preserve">    qzh</t>
  </si>
  <si>
    <t>Wikiquote edits (zh)</t>
  </si>
  <si>
    <t xml:space="preserve">    nta</t>
  </si>
  <si>
    <t>Wikinews edits (ta)</t>
  </si>
  <si>
    <t xml:space="preserve">    qfi</t>
  </si>
  <si>
    <t>Wikiquote edits (fi)</t>
  </si>
  <si>
    <t xml:space="preserve">    qar</t>
  </si>
  <si>
    <t>Wikiquote edits (ar)</t>
  </si>
  <si>
    <t xml:space="preserve">    mang</t>
  </si>
  <si>
    <t>Wiktionary edits (ang)</t>
  </si>
  <si>
    <t xml:space="preserve">    Ff</t>
  </si>
  <si>
    <t>Filmtipset friendships</t>
  </si>
  <si>
    <t>Dataset is not available for download Dataset passed all tests  Unipartite, undirected Unweighted, no multiple edges</t>
  </si>
  <si>
    <t xml:space="preserve">    mdf</t>
  </si>
  <si>
    <t>Wikipedia edits (mdf)</t>
  </si>
  <si>
    <t xml:space="preserve">    ncs</t>
  </si>
  <si>
    <t>Wikinews edits (cs)</t>
  </si>
  <si>
    <t xml:space="preserve">    Teo</t>
  </si>
  <si>
    <t>Wikipedia talk (eo)</t>
  </si>
  <si>
    <t xml:space="preserve">    koi</t>
  </si>
  <si>
    <t>Wikipedia edits (koi)</t>
  </si>
  <si>
    <t xml:space="preserve">    bid</t>
  </si>
  <si>
    <t>Wikibooks edits (id)</t>
  </si>
  <si>
    <t xml:space="preserve">    pag</t>
  </si>
  <si>
    <t>Wikipedia edits (pag)</t>
  </si>
  <si>
    <t xml:space="preserve">    lo</t>
  </si>
  <si>
    <t>Wikipedia edits (lo)</t>
  </si>
  <si>
    <t xml:space="preserve">    mnah</t>
  </si>
  <si>
    <t>Wiktionary edits (nah)</t>
  </si>
  <si>
    <t>Gnutella (30)</t>
  </si>
  <si>
    <t xml:space="preserve">    cbk-zam</t>
  </si>
  <si>
    <t>Wikipedia edits (cbk-zam)</t>
  </si>
  <si>
    <t xml:space="preserve">    mga</t>
  </si>
  <si>
    <t>Wiktionary edits (ga)</t>
  </si>
  <si>
    <t xml:space="preserve">    qnl</t>
  </si>
  <si>
    <t>Wikiquote edits (nl)</t>
  </si>
  <si>
    <t xml:space="preserve">    BO</t>
  </si>
  <si>
    <t>Bitcoin OTC</t>
  </si>
  <si>
    <t xml:space="preserve">    pcd</t>
  </si>
  <si>
    <t>Wikipedia edits (pcd)</t>
  </si>
  <si>
    <t xml:space="preserve">    CC</t>
  </si>
  <si>
    <t xml:space="preserve">    bca</t>
  </si>
  <si>
    <t>Wikibooks edits (ca)</t>
  </si>
  <si>
    <t xml:space="preserve">    Wgag</t>
  </si>
  <si>
    <t>Wikipedia links (gag)</t>
  </si>
  <si>
    <t xml:space="preserve">    Wlo</t>
  </si>
  <si>
    <t>Wikipedia links (lo)</t>
  </si>
  <si>
    <t xml:space="preserve">    nfi</t>
  </si>
  <si>
    <t>Wikinews edits (fi)</t>
  </si>
  <si>
    <t xml:space="preserve">    nnl</t>
  </si>
  <si>
    <t>Wikinews edits (nl)</t>
  </si>
  <si>
    <t xml:space="preserve">    yar</t>
  </si>
  <si>
    <t>Wikiversity edits (ar)</t>
  </si>
  <si>
    <t xml:space="preserve">    Pi</t>
  </si>
  <si>
    <t>Dataset is available for download Dataset passed all tests  Unipartite, directed Unweighted, no multiple edges  Edges are annotated with timestamps Contains loops</t>
  </si>
  <si>
    <t xml:space="preserve">    qvec</t>
  </si>
  <si>
    <t>Wikiquote edits (vec)</t>
  </si>
  <si>
    <t xml:space="preserve">    tet</t>
  </si>
  <si>
    <t>Wikipedia edits (tet)</t>
  </si>
  <si>
    <t xml:space="preserve">    bjn</t>
  </si>
  <si>
    <t>Wikipedia edits (bjn)</t>
  </si>
  <si>
    <t xml:space="preserve">    ig</t>
  </si>
  <si>
    <t>Wikipedia edits (ig)</t>
  </si>
  <si>
    <t xml:space="preserve">    Wam</t>
  </si>
  <si>
    <t>Wikipedia links (am)</t>
  </si>
  <si>
    <t xml:space="preserve">    Wmi</t>
  </si>
  <si>
    <t>Wikipedia links (mi)</t>
  </si>
  <si>
    <t xml:space="preserve">    Wso</t>
  </si>
  <si>
    <t>Wikipedia links (so)</t>
  </si>
  <si>
    <t xml:space="preserve">    gag</t>
  </si>
  <si>
    <t>Wikipedia edits (gag)</t>
  </si>
  <si>
    <t xml:space="preserve">    SX</t>
  </si>
  <si>
    <t>Sexual escorts</t>
  </si>
  <si>
    <t>Dataset is available for download Dataset passed all tests  Bipartite, undirected Ratings, multiple edges  Edges are annotated with timestamps</t>
  </si>
  <si>
    <t xml:space="preserve">    cdo</t>
  </si>
  <si>
    <t>Wikipedia edits (cdo)</t>
  </si>
  <si>
    <t xml:space="preserve">    vpl</t>
  </si>
  <si>
    <t>Wikivoyage edits (pl)</t>
  </si>
  <si>
    <t xml:space="preserve">    bzh</t>
  </si>
  <si>
    <t>Wikibooks edits (zh)</t>
  </si>
  <si>
    <t xml:space="preserve">    pfl</t>
  </si>
  <si>
    <t>Wikipedia edits (pfl)</t>
  </si>
  <si>
    <t xml:space="preserve">    av</t>
  </si>
  <si>
    <t>Wikipedia edits (av)</t>
  </si>
  <si>
    <t xml:space="preserve">    nel</t>
  </si>
  <si>
    <t>Wikinews edits (el)</t>
  </si>
  <si>
    <t xml:space="preserve">    msm</t>
  </si>
  <si>
    <t>Wiktionary edits (sm)</t>
  </si>
  <si>
    <t xml:space="preserve">    kab</t>
  </si>
  <si>
    <t>Wikipedia edits (kab)</t>
  </si>
  <si>
    <t xml:space="preserve">    AP</t>
  </si>
  <si>
    <t xml:space="preserve">    Wvls</t>
  </si>
  <si>
    <t>Wikipedia links (vls)</t>
  </si>
  <si>
    <t xml:space="preserve">    nar</t>
  </si>
  <si>
    <t>Wikinews edits (ar)</t>
  </si>
  <si>
    <t xml:space="preserve">    bar</t>
  </si>
  <si>
    <t>Wikibooks edits (ar)</t>
  </si>
  <si>
    <t xml:space="preserve">    rw</t>
  </si>
  <si>
    <t>Wikipedia edits (rw)</t>
  </si>
  <si>
    <t xml:space="preserve">    mbs</t>
  </si>
  <si>
    <t>Wiktionary edits (bs)</t>
  </si>
  <si>
    <t xml:space="preserve">    pap</t>
  </si>
  <si>
    <t>Wikipedia edits (pap)</t>
  </si>
  <si>
    <t xml:space="preserve">    Dj</t>
  </si>
  <si>
    <t xml:space="preserve">    UC</t>
  </si>
  <si>
    <t>UC Irvine messages</t>
  </si>
  <si>
    <t>Dataset is available for download Dataset passed all tests  Unipartite, directed Unweighted, multiple edges  Edges are annotated with timestamps</t>
  </si>
  <si>
    <t xml:space="preserve">    Teu</t>
  </si>
  <si>
    <t>Wikipedia talk (eu)</t>
  </si>
  <si>
    <t xml:space="preserve">    bfa</t>
  </si>
  <si>
    <t>Wikibooks edits (fa)</t>
  </si>
  <si>
    <t xml:space="preserve">    CM</t>
  </si>
  <si>
    <t>Condensed matter (2003)</t>
  </si>
  <si>
    <t xml:space="preserve">    cu</t>
  </si>
  <si>
    <t>Wikipedia edits (cu)</t>
  </si>
  <si>
    <t xml:space="preserve">    kl</t>
  </si>
  <si>
    <t>Wikipedia edits (kl)</t>
  </si>
  <si>
    <t xml:space="preserve">    Wbat-smg</t>
  </si>
  <si>
    <t>Wikipedia links (bat-smg)</t>
  </si>
  <si>
    <t xml:space="preserve">    Tgl</t>
  </si>
  <si>
    <t>Wikipedia talk (gl)</t>
  </si>
  <si>
    <t xml:space="preserve">    quk</t>
  </si>
  <si>
    <t>Wikiquote edits (uk)</t>
  </si>
  <si>
    <t xml:space="preserve">    mco</t>
  </si>
  <si>
    <t>Wiktionary edits (co)</t>
  </si>
  <si>
    <t xml:space="preserve">    Wnds-nl</t>
  </si>
  <si>
    <t>Wikipedia links (nds-nl)</t>
  </si>
  <si>
    <t xml:space="preserve">    vsv</t>
  </si>
  <si>
    <t>Wikivoyage edits (sv)</t>
  </si>
  <si>
    <t xml:space="preserve">    haw</t>
  </si>
  <si>
    <t>Wikipedia edits (haw)</t>
  </si>
  <si>
    <t xml:space="preserve">    qcs</t>
  </si>
  <si>
    <t>Wikiquote edits (cs)</t>
  </si>
  <si>
    <t xml:space="preserve">    lez</t>
  </si>
  <si>
    <t>Wikipedia edits (lez)</t>
  </si>
  <si>
    <t xml:space="preserve">    msq</t>
  </si>
  <si>
    <t>Wiktionary edits (sq)</t>
  </si>
  <si>
    <t xml:space="preserve">    DJ</t>
  </si>
  <si>
    <t>Java Development Kit</t>
  </si>
  <si>
    <t xml:space="preserve">    Wmyv</t>
  </si>
  <si>
    <t>Wikipedia links (myv)</t>
  </si>
  <si>
    <t xml:space="preserve">    mps</t>
  </si>
  <si>
    <t>Wiktionary edits (ps)</t>
  </si>
  <si>
    <t xml:space="preserve">    Wgv</t>
  </si>
  <si>
    <t>Wikipedia links (gv)</t>
  </si>
  <si>
    <t xml:space="preserve">    mlb</t>
  </si>
  <si>
    <t>Wiktionary edits (lb)</t>
  </si>
  <si>
    <t xml:space="preserve">    mtt</t>
  </si>
  <si>
    <t>Wiktionary edits (tt)</t>
  </si>
  <si>
    <t xml:space="preserve">    na</t>
  </si>
  <si>
    <t>Wikipedia edits (na)</t>
  </si>
  <si>
    <t xml:space="preserve">    qhy</t>
  </si>
  <si>
    <t>Wikiquote edits (hy)</t>
  </si>
  <si>
    <t xml:space="preserve">    Wtk</t>
  </si>
  <si>
    <t>Wikipedia links (tk)</t>
  </si>
  <si>
    <t xml:space="preserve">    ycs</t>
  </si>
  <si>
    <t>Wikiversity edits (cs)</t>
  </si>
  <si>
    <t xml:space="preserve">    FO</t>
  </si>
  <si>
    <t xml:space="preserve">    xal</t>
  </si>
  <si>
    <t>Wikipedia edits (xal)</t>
  </si>
  <si>
    <t xml:space="preserve">    RC</t>
  </si>
  <si>
    <t xml:space="preserve">    sd</t>
  </si>
  <si>
    <t>Wikipedia edits (sd)</t>
  </si>
  <si>
    <t xml:space="preserve">    lrc</t>
  </si>
  <si>
    <t>Wikipedia edits (lrc)</t>
  </si>
  <si>
    <t xml:space="preserve">    CH</t>
  </si>
  <si>
    <t>Dataset is available for download Dataset passed all tests  Unipartite, directed Signed, possibly weighted, multiple edges  Edges are annotated with timestamps Inverted edges can be interpreted as negated edges Edges may have weight zero Is a snapshot and likely to not contain all data</t>
  </si>
  <si>
    <t xml:space="preserve">    tpi</t>
  </si>
  <si>
    <t>Wikipedia edits (tpi)</t>
  </si>
  <si>
    <t xml:space="preserve">    ay</t>
  </si>
  <si>
    <t>Wikipedia edits (ay)</t>
  </si>
  <si>
    <t xml:space="preserve">    qfa</t>
  </si>
  <si>
    <t>Wikiquote edits (fa)</t>
  </si>
  <si>
    <t xml:space="preserve">    mnn</t>
  </si>
  <si>
    <t>Wiktionary edits (nn)</t>
  </si>
  <si>
    <t xml:space="preserve">    vzh</t>
  </si>
  <si>
    <t>Wikivoyage edits (zh)</t>
  </si>
  <si>
    <t xml:space="preserve">    bja</t>
  </si>
  <si>
    <t>Wikibooks edits (ja)</t>
  </si>
  <si>
    <t xml:space="preserve">    Wcsb</t>
  </si>
  <si>
    <t>Wikipedia links (csb)</t>
  </si>
  <si>
    <t xml:space="preserve">    Tlv</t>
  </si>
  <si>
    <t>Wikipedia talk (lv)</t>
  </si>
  <si>
    <t>CiaoDVD movie ratings</t>
  </si>
  <si>
    <t xml:space="preserve">    Wcrh</t>
  </si>
  <si>
    <t>Wikipedia links (crh)</t>
  </si>
  <si>
    <t xml:space="preserve">    mlv</t>
  </si>
  <si>
    <t>Wiktionary edits (lv)</t>
  </si>
  <si>
    <t xml:space="preserve">    mka</t>
  </si>
  <si>
    <t>Wiktionary edits (ka)</t>
  </si>
  <si>
    <t xml:space="preserve">    Wwa</t>
  </si>
  <si>
    <t>Wikipedia links (wa)</t>
  </si>
  <si>
    <t xml:space="preserve">    ypt</t>
  </si>
  <si>
    <t>Wikiversity edits (pt)</t>
  </si>
  <si>
    <t>Gnutella (31)</t>
  </si>
  <si>
    <t xml:space="preserve">    Wco</t>
  </si>
  <si>
    <t>Wikipedia links (co)</t>
  </si>
  <si>
    <t xml:space="preserve">    Wgan</t>
  </si>
  <si>
    <t>Wikipedia links (gan)</t>
  </si>
  <si>
    <t xml:space="preserve">    RA</t>
  </si>
  <si>
    <t>Manufacturing emails</t>
  </si>
  <si>
    <t xml:space="preserve">    Wnah</t>
  </si>
  <si>
    <t>Wikipedia links (nah)</t>
  </si>
  <si>
    <t xml:space="preserve">    Wrue</t>
  </si>
  <si>
    <t>Wikipedia links (rue)</t>
  </si>
  <si>
    <t xml:space="preserve">    arc</t>
  </si>
  <si>
    <t>Wikipedia edits (arc)</t>
  </si>
  <si>
    <t xml:space="preserve">    mtg</t>
  </si>
  <si>
    <t>Wiktionary edits (tg)</t>
  </si>
  <si>
    <t xml:space="preserve">    bfi</t>
  </si>
  <si>
    <t>Wikibooks edits (fi)</t>
  </si>
  <si>
    <t xml:space="preserve">    qca</t>
  </si>
  <si>
    <t>Wikiquote edits (ca)</t>
  </si>
  <si>
    <t xml:space="preserve">    mwl</t>
  </si>
  <si>
    <t>Wikipedia edits (mwl)</t>
  </si>
  <si>
    <t xml:space="preserve">    WR</t>
  </si>
  <si>
    <t xml:space="preserve">    yes</t>
  </si>
  <si>
    <t>Wikiversity edits (es)</t>
  </si>
  <si>
    <t xml:space="preserve">    myv</t>
  </si>
  <si>
    <t>Wikipedia edits (myv)</t>
  </si>
  <si>
    <t xml:space="preserve">    GC</t>
  </si>
  <si>
    <t>Google.com internal</t>
  </si>
  <si>
    <t xml:space="preserve">    vfa</t>
  </si>
  <si>
    <t>Wikivoyage edits (fa)</t>
  </si>
  <si>
    <t xml:space="preserve">    pdc</t>
  </si>
  <si>
    <t>Wikipedia edits (pdc)</t>
  </si>
  <si>
    <t xml:space="preserve">    vep</t>
  </si>
  <si>
    <t>Wikipedia edits (vep)</t>
  </si>
  <si>
    <t xml:space="preserve">    wo</t>
  </si>
  <si>
    <t>Wikipedia edits (wo)</t>
  </si>
  <si>
    <t xml:space="preserve">    mkk</t>
  </si>
  <si>
    <t>Wiktionary edits (kk)</t>
  </si>
  <si>
    <t xml:space="preserve">    ace</t>
  </si>
  <si>
    <t>Wikipedia edits (ace)</t>
  </si>
  <si>
    <t xml:space="preserve">    qhe</t>
  </si>
  <si>
    <t>Wikiquote edits (he)</t>
  </si>
  <si>
    <t xml:space="preserve">    mrj</t>
  </si>
  <si>
    <t>Wikipedia edits (mrj)</t>
  </si>
  <si>
    <t xml:space="preserve">    Wlez</t>
  </si>
  <si>
    <t>Wikipedia links (lez)</t>
  </si>
  <si>
    <t xml:space="preserve">    gn</t>
  </si>
  <si>
    <t>Wikipedia edits (gn)</t>
  </si>
  <si>
    <t xml:space="preserve">    pi</t>
  </si>
  <si>
    <t>Wikipedia edits (pi)</t>
  </si>
  <si>
    <t xml:space="preserve">    Wdv</t>
  </si>
  <si>
    <t>Wikipedia links (dv)</t>
  </si>
  <si>
    <t xml:space="preserve">    mkm</t>
  </si>
  <si>
    <t>Wiktionary edits (km)</t>
  </si>
  <si>
    <t xml:space="preserve">    CM2</t>
  </si>
  <si>
    <t>Condensed matter (2005)</t>
  </si>
  <si>
    <t xml:space="preserve">    bru</t>
  </si>
  <si>
    <t>Wikibooks edits (ru)</t>
  </si>
  <si>
    <t xml:space="preserve">    mms</t>
  </si>
  <si>
    <t>Wiktionary edits (ms)</t>
  </si>
  <si>
    <t xml:space="preserve">    vpt</t>
  </si>
  <si>
    <t>Wikivoyage edits (pt)</t>
  </si>
  <si>
    <t xml:space="preserve">    rue</t>
  </si>
  <si>
    <t>Wikipedia edits (rue)</t>
  </si>
  <si>
    <t xml:space="preserve">    ves</t>
  </si>
  <si>
    <t>Wikivoyage edits (es)</t>
  </si>
  <si>
    <t xml:space="preserve">    M1</t>
  </si>
  <si>
    <t>MovieLens 100k</t>
  </si>
  <si>
    <t xml:space="preserve">    Was</t>
  </si>
  <si>
    <t>Wikipedia links (as)</t>
  </si>
  <si>
    <t xml:space="preserve">    zea</t>
  </si>
  <si>
    <t>Wikipedia edits (zea)</t>
  </si>
  <si>
    <t xml:space="preserve">    udm</t>
  </si>
  <si>
    <t>Wikipedia edits (udm)</t>
  </si>
  <si>
    <t>arXiv astro-ph</t>
  </si>
  <si>
    <t>Dataset is available for download Dataset passed all tests  Unipartite, undirected Unweighted, no multiple edges  Is the join of an underlying network</t>
  </si>
  <si>
    <t xml:space="preserve">    Wsi</t>
  </si>
  <si>
    <t>Wikipedia links (si)</t>
  </si>
  <si>
    <t xml:space="preserve">    ext</t>
  </si>
  <si>
    <t>Wikipedia edits (ext)</t>
  </si>
  <si>
    <t xml:space="preserve">    Wkv</t>
  </si>
  <si>
    <t>Wikipedia links (kv)</t>
  </si>
  <si>
    <t xml:space="preserve">    DG</t>
  </si>
  <si>
    <t xml:space="preserve">    hak</t>
  </si>
  <si>
    <t>Wikipedia edits (hak)</t>
  </si>
  <si>
    <t xml:space="preserve">    eml</t>
  </si>
  <si>
    <t>Wikipedia edits (eml)</t>
  </si>
  <si>
    <t xml:space="preserve">    krc</t>
  </si>
  <si>
    <t>Wikipedia edits (krc)</t>
  </si>
  <si>
    <t xml:space="preserve">    jbo</t>
  </si>
  <si>
    <t>Wikipedia edits (jbo)</t>
  </si>
  <si>
    <t xml:space="preserve">    Wxal</t>
  </si>
  <si>
    <t>Wikipedia links (xal)</t>
  </si>
  <si>
    <t xml:space="preserve">    vnl</t>
  </si>
  <si>
    <t>Wikivoyage edits (nl)</t>
  </si>
  <si>
    <t xml:space="preserve">    bhe</t>
  </si>
  <si>
    <t>Wikibooks edits (he)</t>
  </si>
  <si>
    <t xml:space="preserve">    Mti</t>
  </si>
  <si>
    <t>MovieLens tag–item</t>
  </si>
  <si>
    <t xml:space="preserve">    Mui</t>
  </si>
  <si>
    <t>MovieLens user–item</t>
  </si>
  <si>
    <t xml:space="preserve">    Mut</t>
  </si>
  <si>
    <t>MovieLens user–tag</t>
  </si>
  <si>
    <t xml:space="preserve">    Wpam</t>
  </si>
  <si>
    <t>Wikipedia links (pam)</t>
  </si>
  <si>
    <t xml:space="preserve">    LX</t>
  </si>
  <si>
    <t>Linux sources</t>
  </si>
  <si>
    <t xml:space="preserve">    nzh</t>
  </si>
  <si>
    <t>Wikinews edits (zh)</t>
  </si>
  <si>
    <t xml:space="preserve">    ln</t>
  </si>
  <si>
    <t>Wikipedia edits (ln)</t>
  </si>
  <si>
    <t xml:space="preserve">    nov</t>
  </si>
  <si>
    <t>Wikipedia edits (nov)</t>
  </si>
  <si>
    <t xml:space="preserve">    stq</t>
  </si>
  <si>
    <t>Wikipedia edits (stq)</t>
  </si>
  <si>
    <t xml:space="preserve">    Wmhr</t>
  </si>
  <si>
    <t>Wikipedia links (mhr)</t>
  </si>
  <si>
    <t xml:space="preserve">    dv</t>
  </si>
  <si>
    <t>Wikipedia edits (dv)</t>
  </si>
  <si>
    <t xml:space="preserve">    mjv</t>
  </si>
  <si>
    <t>Wiktionary edits (jv)</t>
  </si>
  <si>
    <t xml:space="preserve">    ie</t>
  </si>
  <si>
    <t>Wikipedia edits (ie)</t>
  </si>
  <si>
    <t xml:space="preserve">    yru</t>
  </si>
  <si>
    <t>Wikiversity edits (ru)</t>
  </si>
  <si>
    <t xml:space="preserve">    BK</t>
  </si>
  <si>
    <t xml:space="preserve">    mky</t>
  </si>
  <si>
    <t>Wiktionary edits (ky)</t>
  </si>
  <si>
    <t xml:space="preserve">    Wfiu-vro</t>
  </si>
  <si>
    <t>Wikipedia links (fiu-vro)</t>
  </si>
  <si>
    <t xml:space="preserve">    msk</t>
  </si>
  <si>
    <t>Wiktionary edits (sk)</t>
  </si>
  <si>
    <t xml:space="preserve">    EL</t>
  </si>
  <si>
    <t>Wikipedia elections</t>
  </si>
  <si>
    <t>Dataset is available for download Dataset passed all tests  Unipartite, directed Signed, possibly weighted, no multiple edges  Edges are annotated with timestamps Contains loops Is a snapshot and likely to not contain all data</t>
  </si>
  <si>
    <t xml:space="preserve">    PR</t>
  </si>
  <si>
    <t xml:space="preserve">    kv</t>
  </si>
  <si>
    <t>Wikipedia edits (kv)</t>
  </si>
  <si>
    <t xml:space="preserve">    Wse</t>
  </si>
  <si>
    <t>Wikipedia links (se)</t>
  </si>
  <si>
    <t xml:space="preserve">    ug</t>
  </si>
  <si>
    <t>Wikipedia edits (ug)</t>
  </si>
  <si>
    <t xml:space="preserve">    mnds</t>
  </si>
  <si>
    <t>Wiktionary edits (nds)</t>
  </si>
  <si>
    <t xml:space="preserve">    bo</t>
  </si>
  <si>
    <t>Wikipedia edits (bo)</t>
  </si>
  <si>
    <t xml:space="preserve">    msw</t>
  </si>
  <si>
    <t>Wiktionary edits (sw)</t>
  </si>
  <si>
    <t xml:space="preserve">    frr</t>
  </si>
  <si>
    <t>Wikipedia edits (frr)</t>
  </si>
  <si>
    <t xml:space="preserve">    dsb</t>
  </si>
  <si>
    <t>Wikipedia edits (dsb)</t>
  </si>
  <si>
    <t xml:space="preserve">    rm</t>
  </si>
  <si>
    <t>Wikipedia edits (rm)</t>
  </si>
  <si>
    <t xml:space="preserve">    xmf</t>
  </si>
  <si>
    <t>Wikipedia edits (xmf)</t>
  </si>
  <si>
    <t xml:space="preserve">    RL</t>
  </si>
  <si>
    <t>Record labels</t>
  </si>
  <si>
    <t xml:space="preserve">    nca</t>
  </si>
  <si>
    <t>Wikinews edits (ca)</t>
  </si>
  <si>
    <t xml:space="preserve">    qpt</t>
  </si>
  <si>
    <t>Wikiquote edits (pt)</t>
  </si>
  <si>
    <t xml:space="preserve">    roa-tara</t>
  </si>
  <si>
    <t>Wikipedia edits (roa-tara)</t>
  </si>
  <si>
    <t xml:space="preserve">    sc</t>
  </si>
  <si>
    <t>Wikipedia edits (sc)</t>
  </si>
  <si>
    <t xml:space="preserve">    mfy</t>
  </si>
  <si>
    <t>Wiktionary edits (fy)</t>
  </si>
  <si>
    <t xml:space="preserve">    crh</t>
  </si>
  <si>
    <t>Wikipedia edits (crh)</t>
  </si>
  <si>
    <t xml:space="preserve">    so</t>
  </si>
  <si>
    <t>Wikipedia edits (so)</t>
  </si>
  <si>
    <t xml:space="preserve">    neo</t>
  </si>
  <si>
    <t>Wikinews edits (eo)</t>
  </si>
  <si>
    <t xml:space="preserve">    msl</t>
  </si>
  <si>
    <t>Wiktionary edits (sl)</t>
  </si>
  <si>
    <t xml:space="preserve">    Tbn</t>
  </si>
  <si>
    <t>Wikipedia talk (bn)</t>
  </si>
  <si>
    <t xml:space="preserve">    Wfo</t>
  </si>
  <si>
    <t>Wikipedia links (fo)</t>
  </si>
  <si>
    <t xml:space="preserve">    Whsb</t>
  </si>
  <si>
    <t>Wikipedia links (hsb)</t>
  </si>
  <si>
    <t xml:space="preserve">    mzn</t>
  </si>
  <si>
    <t>Wikipedia edits (mzn)</t>
  </si>
  <si>
    <t xml:space="preserve">    vhe</t>
  </si>
  <si>
    <t>Wikivoyage edits (he)</t>
  </si>
  <si>
    <t xml:space="preserve">    mtl</t>
  </si>
  <si>
    <t>Wiktionary edits (tl)</t>
  </si>
  <si>
    <t xml:space="preserve">    WS</t>
  </si>
  <si>
    <t>Dataset is available for download Dataset passed all tests  Unipartite, directed Unweighted, multiple edges  The edges form paths</t>
  </si>
  <si>
    <t xml:space="preserve">    Wos</t>
  </si>
  <si>
    <t>Wikipedia links (os)</t>
  </si>
  <si>
    <t xml:space="preserve">    Tsk</t>
  </si>
  <si>
    <t>Wikipedia talk (sk)</t>
  </si>
  <si>
    <t xml:space="preserve">    nja</t>
  </si>
  <si>
    <t>Wikinews edits (ja)</t>
  </si>
  <si>
    <t xml:space="preserve">    maf</t>
  </si>
  <si>
    <t>Wiktionary edits (af)</t>
  </si>
  <si>
    <t xml:space="preserve">    yit</t>
  </si>
  <si>
    <t>Wikiversity edits (it)</t>
  </si>
  <si>
    <t xml:space="preserve">    Whif</t>
  </si>
  <si>
    <t>Wikipedia links (hif)</t>
  </si>
  <si>
    <t xml:space="preserve">    mi</t>
  </si>
  <si>
    <t>Wikipedia edits (mi)</t>
  </si>
  <si>
    <t xml:space="preserve">    Wdiq</t>
  </si>
  <si>
    <t>Wikipedia links (diq)</t>
  </si>
  <si>
    <t xml:space="preserve">    Wvec</t>
  </si>
  <si>
    <t>Wikipedia links (vec)</t>
  </si>
  <si>
    <t xml:space="preserve">    OC</t>
  </si>
  <si>
    <t xml:space="preserve">    nv</t>
  </si>
  <si>
    <t>Wikipedia edits (nv)</t>
  </si>
  <si>
    <t xml:space="preserve">    lij</t>
  </si>
  <si>
    <t>Wikipedia edits (lij)</t>
  </si>
  <si>
    <t xml:space="preserve">    mscn</t>
  </si>
  <si>
    <t>Wiktionary edits (scn)</t>
  </si>
  <si>
    <t xml:space="preserve">    Wcdo</t>
  </si>
  <si>
    <t>Wikipedia links (cdo)</t>
  </si>
  <si>
    <t xml:space="preserve">    csb</t>
  </si>
  <si>
    <t>Wikipedia edits (csb)</t>
  </si>
  <si>
    <t xml:space="preserve">    wuu</t>
  </si>
  <si>
    <t>Wikipedia edits (wuu)</t>
  </si>
  <si>
    <t xml:space="preserve">    mai</t>
  </si>
  <si>
    <t>Wikipedia edits (mai)</t>
  </si>
  <si>
    <t xml:space="preserve">    as</t>
  </si>
  <si>
    <t>Wikipedia edits (as)</t>
  </si>
  <si>
    <t xml:space="preserve">    fur</t>
  </si>
  <si>
    <t>Wikipedia edits (fur)</t>
  </si>
  <si>
    <t xml:space="preserve">    mhr</t>
  </si>
  <si>
    <t>Wikipedia edits (mhr)</t>
  </si>
  <si>
    <t xml:space="preserve">    mzh-min-nan</t>
  </si>
  <si>
    <t>Wiktionary edits (zh-min-nan)</t>
  </si>
  <si>
    <t xml:space="preserve">    Wglk</t>
  </si>
  <si>
    <t>Wikipedia links (glk)</t>
  </si>
  <si>
    <t xml:space="preserve">    bcl</t>
  </si>
  <si>
    <t>Wikipedia edits (bcl)</t>
  </si>
  <si>
    <t xml:space="preserve">    Wkn</t>
  </si>
  <si>
    <t>Wikipedia links (kn)</t>
  </si>
  <si>
    <t xml:space="preserve">    mcy</t>
  </si>
  <si>
    <t>Wiktionary edits (cy)</t>
  </si>
  <si>
    <t xml:space="preserve">    fiu-vro</t>
  </si>
  <si>
    <t>Wikipedia edits (fiu-vro)</t>
  </si>
  <si>
    <t xml:space="preserve">    mor</t>
  </si>
  <si>
    <t>Wiktionary edits (or)</t>
  </si>
  <si>
    <t xml:space="preserve">    fy</t>
  </si>
  <si>
    <t>Wikipedia edits (fy)</t>
  </si>
  <si>
    <t xml:space="preserve">    kw</t>
  </si>
  <si>
    <t>Wikipedia edits (kw)</t>
  </si>
  <si>
    <t xml:space="preserve">    SD</t>
  </si>
  <si>
    <t xml:space="preserve">    ksh</t>
  </si>
  <si>
    <t>Wikipedia edits (ksh)</t>
  </si>
  <si>
    <t xml:space="preserve">    Wsah</t>
  </si>
  <si>
    <t>Wikipedia links (sah)</t>
  </si>
  <si>
    <t xml:space="preserve">    Wmap-bms</t>
  </si>
  <si>
    <t>Wikipedia links (map-bms)</t>
  </si>
  <si>
    <t xml:space="preserve">    YG</t>
  </si>
  <si>
    <t xml:space="preserve">    ps</t>
  </si>
  <si>
    <t>Wikipedia edits (ps)</t>
  </si>
  <si>
    <t xml:space="preserve">    Wbcl</t>
  </si>
  <si>
    <t>Wikipedia links (bcl)</t>
  </si>
  <si>
    <t xml:space="preserve">    Wgd</t>
  </si>
  <si>
    <t>Wikipedia links (gd)</t>
  </si>
  <si>
    <t xml:space="preserve">    gom</t>
  </si>
  <si>
    <t>Wikipedia edits (gom)</t>
  </si>
  <si>
    <t xml:space="preserve">    azb</t>
  </si>
  <si>
    <t>Wikipedia edits (azb)</t>
  </si>
  <si>
    <t xml:space="preserve">    ST</t>
  </si>
  <si>
    <t>Actors (DBpedia)</t>
  </si>
  <si>
    <t xml:space="preserve">    frp</t>
  </si>
  <si>
    <t>Wikipedia edits (frp)</t>
  </si>
  <si>
    <t xml:space="preserve">    ang</t>
  </si>
  <si>
    <t>Wikipedia edits (ang)</t>
  </si>
  <si>
    <t xml:space="preserve">    bpl</t>
  </si>
  <si>
    <t>Wikibooks edits (pl)</t>
  </si>
  <si>
    <t xml:space="preserve">    LO</t>
  </si>
  <si>
    <t>DBpedia locations</t>
  </si>
  <si>
    <t xml:space="preserve">    km</t>
  </si>
  <si>
    <t>Wikipedia edits (km)</t>
  </si>
  <si>
    <t xml:space="preserve">    mast</t>
  </si>
  <si>
    <t>Wiktionary edits (ast)</t>
  </si>
  <si>
    <t xml:space="preserve">    mfj</t>
  </si>
  <si>
    <t>Wiktionary edits (fj)</t>
  </si>
  <si>
    <t xml:space="preserve">    lad</t>
  </si>
  <si>
    <t>Wikipedia edits (lad)</t>
  </si>
  <si>
    <t xml:space="preserve">    co</t>
  </si>
  <si>
    <t>Wikipedia edits (co)</t>
  </si>
  <si>
    <t xml:space="preserve">    THc</t>
  </si>
  <si>
    <t>arXiv hep-th</t>
  </si>
  <si>
    <t xml:space="preserve">    Wbh</t>
  </si>
  <si>
    <t>Wikipedia links (bh)</t>
  </si>
  <si>
    <t xml:space="preserve">    EA</t>
  </si>
  <si>
    <t>Edinburgh Associative Thesaurus</t>
  </si>
  <si>
    <t xml:space="preserve">    TO</t>
  </si>
  <si>
    <t>Internet topology</t>
  </si>
  <si>
    <t>Dataset is available for download Dataset passed all tests  Unipartite, undirected Unweighted, multiple edges  Edges are annotated with timestamps Is not directed, but the underlying data is</t>
  </si>
  <si>
    <t xml:space="preserve">    Wli</t>
  </si>
  <si>
    <t>Wikipedia links (li)</t>
  </si>
  <si>
    <t xml:space="preserve">    mla</t>
  </si>
  <si>
    <t>Wiktionary edits (la)</t>
  </si>
  <si>
    <t xml:space="preserve">    mwa</t>
  </si>
  <si>
    <t>Wiktionary edits (wa)</t>
  </si>
  <si>
    <t>Wikipedia edits (bug)</t>
  </si>
  <si>
    <t xml:space="preserve">    tk</t>
  </si>
  <si>
    <t>Wikipedia edits (tk)</t>
  </si>
  <si>
    <t xml:space="preserve">    szl</t>
  </si>
  <si>
    <t>Wikipedia edits (szl)</t>
  </si>
  <si>
    <t xml:space="preserve">    DA</t>
  </si>
  <si>
    <t>Daily Kos</t>
  </si>
  <si>
    <t xml:space="preserve">    map-bms</t>
  </si>
  <si>
    <t>Wikipedia edits (map-bms)</t>
  </si>
  <si>
    <t xml:space="preserve">    Wxmf</t>
  </si>
  <si>
    <t>Wikipedia links (xmf)</t>
  </si>
  <si>
    <t xml:space="preserve">    mt</t>
  </si>
  <si>
    <t>Wikipedia edits (mt)</t>
  </si>
  <si>
    <t xml:space="preserve">    DB</t>
  </si>
  <si>
    <t xml:space="preserve">    vru</t>
  </si>
  <si>
    <t>Wikivoyage edits (ru)</t>
  </si>
  <si>
    <t xml:space="preserve">    qfr</t>
  </si>
  <si>
    <t>Wikiquote edits (fr)</t>
  </si>
  <si>
    <t xml:space="preserve">    Tel</t>
  </si>
  <si>
    <t>Wikipedia talk (el)</t>
  </si>
  <si>
    <t xml:space="preserve">    Whak</t>
  </si>
  <si>
    <t>Wikipedia links (hak)</t>
  </si>
  <si>
    <t xml:space="preserve">    nrm</t>
  </si>
  <si>
    <t>Wikipedia edits (nrm)</t>
  </si>
  <si>
    <t xml:space="preserve">    TA</t>
  </si>
  <si>
    <t xml:space="preserve">    mvo</t>
  </si>
  <si>
    <t>Wiktionary edits (vo)</t>
  </si>
  <si>
    <t xml:space="preserve">    npl</t>
  </si>
  <si>
    <t>Wikinews edits (pl)</t>
  </si>
  <si>
    <t xml:space="preserve">    Wht</t>
  </si>
  <si>
    <t>Wikipedia links (ht)</t>
  </si>
  <si>
    <t xml:space="preserve">    qes</t>
  </si>
  <si>
    <t>Wikiquote edits (es)</t>
  </si>
  <si>
    <t xml:space="preserve">    hif</t>
  </si>
  <si>
    <t>Wikipedia edits (hif)</t>
  </si>
  <si>
    <t xml:space="preserve">    Wnso</t>
  </si>
  <si>
    <t>Wikipedia links (nso)</t>
  </si>
  <si>
    <t xml:space="preserve">    qru</t>
  </si>
  <si>
    <t>Wikiquote edits (ru)</t>
  </si>
  <si>
    <t xml:space="preserve">    PHc</t>
  </si>
  <si>
    <t>arXiv hep-ph</t>
  </si>
  <si>
    <t xml:space="preserve">    muk</t>
  </si>
  <si>
    <t>Wiktionary edits (uk)</t>
  </si>
  <si>
    <t xml:space="preserve">    EU</t>
  </si>
  <si>
    <t>EU institution</t>
  </si>
  <si>
    <t>Dataset is available for download Dataset passed all tests  Unipartite, directed Unweighted, no multiple edges  Contains loops Is a snapshot and likely to not contain all data Does not have multiple edges, but the underlying data has</t>
  </si>
  <si>
    <t xml:space="preserve">    mbr</t>
  </si>
  <si>
    <t>Wiktionary edits (br)</t>
  </si>
  <si>
    <t xml:space="preserve">    bnl</t>
  </si>
  <si>
    <t>Wikibooks edits (nl)</t>
  </si>
  <si>
    <t xml:space="preserve">    ntr</t>
  </si>
  <si>
    <t>Wikinews edits (tr)</t>
  </si>
  <si>
    <t xml:space="preserve">    Wmn</t>
  </si>
  <si>
    <t>Wikipedia links (mn)</t>
  </si>
  <si>
    <t>Wiktionary edits (hr)</t>
  </si>
  <si>
    <t xml:space="preserve">    mhe</t>
  </si>
  <si>
    <t>Wiktionary edits (he)</t>
  </si>
  <si>
    <t xml:space="preserve">    diq</t>
  </si>
  <si>
    <t>Wikipedia edits (diq)</t>
  </si>
  <si>
    <t xml:space="preserve">    Warz</t>
  </si>
  <si>
    <t>Wikipedia links (arz)</t>
  </si>
  <si>
    <t xml:space="preserve">    Wor</t>
  </si>
  <si>
    <t>Wikipedia links (or)</t>
  </si>
  <si>
    <t xml:space="preserve">    nfa</t>
  </si>
  <si>
    <t>Wikinews edits (fa)</t>
  </si>
  <si>
    <t xml:space="preserve">    mmn</t>
  </si>
  <si>
    <t>Wiktionary edits (mn)</t>
  </si>
  <si>
    <t xml:space="preserve">    bes</t>
  </si>
  <si>
    <t>Wikibooks edits (es)</t>
  </si>
  <si>
    <t xml:space="preserve">    mis</t>
  </si>
  <si>
    <t>Wiktionary edits (is)</t>
  </si>
  <si>
    <t xml:space="preserve">    GH</t>
  </si>
  <si>
    <t xml:space="preserve">    ES</t>
  </si>
  <si>
    <t xml:space="preserve">    GE</t>
  </si>
  <si>
    <t>Genres (DBpedia)</t>
  </si>
  <si>
    <t xml:space="preserve">    bhu</t>
  </si>
  <si>
    <t>Wikibooks edits (hu)</t>
  </si>
  <si>
    <t xml:space="preserve">    bit</t>
  </si>
  <si>
    <t>Wikibooks edits (it)</t>
  </si>
  <si>
    <t xml:space="preserve">    ky</t>
  </si>
  <si>
    <t>Wikipedia edits (ky)</t>
  </si>
  <si>
    <t xml:space="preserve">    npt</t>
  </si>
  <si>
    <t>Wikinews edits (pt)</t>
  </si>
  <si>
    <t xml:space="preserve">    zh-classical</t>
  </si>
  <si>
    <t>Wikipedia edits (zh-classical)</t>
  </si>
  <si>
    <t xml:space="preserve">    se</t>
  </si>
  <si>
    <t>Wikipedia edits (se)</t>
  </si>
  <si>
    <t xml:space="preserve">    nds-nl</t>
  </si>
  <si>
    <t>Wikipedia edits (nds-nl)</t>
  </si>
  <si>
    <t xml:space="preserve">    pam</t>
  </si>
  <si>
    <t>Wikipedia edits (pam)</t>
  </si>
  <si>
    <t xml:space="preserve">    or</t>
  </si>
  <si>
    <t>Wikipedia edits (or)</t>
  </si>
  <si>
    <t xml:space="preserve">    vls</t>
  </si>
  <si>
    <t>Wikipedia edits (vls)</t>
  </si>
  <si>
    <t xml:space="preserve">    Wpa</t>
  </si>
  <si>
    <t>Wikipedia links (pa)</t>
  </si>
  <si>
    <t xml:space="preserve">    moc</t>
  </si>
  <si>
    <t>Wiktionary edits (oc)</t>
  </si>
  <si>
    <t xml:space="preserve">    ilo</t>
  </si>
  <si>
    <t>Wikipedia edits (ilo)</t>
  </si>
  <si>
    <t xml:space="preserve">    Wnds</t>
  </si>
  <si>
    <t>Wikipedia links (nds)</t>
  </si>
  <si>
    <t xml:space="preserve">    gv</t>
  </si>
  <si>
    <t>Wikipedia edits (gv)</t>
  </si>
  <si>
    <t xml:space="preserve">    mda</t>
  </si>
  <si>
    <t>Wiktionary edits (da)</t>
  </si>
  <si>
    <t xml:space="preserve">    vfr</t>
  </si>
  <si>
    <t>Wikivoyage edits (fr)</t>
  </si>
  <si>
    <t xml:space="preserve">    Wps</t>
  </si>
  <si>
    <t>Wikipedia links (ps)</t>
  </si>
  <si>
    <t xml:space="preserve">    PCh</t>
  </si>
  <si>
    <t>Catster households</t>
  </si>
  <si>
    <t xml:space="preserve">    Bx</t>
  </si>
  <si>
    <t>BookCrossing (ratings)</t>
  </si>
  <si>
    <t>Dataset is available for download Dataset passed all tests  Bipartite, undirected Ratings, no multiple edges</t>
  </si>
  <si>
    <t xml:space="preserve">    wa</t>
  </si>
  <si>
    <t>Wikipedia edits (wa)</t>
  </si>
  <si>
    <t xml:space="preserve">    Wpms</t>
  </si>
  <si>
    <t>Wikipedia links (pms)</t>
  </si>
  <si>
    <t xml:space="preserve">    CS</t>
  </si>
  <si>
    <t>Dataset is available for download Dataset passed all tests  Bipartite, undirected Unweighted, no multiple edges  Is a snapshot and likely to not contain all data</t>
  </si>
  <si>
    <t xml:space="preserve">    am</t>
  </si>
  <si>
    <t>Wikipedia edits (am)</t>
  </si>
  <si>
    <t xml:space="preserve">    fo</t>
  </si>
  <si>
    <t>Wikipedia edits (fo)</t>
  </si>
  <si>
    <t xml:space="preserve">    Tsr</t>
  </si>
  <si>
    <t>Wikipedia talk (sr)</t>
  </si>
  <si>
    <t xml:space="preserve">    bat-smg</t>
  </si>
  <si>
    <t>Wikipedia edits (bat-smg)</t>
  </si>
  <si>
    <t xml:space="preserve">    qde</t>
  </si>
  <si>
    <t>Wikiquote edits (de)</t>
  </si>
  <si>
    <t xml:space="preserve">    sah</t>
  </si>
  <si>
    <t>Wikipedia edits (sah)</t>
  </si>
  <si>
    <t xml:space="preserve">    CN</t>
  </si>
  <si>
    <t>DBpedia countries</t>
  </si>
  <si>
    <t xml:space="preserve">    hsb</t>
  </si>
  <si>
    <t>Wikipedia edits (hsb)</t>
  </si>
  <si>
    <t xml:space="preserve">    Wyi</t>
  </si>
  <si>
    <t>Wikipedia links (yi)</t>
  </si>
  <si>
    <t xml:space="preserve">    SZ</t>
  </si>
  <si>
    <t>Slashdot Zoo</t>
  </si>
  <si>
    <t>Dataset is available for download Dataset passed all tests  Unipartite, directed Signed, possibly weighted, no multiple edges</t>
  </si>
  <si>
    <t xml:space="preserve">    nah</t>
  </si>
  <si>
    <t>Wikipedia edits (nah)</t>
  </si>
  <si>
    <t xml:space="preserve">    maz</t>
  </si>
  <si>
    <t>Wiktionary edits (az)</t>
  </si>
  <si>
    <t xml:space="preserve">    SA</t>
  </si>
  <si>
    <t>SAP forums</t>
  </si>
  <si>
    <t xml:space="preserve">    Wbar</t>
  </si>
  <si>
    <t>Wikipedia links (bar)</t>
  </si>
  <si>
    <t xml:space="preserve">    si</t>
  </si>
  <si>
    <t>Wikipedia edits (si)</t>
  </si>
  <si>
    <t xml:space="preserve">    my</t>
  </si>
  <si>
    <t>Wikipedia edits (my)</t>
  </si>
  <si>
    <t xml:space="preserve">    Tca</t>
  </si>
  <si>
    <t>Wikipedia talk (ca)</t>
  </si>
  <si>
    <t xml:space="preserve">    bpt</t>
  </si>
  <si>
    <t>Wikibooks edits (pt)</t>
  </si>
  <si>
    <t xml:space="preserve">    mhi</t>
  </si>
  <si>
    <t>Wiktionary edits (hi)</t>
  </si>
  <si>
    <t xml:space="preserve">    pa</t>
  </si>
  <si>
    <t>Wikipedia edits (pa)</t>
  </si>
  <si>
    <t xml:space="preserve">    WO</t>
  </si>
  <si>
    <t xml:space="preserve">    NI</t>
  </si>
  <si>
    <t>NIPS full papers</t>
  </si>
  <si>
    <t xml:space="preserve">    gan</t>
  </si>
  <si>
    <t>Wikipedia edits (gan)</t>
  </si>
  <si>
    <t xml:space="preserve">    qpl</t>
  </si>
  <si>
    <t>Wikiquote edits (pl)</t>
  </si>
  <si>
    <t xml:space="preserve">    Wals</t>
  </si>
  <si>
    <t>Wikipedia links (als)</t>
  </si>
  <si>
    <t xml:space="preserve">    sa</t>
  </si>
  <si>
    <t>Wikipedia edits (sa)</t>
  </si>
  <si>
    <t xml:space="preserve">    li</t>
  </si>
  <si>
    <t>Wikipedia edits (li)</t>
  </si>
  <si>
    <t xml:space="preserve">    Wio</t>
  </si>
  <si>
    <t>Wikipedia links (io)</t>
  </si>
  <si>
    <t xml:space="preserve">    meu</t>
  </si>
  <si>
    <t>Wiktionary edits (eu)</t>
  </si>
  <si>
    <t xml:space="preserve">    msimple</t>
  </si>
  <si>
    <t>Wiktionary edits (simple)</t>
  </si>
  <si>
    <t xml:space="preserve">    Wku</t>
  </si>
  <si>
    <t>Wikipedia links (ku)</t>
  </si>
  <si>
    <t xml:space="preserve">    Wmin</t>
  </si>
  <si>
    <t>Wikipedia links (min)</t>
  </si>
  <si>
    <t xml:space="preserve">    vit</t>
  </si>
  <si>
    <t>Wikivoyage edits (it)</t>
  </si>
  <si>
    <t xml:space="preserve">    bfr</t>
  </si>
  <si>
    <t>Wikibooks edits (fr)</t>
  </si>
  <si>
    <t xml:space="preserve">    mn</t>
  </si>
  <si>
    <t>Wikipedia edits (mn)</t>
  </si>
  <si>
    <t xml:space="preserve">    os</t>
  </si>
  <si>
    <t>Wikipedia edits (os)</t>
  </si>
  <si>
    <t xml:space="preserve">    Wvo</t>
  </si>
  <si>
    <t>Wikipedia links (vo)</t>
  </si>
  <si>
    <t xml:space="preserve">    Wcv</t>
  </si>
  <si>
    <t>Wikipedia links (cv)</t>
  </si>
  <si>
    <t xml:space="preserve">    yde</t>
  </si>
  <si>
    <t>Wikiversity edits (de)</t>
  </si>
  <si>
    <t xml:space="preserve">    9N</t>
  </si>
  <si>
    <t>New York City</t>
  </si>
  <si>
    <t xml:space="preserve">    Wky</t>
  </si>
  <si>
    <t>Wikipedia links (ky)</t>
  </si>
  <si>
    <t xml:space="preserve">    W2</t>
  </si>
  <si>
    <t>Dataset is available for download Dataset passed all tests  Unipartite, directed Signed, possibly weighted, no multiple edges  Contains loops</t>
  </si>
  <si>
    <t xml:space="preserve">    mlo</t>
  </si>
  <si>
    <t>Wiktionary edits (lo)</t>
  </si>
  <si>
    <t xml:space="preserve">    gu</t>
  </si>
  <si>
    <t>Wikipedia edits (gu)</t>
  </si>
  <si>
    <t xml:space="preserve">    bh</t>
  </si>
  <si>
    <t>Wikipedia edits (bh)</t>
  </si>
  <si>
    <t xml:space="preserve">    msr</t>
  </si>
  <si>
    <t>Wiktionary edits (sr)</t>
  </si>
  <si>
    <t xml:space="preserve">    yi</t>
  </si>
  <si>
    <t>Wikipedia edits (yi)</t>
  </si>
  <si>
    <t xml:space="preserve">    pnb</t>
  </si>
  <si>
    <t>Wikipedia edits (pnb)</t>
  </si>
  <si>
    <t xml:space="preserve">    ckb</t>
  </si>
  <si>
    <t>Wikipedia edits (ckb)</t>
  </si>
  <si>
    <t xml:space="preserve">    Wnap</t>
  </si>
  <si>
    <t>Wikipedia links (nap)</t>
  </si>
  <si>
    <t xml:space="preserve">    yo</t>
  </si>
  <si>
    <t>Wikipedia edits (yo)</t>
  </si>
  <si>
    <t xml:space="preserve">    gd</t>
  </si>
  <si>
    <t>Wikipedia edits (gd)</t>
  </si>
  <si>
    <t xml:space="preserve">    9B</t>
  </si>
  <si>
    <t>San Francisco Bay Area</t>
  </si>
  <si>
    <t xml:space="preserve">    Wroa-tara</t>
  </si>
  <si>
    <t>Wikipedia links (roa-tara)</t>
  </si>
  <si>
    <t xml:space="preserve">    sco</t>
  </si>
  <si>
    <t>Wikipedia edits (sco)</t>
  </si>
  <si>
    <t xml:space="preserve">    meo</t>
  </si>
  <si>
    <t>Wiktionary edits (eo)</t>
  </si>
  <si>
    <t xml:space="preserve">    nru</t>
  </si>
  <si>
    <t>Wikinews edits (ru)</t>
  </si>
  <si>
    <t xml:space="preserve">    nes</t>
  </si>
  <si>
    <t>Wikinews edits (es)</t>
  </si>
  <si>
    <t xml:space="preserve">    muz</t>
  </si>
  <si>
    <t>Wiktionary edits (uz)</t>
  </si>
  <si>
    <t xml:space="preserve">    su</t>
  </si>
  <si>
    <t>Wikipedia edits (su)</t>
  </si>
  <si>
    <t xml:space="preserve">    GW</t>
  </si>
  <si>
    <t xml:space="preserve">    Wyo</t>
  </si>
  <si>
    <t>Wikipedia links (yo)</t>
  </si>
  <si>
    <t xml:space="preserve">    msa</t>
  </si>
  <si>
    <t>Wiktionary edits (sa)</t>
  </si>
  <si>
    <t xml:space="preserve">    ia</t>
  </si>
  <si>
    <t>Wikipedia edits (ia)</t>
  </si>
  <si>
    <t xml:space="preserve">    Ws</t>
  </si>
  <si>
    <t>Twitter (ICWSM)</t>
  </si>
  <si>
    <t xml:space="preserve">    ma</t>
  </si>
  <si>
    <t xml:space="preserve">    vec</t>
  </si>
  <si>
    <t>Wikipedia edits (vec)</t>
  </si>
  <si>
    <t xml:space="preserve">    Wfy</t>
  </si>
  <si>
    <t>Wikipedia links (fy)</t>
  </si>
  <si>
    <t xml:space="preserve">    mml</t>
  </si>
  <si>
    <t>Wiktionary edits (ml)</t>
  </si>
  <si>
    <t xml:space="preserve">    bde</t>
  </si>
  <si>
    <t>Wikibooks edits (de)</t>
  </si>
  <si>
    <t xml:space="preserve">    nap</t>
  </si>
  <si>
    <t>Wikipedia edits (nap)</t>
  </si>
  <si>
    <t xml:space="preserve">    Wckb</t>
  </si>
  <si>
    <t>Wikipedia links (ckb)</t>
  </si>
  <si>
    <t xml:space="preserve">    yfr</t>
  </si>
  <si>
    <t>Wikiversity edits (fr)</t>
  </si>
  <si>
    <t xml:space="preserve">    ne</t>
  </si>
  <si>
    <t>Wikipedia edits (ne)</t>
  </si>
  <si>
    <t xml:space="preserve">    CA</t>
  </si>
  <si>
    <t>Amazon (MDS)</t>
  </si>
  <si>
    <t xml:space="preserve">    Wsw</t>
  </si>
  <si>
    <t>Wikipedia links (sw)</t>
  </si>
  <si>
    <t xml:space="preserve">    Wis</t>
  </si>
  <si>
    <t>Wikipedia links (is)</t>
  </si>
  <si>
    <t>Wikipedia edits (bar)</t>
  </si>
  <si>
    <t xml:space="preserve">    Wmg</t>
  </si>
  <si>
    <t>Wikipedia links (mg)</t>
  </si>
  <si>
    <t xml:space="preserve">    Wmy</t>
  </si>
  <si>
    <t>Wikipedia links (my)</t>
  </si>
  <si>
    <t xml:space="preserve">    Wsu</t>
  </si>
  <si>
    <t>Wikipedia links (su)</t>
  </si>
  <si>
    <t xml:space="preserve">    Wqu</t>
  </si>
  <si>
    <t>Wikipedia links (qu)</t>
  </si>
  <si>
    <t xml:space="preserve">    cv</t>
  </si>
  <si>
    <t>Wikipedia edits (cv)</t>
  </si>
  <si>
    <t xml:space="preserve">    mli</t>
  </si>
  <si>
    <t>Wiktionary edits (li)</t>
  </si>
  <si>
    <t xml:space="preserve">    ku</t>
  </si>
  <si>
    <t>Wikipedia edits (ku)</t>
  </si>
  <si>
    <t xml:space="preserve">    Wba</t>
  </si>
  <si>
    <t>Wikipedia links (ba)</t>
  </si>
  <si>
    <t xml:space="preserve">    mgl</t>
  </si>
  <si>
    <t>Wiktionary edits (gl)</t>
  </si>
  <si>
    <t xml:space="preserve">    qu</t>
  </si>
  <si>
    <t>Wikipedia edits (qu)</t>
  </si>
  <si>
    <t xml:space="preserve">    Tsv</t>
  </si>
  <si>
    <t>Wikipedia talk (sv)</t>
  </si>
  <si>
    <t xml:space="preserve">    mkn</t>
  </si>
  <si>
    <t>Wiktionary edits (kn)</t>
  </si>
  <si>
    <t xml:space="preserve">    mar</t>
  </si>
  <si>
    <t>Wiktionary edits (ar)</t>
  </si>
  <si>
    <t xml:space="preserve">    Wilo</t>
  </si>
  <si>
    <t>Wikipedia links (ilo)</t>
  </si>
  <si>
    <t xml:space="preserve">    Wscn</t>
  </si>
  <si>
    <t>Wikipedia links (scn)</t>
  </si>
  <si>
    <t xml:space="preserve">    CD</t>
  </si>
  <si>
    <t>DBLP co-authorship</t>
  </si>
  <si>
    <t xml:space="preserve">    9C</t>
  </si>
  <si>
    <t xml:space="preserve">    Tvi</t>
  </si>
  <si>
    <t>Wikipedia talk (vi)</t>
  </si>
  <si>
    <t xml:space="preserve">    Wan</t>
  </si>
  <si>
    <t>Wikipedia links (an)</t>
  </si>
  <si>
    <t xml:space="preserve">    scn</t>
  </si>
  <si>
    <t>Wikipedia edits (scn)</t>
  </si>
  <si>
    <t xml:space="preserve">    ht</t>
  </si>
  <si>
    <t>Wikipedia edits (ht)</t>
  </si>
  <si>
    <t xml:space="preserve">    als</t>
  </si>
  <si>
    <t>Wikipedia edits (als)</t>
  </si>
  <si>
    <t xml:space="preserve">    Wmzn</t>
  </si>
  <si>
    <t>Wikipedia links (mzn)</t>
  </si>
  <si>
    <t xml:space="preserve">    R2</t>
  </si>
  <si>
    <t xml:space="preserve">    BX</t>
  </si>
  <si>
    <t>BookCrossing (implicit)</t>
  </si>
  <si>
    <t xml:space="preserve">    lmo</t>
  </si>
  <si>
    <t>Wikipedia edits (lmo)</t>
  </si>
  <si>
    <t xml:space="preserve">    ba</t>
  </si>
  <si>
    <t>Wikipedia edits (ba)</t>
  </si>
  <si>
    <t xml:space="preserve">    Wlb</t>
  </si>
  <si>
    <t>Wikipedia links (lb)</t>
  </si>
  <si>
    <t xml:space="preserve">    arz</t>
  </si>
  <si>
    <t>Wikipedia edits (arz)</t>
  </si>
  <si>
    <t xml:space="preserve">    Wgu</t>
  </si>
  <si>
    <t>Wikipedia links (gu)</t>
  </si>
  <si>
    <t xml:space="preserve">    qit</t>
  </si>
  <si>
    <t>Wikiquote edits (it)</t>
  </si>
  <si>
    <t xml:space="preserve">    Wpnb</t>
  </si>
  <si>
    <t>Wikipedia links (pnb)</t>
  </si>
  <si>
    <t xml:space="preserve">    Ol</t>
  </si>
  <si>
    <t>Facebook (WOSN)</t>
  </si>
  <si>
    <t>Dataset is available for download Dataset passed all tests  Unipartite, undirected Unweighted, no multiple edges  Edges are annotated with timestamps Is a snapshot and likely to not contain all data</t>
  </si>
  <si>
    <t xml:space="preserve">    nde</t>
  </si>
  <si>
    <t>Wikinews edits (de)</t>
  </si>
  <si>
    <t xml:space="preserve">    Wsco</t>
  </si>
  <si>
    <t>Wikipedia links (sco)</t>
  </si>
  <si>
    <t xml:space="preserve">    mfa</t>
  </si>
  <si>
    <t>Wiktionary edits (fa)</t>
  </si>
  <si>
    <t xml:space="preserve">    nds</t>
  </si>
  <si>
    <t>Wikipedia edits (nds)</t>
  </si>
  <si>
    <t xml:space="preserve">    nfr</t>
  </si>
  <si>
    <t>Wikinews edits (fr)</t>
  </si>
  <si>
    <t xml:space="preserve">    Am</t>
  </si>
  <si>
    <t>Amazon (TWEB, 0302)</t>
  </si>
  <si>
    <t>Dataset is not available for download Dataset passed all tests  Unipartite, directed Unweighted, no multiple edges</t>
  </si>
  <si>
    <t xml:space="preserve">    bpy</t>
  </si>
  <si>
    <t>Wikipedia edits (bpy)</t>
  </si>
  <si>
    <t xml:space="preserve">    mg</t>
  </si>
  <si>
    <t>Wikipedia edits (mg)</t>
  </si>
  <si>
    <t xml:space="preserve">    Weml</t>
  </si>
  <si>
    <t>Wikipedia links (eml)</t>
  </si>
  <si>
    <t xml:space="preserve">    kn</t>
  </si>
  <si>
    <t>Wikipedia edits (kn)</t>
  </si>
  <si>
    <t xml:space="preserve">    mmy</t>
  </si>
  <si>
    <t>Wiktionary edits (my)</t>
  </si>
  <si>
    <t xml:space="preserve">    ga</t>
  </si>
  <si>
    <t>Wikipedia edits (ga)</t>
  </si>
  <si>
    <t xml:space="preserve">    mchr</t>
  </si>
  <si>
    <t>Wiktionary edits (chr)</t>
  </si>
  <si>
    <t xml:space="preserve">    TM</t>
  </si>
  <si>
    <t xml:space="preserve">    Wga</t>
  </si>
  <si>
    <t>Wikipedia links (ga)</t>
  </si>
  <si>
    <t xml:space="preserve">    Wbr</t>
  </si>
  <si>
    <t>Wikipedia links (br)</t>
  </si>
  <si>
    <t xml:space="preserve">    qbn</t>
  </si>
  <si>
    <t>Wikiquote edits (bn)</t>
  </si>
  <si>
    <t xml:space="preserve">    tg</t>
  </si>
  <si>
    <t>Wikipedia edits (tg)</t>
  </si>
  <si>
    <t xml:space="preserve">    new</t>
  </si>
  <si>
    <t>Wikipedia edits (new)</t>
  </si>
  <si>
    <t xml:space="preserve">    pms</t>
  </si>
  <si>
    <t>Wikipedia edits (pms)</t>
  </si>
  <si>
    <t xml:space="preserve">    mcs</t>
  </si>
  <si>
    <t>Wiktionary edits (cs)</t>
  </si>
  <si>
    <t xml:space="preserve">    io</t>
  </si>
  <si>
    <t>Wikipedia edits (io)</t>
  </si>
  <si>
    <t xml:space="preserve">    vde</t>
  </si>
  <si>
    <t>Wikivoyage edits (de)</t>
  </si>
  <si>
    <t xml:space="preserve">    mid</t>
  </si>
  <si>
    <t>Wiktionary edits (id)</t>
  </si>
  <si>
    <t xml:space="preserve">    mth</t>
  </si>
  <si>
    <t>Wiktionary edits (th)</t>
  </si>
  <si>
    <t xml:space="preserve">    Wzh-yue</t>
  </si>
  <si>
    <t>Wikipedia links (zh-yue)</t>
  </si>
  <si>
    <t>Actor movies</t>
  </si>
  <si>
    <t xml:space="preserve">    EP</t>
  </si>
  <si>
    <t>Dataset is available for download Dataset passed all tests  Unipartite, directed Signed, possibly weighted, no multiple edges  Edges are annotated with timestamps Contains loops</t>
  </si>
  <si>
    <t>CiaoDVD review ratings</t>
  </si>
  <si>
    <t xml:space="preserve">    ND</t>
  </si>
  <si>
    <t>Notre Dame</t>
  </si>
  <si>
    <t xml:space="preserve">    mro</t>
  </si>
  <si>
    <t>Wiktionary edits (ro)</t>
  </si>
  <si>
    <t xml:space="preserve">    mte</t>
  </si>
  <si>
    <t>Wiktionary edits (te)</t>
  </si>
  <si>
    <t xml:space="preserve">    Wmr</t>
  </si>
  <si>
    <t>Wikipedia links (mr)</t>
  </si>
  <si>
    <t xml:space="preserve">    Wnew</t>
  </si>
  <si>
    <t>Wikipedia links (new)</t>
  </si>
  <si>
    <t xml:space="preserve">    zh-yue</t>
  </si>
  <si>
    <t>Wikipedia edits (zh-yue)</t>
  </si>
  <si>
    <t xml:space="preserve">    sw</t>
  </si>
  <si>
    <t>Wikipedia edits (sw)</t>
  </si>
  <si>
    <t xml:space="preserve">    M2</t>
  </si>
  <si>
    <t>MovieLens 1M</t>
  </si>
  <si>
    <t xml:space="preserve">    mja</t>
  </si>
  <si>
    <t>Wiktionary edits (ja)</t>
  </si>
  <si>
    <t xml:space="preserve">    Wjv</t>
  </si>
  <si>
    <t>Wikipedia links (jv)</t>
  </si>
  <si>
    <t xml:space="preserve">    nit</t>
  </si>
  <si>
    <t>Wikinews edits (it)</t>
  </si>
  <si>
    <t xml:space="preserve">    RM</t>
  </si>
  <si>
    <t>Reality Mining</t>
  </si>
  <si>
    <t xml:space="preserve">    RD</t>
  </si>
  <si>
    <t xml:space="preserve">    ast</t>
  </si>
  <si>
    <t>Wikipedia edits (ast)</t>
  </si>
  <si>
    <t xml:space="preserve">    Ow</t>
  </si>
  <si>
    <t xml:space="preserve">    met</t>
  </si>
  <si>
    <t>Wiktionary edits (et)</t>
  </si>
  <si>
    <t xml:space="preserve">    Waf</t>
  </si>
  <si>
    <t>Wikipedia links (af)</t>
  </si>
  <si>
    <t xml:space="preserve">    Wia</t>
  </si>
  <si>
    <t>Wikipedia links (ia)</t>
  </si>
  <si>
    <t xml:space="preserve">    mno</t>
  </si>
  <si>
    <t>Wiktionary edits (no)</t>
  </si>
  <si>
    <t xml:space="preserve">    Vut</t>
  </si>
  <si>
    <t>vi.sualize.us user–tag</t>
  </si>
  <si>
    <t xml:space="preserve">    Wast</t>
  </si>
  <si>
    <t>Wikipedia links (ast)</t>
  </si>
  <si>
    <t>Ask Ubuntu</t>
  </si>
  <si>
    <t xml:space="preserve">    mbg</t>
  </si>
  <si>
    <t>Wiktionary edits (bg)</t>
  </si>
  <si>
    <t xml:space="preserve">    Lk</t>
  </si>
  <si>
    <t>Linux kernel mailing list replies</t>
  </si>
  <si>
    <t xml:space="preserve">    J2</t>
  </si>
  <si>
    <t>Jester 150</t>
  </si>
  <si>
    <t xml:space="preserve">    Tja</t>
  </si>
  <si>
    <t>Wikipedia talk (ja)</t>
  </si>
  <si>
    <t xml:space="preserve">    mca</t>
  </si>
  <si>
    <t>Wiktionary edits (ca)</t>
  </si>
  <si>
    <t xml:space="preserve">    Wml</t>
  </si>
  <si>
    <t>Wikipedia links (ml)</t>
  </si>
  <si>
    <t xml:space="preserve">    FI</t>
  </si>
  <si>
    <t xml:space="preserve">    Wbpy</t>
  </si>
  <si>
    <t>Wikipedia links (bpy)</t>
  </si>
  <si>
    <t xml:space="preserve">    jv</t>
  </si>
  <si>
    <t>Wikipedia edits (jv)</t>
  </si>
  <si>
    <t xml:space="preserve">    EN2</t>
  </si>
  <si>
    <t>Enron (clean)</t>
  </si>
  <si>
    <t xml:space="preserve">    EN</t>
  </si>
  <si>
    <t xml:space="preserve">    Wtl</t>
  </si>
  <si>
    <t>Wikipedia links (tl)</t>
  </si>
  <si>
    <t xml:space="preserve">    mhy</t>
  </si>
  <si>
    <t>Wiktionary edits (hy)</t>
  </si>
  <si>
    <t xml:space="preserve">    LM</t>
  </si>
  <si>
    <t xml:space="preserve">    Vti</t>
  </si>
  <si>
    <t>vi.sualize.us tag–item</t>
  </si>
  <si>
    <t xml:space="preserve">    R1</t>
  </si>
  <si>
    <t xml:space="preserve">    Vui</t>
  </si>
  <si>
    <t>vi.sualize.us user–item</t>
  </si>
  <si>
    <t xml:space="preserve">    SF</t>
  </si>
  <si>
    <t xml:space="preserve">    PDh</t>
  </si>
  <si>
    <t>Dogster households</t>
  </si>
  <si>
    <t xml:space="preserve">    Wsq</t>
  </si>
  <si>
    <t>Wikipedia links (sq)</t>
  </si>
  <si>
    <t xml:space="preserve">    Wbe-x-old</t>
  </si>
  <si>
    <t>Wikipedia links (be-x-old)</t>
  </si>
  <si>
    <t xml:space="preserve">    qen</t>
  </si>
  <si>
    <t>Wikiquote edits (en)</t>
  </si>
  <si>
    <t xml:space="preserve">    Fc</t>
  </si>
  <si>
    <t>Filmtipset comments</t>
  </si>
  <si>
    <t>Dataset is not available for download Dataset passed all tests  Bipartite, undirected Unweighted, multiple edges  Edges are annotated with timestamps</t>
  </si>
  <si>
    <t xml:space="preserve">    Tpl</t>
  </si>
  <si>
    <t>Wikipedia talk (pl)</t>
  </si>
  <si>
    <t xml:space="preserve">    Wne</t>
  </si>
  <si>
    <t>Wikipedia links (ne)</t>
  </si>
  <si>
    <t xml:space="preserve">    is</t>
  </si>
  <si>
    <t>Wikipedia edits (is)</t>
  </si>
  <si>
    <t xml:space="preserve">    tl</t>
  </si>
  <si>
    <t>Wikipedia edits (tl)</t>
  </si>
  <si>
    <t xml:space="preserve">    mr</t>
  </si>
  <si>
    <t>Wikipedia edits (mr)</t>
  </si>
  <si>
    <t xml:space="preserve">    af</t>
  </si>
  <si>
    <t>Wikipedia edits (af)</t>
  </si>
  <si>
    <t xml:space="preserve">    an</t>
  </si>
  <si>
    <t>Wikipedia edits (an)</t>
  </si>
  <si>
    <t xml:space="preserve">    SO</t>
  </si>
  <si>
    <t>Dataset is available for download Dataset passed all tests  Bipartite, undirected Unweighted, no multiple edges  Edges are annotated with timestamps</t>
  </si>
  <si>
    <t xml:space="preserve">    msh</t>
  </si>
  <si>
    <t>Wiktionary edits (sh)</t>
  </si>
  <si>
    <t xml:space="preserve">    Wbn</t>
  </si>
  <si>
    <t>Wikipedia links (bn)</t>
  </si>
  <si>
    <t xml:space="preserve">    yen</t>
  </si>
  <si>
    <t>Wikiversity edits (en)</t>
  </si>
  <si>
    <t xml:space="preserve">    Wte</t>
  </si>
  <si>
    <t>Wikipedia links (te)</t>
  </si>
  <si>
    <t xml:space="preserve">    sq</t>
  </si>
  <si>
    <t>Wikipedia edits (sq)</t>
  </si>
  <si>
    <t xml:space="preserve">    Wcy</t>
  </si>
  <si>
    <t>Wikipedia links (cy)</t>
  </si>
  <si>
    <t xml:space="preserve">    Tnl</t>
  </si>
  <si>
    <t>Wikipedia talk (nl)</t>
  </si>
  <si>
    <t xml:space="preserve">    PKh</t>
  </si>
  <si>
    <t>Catster/dogster households</t>
  </si>
  <si>
    <t xml:space="preserve">    Dr</t>
  </si>
  <si>
    <t>Discogs label–genre</t>
  </si>
  <si>
    <t>Super User</t>
  </si>
  <si>
    <t xml:space="preserve">    min</t>
  </si>
  <si>
    <t>Wikipedia edits (min)</t>
  </si>
  <si>
    <t>Italian CNR</t>
  </si>
  <si>
    <t xml:space="preserve">    mta</t>
  </si>
  <si>
    <t>Wiktionary edits (ta)</t>
  </si>
  <si>
    <t xml:space="preserve">    br</t>
  </si>
  <si>
    <t>Wikipedia edits (br)</t>
  </si>
  <si>
    <t xml:space="preserve">    DBT</t>
  </si>
  <si>
    <t>TV Tropes</t>
  </si>
  <si>
    <t xml:space="preserve">    YD</t>
  </si>
  <si>
    <t>Yahoo advertisers</t>
  </si>
  <si>
    <t xml:space="preserve">    BAr</t>
  </si>
  <si>
    <t>Baidu related</t>
  </si>
  <si>
    <t xml:space="preserve">    IM</t>
  </si>
  <si>
    <t xml:space="preserve">    9F</t>
  </si>
  <si>
    <t xml:space="preserve">    LK</t>
  </si>
  <si>
    <t>Linux kernel mailing list threads</t>
  </si>
  <si>
    <t xml:space="preserve">    mlt</t>
  </si>
  <si>
    <t>Wiktionary edits (lt)</t>
  </si>
  <si>
    <t xml:space="preserve">    CY</t>
  </si>
  <si>
    <t>Youtube friendships</t>
  </si>
  <si>
    <t xml:space="preserve">    ce</t>
  </si>
  <si>
    <t>Wikipedia edits (ce)</t>
  </si>
  <si>
    <t xml:space="preserve">    be-x-old</t>
  </si>
  <si>
    <t>Wikipedia edits (be-x-old)</t>
  </si>
  <si>
    <t xml:space="preserve">    TH</t>
  </si>
  <si>
    <t xml:space="preserve">    zh-min-nan</t>
  </si>
  <si>
    <t>Wikipedia edits (zh-min-nan)</t>
  </si>
  <si>
    <t>Northwest USA</t>
  </si>
  <si>
    <t xml:space="preserve">    Us</t>
  </si>
  <si>
    <t>Wikipedia dynamic (simple)</t>
  </si>
  <si>
    <t xml:space="preserve">    lb</t>
  </si>
  <si>
    <t>Wikipedia edits (lb)</t>
  </si>
  <si>
    <t xml:space="preserve">    RO</t>
  </si>
  <si>
    <t xml:space="preserve">    Wlmo</t>
  </si>
  <si>
    <t>Wikipedia links (lmo)</t>
  </si>
  <si>
    <t xml:space="preserve">    uz</t>
  </si>
  <si>
    <t>Wikipedia edits (uz)</t>
  </si>
  <si>
    <t xml:space="preserve">    oc</t>
  </si>
  <si>
    <t>Wikipedia edits (oc)</t>
  </si>
  <si>
    <t>Amazon (TWEB, 0312)</t>
  </si>
  <si>
    <t xml:space="preserve">    mtr</t>
  </si>
  <si>
    <t>Wiktionary edits (tr)</t>
  </si>
  <si>
    <t xml:space="preserve">    Wlv</t>
  </si>
  <si>
    <t>Wikipedia links (lv)</t>
  </si>
  <si>
    <t xml:space="preserve">    Wnn</t>
  </si>
  <si>
    <t>Wikipedia links (nn)</t>
  </si>
  <si>
    <t xml:space="preserve">    Wla</t>
  </si>
  <si>
    <t>Wikipedia links (la)</t>
  </si>
  <si>
    <t xml:space="preserve">    tt</t>
  </si>
  <si>
    <t>Wikipedia edits (tt)</t>
  </si>
  <si>
    <t xml:space="preserve">    DF</t>
  </si>
  <si>
    <t>Digg friends</t>
  </si>
  <si>
    <t>Dataset is available for download Dataset passed all tests  Unipartite, directed Unweighted, no multiple edges  Edges are annotated with timestamps Is a snapshot and likely to not contain all data</t>
  </si>
  <si>
    <t xml:space="preserve">    Wsa</t>
  </si>
  <si>
    <t>Wikipedia links (sa)</t>
  </si>
  <si>
    <t xml:space="preserve">    mvi</t>
  </si>
  <si>
    <t>Wiktionary edits (vi)</t>
  </si>
  <si>
    <t>Amazon (TWEB, 0505)</t>
  </si>
  <si>
    <t xml:space="preserve">    te</t>
  </si>
  <si>
    <t>Wikipedia edits (te)</t>
  </si>
  <si>
    <t>Amazon (TWEB, 0601)</t>
  </si>
  <si>
    <t xml:space="preserve">    EX</t>
  </si>
  <si>
    <t>Wikipedia words (en)</t>
  </si>
  <si>
    <t>Dataset is available for download Dataset passed all tests  Bipartite, undirected Unweighted, multiple edges  Is a snapshot and likely to not contain all data</t>
  </si>
  <si>
    <t xml:space="preserve">    mku</t>
  </si>
  <si>
    <t>Wiktionary edits (ku)</t>
  </si>
  <si>
    <t>Enron words</t>
  </si>
  <si>
    <t xml:space="preserve">    Tar</t>
  </si>
  <si>
    <t>Wikipedia talk (ar)</t>
  </si>
  <si>
    <t xml:space="preserve">    mhu</t>
  </si>
  <si>
    <t>Wiktionary edits (hu)</t>
  </si>
  <si>
    <t xml:space="preserve">    Wuz</t>
  </si>
  <si>
    <t>Wikipedia links (uz)</t>
  </si>
  <si>
    <t xml:space="preserve">    WC</t>
  </si>
  <si>
    <t>Wikipedia categories (en)</t>
  </si>
  <si>
    <t xml:space="preserve">    mpt</t>
  </si>
  <si>
    <t>Wiktionary edits (pt)</t>
  </si>
  <si>
    <t xml:space="preserve">    ta</t>
  </si>
  <si>
    <t>Wikipedia edits (ta)</t>
  </si>
  <si>
    <t xml:space="preserve">    Ds</t>
  </si>
  <si>
    <t>Discogs label–style</t>
  </si>
  <si>
    <t xml:space="preserve">    ven</t>
  </si>
  <si>
    <t>Wikivoyage edits (en)</t>
  </si>
  <si>
    <t xml:space="preserve">    bs</t>
  </si>
  <si>
    <t>Wikipedia edits (bs)</t>
  </si>
  <si>
    <t xml:space="preserve">    Tru</t>
  </si>
  <si>
    <t>Wikipedia talk (ru)</t>
  </si>
  <si>
    <t xml:space="preserve">    kk</t>
  </si>
  <si>
    <t>Wikipedia edits (kk)</t>
  </si>
  <si>
    <t xml:space="preserve">    ben</t>
  </si>
  <si>
    <t>Wikibooks edits (en)</t>
  </si>
  <si>
    <t xml:space="preserve">    Waz</t>
  </si>
  <si>
    <t>Wikipedia links (az)</t>
  </si>
  <si>
    <t xml:space="preserve">    ml</t>
  </si>
  <si>
    <t>Wikipedia edits (ml)</t>
  </si>
  <si>
    <t xml:space="preserve">    Wzh-min-nan</t>
  </si>
  <si>
    <t>Wikipedia links (zh-min-nan)</t>
  </si>
  <si>
    <t xml:space="preserve">    be</t>
  </si>
  <si>
    <t>Wikipedia edits (be)</t>
  </si>
  <si>
    <t xml:space="preserve">    mio</t>
  </si>
  <si>
    <t>Wiktionary edits (io)</t>
  </si>
  <si>
    <t xml:space="preserve">    Tpt</t>
  </si>
  <si>
    <t>Wikipedia talk (pt)</t>
  </si>
  <si>
    <t xml:space="preserve">    lv</t>
  </si>
  <si>
    <t>Wikipedia edits (lv)</t>
  </si>
  <si>
    <t xml:space="preserve">    Sc</t>
  </si>
  <si>
    <t xml:space="preserve">    WD</t>
  </si>
  <si>
    <t>Wikipedia threads (de)</t>
  </si>
  <si>
    <t>Northeast USA</t>
  </si>
  <si>
    <t xml:space="preserve">    bn</t>
  </si>
  <si>
    <t>Wikipedia edits (bn)</t>
  </si>
  <si>
    <t xml:space="preserve">    Wtt</t>
  </si>
  <si>
    <t>Wikipedia links (tt)</t>
  </si>
  <si>
    <t xml:space="preserve">    Tzh</t>
  </si>
  <si>
    <t>Wikipedia talk (zh)</t>
  </si>
  <si>
    <t xml:space="preserve">    Wmk</t>
  </si>
  <si>
    <t>Wikipedia links (mk)</t>
  </si>
  <si>
    <t xml:space="preserve">    ur</t>
  </si>
  <si>
    <t>Wikipedia edits (ur)</t>
  </si>
  <si>
    <t xml:space="preserve">    Wka</t>
  </si>
  <si>
    <t>Wikipedia links (ka)</t>
  </si>
  <si>
    <t xml:space="preserve">    mk</t>
  </si>
  <si>
    <t>Wikipedia edits (mk)</t>
  </si>
  <si>
    <t xml:space="preserve">    J1</t>
  </si>
  <si>
    <t>Jester 100</t>
  </si>
  <si>
    <t xml:space="preserve">    But</t>
  </si>
  <si>
    <t>BibSonomy user–tag</t>
  </si>
  <si>
    <t xml:space="preserve">    Wsimple</t>
  </si>
  <si>
    <t>Wikipedia links (simple)</t>
  </si>
  <si>
    <t xml:space="preserve">    msv</t>
  </si>
  <si>
    <t>Wiktionary edits (sv)</t>
  </si>
  <si>
    <t xml:space="preserve">    Tes</t>
  </si>
  <si>
    <t>Wikipedia talk (es)</t>
  </si>
  <si>
    <t xml:space="preserve">    Wet</t>
  </si>
  <si>
    <t>Wikipedia links (et)</t>
  </si>
  <si>
    <t xml:space="preserve">    Bui</t>
  </si>
  <si>
    <t>BibSonomy user–item</t>
  </si>
  <si>
    <t xml:space="preserve">    cy</t>
  </si>
  <si>
    <t>Wikipedia edits (cy)</t>
  </si>
  <si>
    <t xml:space="preserve">    nn</t>
  </si>
  <si>
    <t>Wikipedia edits (nn)</t>
  </si>
  <si>
    <t xml:space="preserve">    Bti</t>
  </si>
  <si>
    <t>BibSonomy tag–item</t>
  </si>
  <si>
    <t xml:space="preserve">    WK</t>
  </si>
  <si>
    <t>Wikipedia messages (en)</t>
  </si>
  <si>
    <t>Dataset is available for download Dataset passed all tests  Unipartite, directed Unweighted, no multiple edges  Is a snapshot and likely to not contain all data Does not have multiple edges, but the underlying data has</t>
  </si>
  <si>
    <t xml:space="preserve">    Wti</t>
  </si>
  <si>
    <t>Twitter tag–item</t>
  </si>
  <si>
    <t xml:space="preserve">    Wbug</t>
  </si>
  <si>
    <t>Wikipedia links (bug)</t>
  </si>
  <si>
    <t xml:space="preserve">    Wtg</t>
  </si>
  <si>
    <t>Wikipedia links (tg)</t>
  </si>
  <si>
    <t xml:space="preserve">    la</t>
  </si>
  <si>
    <t>Wikipedia edits (la)</t>
  </si>
  <si>
    <t xml:space="preserve">    GO</t>
  </si>
  <si>
    <t>Google hyperlinks</t>
  </si>
  <si>
    <t xml:space="preserve">    LY</t>
  </si>
  <si>
    <t>Youtube links</t>
  </si>
  <si>
    <t>California and Nevada</t>
  </si>
  <si>
    <t xml:space="preserve">    hi</t>
  </si>
  <si>
    <t>Wikipedia edits (hi)</t>
  </si>
  <si>
    <t xml:space="preserve">    mit</t>
  </si>
  <si>
    <t>Wiktionary edits (it)</t>
  </si>
  <si>
    <t xml:space="preserve">    mfi</t>
  </si>
  <si>
    <t>Wiktionary edits (fi)</t>
  </si>
  <si>
    <t xml:space="preserve">    DV</t>
  </si>
  <si>
    <t>Digg votes</t>
  </si>
  <si>
    <t xml:space="preserve">    vo</t>
  </si>
  <si>
    <t>Wikipedia edits (vo)</t>
  </si>
  <si>
    <t xml:space="preserve">    ka</t>
  </si>
  <si>
    <t>Wikipedia edits (ka)</t>
  </si>
  <si>
    <t xml:space="preserve">    PCf</t>
  </si>
  <si>
    <t>Catster friends</t>
  </si>
  <si>
    <t xml:space="preserve">    Wel</t>
  </si>
  <si>
    <t>Wikipedia links (el)</t>
  </si>
  <si>
    <t xml:space="preserve">    Tit</t>
  </si>
  <si>
    <t>Wikipedia talk (it)</t>
  </si>
  <si>
    <t xml:space="preserve">    Cut</t>
  </si>
  <si>
    <t>CiteULike user–tag</t>
  </si>
  <si>
    <t xml:space="preserve">    Wth</t>
  </si>
  <si>
    <t>Wikipedia links (th)</t>
  </si>
  <si>
    <t xml:space="preserve">    nsr</t>
  </si>
  <si>
    <t>Wikinews edits (sr)</t>
  </si>
  <si>
    <t xml:space="preserve">    az</t>
  </si>
  <si>
    <t>Wikipedia edits (az)</t>
  </si>
  <si>
    <t xml:space="preserve">    Cti</t>
  </si>
  <si>
    <t>CiteULike tag–item</t>
  </si>
  <si>
    <t xml:space="preserve">    Cui</t>
  </si>
  <si>
    <t>CiteULike user–item</t>
  </si>
  <si>
    <t xml:space="preserve">    WU</t>
  </si>
  <si>
    <t>WebUni Magdeburg</t>
  </si>
  <si>
    <t xml:space="preserve">    Wlt</t>
  </si>
  <si>
    <t>Wikipedia links (lt)</t>
  </si>
  <si>
    <t xml:space="preserve">    mko</t>
  </si>
  <si>
    <t>Wiktionary edits (ko)</t>
  </si>
  <si>
    <t xml:space="preserve">    mnl</t>
  </si>
  <si>
    <t>Wiktionary edits (nl)</t>
  </si>
  <si>
    <t xml:space="preserve">    Wbe</t>
  </si>
  <si>
    <t>Wikipedia links (be)</t>
  </si>
  <si>
    <t xml:space="preserve">    Wgl</t>
  </si>
  <si>
    <t>Wikipedia links (gl)</t>
  </si>
  <si>
    <t xml:space="preserve">    PL</t>
  </si>
  <si>
    <t>Prosper loans</t>
  </si>
  <si>
    <t xml:space="preserve">    PH</t>
  </si>
  <si>
    <t xml:space="preserve">    ms</t>
  </si>
  <si>
    <t>Wikipedia edits (ms)</t>
  </si>
  <si>
    <t xml:space="preserve">    mel</t>
  </si>
  <si>
    <t>Wiktionary edits (el)</t>
  </si>
  <si>
    <t xml:space="preserve">    Wur</t>
  </si>
  <si>
    <t>Wikipedia links (ur)</t>
  </si>
  <si>
    <t xml:space="preserve">    Wce</t>
  </si>
  <si>
    <t>Wikipedia links (ce)</t>
  </si>
  <si>
    <t xml:space="preserve">    Whr</t>
  </si>
  <si>
    <t>Wikipedia links (hr)</t>
  </si>
  <si>
    <t xml:space="preserve">    gl</t>
  </si>
  <si>
    <t>Wikipedia edits (gl)</t>
  </si>
  <si>
    <t xml:space="preserve">    et</t>
  </si>
  <si>
    <t>Wikipedia edits (et)</t>
  </si>
  <si>
    <t xml:space="preserve">    Wsk</t>
  </si>
  <si>
    <t>Wikipedia links (sk)</t>
  </si>
  <si>
    <t xml:space="preserve">    Wta</t>
  </si>
  <si>
    <t>Wikipedia links (ta)</t>
  </si>
  <si>
    <t xml:space="preserve">    hr</t>
  </si>
  <si>
    <t>Wikipedia edits (hr)</t>
  </si>
  <si>
    <t xml:space="preserve">    Whi</t>
  </si>
  <si>
    <t>Wikipedia links (hi)</t>
  </si>
  <si>
    <t xml:space="preserve">    BS</t>
  </si>
  <si>
    <t xml:space="preserve">    Sd</t>
  </si>
  <si>
    <t xml:space="preserve">    Wsl</t>
  </si>
  <si>
    <t>Wikipedia links (sl)</t>
  </si>
  <si>
    <t xml:space="preserve">    sl</t>
  </si>
  <si>
    <t>Wikipedia edits (sl)</t>
  </si>
  <si>
    <t xml:space="preserve">    nen</t>
  </si>
  <si>
    <t>Wikinews edits (en)</t>
  </si>
  <si>
    <t xml:space="preserve">    9L</t>
  </si>
  <si>
    <t>Great Lakes</t>
  </si>
  <si>
    <t xml:space="preserve">    lt</t>
  </si>
  <si>
    <t>Wikipedia edits (lt)</t>
  </si>
  <si>
    <t xml:space="preserve">    mes</t>
  </si>
  <si>
    <t>Wiktionary edits (es)</t>
  </si>
  <si>
    <t xml:space="preserve">    FG</t>
  </si>
  <si>
    <t xml:space="preserve">    simple</t>
  </si>
  <si>
    <t>Wikipedia edits (simple)</t>
  </si>
  <si>
    <t xml:space="preserve">    Tfr</t>
  </si>
  <si>
    <t>Wikipedia talk (fr)</t>
  </si>
  <si>
    <t xml:space="preserve">    FX</t>
  </si>
  <si>
    <t xml:space="preserve">    Weu</t>
  </si>
  <si>
    <t>Wikipedia links (eu)</t>
  </si>
  <si>
    <t xml:space="preserve">    Wut</t>
  </si>
  <si>
    <t>Twitter user–tag</t>
  </si>
  <si>
    <t xml:space="preserve">    PDf</t>
  </si>
  <si>
    <t>Dogster friends</t>
  </si>
  <si>
    <t xml:space="preserve">    hy</t>
  </si>
  <si>
    <t>Wikipedia edits (hy)</t>
  </si>
  <si>
    <t xml:space="preserve">    WT</t>
  </si>
  <si>
    <t>TREC WT10g</t>
  </si>
  <si>
    <t>Arnetminer ACM</t>
  </si>
  <si>
    <t>Dataset is not available for download Dataset passed all tests  Unipartite, directed Unweighted, no multiple edges  Contains loops</t>
  </si>
  <si>
    <t xml:space="preserve">    Wbg</t>
  </si>
  <si>
    <t>Wikipedia links (bg)</t>
  </si>
  <si>
    <t xml:space="preserve">    mzh</t>
  </si>
  <si>
    <t>Wiktionary edits (zh)</t>
  </si>
  <si>
    <t>Wikipedia conflict</t>
  </si>
  <si>
    <t>Dataset is available for download Dataset passed all tests  Unipartite, undirected Signed, possibly weighted, multiple edges  Edges are annotated with timestamps Edges may have weight zero</t>
  </si>
  <si>
    <t xml:space="preserve">    Wda</t>
  </si>
  <si>
    <t>Wikipedia links (da)</t>
  </si>
  <si>
    <t xml:space="preserve">    el</t>
  </si>
  <si>
    <t>Wikipedia edits (el)</t>
  </si>
  <si>
    <t xml:space="preserve">    th</t>
  </si>
  <si>
    <t>Wikipedia edits (th)</t>
  </si>
  <si>
    <t xml:space="preserve">    eu</t>
  </si>
  <si>
    <t>Wikipedia edits (eu)</t>
  </si>
  <si>
    <t xml:space="preserve">    mpl</t>
  </si>
  <si>
    <t>Wiktionary edits (pl)</t>
  </si>
  <si>
    <t xml:space="preserve">    mde</t>
  </si>
  <si>
    <t>Wiktionary edits (de)</t>
  </si>
  <si>
    <t xml:space="preserve">    sk</t>
  </si>
  <si>
    <t>Wikipedia edits (sk)</t>
  </si>
  <si>
    <t xml:space="preserve">    eo</t>
  </si>
  <si>
    <t>Wikipedia edits (eo)</t>
  </si>
  <si>
    <t xml:space="preserve">    9E</t>
  </si>
  <si>
    <t>Eastern USA</t>
  </si>
  <si>
    <t xml:space="preserve">    Weo</t>
  </si>
  <si>
    <t>Wikipedia links (eo)</t>
  </si>
  <si>
    <t xml:space="preserve">    Wbs</t>
  </si>
  <si>
    <t>Wikipedia links (bs)</t>
  </si>
  <si>
    <t xml:space="preserve">    war</t>
  </si>
  <si>
    <t>Wikipedia edits (war)</t>
  </si>
  <si>
    <t xml:space="preserve">    SK</t>
  </si>
  <si>
    <t xml:space="preserve">    bg</t>
  </si>
  <si>
    <t>Wikipedia edits (bg)</t>
  </si>
  <si>
    <t xml:space="preserve">    Tde</t>
  </si>
  <si>
    <t>Wikipedia talk (de)</t>
  </si>
  <si>
    <t xml:space="preserve">    AR</t>
  </si>
  <si>
    <t>Amazon ratings</t>
  </si>
  <si>
    <t>Dataset is available for download Dataset passed all tests  Unipartite, directed Unweighted, no multiple edges  Contains loops Is a snapshot and likely to not contain all data</t>
  </si>
  <si>
    <t xml:space="preserve">    da</t>
  </si>
  <si>
    <t>Wikipedia edits (da)</t>
  </si>
  <si>
    <t xml:space="preserve">    Da</t>
  </si>
  <si>
    <t>Discogs artist–genre</t>
  </si>
  <si>
    <t xml:space="preserve">    Wkk</t>
  </si>
  <si>
    <t>Wikipedia links (kk)</t>
  </si>
  <si>
    <t xml:space="preserve">    Dl</t>
  </si>
  <si>
    <t xml:space="preserve">    Whe</t>
  </si>
  <si>
    <t xml:space="preserve">    PKf</t>
  </si>
  <si>
    <t xml:space="preserve">    Wtr</t>
  </si>
  <si>
    <t xml:space="preserve">    mru</t>
  </si>
  <si>
    <t xml:space="preserve">    Pa</t>
  </si>
  <si>
    <t xml:space="preserve">    Wfi</t>
  </si>
  <si>
    <t xml:space="preserve">    LF</t>
  </si>
  <si>
    <t xml:space="preserve">    ID</t>
  </si>
  <si>
    <t xml:space="preserve">    HUi</t>
  </si>
  <si>
    <t xml:space="preserve">    Scd</t>
  </si>
  <si>
    <t xml:space="preserve">    M3</t>
  </si>
  <si>
    <t xml:space="preserve">    ro</t>
  </si>
  <si>
    <t xml:space="preserve">    BAi</t>
  </si>
  <si>
    <t xml:space="preserve">    9W</t>
  </si>
  <si>
    <t xml:space="preserve">    Wcs</t>
  </si>
  <si>
    <t xml:space="preserve">    PC</t>
  </si>
  <si>
    <t xml:space="preserve">    YT</t>
  </si>
  <si>
    <t xml:space="preserve">    Dt</t>
  </si>
  <si>
    <t xml:space="preserve">    Why</t>
  </si>
  <si>
    <t xml:space="preserve">    id</t>
  </si>
  <si>
    <t xml:space="preserve">    Wno</t>
  </si>
  <si>
    <t xml:space="preserve">    Woc</t>
  </si>
  <si>
    <t xml:space="preserve">    LI</t>
  </si>
  <si>
    <t xml:space="preserve">    HUr</t>
  </si>
  <si>
    <t xml:space="preserve">    cs</t>
  </si>
  <si>
    <t xml:space="preserve">    sr</t>
  </si>
  <si>
    <t xml:space="preserve">    fi</t>
  </si>
  <si>
    <t xml:space="preserve">    tr</t>
  </si>
  <si>
    <t xml:space="preserve">    ER</t>
  </si>
  <si>
    <t xml:space="preserve">    ko</t>
  </si>
  <si>
    <t xml:space="preserve">    Wui</t>
  </si>
  <si>
    <t xml:space="preserve">    Wa</t>
  </si>
  <si>
    <t xml:space="preserve">    Wms</t>
  </si>
  <si>
    <t xml:space="preserve">    no</t>
  </si>
  <si>
    <t xml:space="preserve">    ceb</t>
  </si>
  <si>
    <t xml:space="preserve">    Wko</t>
  </si>
  <si>
    <t xml:space="preserve">    ca</t>
  </si>
  <si>
    <t xml:space="preserve">    hu</t>
  </si>
  <si>
    <t xml:space="preserve">    Lb</t>
  </si>
  <si>
    <t xml:space="preserve">    he</t>
  </si>
  <si>
    <t xml:space="preserve">    fa</t>
  </si>
  <si>
    <t xml:space="preserve">    Ls</t>
  </si>
  <si>
    <t xml:space="preserve">    Wro</t>
  </si>
  <si>
    <t xml:space="preserve">    Wid</t>
  </si>
  <si>
    <t xml:space="preserve">    uk</t>
  </si>
  <si>
    <t xml:space="preserve">    CL</t>
  </si>
  <si>
    <t xml:space="preserve">    Fr</t>
  </si>
  <si>
    <t xml:space="preserve">    ar</t>
  </si>
  <si>
    <t xml:space="preserve">    Wwar</t>
  </si>
  <si>
    <t xml:space="preserve">    Wca</t>
  </si>
  <si>
    <t xml:space="preserve">    Ud</t>
  </si>
  <si>
    <t xml:space="preserve">    mmg</t>
  </si>
  <si>
    <t xml:space="preserve">    mfr</t>
  </si>
  <si>
    <t xml:space="preserve">    vi</t>
  </si>
  <si>
    <t xml:space="preserve">    Ten</t>
  </si>
  <si>
    <t xml:space="preserve">    Whu</t>
  </si>
  <si>
    <t xml:space="preserve">    Wes</t>
  </si>
  <si>
    <t xml:space="preserve">    Up</t>
  </si>
  <si>
    <t xml:space="preserve">    Wvi</t>
  </si>
  <si>
    <t xml:space="preserve">    Lj</t>
  </si>
  <si>
    <t xml:space="preserve">    Pc</t>
  </si>
  <si>
    <t xml:space="preserve">    Wpt</t>
  </si>
  <si>
    <t xml:space="preserve">    Wuk</t>
  </si>
  <si>
    <t xml:space="preserve">    RE</t>
  </si>
  <si>
    <t xml:space="preserve">    Wnl</t>
  </si>
  <si>
    <t xml:space="preserve">    pt</t>
  </si>
  <si>
    <t xml:space="preserve">    sv</t>
  </si>
  <si>
    <t xml:space="preserve">    FL</t>
  </si>
  <si>
    <t xml:space="preserve">    zh</t>
  </si>
  <si>
    <t xml:space="preserve">    War</t>
  </si>
  <si>
    <t xml:space="preserve">    Ui</t>
  </si>
  <si>
    <t xml:space="preserve">    Wfa</t>
  </si>
  <si>
    <t xml:space="preserve">    NY</t>
  </si>
  <si>
    <t xml:space="preserve">    Wpl</t>
  </si>
  <si>
    <t xml:space="preserve">    9U</t>
  </si>
  <si>
    <t xml:space="preserve">    sh</t>
  </si>
  <si>
    <t xml:space="preserve">    Wzh</t>
  </si>
  <si>
    <t xml:space="preserve">    pl</t>
  </si>
  <si>
    <t xml:space="preserve">    ZS</t>
  </si>
  <si>
    <t xml:space="preserve">    LJ</t>
  </si>
  <si>
    <t xml:space="preserve">    nl</t>
  </si>
  <si>
    <t xml:space="preserve">    ja</t>
  </si>
  <si>
    <t xml:space="preserve">    Wceb</t>
  </si>
  <si>
    <t xml:space="preserve">    WP</t>
  </si>
  <si>
    <t xml:space="preserve">    men</t>
  </si>
  <si>
    <t xml:space="preserve">    Wja</t>
  </si>
  <si>
    <t xml:space="preserve">    Wru</t>
  </si>
  <si>
    <t xml:space="preserve">    Wde</t>
  </si>
  <si>
    <t xml:space="preserve">    Wsh</t>
  </si>
  <si>
    <t xml:space="preserve">    TR</t>
  </si>
  <si>
    <t xml:space="preserve">    Wit</t>
  </si>
  <si>
    <t xml:space="preserve">    Wsv</t>
  </si>
  <si>
    <t xml:space="preserve">    Uf</t>
  </si>
  <si>
    <t xml:space="preserve">    LG</t>
  </si>
  <si>
    <t xml:space="preserve">    ru</t>
  </si>
  <si>
    <t xml:space="preserve">    it</t>
  </si>
  <si>
    <t xml:space="preserve">    es</t>
  </si>
  <si>
    <t xml:space="preserve">    OR</t>
  </si>
  <si>
    <t xml:space="preserve">    Wfr</t>
  </si>
  <si>
    <t xml:space="preserve">    Wsr</t>
  </si>
  <si>
    <t xml:space="preserve">    Ug</t>
  </si>
  <si>
    <t xml:space="preserve">    NX</t>
  </si>
  <si>
    <t xml:space="preserve">    DL</t>
  </si>
  <si>
    <t xml:space="preserve">    fr</t>
  </si>
  <si>
    <t xml:space="preserve">    de</t>
  </si>
  <si>
    <t xml:space="preserve">    UD</t>
  </si>
  <si>
    <t xml:space="preserve">    OG</t>
  </si>
  <si>
    <t xml:space="preserve">    YS</t>
  </si>
  <si>
    <t xml:space="preserve">    Wen</t>
  </si>
  <si>
    <t xml:space="preserve">    Dut</t>
  </si>
  <si>
    <t xml:space="preserve">    Dti</t>
  </si>
  <si>
    <t xml:space="preserve">    Dui</t>
  </si>
  <si>
    <t xml:space="preserve">    en</t>
  </si>
  <si>
    <t xml:space="preserve">    TW</t>
  </si>
  <si>
    <t xml:space="preserve">    TF</t>
  </si>
  <si>
    <t xml:space="preserve">    </t>
  </si>
  <si>
    <t>lqfb-Unit</t>
  </si>
  <si>
    <t>lqfb-Global</t>
  </si>
  <si>
    <t>lqfb-Issue</t>
  </si>
  <si>
    <t>lqfb-Area</t>
  </si>
  <si>
    <t>prosper-support</t>
  </si>
  <si>
    <t>prosper-watch</t>
  </si>
  <si>
    <t>lqfb-All</t>
  </si>
  <si>
    <t>lqfb-temporal</t>
  </si>
  <si>
    <t>filmtipset_friend</t>
  </si>
  <si>
    <t>sap</t>
  </si>
  <si>
    <t>amazon0302</t>
  </si>
  <si>
    <t>enron-rm</t>
  </si>
  <si>
    <t>filmtipset_comment</t>
  </si>
  <si>
    <t>amazon0312</t>
  </si>
  <si>
    <t>amazon0505</t>
  </si>
  <si>
    <t>munmun_twitterex_ti</t>
  </si>
  <si>
    <t>arnetminer</t>
  </si>
  <si>
    <t>munmun_twitterex_ui</t>
  </si>
  <si>
    <t>munmun_twitterex_at</t>
  </si>
  <si>
    <t>filmtipset_rating</t>
  </si>
  <si>
    <t>netflix</t>
  </si>
  <si>
    <t>DS</t>
  </si>
  <si>
    <t>Avg</t>
  </si>
  <si>
    <t>ca-hollywood-2009</t>
  </si>
  <si>
    <t>uk-2002</t>
  </si>
  <si>
    <t>OOT</t>
  </si>
  <si>
    <t>Column14</t>
  </si>
  <si>
    <t>OOM</t>
  </si>
  <si>
    <t>L1+IP</t>
  </si>
  <si>
    <t>L1+IPX</t>
  </si>
  <si>
    <t>L2+IP</t>
  </si>
  <si>
    <t>L2+IPX</t>
  </si>
  <si>
    <t>Ours</t>
  </si>
  <si>
    <t>degen</t>
  </si>
  <si>
    <t>mce-gpu on A100 (80GB)</t>
  </si>
  <si>
    <t>soc-livejournal</t>
  </si>
  <si>
    <t>soc-sinaweibo</t>
  </si>
  <si>
    <t>web-ClueWeb09-50m</t>
  </si>
  <si>
    <t>web-wikipedia_link_en13-all</t>
  </si>
  <si>
    <t>aff-orkut-user2groups</t>
  </si>
  <si>
    <t>wiki-topcats</t>
  </si>
  <si>
    <t>mce-gpu</t>
  </si>
  <si>
    <t>socfb-B-anon</t>
  </si>
  <si>
    <t>soc-pokec</t>
  </si>
  <si>
    <t>Host-OOM</t>
  </si>
  <si>
    <t>Host overflows</t>
  </si>
  <si>
    <t>GPU overflows</t>
  </si>
  <si>
    <t>exec time &gt; 30m</t>
  </si>
  <si>
    <t>Column54</t>
  </si>
  <si>
    <t>Ours-One-warp</t>
  </si>
  <si>
    <t>Imp. One Warp</t>
  </si>
  <si>
    <t>Impr. Ours</t>
  </si>
  <si>
    <t>CPU Only</t>
  </si>
  <si>
    <t>G2AIMD</t>
  </si>
  <si>
    <t>P100</t>
  </si>
  <si>
    <t>#MC</t>
  </si>
  <si>
    <t>All experiments run on Cheaha, A100, 80GB gpu</t>
  </si>
  <si>
    <t>Quick+</t>
  </si>
  <si>
    <t>CPU+GPU</t>
  </si>
  <si>
    <t>No pingpong</t>
  </si>
  <si>
    <t>NA</t>
  </si>
  <si>
    <t>cpuchunk</t>
  </si>
  <si>
    <t>tau=1000</t>
  </si>
  <si>
    <t>cpuchunk=200</t>
  </si>
  <si>
    <t>cpuchunk=200, tau=1000</t>
  </si>
  <si>
    <t>gpuchunk</t>
  </si>
  <si>
    <t>tau (micro sec)</t>
  </si>
  <si>
    <t>g2aimd</t>
  </si>
  <si>
    <t>Trec</t>
  </si>
  <si>
    <t>Column7</t>
  </si>
  <si>
    <t>Column8</t>
  </si>
  <si>
    <t>k</t>
  </si>
  <si>
    <t>g</t>
  </si>
  <si>
    <t>Ca-GrQC-10-0.9</t>
  </si>
  <si>
    <t>Flixster-35-0.96</t>
  </si>
  <si>
    <t>Hyves-23-0.9</t>
  </si>
  <si>
    <t>Twitter-6-0.9</t>
  </si>
  <si>
    <t>WordNet-14-0.9</t>
  </si>
  <si>
    <t>Top level Tasks</t>
  </si>
  <si>
    <t>FastQC</t>
  </si>
  <si>
    <t>Dataset</t>
  </si>
  <si>
    <t>G-ThinkerCG</t>
  </si>
  <si>
    <t>G2AIMD (pingpong)</t>
  </si>
  <si>
    <t>gpu-layered</t>
  </si>
  <si>
    <t>https://networkrepository.com/fb-pages-artist.php</t>
  </si>
  <si>
    <t>FB-Pages</t>
  </si>
  <si>
    <t>Top Level Tasks</t>
  </si>
  <si>
    <t>Parallel</t>
  </si>
  <si>
    <t>Serial</t>
  </si>
  <si>
    <t>min_size</t>
  </si>
  <si>
    <t>gamma</t>
  </si>
  <si>
    <t>Flixter</t>
  </si>
  <si>
    <t>top level tasks</t>
  </si>
  <si>
    <t>Time</t>
  </si>
  <si>
    <t>X</t>
  </si>
  <si>
    <t>&gt; 1hr</t>
  </si>
  <si>
    <t>&gt; 30m</t>
  </si>
  <si>
    <t>overflow: pong buffer overflows even after stopping expansion when it is 90% full</t>
  </si>
  <si>
    <t>avg_degree</t>
  </si>
  <si>
    <t>selected</t>
  </si>
  <si>
    <t>query</t>
  </si>
  <si>
    <t>GPU</t>
  </si>
  <si>
    <t>cpuchunk=1</t>
  </si>
  <si>
    <t>cpuchunk=10</t>
  </si>
  <si>
    <t>cpuchunk=100</t>
  </si>
  <si>
    <t>GPU_chunk10_ratio</t>
  </si>
  <si>
    <t>expand mode</t>
  </si>
  <si>
    <t>cpuchunk=200, tau=1000, gpuchunk=100000</t>
  </si>
  <si>
    <t>CPU Only (30m X)</t>
  </si>
  <si>
    <t>gpu-hybrid-copy</t>
  </si>
  <si>
    <t>gpu-hybrid-drop</t>
  </si>
  <si>
    <t>x</t>
  </si>
  <si>
    <t>CPU Only (X &gt; 30m)</t>
  </si>
  <si>
    <t>CPU -&gt;GPU steal</t>
  </si>
  <si>
    <t>10 million tasks</t>
  </si>
  <si>
    <t>tau</t>
  </si>
  <si>
    <t>100 ms</t>
  </si>
  <si>
    <t>100,000 vertices</t>
  </si>
  <si>
    <t xml:space="preserve">gpuchunk </t>
  </si>
  <si>
    <t>10 vertices</t>
  </si>
  <si>
    <t>ratio_G2L</t>
  </si>
  <si>
    <t>ratio_L2CG</t>
  </si>
  <si>
    <t>ratio_G2C</t>
  </si>
  <si>
    <t>why the outlier is so slow on hybrid?</t>
  </si>
  <si>
    <t>eta values</t>
  </si>
  <si>
    <t>183.09 </t>
  </si>
  <si>
    <t>180.02 </t>
  </si>
  <si>
    <t>182.85 </t>
  </si>
  <si>
    <t>476.47 </t>
  </si>
  <si>
    <t>479.54 </t>
  </si>
  <si>
    <t># top level tasks</t>
  </si>
  <si>
    <t>|V|</t>
  </si>
  <si>
    <t>|E|</t>
  </si>
  <si>
    <t>gpuchunk = 1m</t>
  </si>
  <si>
    <t>gpuchunk = 10k</t>
  </si>
  <si>
    <t xml:space="preserve">run more experiments with larger values of eta </t>
  </si>
  <si>
    <t>ratio_C2CG</t>
  </si>
  <si>
    <t xml:space="preserve">ratio abbr. </t>
  </si>
  <si>
    <t>G: G2AIMD</t>
  </si>
  <si>
    <t>CG: CPU+GPU</t>
  </si>
  <si>
    <t>L: hybrid-layered</t>
  </si>
  <si>
    <t>C: hybrid-copy</t>
  </si>
  <si>
    <t>CP: CPU</t>
  </si>
  <si>
    <t>ratio_CP2CG</t>
  </si>
  <si>
    <t>c=2</t>
  </si>
  <si>
    <t>c=5</t>
  </si>
  <si>
    <t>c=10</t>
  </si>
  <si>
    <t>c=3</t>
  </si>
  <si>
    <t>c=4</t>
  </si>
  <si>
    <t xml:space="preserve">GPU first: </t>
  </si>
  <si>
    <t>GPU takes the chunk followed by CPU workers</t>
  </si>
  <si>
    <t xml:space="preserve">CPU first: </t>
  </si>
  <si>
    <t>CPU workers takes the chunk followed by GPU</t>
  </si>
  <si>
    <t>CPU Chunk</t>
  </si>
  <si>
    <t>Sr.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</si>
</sst>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
    <numFmt numFmtId="165" formatCode="_(* #,##0_);_(* \(#,##0\);_(* &quot;-&quot;??_);_(@_)"/>
    <numFmt numFmtId="166" formatCode="0.000"/>
    <numFmt numFmtId="167" formatCode="#,##0.0"/>
  </numFmts>
  <fonts count="64" x14ac:knownFonts="1">
    <font>
      <sz val="12"/>
      <color theme="1"/>
      <name val="Aptos Narrow"/>
      <family val="2"/>
      <scheme val="minor"/>
    </font>
    <font>
      <sz val="12"/>
      <color theme="1"/>
      <name val="Aptos Narrow"/>
      <family val="2"/>
      <scheme val="minor"/>
    </font>
    <font>
      <sz val="16"/>
      <color rgb="FFF2F2F2"/>
      <name val="Monaco"/>
      <family val="2"/>
    </font>
    <font>
      <sz val="12"/>
      <color theme="0"/>
      <name val="Aptos Narrow"/>
      <family val="2"/>
      <scheme val="minor"/>
    </font>
    <font>
      <sz val="16"/>
      <color theme="1"/>
      <name val="Aptos Narrow"/>
      <family val="2"/>
      <scheme val="minor"/>
    </font>
    <font>
      <sz val="8"/>
      <name val="Aptos Narrow"/>
      <family val="2"/>
      <scheme val="minor"/>
    </font>
    <font>
      <sz val="16"/>
      <name val="Monaco"/>
      <family val="2"/>
    </font>
    <font>
      <sz val="16"/>
      <name val="Aptos Display"/>
      <scheme val="major"/>
    </font>
    <font>
      <sz val="16"/>
      <color rgb="FFB42419"/>
      <name val="Monaco"/>
      <family val="2"/>
    </font>
    <font>
      <sz val="12"/>
      <name val="Aptos Narrow"/>
      <family val="2"/>
      <scheme val="minor"/>
    </font>
    <font>
      <sz val="16"/>
      <name val="Aptos Narrow"/>
      <scheme val="minor"/>
    </font>
    <font>
      <sz val="16"/>
      <color theme="0"/>
      <name val="Aptos Narrow"/>
      <scheme val="minor"/>
    </font>
    <font>
      <sz val="16"/>
      <color theme="0"/>
      <name val="Aptos Narrow"/>
      <family val="2"/>
      <scheme val="minor"/>
    </font>
    <font>
      <sz val="16"/>
      <color rgb="FFC00000"/>
      <name val="Aptos Narrow"/>
      <scheme val="minor"/>
    </font>
    <font>
      <sz val="16"/>
      <color theme="0" tint="-0.499984740745262"/>
      <name val="Aptos Narrow"/>
      <scheme val="minor"/>
    </font>
    <font>
      <sz val="16"/>
      <name val="Aptos Narrow"/>
      <family val="2"/>
      <scheme val="minor"/>
    </font>
    <font>
      <sz val="16"/>
      <name val="Aptos Narrow"/>
    </font>
    <font>
      <sz val="16"/>
      <name val="Aptos Narrow"/>
      <family val="2"/>
    </font>
    <font>
      <b/>
      <sz val="20"/>
      <color theme="1"/>
      <name val="Aptos Narrow"/>
      <scheme val="minor"/>
    </font>
    <font>
      <sz val="17"/>
      <color rgb="FFF2F2F2"/>
      <name val="Monaco"/>
      <family val="2"/>
    </font>
    <font>
      <sz val="18"/>
      <color theme="1"/>
      <name val="Aptos Narrow"/>
      <family val="2"/>
      <scheme val="minor"/>
    </font>
    <font>
      <sz val="18"/>
      <name val="Aptos Narrow"/>
      <scheme val="minor"/>
    </font>
    <font>
      <sz val="18"/>
      <color theme="1"/>
      <name val="Aptos Narrow"/>
      <scheme val="minor"/>
    </font>
    <font>
      <sz val="18"/>
      <name val="Aptos Narrow"/>
      <family val="2"/>
      <scheme val="minor"/>
    </font>
    <font>
      <sz val="14"/>
      <color theme="0" tint="-0.249977111117893"/>
      <name val="Aptos Narrow"/>
      <scheme val="minor"/>
    </font>
    <font>
      <sz val="16"/>
      <color theme="1"/>
      <name val="Monaco"/>
      <family val="2"/>
    </font>
    <font>
      <b/>
      <sz val="20"/>
      <color theme="1"/>
      <name val="Aptos Narrow"/>
      <family val="2"/>
      <scheme val="minor"/>
    </font>
    <font>
      <sz val="17"/>
      <name val="Monaco"/>
      <family val="2"/>
    </font>
    <font>
      <b/>
      <sz val="17"/>
      <name val="Monaco"/>
      <family val="2"/>
    </font>
    <font>
      <b/>
      <sz val="16"/>
      <color theme="1"/>
      <name val="Aptos Narrow"/>
      <family val="2"/>
      <scheme val="minor"/>
    </font>
    <font>
      <sz val="14"/>
      <name val="Monaco"/>
      <family val="2"/>
    </font>
    <font>
      <sz val="16"/>
      <color rgb="FFC00000"/>
      <name val="Aptos Narrow"/>
      <family val="2"/>
      <scheme val="minor"/>
    </font>
    <font>
      <sz val="20"/>
      <color theme="1"/>
      <name val="Aptos Narrow"/>
      <family val="2"/>
      <scheme val="minor"/>
    </font>
    <font>
      <sz val="20"/>
      <color theme="1"/>
      <name val="Aptos Narrow"/>
      <scheme val="minor"/>
    </font>
    <font>
      <b/>
      <sz val="14"/>
      <name val="Monaco"/>
      <family val="2"/>
    </font>
    <font>
      <b/>
      <sz val="16"/>
      <name val="Monaco"/>
      <family val="2"/>
    </font>
    <font>
      <sz val="18"/>
      <name val="Monaco"/>
      <family val="2"/>
    </font>
    <font>
      <b/>
      <sz val="18"/>
      <name val="Monaco"/>
      <family val="2"/>
    </font>
    <font>
      <sz val="18"/>
      <color theme="1"/>
      <name val="Monaco"/>
      <family val="2"/>
    </font>
    <font>
      <b/>
      <sz val="18"/>
      <color theme="1"/>
      <name val="Monaco"/>
      <family val="2"/>
    </font>
    <font>
      <sz val="18"/>
      <color theme="1"/>
      <name val="Aptos Display"/>
      <scheme val="major"/>
    </font>
    <font>
      <b/>
      <sz val="18"/>
      <color theme="1"/>
      <name val="Aptos Display"/>
      <scheme val="major"/>
    </font>
    <font>
      <b/>
      <sz val="16"/>
      <color theme="0"/>
      <name val="Aptos Narrow"/>
      <family val="2"/>
      <scheme val="minor"/>
    </font>
    <font>
      <sz val="18"/>
      <color theme="0" tint="-0.34998626667073579"/>
      <name val="Aptos Narrow"/>
      <scheme val="minor"/>
    </font>
    <font>
      <sz val="14"/>
      <name val="Aptos Narrow"/>
      <scheme val="minor"/>
    </font>
    <font>
      <b/>
      <sz val="24"/>
      <color theme="1"/>
      <name val="Aptos Narrow"/>
      <scheme val="minor"/>
    </font>
    <font>
      <sz val="18"/>
      <color theme="1" tint="0.499984740745262"/>
      <name val="Aptos Narrow"/>
      <family val="2"/>
      <scheme val="minor"/>
    </font>
    <font>
      <sz val="18"/>
      <color theme="1" tint="0.499984740745262"/>
      <name val="Monaco"/>
      <family val="2"/>
    </font>
    <font>
      <sz val="22"/>
      <color theme="1"/>
      <name val="Aptos Narrow"/>
      <family val="2"/>
      <scheme val="minor"/>
    </font>
    <font>
      <sz val="14"/>
      <color theme="0" tint="-0.249977111117893"/>
      <name val="Aptos Narrow"/>
      <family val="2"/>
      <scheme val="minor"/>
    </font>
    <font>
      <sz val="17"/>
      <color theme="1"/>
      <name val="Monaco"/>
      <family val="2"/>
    </font>
    <font>
      <sz val="20"/>
      <name val="Aptos Narrow"/>
      <family val="2"/>
      <scheme val="minor"/>
    </font>
    <font>
      <sz val="20"/>
      <name val="Monaco"/>
      <family val="2"/>
    </font>
    <font>
      <b/>
      <sz val="22"/>
      <color theme="1"/>
      <name val="Aptos Narrow"/>
      <scheme val="minor"/>
    </font>
    <font>
      <sz val="16"/>
      <color rgb="FFC00000"/>
      <name val="Monaco"/>
      <family val="2"/>
    </font>
    <font>
      <sz val="12"/>
      <color rgb="FFC00000"/>
      <name val="Aptos Narrow"/>
      <family val="2"/>
      <scheme val="minor"/>
    </font>
    <font>
      <b/>
      <sz val="16"/>
      <color theme="1"/>
      <name val="Monaco"/>
      <family val="2"/>
    </font>
    <font>
      <sz val="17"/>
      <color rgb="FFC00000"/>
      <name val="Monaco"/>
      <family val="2"/>
    </font>
    <font>
      <b/>
      <sz val="16"/>
      <color theme="1"/>
      <name val="Aptos Narrow"/>
      <scheme val="minor"/>
    </font>
    <font>
      <b/>
      <sz val="24"/>
      <color theme="4"/>
      <name val="Aptos Narrow"/>
      <scheme val="minor"/>
    </font>
    <font>
      <b/>
      <sz val="18"/>
      <color theme="1"/>
      <name val="Aptos Narrow"/>
      <scheme val="minor"/>
    </font>
    <font>
      <sz val="18"/>
      <color theme="1" tint="0.499984740745262"/>
      <name val="Aptos Narrow"/>
      <scheme val="minor"/>
    </font>
    <font>
      <b/>
      <sz val="16"/>
      <color rgb="FFFFFFFF"/>
      <name val="Aptos Narrow"/>
      <family val="2"/>
      <scheme val="minor"/>
    </font>
    <font>
      <b/>
      <sz val="20"/>
      <name val="Monaco"/>
      <family val="2"/>
    </font>
  </fonts>
  <fills count="11">
    <fill>
      <patternFill patternType="none"/>
    </fill>
    <fill>
      <patternFill patternType="gray125"/>
    </fill>
    <fill>
      <patternFill patternType="solid">
        <fgColor rgb="FF87CEFA"/>
        <bgColor indexed="64"/>
      </patternFill>
    </fill>
    <fill>
      <patternFill patternType="solid">
        <fgColor theme="0" tint="-0.14999847407452621"/>
        <bgColor indexed="64"/>
      </patternFill>
    </fill>
    <fill>
      <patternFill patternType="solid">
        <fgColor theme="4"/>
        <bgColor theme="4"/>
      </patternFill>
    </fill>
    <fill>
      <patternFill patternType="solid">
        <fgColor theme="2"/>
        <bgColor indexed="64"/>
      </patternFill>
    </fill>
    <fill>
      <patternFill patternType="solid">
        <fgColor rgb="FFFFC000"/>
        <bgColor indexed="64"/>
      </patternFill>
    </fill>
    <fill>
      <patternFill patternType="solid">
        <fgColor rgb="FFFFFF00"/>
        <bgColor indexed="64"/>
      </patternFill>
    </fill>
    <fill>
      <patternFill patternType="solid">
        <fgColor theme="5" tint="0.59999389629810485"/>
        <bgColor indexed="64"/>
      </patternFill>
    </fill>
    <fill>
      <patternFill patternType="solid">
        <fgColor rgb="FF156082"/>
        <bgColor rgb="FF156082"/>
      </patternFill>
    </fill>
    <fill>
      <patternFill patternType="solid">
        <fgColor theme="0" tint="-0.249977111117893"/>
        <bgColor indexed="64"/>
      </patternFill>
    </fill>
  </fills>
  <borders count="24">
    <border>
      <left/>
      <right/>
      <top/>
      <bottom/>
      <diagonal/>
    </border>
    <border>
      <left/>
      <right/>
      <top style="thin">
        <color theme="4"/>
      </top>
      <bottom/>
      <diagonal/>
    </border>
    <border>
      <left style="thin">
        <color theme="4"/>
      </left>
      <right/>
      <top style="thin">
        <color theme="4"/>
      </top>
      <bottom/>
      <diagonal/>
    </border>
    <border>
      <left style="thin">
        <color theme="4"/>
      </left>
      <right/>
      <top style="thin">
        <color theme="4"/>
      </top>
      <bottom style="thin">
        <color theme="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theme="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indexed="64"/>
      </bottom>
      <diagonal/>
    </border>
    <border>
      <left/>
      <right/>
      <top style="thin">
        <color rgb="FF156082"/>
      </top>
      <bottom/>
      <diagonal/>
    </border>
    <border>
      <left/>
      <right/>
      <top style="thin">
        <color theme="4"/>
      </top>
      <bottom style="thin">
        <color theme="4"/>
      </bottom>
      <diagonal/>
    </border>
  </borders>
  <cellStyleXfs count="2">
    <xf numFmtId="0" fontId="0" fillId="0" borderId="0"/>
    <xf numFmtId="43" fontId="1" fillId="0" borderId="0" applyFont="0" applyFill="0" applyBorder="0" applyAlignment="0" applyProtection="0"/>
  </cellStyleXfs>
  <cellXfs count="189">
    <xf numFmtId="0" fontId="0" fillId="0" borderId="0" xfId="0"/>
    <xf numFmtId="0" fontId="2" fillId="0" borderId="0" xfId="0" applyFont="1"/>
    <xf numFmtId="164" fontId="0" fillId="0" borderId="0" xfId="0" applyNumberFormat="1"/>
    <xf numFmtId="0" fontId="6" fillId="0" borderId="0" xfId="0" applyFont="1"/>
    <xf numFmtId="0" fontId="7" fillId="0" borderId="0" xfId="0" applyFont="1"/>
    <xf numFmtId="0" fontId="8" fillId="0" borderId="0" xfId="0" applyFont="1"/>
    <xf numFmtId="0" fontId="9" fillId="0" borderId="0" xfId="0" applyFont="1"/>
    <xf numFmtId="3" fontId="9" fillId="0" borderId="0" xfId="0" applyNumberFormat="1" applyFont="1"/>
    <xf numFmtId="0" fontId="3" fillId="0" borderId="0" xfId="0" applyFont="1"/>
    <xf numFmtId="0" fontId="10" fillId="0" borderId="0" xfId="0" applyFont="1"/>
    <xf numFmtId="2" fontId="10" fillId="0" borderId="0" xfId="0" applyNumberFormat="1" applyFont="1"/>
    <xf numFmtId="3" fontId="10" fillId="0" borderId="0" xfId="0" applyNumberFormat="1" applyFont="1"/>
    <xf numFmtId="0" fontId="11" fillId="0" borderId="0" xfId="0" applyFont="1"/>
    <xf numFmtId="0" fontId="12" fillId="0" borderId="0" xfId="0" applyFont="1"/>
    <xf numFmtId="0" fontId="13" fillId="0" borderId="0" xfId="0" applyFont="1"/>
    <xf numFmtId="164" fontId="13" fillId="0" borderId="0" xfId="0" applyNumberFormat="1" applyFont="1"/>
    <xf numFmtId="3" fontId="14" fillId="0" borderId="0" xfId="0" applyNumberFormat="1" applyFont="1"/>
    <xf numFmtId="164" fontId="14" fillId="0" borderId="0" xfId="0" applyNumberFormat="1" applyFont="1"/>
    <xf numFmtId="2" fontId="14" fillId="0" borderId="0" xfId="0" applyNumberFormat="1" applyFont="1"/>
    <xf numFmtId="164" fontId="10" fillId="0" borderId="0" xfId="0" applyNumberFormat="1" applyFont="1"/>
    <xf numFmtId="2" fontId="7" fillId="0" borderId="0" xfId="0" applyNumberFormat="1" applyFont="1"/>
    <xf numFmtId="164" fontId="7" fillId="0" borderId="0" xfId="0" applyNumberFormat="1" applyFont="1"/>
    <xf numFmtId="0" fontId="15" fillId="0" borderId="0" xfId="0" applyFont="1"/>
    <xf numFmtId="164" fontId="7" fillId="0" borderId="0" xfId="1" applyNumberFormat="1" applyFont="1"/>
    <xf numFmtId="3" fontId="16" fillId="0" borderId="0" xfId="0" applyNumberFormat="1" applyFont="1"/>
    <xf numFmtId="0" fontId="16" fillId="0" borderId="0" xfId="0" applyFont="1"/>
    <xf numFmtId="0" fontId="17" fillId="0" borderId="0" xfId="0" applyFont="1"/>
    <xf numFmtId="3" fontId="17" fillId="0" borderId="0" xfId="0" applyNumberFormat="1" applyFont="1"/>
    <xf numFmtId="164" fontId="15" fillId="0" borderId="0" xfId="0" applyNumberFormat="1" applyFont="1"/>
    <xf numFmtId="0" fontId="15" fillId="0" borderId="2" xfId="0" applyFont="1" applyBorder="1"/>
    <xf numFmtId="3" fontId="15" fillId="0" borderId="2" xfId="0" applyNumberFormat="1" applyFont="1" applyBorder="1"/>
    <xf numFmtId="0" fontId="0" fillId="0" borderId="0" xfId="0" applyAlignment="1">
      <alignment horizontal="center"/>
    </xf>
    <xf numFmtId="0" fontId="15" fillId="0" borderId="3" xfId="0" applyFont="1" applyBorder="1"/>
    <xf numFmtId="2" fontId="16" fillId="0" borderId="0" xfId="0" applyNumberFormat="1" applyFont="1"/>
    <xf numFmtId="164" fontId="16" fillId="0" borderId="0" xfId="0" applyNumberFormat="1" applyFont="1"/>
    <xf numFmtId="0" fontId="19" fillId="0" borderId="0" xfId="0" applyFont="1"/>
    <xf numFmtId="164" fontId="4" fillId="0" borderId="0" xfId="0" applyNumberFormat="1" applyFont="1"/>
    <xf numFmtId="0" fontId="18" fillId="0" borderId="0" xfId="0" applyFont="1"/>
    <xf numFmtId="3" fontId="24" fillId="0" borderId="0" xfId="0" applyNumberFormat="1" applyFont="1"/>
    <xf numFmtId="0" fontId="24" fillId="0" borderId="0" xfId="0" applyFont="1"/>
    <xf numFmtId="164" fontId="21" fillId="0" borderId="0" xfId="0" applyNumberFormat="1" applyFont="1" applyAlignment="1">
      <alignment horizontal="center"/>
    </xf>
    <xf numFmtId="164" fontId="22" fillId="0" borderId="0" xfId="0" applyNumberFormat="1" applyFont="1" applyAlignment="1">
      <alignment horizontal="center"/>
    </xf>
    <xf numFmtId="164" fontId="20" fillId="0" borderId="0" xfId="0" applyNumberFormat="1" applyFont="1" applyAlignment="1">
      <alignment horizontal="center"/>
    </xf>
    <xf numFmtId="0" fontId="0" fillId="0" borderId="0" xfId="0" applyAlignment="1">
      <alignment vertical="center"/>
    </xf>
    <xf numFmtId="0" fontId="12" fillId="0" borderId="0" xfId="0" applyFont="1" applyAlignment="1">
      <alignment vertical="center"/>
    </xf>
    <xf numFmtId="2" fontId="16" fillId="0" borderId="0" xfId="0" applyNumberFormat="1" applyFont="1" applyAlignment="1">
      <alignment vertical="center"/>
    </xf>
    <xf numFmtId="1" fontId="9" fillId="0" borderId="0" xfId="0" applyNumberFormat="1" applyFont="1"/>
    <xf numFmtId="164" fontId="6" fillId="0" borderId="0" xfId="0" applyNumberFormat="1" applyFont="1"/>
    <xf numFmtId="164" fontId="20" fillId="0" borderId="0" xfId="0" applyNumberFormat="1" applyFont="1"/>
    <xf numFmtId="164" fontId="4" fillId="2" borderId="0" xfId="0" applyNumberFormat="1" applyFont="1" applyFill="1"/>
    <xf numFmtId="164" fontId="20" fillId="2" borderId="0" xfId="0" applyNumberFormat="1" applyFont="1" applyFill="1"/>
    <xf numFmtId="2" fontId="21" fillId="0" borderId="0" xfId="0" applyNumberFormat="1" applyFont="1"/>
    <xf numFmtId="2" fontId="22" fillId="0" borderId="0" xfId="0" applyNumberFormat="1" applyFont="1"/>
    <xf numFmtId="2" fontId="22" fillId="0" borderId="0" xfId="0" applyNumberFormat="1" applyFont="1" applyAlignment="1">
      <alignment vertical="center"/>
    </xf>
    <xf numFmtId="165" fontId="18" fillId="0" borderId="0" xfId="1" applyNumberFormat="1" applyFont="1" applyFill="1"/>
    <xf numFmtId="165" fontId="18" fillId="0" borderId="4" xfId="1" applyNumberFormat="1" applyFont="1" applyFill="1" applyBorder="1"/>
    <xf numFmtId="0" fontId="0" fillId="0" borderId="5" xfId="0" applyBorder="1"/>
    <xf numFmtId="164" fontId="20" fillId="2" borderId="5" xfId="0" applyNumberFormat="1" applyFont="1" applyFill="1" applyBorder="1"/>
    <xf numFmtId="164" fontId="20" fillId="0" borderId="5" xfId="0" applyNumberFormat="1" applyFont="1" applyBorder="1"/>
    <xf numFmtId="164" fontId="20" fillId="0" borderId="6" xfId="0" applyNumberFormat="1" applyFont="1" applyBorder="1"/>
    <xf numFmtId="165" fontId="26" fillId="0" borderId="4" xfId="1" applyNumberFormat="1" applyFont="1" applyFill="1" applyBorder="1"/>
    <xf numFmtId="0" fontId="18" fillId="0" borderId="0" xfId="0" applyFont="1" applyAlignment="1">
      <alignment vertical="center"/>
    </xf>
    <xf numFmtId="164" fontId="22" fillId="0" borderId="0" xfId="0" applyNumberFormat="1" applyFont="1"/>
    <xf numFmtId="164" fontId="21" fillId="0" borderId="0" xfId="0" applyNumberFormat="1" applyFont="1"/>
    <xf numFmtId="164" fontId="22" fillId="0" borderId="0" xfId="0" applyNumberFormat="1" applyFont="1" applyAlignment="1">
      <alignment vertical="center"/>
    </xf>
    <xf numFmtId="164" fontId="22" fillId="2" borderId="0" xfId="0" applyNumberFormat="1" applyFont="1" applyFill="1"/>
    <xf numFmtId="164" fontId="22" fillId="2" borderId="0" xfId="0" applyNumberFormat="1" applyFont="1" applyFill="1" applyAlignment="1">
      <alignment horizontal="center"/>
    </xf>
    <xf numFmtId="164" fontId="21" fillId="2" borderId="0" xfId="0" applyNumberFormat="1" applyFont="1" applyFill="1" applyAlignment="1">
      <alignment horizontal="center"/>
    </xf>
    <xf numFmtId="0" fontId="27" fillId="0" borderId="0" xfId="0" applyFont="1"/>
    <xf numFmtId="164" fontId="27" fillId="0" borderId="0" xfId="0" applyNumberFormat="1" applyFont="1"/>
    <xf numFmtId="0" fontId="28" fillId="0" borderId="0" xfId="0" applyFont="1"/>
    <xf numFmtId="0" fontId="4" fillId="0" borderId="0" xfId="0" applyFont="1"/>
    <xf numFmtId="0" fontId="26" fillId="0" borderId="0" xfId="0" applyFont="1"/>
    <xf numFmtId="164" fontId="29" fillId="0" borderId="0" xfId="0" applyNumberFormat="1" applyFont="1"/>
    <xf numFmtId="164" fontId="29" fillId="0" borderId="0" xfId="0" applyNumberFormat="1" applyFont="1" applyAlignment="1">
      <alignment horizontal="center"/>
    </xf>
    <xf numFmtId="1" fontId="29" fillId="0" borderId="0" xfId="0" applyNumberFormat="1" applyFont="1"/>
    <xf numFmtId="2" fontId="21" fillId="0" borderId="0" xfId="0" applyNumberFormat="1" applyFont="1" applyAlignment="1">
      <alignment horizontal="center"/>
    </xf>
    <xf numFmtId="2" fontId="27" fillId="0" borderId="0" xfId="0" applyNumberFormat="1" applyFont="1"/>
    <xf numFmtId="2" fontId="9" fillId="0" borderId="0" xfId="0" applyNumberFormat="1" applyFont="1"/>
    <xf numFmtId="0" fontId="30" fillId="0" borderId="0" xfId="0" applyFont="1"/>
    <xf numFmtId="164" fontId="30" fillId="0" borderId="0" xfId="0" applyNumberFormat="1" applyFont="1"/>
    <xf numFmtId="0" fontId="31" fillId="0" borderId="0" xfId="0" applyFont="1"/>
    <xf numFmtId="0" fontId="32" fillId="0" borderId="0" xfId="0" applyFont="1" applyAlignment="1">
      <alignment horizontal="center"/>
    </xf>
    <xf numFmtId="164" fontId="34" fillId="0" borderId="0" xfId="0" applyNumberFormat="1" applyFont="1"/>
    <xf numFmtId="0" fontId="36" fillId="0" borderId="0" xfId="0" applyFont="1"/>
    <xf numFmtId="164" fontId="36" fillId="0" borderId="0" xfId="0" applyNumberFormat="1" applyFont="1"/>
    <xf numFmtId="164" fontId="37" fillId="0" borderId="0" xfId="0" applyNumberFormat="1" applyFont="1"/>
    <xf numFmtId="0" fontId="38" fillId="0" borderId="0" xfId="0" applyFont="1"/>
    <xf numFmtId="0" fontId="20" fillId="0" borderId="0" xfId="0" applyFont="1"/>
    <xf numFmtId="0" fontId="39" fillId="0" borderId="0" xfId="0" applyFont="1"/>
    <xf numFmtId="0" fontId="39" fillId="0" borderId="0" xfId="0" applyFont="1" applyAlignment="1">
      <alignment horizontal="center"/>
    </xf>
    <xf numFmtId="1" fontId="40" fillId="0" borderId="0" xfId="0" applyNumberFormat="1" applyFont="1"/>
    <xf numFmtId="1" fontId="41" fillId="0" borderId="0" xfId="0" applyNumberFormat="1" applyFont="1"/>
    <xf numFmtId="2" fontId="23" fillId="0" borderId="0" xfId="0" applyNumberFormat="1" applyFont="1"/>
    <xf numFmtId="2" fontId="0" fillId="0" borderId="0" xfId="0" applyNumberFormat="1"/>
    <xf numFmtId="166" fontId="43" fillId="5" borderId="0" xfId="0" applyNumberFormat="1" applyFont="1" applyFill="1" applyAlignment="1">
      <alignment horizontal="center"/>
    </xf>
    <xf numFmtId="0" fontId="42" fillId="4" borderId="1" xfId="0" applyFont="1" applyFill="1" applyBorder="1"/>
    <xf numFmtId="0" fontId="42" fillId="4" borderId="0" xfId="0" applyFont="1" applyFill="1"/>
    <xf numFmtId="0" fontId="42" fillId="4" borderId="8" xfId="0" applyFont="1" applyFill="1" applyBorder="1"/>
    <xf numFmtId="0" fontId="27" fillId="6" borderId="0" xfId="0" applyFont="1" applyFill="1"/>
    <xf numFmtId="0" fontId="0" fillId="6" borderId="0" xfId="0" applyFill="1"/>
    <xf numFmtId="164" fontId="0" fillId="6" borderId="0" xfId="0" applyNumberFormat="1" applyFill="1"/>
    <xf numFmtId="2" fontId="0" fillId="6" borderId="0" xfId="0" applyNumberFormat="1" applyFill="1"/>
    <xf numFmtId="3" fontId="44" fillId="0" borderId="0" xfId="0" applyNumberFormat="1" applyFont="1"/>
    <xf numFmtId="0" fontId="27" fillId="7" borderId="0" xfId="0" applyFont="1" applyFill="1"/>
    <xf numFmtId="0" fontId="0" fillId="7" borderId="0" xfId="0" applyFill="1"/>
    <xf numFmtId="164" fontId="0" fillId="7" borderId="0" xfId="0" applyNumberFormat="1" applyFill="1"/>
    <xf numFmtId="0" fontId="27" fillId="8" borderId="0" xfId="0" applyFont="1" applyFill="1"/>
    <xf numFmtId="0" fontId="0" fillId="8" borderId="0" xfId="0" applyFill="1"/>
    <xf numFmtId="164" fontId="0" fillId="8" borderId="0" xfId="0" applyNumberFormat="1" applyFill="1"/>
    <xf numFmtId="0" fontId="45" fillId="0" borderId="10" xfId="0" applyFont="1" applyBorder="1"/>
    <xf numFmtId="0" fontId="45" fillId="0" borderId="11" xfId="0" applyFont="1" applyBorder="1"/>
    <xf numFmtId="0" fontId="0" fillId="0" borderId="9" xfId="0" applyBorder="1"/>
    <xf numFmtId="2" fontId="46" fillId="0" borderId="0" xfId="0" applyNumberFormat="1" applyFont="1"/>
    <xf numFmtId="2" fontId="47" fillId="0" borderId="0" xfId="0" applyNumberFormat="1" applyFont="1"/>
    <xf numFmtId="0" fontId="48" fillId="0" borderId="0" xfId="0" applyFont="1"/>
    <xf numFmtId="164" fontId="48" fillId="0" borderId="0" xfId="0" applyNumberFormat="1" applyFont="1"/>
    <xf numFmtId="164" fontId="48" fillId="8" borderId="0" xfId="0" applyNumberFormat="1" applyFont="1" applyFill="1"/>
    <xf numFmtId="164" fontId="48" fillId="7" borderId="0" xfId="0" applyNumberFormat="1" applyFont="1" applyFill="1"/>
    <xf numFmtId="0" fontId="18" fillId="0" borderId="12" xfId="0" applyFont="1" applyBorder="1"/>
    <xf numFmtId="167" fontId="27" fillId="0" borderId="0" xfId="0" applyNumberFormat="1" applyFont="1"/>
    <xf numFmtId="0" fontId="45" fillId="0" borderId="0" xfId="0" applyFont="1"/>
    <xf numFmtId="0" fontId="50" fillId="0" borderId="0" xfId="0" applyFont="1"/>
    <xf numFmtId="164" fontId="50" fillId="0" borderId="0" xfId="0" applyNumberFormat="1" applyFont="1"/>
    <xf numFmtId="4" fontId="19" fillId="0" borderId="0" xfId="0" applyNumberFormat="1" applyFont="1"/>
    <xf numFmtId="164" fontId="38" fillId="0" borderId="0" xfId="0" applyNumberFormat="1" applyFont="1"/>
    <xf numFmtId="0" fontId="36" fillId="0" borderId="1" xfId="0" applyFont="1" applyBorder="1"/>
    <xf numFmtId="3" fontId="49" fillId="0" borderId="1" xfId="0" applyNumberFormat="1" applyFont="1" applyBorder="1"/>
    <xf numFmtId="3" fontId="15" fillId="0" borderId="1" xfId="0" applyNumberFormat="1" applyFont="1" applyBorder="1"/>
    <xf numFmtId="0" fontId="15" fillId="0" borderId="1" xfId="0" applyFont="1" applyBorder="1"/>
    <xf numFmtId="0" fontId="32" fillId="0" borderId="0" xfId="0" applyFont="1"/>
    <xf numFmtId="0" fontId="51" fillId="0" borderId="0" xfId="0" applyFont="1"/>
    <xf numFmtId="165" fontId="18" fillId="0" borderId="0" xfId="1" applyNumberFormat="1" applyFont="1" applyFill="1" applyBorder="1"/>
    <xf numFmtId="0" fontId="53" fillId="0" borderId="0" xfId="0" applyFont="1"/>
    <xf numFmtId="164" fontId="27" fillId="2" borderId="0" xfId="0" applyNumberFormat="1" applyFont="1" applyFill="1"/>
    <xf numFmtId="164" fontId="54" fillId="0" borderId="0" xfId="0" applyNumberFormat="1" applyFont="1"/>
    <xf numFmtId="0" fontId="55" fillId="0" borderId="0" xfId="0" applyFont="1"/>
    <xf numFmtId="0" fontId="38" fillId="0" borderId="1" xfId="0" applyFont="1" applyBorder="1"/>
    <xf numFmtId="1" fontId="35" fillId="0" borderId="0" xfId="0" applyNumberFormat="1" applyFont="1"/>
    <xf numFmtId="1" fontId="56" fillId="0" borderId="0" xfId="0" applyNumberFormat="1" applyFont="1"/>
    <xf numFmtId="164" fontId="25" fillId="0" borderId="0" xfId="0" applyNumberFormat="1" applyFont="1"/>
    <xf numFmtId="164" fontId="25" fillId="2" borderId="0" xfId="0" applyNumberFormat="1" applyFont="1" applyFill="1"/>
    <xf numFmtId="164" fontId="6" fillId="2" borderId="0" xfId="0" applyNumberFormat="1" applyFont="1" applyFill="1"/>
    <xf numFmtId="165" fontId="32" fillId="0" borderId="0" xfId="1" applyNumberFormat="1" applyFont="1"/>
    <xf numFmtId="164" fontId="32" fillId="0" borderId="0" xfId="0" applyNumberFormat="1" applyFont="1"/>
    <xf numFmtId="164" fontId="57" fillId="0" borderId="0" xfId="0" applyNumberFormat="1" applyFont="1"/>
    <xf numFmtId="0" fontId="59" fillId="0" borderId="0" xfId="0" applyFont="1"/>
    <xf numFmtId="165" fontId="6" fillId="0" borderId="0" xfId="1" applyNumberFormat="1" applyFont="1"/>
    <xf numFmtId="164" fontId="38" fillId="2" borderId="0" xfId="0" applyNumberFormat="1" applyFont="1" applyFill="1"/>
    <xf numFmtId="2" fontId="38" fillId="0" borderId="0" xfId="0" applyNumberFormat="1" applyFont="1"/>
    <xf numFmtId="2" fontId="47" fillId="5" borderId="0" xfId="0" applyNumberFormat="1" applyFont="1" applyFill="1"/>
    <xf numFmtId="164" fontId="47" fillId="5" borderId="0" xfId="0" applyNumberFormat="1" applyFont="1" applyFill="1"/>
    <xf numFmtId="164" fontId="21" fillId="2" borderId="17" xfId="0" applyNumberFormat="1" applyFont="1" applyFill="1" applyBorder="1" applyAlignment="1">
      <alignment horizontal="center"/>
    </xf>
    <xf numFmtId="164" fontId="22" fillId="2" borderId="17" xfId="0" applyNumberFormat="1" applyFont="1" applyFill="1" applyBorder="1" applyAlignment="1">
      <alignment horizontal="center"/>
    </xf>
    <xf numFmtId="0" fontId="12" fillId="0" borderId="18" xfId="0" applyFont="1" applyBorder="1"/>
    <xf numFmtId="0" fontId="12" fillId="0" borderId="19" xfId="0" applyFont="1" applyBorder="1"/>
    <xf numFmtId="0" fontId="12" fillId="0" borderId="20" xfId="0" applyFont="1" applyBorder="1"/>
    <xf numFmtId="0" fontId="18" fillId="0" borderId="21" xfId="0" applyFont="1" applyBorder="1"/>
    <xf numFmtId="2" fontId="27" fillId="0" borderId="13" xfId="0" applyNumberFormat="1" applyFont="1" applyBorder="1"/>
    <xf numFmtId="164" fontId="22" fillId="0" borderId="16" xfId="0" applyNumberFormat="1" applyFont="1" applyBorder="1" applyAlignment="1">
      <alignment horizontal="center"/>
    </xf>
    <xf numFmtId="164" fontId="21" fillId="0" borderId="17" xfId="0" applyNumberFormat="1" applyFont="1" applyBorder="1" applyAlignment="1">
      <alignment horizontal="center"/>
    </xf>
    <xf numFmtId="164" fontId="22" fillId="0" borderId="17" xfId="0" applyNumberFormat="1" applyFont="1" applyBorder="1" applyAlignment="1">
      <alignment horizontal="center"/>
    </xf>
    <xf numFmtId="164" fontId="22" fillId="0" borderId="18" xfId="0" applyNumberFormat="1" applyFont="1" applyBorder="1" applyAlignment="1">
      <alignment horizontal="center"/>
    </xf>
    <xf numFmtId="2" fontId="27" fillId="0" borderId="19" xfId="0" applyNumberFormat="1" applyFont="1" applyBorder="1"/>
    <xf numFmtId="164" fontId="22" fillId="2" borderId="16" xfId="0" applyNumberFormat="1" applyFont="1" applyFill="1" applyBorder="1" applyAlignment="1">
      <alignment horizontal="center"/>
    </xf>
    <xf numFmtId="2" fontId="27" fillId="2" borderId="0" xfId="0" applyNumberFormat="1" applyFont="1" applyFill="1"/>
    <xf numFmtId="164" fontId="21" fillId="2" borderId="20" xfId="0" applyNumberFormat="1" applyFont="1" applyFill="1" applyBorder="1" applyAlignment="1">
      <alignment horizontal="center"/>
    </xf>
    <xf numFmtId="0" fontId="20" fillId="0" borderId="0" xfId="0" applyFont="1" applyAlignment="1">
      <alignment vertical="center"/>
    </xf>
    <xf numFmtId="0" fontId="60" fillId="0" borderId="0" xfId="0" applyFont="1" applyAlignment="1">
      <alignment vertical="center"/>
    </xf>
    <xf numFmtId="2" fontId="61" fillId="3" borderId="0" xfId="0" applyNumberFormat="1" applyFont="1" applyFill="1"/>
    <xf numFmtId="2" fontId="61" fillId="3" borderId="0" xfId="0" applyNumberFormat="1" applyFont="1" applyFill="1" applyAlignment="1">
      <alignment horizontal="center"/>
    </xf>
    <xf numFmtId="0" fontId="62" fillId="9" borderId="22" xfId="0" applyFont="1" applyFill="1" applyBorder="1"/>
    <xf numFmtId="0" fontId="63" fillId="0" borderId="0" xfId="0" applyFont="1"/>
    <xf numFmtId="164" fontId="28" fillId="0" borderId="0" xfId="0" applyNumberFormat="1" applyFont="1"/>
    <xf numFmtId="164" fontId="28" fillId="2" borderId="0" xfId="0" applyNumberFormat="1" applyFont="1" applyFill="1"/>
    <xf numFmtId="164" fontId="52" fillId="0" borderId="0" xfId="0" applyNumberFormat="1" applyFont="1"/>
    <xf numFmtId="0" fontId="58" fillId="10" borderId="0" xfId="0" applyFont="1" applyFill="1"/>
    <xf numFmtId="164" fontId="22" fillId="0" borderId="15" xfId="0" applyNumberFormat="1" applyFont="1" applyBorder="1" applyAlignment="1">
      <alignment horizontal="center"/>
    </xf>
    <xf numFmtId="164" fontId="22" fillId="2" borderId="14" xfId="0" applyNumberFormat="1" applyFont="1" applyFill="1" applyBorder="1" applyAlignment="1">
      <alignment horizontal="center"/>
    </xf>
    <xf numFmtId="0" fontId="33" fillId="0" borderId="0" xfId="0" applyFont="1" applyAlignment="1">
      <alignment horizontal="center"/>
    </xf>
    <xf numFmtId="0" fontId="32" fillId="0" borderId="0" xfId="0" applyFont="1" applyAlignment="1">
      <alignment horizontal="center"/>
    </xf>
    <xf numFmtId="0" fontId="18" fillId="0" borderId="0" xfId="0" applyFont="1" applyAlignment="1">
      <alignment horizontal="center"/>
    </xf>
    <xf numFmtId="0" fontId="18" fillId="0" borderId="0" xfId="0" applyFont="1" applyAlignment="1">
      <alignment horizontal="center" vertical="center"/>
    </xf>
    <xf numFmtId="0" fontId="10" fillId="0" borderId="0" xfId="0" applyFont="1" applyAlignment="1">
      <alignment horizontal="center"/>
    </xf>
    <xf numFmtId="0" fontId="18" fillId="0" borderId="7" xfId="0" applyFont="1" applyBorder="1" applyAlignment="1">
      <alignment horizontal="center"/>
    </xf>
    <xf numFmtId="0" fontId="23" fillId="0" borderId="1" xfId="0" applyFont="1" applyBorder="1"/>
    <xf numFmtId="3" fontId="23" fillId="0" borderId="1" xfId="0" applyNumberFormat="1" applyFont="1" applyBorder="1"/>
    <xf numFmtId="0" fontId="23" fillId="0" borderId="23" xfId="0" applyFont="1" applyBorder="1"/>
    <xf numFmtId="164" fontId="27" fillId="0" borderId="0" xfId="0" applyNumberFormat="1" applyFont="1" applyFill="1"/>
  </cellXfs>
  <cellStyles count="2">
    <cellStyle name="Comma" xfId="1" builtinId="3"/>
    <cellStyle name="Normal" xfId="0" builtinId="0"/>
  </cellStyles>
  <dxfs count="127">
    <dxf>
      <font>
        <b val="0"/>
        <i val="0"/>
        <strike val="0"/>
        <condense val="0"/>
        <extend val="0"/>
        <outline val="0"/>
        <shadow val="0"/>
        <u val="none"/>
        <vertAlign val="baseline"/>
        <sz val="14"/>
        <color theme="0" tint="-0.249977111117893"/>
        <name val="Aptos Narrow"/>
        <scheme val="minor"/>
      </font>
      <numFmt numFmtId="3" formatCode="#,##0"/>
    </dxf>
    <dxf>
      <font>
        <b val="0"/>
        <i val="0"/>
        <strike val="0"/>
        <condense val="0"/>
        <extend val="0"/>
        <outline val="0"/>
        <shadow val="0"/>
        <u val="none"/>
        <vertAlign val="baseline"/>
        <sz val="14"/>
        <color theme="0" tint="-0.249977111117893"/>
        <name val="Aptos Narrow"/>
        <scheme val="minor"/>
      </font>
      <numFmt numFmtId="3" formatCode="#,##0"/>
    </dxf>
    <dxf>
      <font>
        <b val="0"/>
        <i val="0"/>
        <strike val="0"/>
        <condense val="0"/>
        <extend val="0"/>
        <outline val="0"/>
        <shadow val="0"/>
        <u val="none"/>
        <vertAlign val="baseline"/>
        <sz val="14"/>
        <color theme="0" tint="-0.249977111117893"/>
        <name val="Aptos Narrow"/>
        <scheme val="minor"/>
      </font>
      <numFmt numFmtId="3" formatCode="#,##0"/>
    </dxf>
    <dxf>
      <font>
        <b val="0"/>
        <i val="0"/>
        <strike val="0"/>
        <condense val="0"/>
        <extend val="0"/>
        <outline val="0"/>
        <shadow val="0"/>
        <u val="none"/>
        <vertAlign val="baseline"/>
        <sz val="14"/>
        <color theme="0" tint="-0.249977111117893"/>
        <name val="Aptos Narrow"/>
        <scheme val="minor"/>
      </font>
      <numFmt numFmtId="3" formatCode="#,##0"/>
    </dxf>
    <dxf>
      <font>
        <b val="0"/>
        <i val="0"/>
        <strike val="0"/>
        <condense val="0"/>
        <extend val="0"/>
        <outline val="0"/>
        <shadow val="0"/>
        <u val="none"/>
        <vertAlign val="baseline"/>
        <sz val="14"/>
        <color theme="0" tint="-0.249977111117893"/>
        <name val="Aptos Narrow"/>
        <scheme val="minor"/>
      </font>
      <numFmt numFmtId="3" formatCode="#,##0"/>
    </dxf>
    <dxf>
      <font>
        <b val="0"/>
        <i val="0"/>
        <strike val="0"/>
        <condense val="0"/>
        <extend val="0"/>
        <outline val="0"/>
        <shadow val="0"/>
        <u val="none"/>
        <vertAlign val="baseline"/>
        <sz val="16"/>
        <color auto="1"/>
        <name val="Aptos Narrow"/>
        <scheme val="minor"/>
      </font>
    </dxf>
    <dxf>
      <border outline="0">
        <top style="thin">
          <color theme="4"/>
        </top>
      </border>
    </dxf>
    <dxf>
      <font>
        <b val="0"/>
        <i val="0"/>
        <strike val="0"/>
        <condense val="0"/>
        <extend val="0"/>
        <outline val="0"/>
        <shadow val="0"/>
        <u val="none"/>
        <vertAlign val="baseline"/>
        <sz val="14"/>
        <color theme="0" tint="-0.249977111117893"/>
        <name val="Aptos Narrow"/>
        <scheme val="minor"/>
      </font>
    </dxf>
    <dxf>
      <font>
        <b/>
        <i val="0"/>
        <strike val="0"/>
        <condense val="0"/>
        <extend val="0"/>
        <outline val="0"/>
        <shadow val="0"/>
        <u val="none"/>
        <vertAlign val="baseline"/>
        <sz val="16"/>
        <color theme="0"/>
        <name val="Aptos Narrow"/>
        <family val="2"/>
        <scheme val="minor"/>
      </font>
      <fill>
        <patternFill patternType="solid">
          <fgColor theme="4"/>
          <bgColor theme="4"/>
        </patternFill>
      </fill>
    </dxf>
    <dxf>
      <font>
        <strike val="0"/>
        <outline val="0"/>
        <shadow val="0"/>
        <u val="none"/>
        <vertAlign val="baseline"/>
        <color auto="1"/>
      </font>
      <numFmt numFmtId="0" formatCode="General"/>
    </dxf>
    <dxf>
      <font>
        <b val="0"/>
        <i val="0"/>
        <strike val="0"/>
        <condense val="0"/>
        <extend val="0"/>
        <outline val="0"/>
        <shadow val="0"/>
        <u val="none"/>
        <vertAlign val="baseline"/>
        <sz val="16"/>
        <color auto="1"/>
        <name val="Monaco"/>
        <family val="2"/>
        <scheme val="none"/>
      </font>
    </dxf>
    <dxf>
      <font>
        <strike val="0"/>
        <outline val="0"/>
        <shadow val="0"/>
        <u val="none"/>
        <vertAlign val="baseline"/>
        <color auto="1"/>
      </font>
    </dxf>
    <dxf>
      <font>
        <strike val="0"/>
        <outline val="0"/>
        <shadow val="0"/>
        <u val="none"/>
        <vertAlign val="baseline"/>
        <color auto="1"/>
      </font>
      <numFmt numFmtId="3" formatCode="#,##0"/>
    </dxf>
    <dxf>
      <font>
        <strike val="0"/>
        <outline val="0"/>
        <shadow val="0"/>
        <u val="none"/>
        <vertAlign val="baseline"/>
        <color auto="1"/>
      </font>
      <numFmt numFmtId="3" formatCode="#,##0"/>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sz val="12"/>
        <color theme="0"/>
        <name val="Aptos Narrow"/>
        <family val="2"/>
        <scheme val="minor"/>
      </font>
    </dxf>
    <dxf>
      <font>
        <b val="0"/>
        <i val="0"/>
        <strike val="0"/>
        <condense val="0"/>
        <extend val="0"/>
        <outline val="0"/>
        <shadow val="0"/>
        <u val="none"/>
        <vertAlign val="baseline"/>
        <sz val="14"/>
        <color theme="0" tint="-0.249977111117893"/>
        <name val="Aptos Narrow"/>
        <family val="2"/>
        <scheme val="minor"/>
      </font>
      <numFmt numFmtId="3" formatCode="#,##0"/>
      <border diagonalUp="0" diagonalDown="0">
        <left/>
        <right/>
        <top style="thin">
          <color theme="4"/>
        </top>
        <bottom/>
        <vertical/>
        <horizontal/>
      </border>
    </dxf>
    <dxf>
      <font>
        <b val="0"/>
        <i val="0"/>
        <strike val="0"/>
        <condense val="0"/>
        <extend val="0"/>
        <outline val="0"/>
        <shadow val="0"/>
        <u val="none"/>
        <vertAlign val="baseline"/>
        <sz val="14"/>
        <color theme="0" tint="-0.249977111117893"/>
        <name val="Aptos Narrow"/>
        <family val="2"/>
        <scheme val="minor"/>
      </font>
      <numFmt numFmtId="3" formatCode="#,##0"/>
      <border diagonalUp="0" diagonalDown="0">
        <left/>
        <right/>
        <top style="thin">
          <color theme="4"/>
        </top>
        <bottom/>
        <vertical/>
        <horizontal/>
      </border>
    </dxf>
    <dxf>
      <font>
        <b val="0"/>
        <i val="0"/>
        <strike val="0"/>
        <condense val="0"/>
        <extend val="0"/>
        <outline val="0"/>
        <shadow val="0"/>
        <u val="none"/>
        <vertAlign val="baseline"/>
        <sz val="14"/>
        <color theme="0" tint="-0.249977111117893"/>
        <name val="Aptos Narrow"/>
        <family val="2"/>
        <scheme val="minor"/>
      </font>
      <numFmt numFmtId="3" formatCode="#,##0"/>
      <border diagonalUp="0" diagonalDown="0">
        <left/>
        <right/>
        <top style="thin">
          <color theme="4"/>
        </top>
        <bottom/>
        <vertical/>
        <horizontal/>
      </border>
    </dxf>
    <dxf>
      <font>
        <b val="0"/>
        <i val="0"/>
        <strike val="0"/>
        <condense val="0"/>
        <extend val="0"/>
        <outline val="0"/>
        <shadow val="0"/>
        <u val="none"/>
        <vertAlign val="baseline"/>
        <sz val="14"/>
        <color theme="0" tint="-0.249977111117893"/>
        <name val="Aptos Narrow"/>
        <family val="2"/>
        <scheme val="minor"/>
      </font>
      <numFmt numFmtId="3" formatCode="#,##0"/>
      <border diagonalUp="0" diagonalDown="0">
        <left/>
        <right/>
        <top style="thin">
          <color theme="4"/>
        </top>
        <bottom/>
        <vertical/>
        <horizontal/>
      </border>
    </dxf>
    <dxf>
      <font>
        <b val="0"/>
        <i val="0"/>
        <strike val="0"/>
        <condense val="0"/>
        <extend val="0"/>
        <outline val="0"/>
        <shadow val="0"/>
        <u val="none"/>
        <vertAlign val="baseline"/>
        <sz val="16"/>
        <color auto="1"/>
        <name val="Aptos Narrow"/>
        <family val="2"/>
        <scheme val="minor"/>
      </font>
      <numFmt numFmtId="3" formatCode="#,##0"/>
      <border diagonalUp="0" diagonalDown="0">
        <left/>
        <right/>
        <top style="thin">
          <color theme="4"/>
        </top>
        <bottom/>
        <vertical/>
        <horizontal/>
      </border>
    </dxf>
    <dxf>
      <border outline="0">
        <left style="thin">
          <color theme="4"/>
        </left>
        <top style="thin">
          <color theme="4"/>
        </top>
      </border>
    </dxf>
    <dxf>
      <font>
        <b val="0"/>
        <i val="0"/>
        <strike val="0"/>
        <condense val="0"/>
        <extend val="0"/>
        <outline val="0"/>
        <shadow val="0"/>
        <u val="none"/>
        <vertAlign val="baseline"/>
        <sz val="14"/>
        <color theme="0" tint="-0.249977111117893"/>
        <name val="Aptos Narrow"/>
        <family val="2"/>
        <scheme val="minor"/>
      </font>
    </dxf>
    <dxf>
      <font>
        <b/>
        <i val="0"/>
        <strike val="0"/>
        <condense val="0"/>
        <extend val="0"/>
        <outline val="0"/>
        <shadow val="0"/>
        <u val="none"/>
        <vertAlign val="baseline"/>
        <sz val="16"/>
        <color theme="0"/>
        <name val="Aptos Narrow"/>
        <family val="2"/>
        <scheme val="minor"/>
      </font>
      <fill>
        <patternFill patternType="solid">
          <fgColor theme="4"/>
          <bgColor theme="4"/>
        </patternFill>
      </fill>
    </dxf>
    <dxf>
      <font>
        <strike val="0"/>
        <outline val="0"/>
        <shadow val="0"/>
        <u val="none"/>
        <vertAlign val="baseline"/>
        <sz val="16"/>
        <color auto="1"/>
        <name val="Aptos Narrow"/>
        <scheme val="none"/>
      </font>
    </dxf>
    <dxf>
      <font>
        <strike val="0"/>
        <outline val="0"/>
        <shadow val="0"/>
        <u val="none"/>
        <vertAlign val="baseline"/>
        <sz val="16"/>
        <color auto="1"/>
        <name val="Aptos Narrow"/>
        <scheme val="none"/>
      </font>
      <numFmt numFmtId="0" formatCode="General"/>
    </dxf>
    <dxf>
      <font>
        <b val="0"/>
        <i val="0"/>
        <strike val="0"/>
        <condense val="0"/>
        <extend val="0"/>
        <outline val="0"/>
        <shadow val="0"/>
        <u val="none"/>
        <vertAlign val="baseline"/>
        <sz val="16"/>
        <color auto="1"/>
        <name val="Aptos Narrow"/>
        <scheme val="none"/>
      </font>
      <numFmt numFmtId="2" formatCode="0.00"/>
      <alignment horizontal="general" vertical="center" textRotation="0" wrapText="0" indent="0" justifyLastLine="0" shrinkToFit="0" readingOrder="0"/>
    </dxf>
    <dxf>
      <font>
        <strike val="0"/>
        <outline val="0"/>
        <shadow val="0"/>
        <u val="none"/>
        <vertAlign val="baseline"/>
        <sz val="16"/>
        <color auto="1"/>
        <name val="Aptos Narrow"/>
        <scheme val="minor"/>
      </font>
      <numFmt numFmtId="0" formatCode="General"/>
    </dxf>
    <dxf>
      <font>
        <b val="0"/>
        <i val="0"/>
        <strike val="0"/>
        <condense val="0"/>
        <extend val="0"/>
        <outline val="0"/>
        <shadow val="0"/>
        <u val="none"/>
        <vertAlign val="baseline"/>
        <sz val="16"/>
        <color auto="1"/>
        <name val="Aptos Narrow"/>
        <scheme val="minor"/>
      </font>
      <numFmt numFmtId="2" formatCode="0.00"/>
    </dxf>
    <dxf>
      <font>
        <b val="0"/>
        <i val="0"/>
        <strike val="0"/>
        <condense val="0"/>
        <extend val="0"/>
        <outline val="0"/>
        <shadow val="0"/>
        <u val="none"/>
        <vertAlign val="baseline"/>
        <sz val="16"/>
        <color auto="1"/>
        <name val="Aptos Narrow"/>
        <scheme val="minor"/>
      </font>
      <numFmt numFmtId="2" formatCode="0.00"/>
    </dxf>
    <dxf>
      <font>
        <b val="0"/>
        <i val="0"/>
        <strike val="0"/>
        <condense val="0"/>
        <extend val="0"/>
        <outline val="0"/>
        <shadow val="0"/>
        <u val="none"/>
        <vertAlign val="baseline"/>
        <sz val="18"/>
        <color auto="1"/>
        <name val="Aptos Narrow"/>
        <scheme val="minor"/>
      </font>
      <numFmt numFmtId="164" formatCode="0.0"/>
      <alignment horizontal="center" vertical="bottom" textRotation="0" wrapText="0" indent="0" justifyLastLine="0" shrinkToFit="0" readingOrder="0"/>
    </dxf>
    <dxf>
      <font>
        <strike val="0"/>
        <outline val="0"/>
        <shadow val="0"/>
        <u val="none"/>
        <vertAlign val="baseline"/>
        <sz val="16"/>
        <color rgb="FFC00000"/>
        <name val="Aptos Narrow"/>
        <scheme val="minor"/>
      </font>
      <numFmt numFmtId="164" formatCode="0.0"/>
    </dxf>
    <dxf>
      <font>
        <strike val="0"/>
        <outline val="0"/>
        <shadow val="0"/>
        <u val="none"/>
        <vertAlign val="baseline"/>
        <sz val="16"/>
        <color auto="1"/>
        <name val="Aptos Narrow"/>
        <scheme val="minor"/>
      </font>
      <numFmt numFmtId="2" formatCode="0.00"/>
    </dxf>
    <dxf>
      <font>
        <strike val="0"/>
        <outline val="0"/>
        <shadow val="0"/>
        <u val="none"/>
        <vertAlign val="baseline"/>
        <sz val="16"/>
        <color auto="1"/>
        <name val="Aptos Narrow"/>
        <scheme val="minor"/>
      </font>
      <numFmt numFmtId="3" formatCode="#,##0"/>
    </dxf>
    <dxf>
      <font>
        <strike val="0"/>
        <outline val="0"/>
        <shadow val="0"/>
        <u val="none"/>
        <vertAlign val="baseline"/>
        <sz val="16"/>
        <color auto="1"/>
        <name val="Aptos Narrow"/>
        <scheme val="minor"/>
      </font>
      <numFmt numFmtId="3" formatCode="#,##0"/>
    </dxf>
    <dxf>
      <font>
        <strike val="0"/>
        <outline val="0"/>
        <shadow val="0"/>
        <u val="none"/>
        <vertAlign val="baseline"/>
        <sz val="16"/>
        <color auto="1"/>
        <name val="Aptos Narrow"/>
        <scheme val="minor"/>
      </font>
      <numFmt numFmtId="3" formatCode="#,##0"/>
    </dxf>
    <dxf>
      <font>
        <b val="0"/>
        <i val="0"/>
        <strike val="0"/>
        <condense val="0"/>
        <extend val="0"/>
        <outline val="0"/>
        <shadow val="0"/>
        <u val="none"/>
        <vertAlign val="baseline"/>
        <sz val="16"/>
        <color auto="1"/>
        <name val="Aptos Narrow"/>
        <scheme val="minor"/>
      </font>
    </dxf>
    <dxf>
      <font>
        <strike val="0"/>
        <outline val="0"/>
        <shadow val="0"/>
        <u val="none"/>
        <vertAlign val="baseline"/>
        <sz val="16"/>
        <color auto="1"/>
        <name val="Aptos Narrow"/>
        <scheme val="none"/>
      </font>
    </dxf>
    <dxf>
      <font>
        <strike val="0"/>
        <outline val="0"/>
        <shadow val="0"/>
        <u val="none"/>
        <vertAlign val="baseline"/>
        <sz val="16"/>
        <color theme="0"/>
        <name val="Aptos Narrow"/>
        <scheme val="minor"/>
      </font>
    </dxf>
    <dxf>
      <font>
        <strike val="0"/>
        <outline val="0"/>
        <shadow val="0"/>
        <u val="none"/>
        <vertAlign val="baseline"/>
        <sz val="16"/>
        <color rgb="FFC00000"/>
        <name val="Aptos Narrow"/>
        <scheme val="minor"/>
      </font>
    </dxf>
    <dxf>
      <font>
        <strike val="0"/>
        <outline val="0"/>
        <shadow val="0"/>
        <u val="none"/>
        <vertAlign val="baseline"/>
        <sz val="16"/>
        <color auto="1"/>
        <name val="Aptos Display"/>
        <scheme val="major"/>
      </font>
      <numFmt numFmtId="164" formatCode="0.0"/>
    </dxf>
    <dxf>
      <font>
        <strike val="0"/>
        <outline val="0"/>
        <shadow val="0"/>
        <u val="none"/>
        <vertAlign val="baseline"/>
        <sz val="16"/>
        <color auto="1"/>
        <name val="Aptos Display"/>
        <scheme val="major"/>
      </font>
      <numFmt numFmtId="164" formatCode="0.0"/>
    </dxf>
    <dxf>
      <font>
        <strike val="0"/>
        <outline val="0"/>
        <shadow val="0"/>
        <u val="none"/>
        <vertAlign val="baseline"/>
        <sz val="16"/>
        <color auto="1"/>
        <name val="Aptos Display"/>
        <scheme val="major"/>
      </font>
      <numFmt numFmtId="164" formatCode="0.0"/>
    </dxf>
    <dxf>
      <font>
        <strike val="0"/>
        <outline val="0"/>
        <shadow val="0"/>
        <u val="none"/>
        <vertAlign val="baseline"/>
        <sz val="16"/>
        <color auto="1"/>
        <name val="Aptos Display"/>
        <scheme val="major"/>
      </font>
      <numFmt numFmtId="164" formatCode="0.0"/>
    </dxf>
    <dxf>
      <font>
        <strike val="0"/>
        <outline val="0"/>
        <shadow val="0"/>
        <u val="none"/>
        <vertAlign val="baseline"/>
        <sz val="16"/>
        <color auto="1"/>
        <name val="Aptos Display"/>
        <scheme val="major"/>
      </font>
    </dxf>
    <dxf>
      <font>
        <strike val="0"/>
        <outline val="0"/>
        <shadow val="0"/>
        <u val="none"/>
        <vertAlign val="baseline"/>
        <sz val="16"/>
        <color auto="1"/>
        <name val="Aptos Narrow"/>
        <scheme val="minor"/>
      </font>
      <numFmt numFmtId="2" formatCode="0.00"/>
    </dxf>
    <dxf>
      <font>
        <strike val="0"/>
        <outline val="0"/>
        <shadow val="0"/>
        <u val="none"/>
        <vertAlign val="baseline"/>
        <sz val="16"/>
        <color auto="1"/>
        <name val="Aptos Narrow"/>
        <scheme val="minor"/>
      </font>
      <numFmt numFmtId="3" formatCode="#,##0"/>
    </dxf>
    <dxf>
      <font>
        <strike val="0"/>
        <outline val="0"/>
        <shadow val="0"/>
        <u val="none"/>
        <vertAlign val="baseline"/>
        <sz val="16"/>
        <color auto="1"/>
        <name val="Aptos Narrow"/>
        <scheme val="minor"/>
      </font>
      <numFmt numFmtId="3" formatCode="#,##0"/>
    </dxf>
    <dxf>
      <font>
        <strike val="0"/>
        <outline val="0"/>
        <shadow val="0"/>
        <u val="none"/>
        <vertAlign val="baseline"/>
        <sz val="16"/>
        <color auto="1"/>
        <name val="Aptos Narrow"/>
        <scheme val="minor"/>
      </font>
      <numFmt numFmtId="3" formatCode="#,##0"/>
    </dxf>
    <dxf>
      <font>
        <b val="0"/>
        <i val="0"/>
        <strike val="0"/>
        <condense val="0"/>
        <extend val="0"/>
        <outline val="0"/>
        <shadow val="0"/>
        <u val="none"/>
        <vertAlign val="baseline"/>
        <sz val="16"/>
        <color auto="1"/>
        <name val="Aptos Narrow"/>
        <scheme val="minor"/>
      </font>
    </dxf>
    <dxf>
      <font>
        <b val="0"/>
        <i val="0"/>
        <strike val="0"/>
        <condense val="0"/>
        <extend val="0"/>
        <outline val="0"/>
        <shadow val="0"/>
        <u val="none"/>
        <vertAlign val="baseline"/>
        <sz val="16"/>
        <color auto="1"/>
        <name val="Aptos Narrow"/>
        <scheme val="none"/>
      </font>
    </dxf>
    <dxf>
      <font>
        <strike val="0"/>
        <outline val="0"/>
        <shadow val="0"/>
        <u val="none"/>
        <vertAlign val="baseline"/>
        <sz val="16"/>
        <color auto="1"/>
        <name val="Aptos Narrow"/>
        <scheme val="none"/>
      </font>
    </dxf>
    <dxf>
      <font>
        <strike val="0"/>
        <outline val="0"/>
        <shadow val="0"/>
        <u val="none"/>
        <vertAlign val="baseline"/>
        <sz val="16"/>
        <color theme="0"/>
        <name val="Aptos Narrow"/>
        <scheme val="minor"/>
      </font>
    </dxf>
    <dxf>
      <font>
        <b val="0"/>
        <i val="0"/>
        <strike val="0"/>
        <condense val="0"/>
        <extend val="0"/>
        <outline val="0"/>
        <shadow val="0"/>
        <u val="none"/>
        <vertAlign val="baseline"/>
        <sz val="16"/>
        <color auto="1"/>
        <name val="Aptos Narrow"/>
        <scheme val="none"/>
      </font>
      <numFmt numFmtId="2" formatCode="0.00"/>
    </dxf>
    <dxf>
      <font>
        <strike val="0"/>
        <outline val="0"/>
        <shadow val="0"/>
        <u val="none"/>
        <vertAlign val="baseline"/>
        <sz val="16"/>
        <color auto="1"/>
        <name val="Aptos Narrow"/>
        <scheme val="minor"/>
      </font>
      <numFmt numFmtId="0" formatCode="General"/>
    </dxf>
    <dxf>
      <font>
        <b val="0"/>
        <i val="0"/>
        <strike val="0"/>
        <condense val="0"/>
        <extend val="0"/>
        <outline val="0"/>
        <shadow val="0"/>
        <u val="none"/>
        <vertAlign val="baseline"/>
        <sz val="16"/>
        <color auto="1"/>
        <name val="Aptos Narrow"/>
        <scheme val="minor"/>
      </font>
      <numFmt numFmtId="2" formatCode="0.00"/>
    </dxf>
    <dxf>
      <font>
        <b val="0"/>
        <i val="0"/>
        <strike val="0"/>
        <condense val="0"/>
        <extend val="0"/>
        <outline val="0"/>
        <shadow val="0"/>
        <u val="none"/>
        <vertAlign val="baseline"/>
        <sz val="16"/>
        <color auto="1"/>
        <name val="Aptos Narrow"/>
        <scheme val="minor"/>
      </font>
      <numFmt numFmtId="2" formatCode="0.00"/>
    </dxf>
    <dxf>
      <font>
        <b val="0"/>
        <i val="0"/>
        <strike val="0"/>
        <condense val="0"/>
        <extend val="0"/>
        <outline val="0"/>
        <shadow val="0"/>
        <u val="none"/>
        <vertAlign val="baseline"/>
        <sz val="16"/>
        <color auto="1"/>
        <name val="Aptos Narrow"/>
        <scheme val="minor"/>
      </font>
      <numFmt numFmtId="2" formatCode="0.00"/>
    </dxf>
    <dxf>
      <font>
        <b val="0"/>
        <i val="0"/>
        <strike val="0"/>
        <condense val="0"/>
        <extend val="0"/>
        <outline val="0"/>
        <shadow val="0"/>
        <u val="none"/>
        <vertAlign val="baseline"/>
        <sz val="16"/>
        <color auto="1"/>
        <name val="Aptos Narrow"/>
        <scheme val="minor"/>
      </font>
      <numFmt numFmtId="2" formatCode="0.00"/>
    </dxf>
    <dxf>
      <font>
        <strike val="0"/>
        <outline val="0"/>
        <shadow val="0"/>
        <u val="none"/>
        <vertAlign val="baseline"/>
        <sz val="16"/>
        <color auto="1"/>
        <name val="Aptos Narrow"/>
        <scheme val="minor"/>
      </font>
      <numFmt numFmtId="164" formatCode="0.0"/>
    </dxf>
    <dxf>
      <font>
        <strike val="0"/>
        <outline val="0"/>
        <shadow val="0"/>
        <u val="none"/>
        <vertAlign val="baseline"/>
        <sz val="16"/>
        <color auto="1"/>
        <name val="Aptos Narrow"/>
        <scheme val="minor"/>
      </font>
      <numFmt numFmtId="164" formatCode="0.0"/>
    </dxf>
    <dxf>
      <font>
        <b val="0"/>
        <i val="0"/>
        <strike val="0"/>
        <condense val="0"/>
        <extend val="0"/>
        <outline val="0"/>
        <shadow val="0"/>
        <u val="none"/>
        <vertAlign val="baseline"/>
        <sz val="16"/>
        <color auto="1"/>
        <name val="Aptos Narrow"/>
        <scheme val="minor"/>
      </font>
      <numFmt numFmtId="2" formatCode="0.00"/>
    </dxf>
    <dxf>
      <font>
        <strike val="0"/>
        <outline val="0"/>
        <shadow val="0"/>
        <u val="none"/>
        <vertAlign val="baseline"/>
        <sz val="16"/>
        <color rgb="FFC00000"/>
        <name val="Aptos Narrow"/>
        <scheme val="minor"/>
      </font>
      <numFmt numFmtId="164" formatCode="0.0"/>
    </dxf>
    <dxf>
      <font>
        <strike val="0"/>
        <outline val="0"/>
        <shadow val="0"/>
        <u val="none"/>
        <vertAlign val="baseline"/>
        <sz val="16"/>
        <color auto="1"/>
        <name val="Aptos Narrow"/>
        <scheme val="minor"/>
      </font>
      <numFmt numFmtId="2" formatCode="0.00"/>
    </dxf>
    <dxf>
      <font>
        <strike val="0"/>
        <outline val="0"/>
        <shadow val="0"/>
        <u val="none"/>
        <vertAlign val="baseline"/>
        <sz val="16"/>
        <color auto="1"/>
        <name val="Aptos Narrow"/>
        <scheme val="minor"/>
      </font>
      <numFmt numFmtId="3" formatCode="#,##0"/>
    </dxf>
    <dxf>
      <font>
        <strike val="0"/>
        <outline val="0"/>
        <shadow val="0"/>
        <u val="none"/>
        <vertAlign val="baseline"/>
        <sz val="16"/>
        <color auto="1"/>
        <name val="Aptos Narrow"/>
        <scheme val="minor"/>
      </font>
      <numFmt numFmtId="3" formatCode="#,##0"/>
    </dxf>
    <dxf>
      <font>
        <strike val="0"/>
        <outline val="0"/>
        <shadow val="0"/>
        <u val="none"/>
        <vertAlign val="baseline"/>
        <sz val="16"/>
        <color auto="1"/>
        <name val="Aptos Narrow"/>
        <scheme val="minor"/>
      </font>
      <numFmt numFmtId="3" formatCode="#,##0"/>
    </dxf>
    <dxf>
      <font>
        <b val="0"/>
        <i val="0"/>
        <strike val="0"/>
        <condense val="0"/>
        <extend val="0"/>
        <outline val="0"/>
        <shadow val="0"/>
        <u val="none"/>
        <vertAlign val="baseline"/>
        <sz val="16"/>
        <color auto="1"/>
        <name val="Aptos Narrow"/>
        <scheme val="minor"/>
      </font>
    </dxf>
    <dxf>
      <font>
        <strike val="0"/>
        <outline val="0"/>
        <shadow val="0"/>
        <u val="none"/>
        <vertAlign val="baseline"/>
        <sz val="16"/>
        <color auto="1"/>
        <name val="Aptos Narrow"/>
        <scheme val="none"/>
      </font>
    </dxf>
    <dxf>
      <font>
        <strike val="0"/>
        <outline val="0"/>
        <shadow val="0"/>
        <u val="none"/>
        <vertAlign val="baseline"/>
        <sz val="16"/>
        <color theme="0"/>
        <name val="Aptos Narrow"/>
        <scheme val="minor"/>
      </font>
    </dxf>
    <dxf>
      <font>
        <strike val="0"/>
        <outline val="0"/>
        <shadow val="0"/>
        <u val="none"/>
        <vertAlign val="baseline"/>
        <sz val="16"/>
        <color auto="1"/>
        <name val="Aptos Narrow"/>
        <scheme val="none"/>
      </font>
    </dxf>
    <dxf>
      <font>
        <strike val="0"/>
        <outline val="0"/>
        <shadow val="0"/>
        <u val="none"/>
        <vertAlign val="baseline"/>
        <sz val="16"/>
        <color auto="1"/>
        <name val="Aptos Narrow"/>
        <scheme val="none"/>
      </font>
    </dxf>
    <dxf>
      <font>
        <strike val="0"/>
        <outline val="0"/>
        <shadow val="0"/>
        <u val="none"/>
        <vertAlign val="baseline"/>
        <sz val="18"/>
        <color auto="1"/>
        <name val="Aptos Narrow"/>
        <scheme val="none"/>
      </font>
      <numFmt numFmtId="164" formatCode="0.0"/>
      <border diagonalUp="0" diagonalDown="0">
        <left style="medium">
          <color indexed="64"/>
        </left>
        <right style="medium">
          <color indexed="64"/>
        </right>
        <top/>
        <bottom/>
        <vertical/>
        <horizontal/>
      </border>
    </dxf>
    <dxf>
      <font>
        <b val="0"/>
        <i val="0"/>
        <strike val="0"/>
        <condense val="0"/>
        <extend val="0"/>
        <outline val="0"/>
        <shadow val="0"/>
        <u val="none"/>
        <vertAlign val="baseline"/>
        <sz val="16"/>
        <color auto="1"/>
        <name val="Aptos Narrow"/>
        <scheme val="none"/>
      </font>
      <numFmt numFmtId="2" formatCode="0.00"/>
      <alignment horizontal="general" vertical="center" textRotation="0" wrapText="0" indent="0" justifyLastLine="0" shrinkToFit="0" readingOrder="0"/>
    </dxf>
    <dxf>
      <font>
        <b val="0"/>
        <i val="0"/>
        <strike val="0"/>
        <condense val="0"/>
        <extend val="0"/>
        <outline val="0"/>
        <shadow val="0"/>
        <u val="none"/>
        <vertAlign val="baseline"/>
        <sz val="16"/>
        <color auto="1"/>
        <name val="Aptos Narrow"/>
        <scheme val="minor"/>
      </font>
      <numFmt numFmtId="2" formatCode="0.00"/>
    </dxf>
    <dxf>
      <font>
        <b val="0"/>
        <i val="0"/>
        <strike val="0"/>
        <condense val="0"/>
        <extend val="0"/>
        <outline val="0"/>
        <shadow val="0"/>
        <u val="none"/>
        <vertAlign val="baseline"/>
        <sz val="18"/>
        <color auto="1"/>
        <name val="Aptos Narrow"/>
        <scheme val="minor"/>
      </font>
      <numFmt numFmtId="164" formatCode="0.0"/>
      <alignment horizontal="center" vertical="bottom" textRotation="0" wrapText="0" indent="0" justifyLastLine="0" shrinkToFit="0" readingOrder="0"/>
    </dxf>
    <dxf>
      <font>
        <strike val="0"/>
        <outline val="0"/>
        <shadow val="0"/>
        <u val="none"/>
        <vertAlign val="baseline"/>
        <sz val="16"/>
        <color rgb="FFC00000"/>
        <name val="Aptos Narrow"/>
        <scheme val="minor"/>
      </font>
      <numFmt numFmtId="164" formatCode="0.0"/>
    </dxf>
    <dxf>
      <font>
        <strike val="0"/>
        <outline val="0"/>
        <shadow val="0"/>
        <u val="none"/>
        <vertAlign val="baseline"/>
        <sz val="16"/>
        <color auto="1"/>
        <name val="Aptos Narrow"/>
        <scheme val="minor"/>
      </font>
      <numFmt numFmtId="2" formatCode="0.00"/>
    </dxf>
    <dxf>
      <font>
        <strike val="0"/>
        <outline val="0"/>
        <shadow val="0"/>
        <u val="none"/>
        <vertAlign val="baseline"/>
        <sz val="16"/>
        <color auto="1"/>
        <name val="Aptos Narrow"/>
        <scheme val="minor"/>
      </font>
      <numFmt numFmtId="3" formatCode="#,##0"/>
    </dxf>
    <dxf>
      <font>
        <strike val="0"/>
        <outline val="0"/>
        <shadow val="0"/>
        <u val="none"/>
        <vertAlign val="baseline"/>
        <sz val="16"/>
        <color auto="1"/>
        <name val="Aptos Narrow"/>
        <scheme val="minor"/>
      </font>
      <numFmt numFmtId="3" formatCode="#,##0"/>
    </dxf>
    <dxf>
      <font>
        <strike val="0"/>
        <outline val="0"/>
        <shadow val="0"/>
        <u val="none"/>
        <vertAlign val="baseline"/>
        <sz val="16"/>
        <color auto="1"/>
        <name val="Aptos Narrow"/>
        <scheme val="minor"/>
      </font>
      <numFmt numFmtId="3" formatCode="#,##0"/>
    </dxf>
    <dxf>
      <font>
        <b val="0"/>
        <i val="0"/>
        <strike val="0"/>
        <condense val="0"/>
        <extend val="0"/>
        <outline val="0"/>
        <shadow val="0"/>
        <u val="none"/>
        <vertAlign val="baseline"/>
        <sz val="16"/>
        <color auto="1"/>
        <name val="Aptos Narrow"/>
        <scheme val="minor"/>
      </font>
    </dxf>
    <dxf>
      <font>
        <strike val="0"/>
        <outline val="0"/>
        <shadow val="0"/>
        <u val="none"/>
        <vertAlign val="baseline"/>
        <sz val="16"/>
        <color auto="1"/>
        <name val="Aptos Narrow"/>
        <scheme val="none"/>
      </font>
    </dxf>
    <dxf>
      <font>
        <strike val="0"/>
        <outline val="0"/>
        <shadow val="0"/>
        <u val="none"/>
        <vertAlign val="baseline"/>
        <sz val="16"/>
        <color theme="0"/>
        <name val="Aptos Narrow"/>
        <scheme val="minor"/>
      </font>
    </dxf>
    <dxf>
      <font>
        <strike val="0"/>
        <outline val="0"/>
        <shadow val="0"/>
        <u val="none"/>
        <vertAlign val="baseline"/>
        <sz val="18"/>
        <name val="Monaco"/>
        <family val="2"/>
        <scheme val="none"/>
      </font>
      <numFmt numFmtId="2" formatCode="0.00"/>
      <fill>
        <patternFill patternType="none">
          <fgColor indexed="64"/>
          <bgColor auto="1"/>
        </patternFill>
      </fill>
    </dxf>
    <dxf>
      <font>
        <b val="0"/>
        <i val="0"/>
        <strike val="0"/>
        <condense val="0"/>
        <extend val="0"/>
        <outline val="0"/>
        <shadow val="0"/>
        <u val="none"/>
        <vertAlign val="baseline"/>
        <sz val="18"/>
        <color theme="1"/>
        <name val="Monaco"/>
        <family val="2"/>
        <scheme val="none"/>
      </font>
      <numFmt numFmtId="164" formatCode="0.0"/>
    </dxf>
    <dxf>
      <font>
        <b val="0"/>
        <i val="0"/>
        <strike val="0"/>
        <condense val="0"/>
        <extend val="0"/>
        <outline val="0"/>
        <shadow val="0"/>
        <u val="none"/>
        <vertAlign val="baseline"/>
        <sz val="18"/>
        <color theme="1"/>
        <name val="Monaco"/>
        <family val="2"/>
        <scheme val="none"/>
      </font>
      <numFmt numFmtId="164" formatCode="0.0"/>
    </dxf>
    <dxf>
      <font>
        <b val="0"/>
        <i val="0"/>
        <strike val="0"/>
        <condense val="0"/>
        <extend val="0"/>
        <outline val="0"/>
        <shadow val="0"/>
        <u val="none"/>
        <vertAlign val="baseline"/>
        <sz val="18"/>
        <color theme="1"/>
        <name val="Monaco"/>
        <family val="2"/>
        <scheme val="none"/>
      </font>
      <numFmt numFmtId="164" formatCode="0.0"/>
      <fill>
        <patternFill patternType="none">
          <fgColor indexed="64"/>
          <bgColor indexed="65"/>
        </patternFill>
      </fill>
    </dxf>
    <dxf>
      <font>
        <strike val="0"/>
        <outline val="0"/>
        <shadow val="0"/>
        <u val="none"/>
        <vertAlign val="baseline"/>
        <sz val="18"/>
        <color theme="1"/>
        <name val="Monaco"/>
        <family val="2"/>
        <scheme val="none"/>
      </font>
      <numFmt numFmtId="164" formatCode="0.0"/>
      <fill>
        <patternFill patternType="none">
          <fgColor indexed="64"/>
          <bgColor auto="1"/>
        </patternFill>
      </fill>
    </dxf>
    <dxf>
      <font>
        <strike val="0"/>
        <outline val="0"/>
        <shadow val="0"/>
        <u val="none"/>
        <vertAlign val="baseline"/>
        <sz val="17"/>
        <color theme="1"/>
        <name val="Monaco"/>
        <family val="2"/>
        <scheme val="none"/>
      </font>
      <numFmt numFmtId="164" formatCode="0.0"/>
    </dxf>
    <dxf>
      <font>
        <strike val="0"/>
        <outline val="0"/>
        <shadow val="0"/>
        <u val="none"/>
        <vertAlign val="baseline"/>
        <sz val="18"/>
        <color theme="1"/>
        <name val="Monaco"/>
        <family val="2"/>
        <scheme val="none"/>
      </font>
      <numFmt numFmtId="164" formatCode="0.0"/>
      <fill>
        <patternFill patternType="none">
          <fgColor indexed="64"/>
          <bgColor auto="1"/>
        </patternFill>
      </fill>
    </dxf>
    <dxf>
      <font>
        <b val="0"/>
        <i val="0"/>
        <strike val="0"/>
        <condense val="0"/>
        <extend val="0"/>
        <outline val="0"/>
        <shadow val="0"/>
        <u val="none"/>
        <vertAlign val="baseline"/>
        <sz val="18"/>
        <color theme="1"/>
        <name val="Monaco"/>
        <family val="2"/>
        <scheme val="none"/>
      </font>
      <numFmt numFmtId="164" formatCode="0.0"/>
      <fill>
        <patternFill patternType="none">
          <fgColor indexed="64"/>
          <bgColor indexed="65"/>
        </patternFill>
      </fill>
    </dxf>
    <dxf>
      <font>
        <strike val="0"/>
        <outline val="0"/>
        <shadow val="0"/>
        <u val="none"/>
        <vertAlign val="baseline"/>
        <sz val="18"/>
        <name val="Monaco"/>
        <family val="2"/>
        <scheme val="none"/>
      </font>
      <numFmt numFmtId="164" formatCode="0.0"/>
      <fill>
        <patternFill patternType="none">
          <fgColor indexed="64"/>
          <bgColor auto="1"/>
        </patternFill>
      </fill>
    </dxf>
    <dxf>
      <font>
        <strike val="0"/>
        <outline val="0"/>
        <shadow val="0"/>
        <u val="none"/>
        <vertAlign val="baseline"/>
        <sz val="18"/>
        <color theme="1"/>
        <name val="Monaco"/>
        <family val="2"/>
        <scheme val="none"/>
      </font>
      <numFmt numFmtId="164" formatCode="0.0"/>
      <fill>
        <patternFill patternType="none">
          <fgColor indexed="64"/>
          <bgColor auto="1"/>
        </patternFill>
      </fill>
    </dxf>
    <dxf>
      <font>
        <strike val="0"/>
        <outline val="0"/>
        <shadow val="0"/>
        <u val="none"/>
        <vertAlign val="baseline"/>
        <sz val="18"/>
        <name val="Monaco"/>
        <family val="2"/>
        <scheme val="none"/>
      </font>
      <fill>
        <patternFill patternType="none">
          <fgColor indexed="64"/>
          <bgColor auto="1"/>
        </patternFill>
      </fill>
    </dxf>
    <dxf>
      <font>
        <b val="0"/>
        <i val="0"/>
        <strike val="0"/>
        <condense val="0"/>
        <extend val="0"/>
        <outline val="0"/>
        <shadow val="0"/>
        <u val="none"/>
        <vertAlign val="baseline"/>
        <sz val="18"/>
        <color auto="1"/>
        <name val="Monaco"/>
        <family val="2"/>
        <scheme val="none"/>
      </font>
      <fill>
        <patternFill patternType="none">
          <fgColor indexed="64"/>
          <bgColor auto="1"/>
        </patternFill>
      </fill>
    </dxf>
    <dxf>
      <font>
        <strike val="0"/>
        <outline val="0"/>
        <shadow val="0"/>
        <u val="none"/>
        <vertAlign val="baseline"/>
        <sz val="18"/>
        <name val="Monaco"/>
        <family val="2"/>
        <scheme val="none"/>
      </font>
      <fill>
        <patternFill patternType="none">
          <fgColor indexed="64"/>
          <bgColor auto="1"/>
        </patternFill>
      </fill>
    </dxf>
    <dxf>
      <font>
        <strike val="0"/>
        <outline val="0"/>
        <shadow val="0"/>
        <u val="none"/>
        <vertAlign val="baseline"/>
        <sz val="18"/>
        <name val="Monaco"/>
        <family val="2"/>
        <scheme val="none"/>
      </font>
      <fill>
        <patternFill patternType="none">
          <fgColor indexed="64"/>
          <bgColor auto="1"/>
        </patternFill>
      </fill>
    </dxf>
    <dxf>
      <numFmt numFmtId="164" formatCode="0.0"/>
    </dxf>
    <dxf>
      <numFmt numFmtId="2" formatCode="0.00"/>
    </dxf>
    <dxf>
      <numFmt numFmtId="2" formatCode="0.00"/>
    </dxf>
    <dxf>
      <numFmt numFmtId="164" formatCode="0.0"/>
    </dxf>
    <dxf>
      <font>
        <b val="0"/>
        <i val="0"/>
        <strike val="0"/>
        <condense val="0"/>
        <extend val="0"/>
        <outline val="0"/>
        <shadow val="0"/>
        <u val="none"/>
        <vertAlign val="baseline"/>
        <sz val="17"/>
        <color auto="1"/>
        <name val="Monaco"/>
        <family val="2"/>
        <scheme val="none"/>
      </font>
    </dxf>
    <dxf>
      <font>
        <strike val="0"/>
        <outline val="0"/>
        <shadow val="0"/>
        <u val="none"/>
        <vertAlign val="baseline"/>
        <sz val="16"/>
        <color auto="1"/>
        <name val="Aptos Narrow"/>
        <scheme val="none"/>
      </font>
    </dxf>
    <dxf>
      <font>
        <b val="0"/>
        <i val="0"/>
        <strike val="0"/>
        <condense val="0"/>
        <extend val="0"/>
        <outline val="0"/>
        <shadow val="0"/>
        <u val="none"/>
        <vertAlign val="baseline"/>
        <sz val="18"/>
        <color theme="0" tint="-0.34998626667073579"/>
        <name val="Aptos Narrow"/>
        <scheme val="minor"/>
      </font>
      <numFmt numFmtId="166" formatCode="0.000"/>
      <fill>
        <patternFill patternType="solid">
          <fgColor indexed="64"/>
          <bgColor theme="2"/>
        </patternFill>
      </fill>
      <alignment horizontal="center" vertical="bottom" textRotation="0" wrapText="0" indent="0" justifyLastLine="0" shrinkToFit="0" readingOrder="0"/>
    </dxf>
    <dxf>
      <font>
        <b val="0"/>
        <i val="0"/>
        <strike val="0"/>
        <condense val="0"/>
        <extend val="0"/>
        <outline val="0"/>
        <shadow val="0"/>
        <u val="none"/>
        <vertAlign val="baseline"/>
        <sz val="18"/>
        <color theme="0" tint="-0.34998626667073579"/>
        <name val="Aptos Narrow"/>
        <scheme val="minor"/>
      </font>
      <numFmt numFmtId="166" formatCode="0.000"/>
      <fill>
        <patternFill patternType="solid">
          <fgColor indexed="64"/>
          <bgColor theme="2"/>
        </patternFill>
      </fill>
      <alignment horizontal="center" vertical="bottom" textRotation="0" wrapText="0" indent="0" justifyLastLine="0" shrinkToFit="0" readingOrder="0"/>
    </dxf>
    <dxf>
      <font>
        <b val="0"/>
        <i val="0"/>
        <strike val="0"/>
        <condense val="0"/>
        <extend val="0"/>
        <outline val="0"/>
        <shadow val="0"/>
        <u val="none"/>
        <vertAlign val="baseline"/>
        <sz val="18"/>
        <color theme="0" tint="-0.34998626667073579"/>
        <name val="Aptos Narrow"/>
        <scheme val="minor"/>
      </font>
      <numFmt numFmtId="166" formatCode="0.000"/>
      <fill>
        <patternFill patternType="solid">
          <fgColor indexed="64"/>
          <bgColor theme="2"/>
        </patternFill>
      </fill>
      <alignment horizontal="center" vertical="bottom" textRotation="0" wrapText="0" indent="0" justifyLastLine="0" shrinkToFit="0" readingOrder="0"/>
    </dxf>
    <dxf>
      <font>
        <b val="0"/>
        <i val="0"/>
        <strike val="0"/>
        <condense val="0"/>
        <extend val="0"/>
        <outline val="0"/>
        <shadow val="0"/>
        <u val="none"/>
        <vertAlign val="baseline"/>
        <sz val="18"/>
        <color theme="0" tint="-0.34998626667073579"/>
        <name val="Aptos Narrow"/>
        <scheme val="minor"/>
      </font>
      <numFmt numFmtId="164" formatCode="0.0"/>
      <fill>
        <patternFill patternType="solid">
          <fgColor indexed="64"/>
          <bgColor theme="2"/>
        </patternFill>
      </fill>
      <alignment horizontal="center" vertical="bottom" textRotation="0" wrapText="0" indent="0" justifyLastLine="0" shrinkToFit="0" readingOrder="0"/>
    </dxf>
    <dxf>
      <font>
        <b val="0"/>
        <i val="0"/>
        <strike val="0"/>
        <condense val="0"/>
        <extend val="0"/>
        <outline val="0"/>
        <shadow val="0"/>
        <u val="none"/>
        <vertAlign val="baseline"/>
        <sz val="18"/>
        <color theme="1"/>
        <name val="Aptos Narrow"/>
        <scheme val="minor"/>
      </font>
      <numFmt numFmtId="164" formatCode="0.0"/>
      <fill>
        <patternFill patternType="solid">
          <fgColor indexed="64"/>
          <bgColor rgb="FF87CEFA"/>
        </patternFill>
      </fill>
    </dxf>
    <dxf>
      <font>
        <b val="0"/>
        <i val="0"/>
        <strike val="0"/>
        <condense val="0"/>
        <extend val="0"/>
        <outline val="0"/>
        <shadow val="0"/>
        <u val="none"/>
        <vertAlign val="baseline"/>
        <sz val="18"/>
        <color theme="1"/>
        <name val="Aptos Narrow"/>
        <scheme val="minor"/>
      </font>
      <numFmt numFmtId="164" formatCode="0.0"/>
      <fill>
        <patternFill patternType="solid">
          <fgColor indexed="64"/>
          <bgColor rgb="FF87CEFA"/>
        </patternFill>
      </fill>
    </dxf>
    <dxf>
      <font>
        <b val="0"/>
        <i val="0"/>
        <strike val="0"/>
        <condense val="0"/>
        <extend val="0"/>
        <outline val="0"/>
        <shadow val="0"/>
        <u val="none"/>
        <vertAlign val="baseline"/>
        <sz val="16"/>
        <color auto="1"/>
        <name val="Aptos Narrow"/>
        <scheme val="none"/>
      </font>
      <numFmt numFmtId="2" formatCode="0.00"/>
      <alignment horizontal="general" vertical="center" textRotation="0" wrapText="0" indent="0" justifyLastLine="0" shrinkToFit="0" readingOrder="0"/>
    </dxf>
    <dxf>
      <font>
        <strike val="0"/>
        <outline val="0"/>
        <shadow val="0"/>
        <u val="none"/>
        <vertAlign val="baseline"/>
        <sz val="16"/>
        <color auto="1"/>
        <name val="Aptos Narrow"/>
        <scheme val="minor"/>
      </font>
      <numFmt numFmtId="0" formatCode="General"/>
    </dxf>
    <dxf>
      <font>
        <b val="0"/>
        <i val="0"/>
        <strike val="0"/>
        <condense val="0"/>
        <extend val="0"/>
        <outline val="0"/>
        <shadow val="0"/>
        <u val="none"/>
        <vertAlign val="baseline"/>
        <sz val="16"/>
        <color auto="1"/>
        <name val="Aptos Narrow"/>
        <scheme val="minor"/>
      </font>
      <numFmt numFmtId="2" formatCode="0.00"/>
    </dxf>
    <dxf>
      <font>
        <b val="0"/>
        <i val="0"/>
        <strike val="0"/>
        <condense val="0"/>
        <extend val="0"/>
        <outline val="0"/>
        <shadow val="0"/>
        <u val="none"/>
        <vertAlign val="baseline"/>
        <sz val="18"/>
        <color theme="1"/>
        <name val="Aptos Narrow"/>
        <scheme val="minor"/>
      </font>
      <numFmt numFmtId="164" formatCode="0.0"/>
      <alignment horizontal="center" vertical="bottom" textRotation="0" wrapText="0" indent="0" justifyLastLine="0" shrinkToFit="0" readingOrder="0"/>
    </dxf>
    <dxf>
      <font>
        <b val="0"/>
        <i val="0"/>
        <strike val="0"/>
        <condense val="0"/>
        <extend val="0"/>
        <outline val="0"/>
        <shadow val="0"/>
        <u val="none"/>
        <vertAlign val="baseline"/>
        <sz val="16"/>
        <color auto="1"/>
        <name val="Aptos Narrow"/>
        <scheme val="minor"/>
      </font>
      <numFmt numFmtId="2" formatCode="0.00"/>
    </dxf>
    <dxf>
      <font>
        <strike val="0"/>
        <outline val="0"/>
        <shadow val="0"/>
        <u val="none"/>
        <vertAlign val="baseline"/>
        <sz val="16"/>
        <color rgb="FFC00000"/>
        <name val="Aptos Narrow"/>
        <scheme val="minor"/>
      </font>
      <numFmt numFmtId="164" formatCode="0.0"/>
    </dxf>
    <dxf>
      <font>
        <strike val="0"/>
        <outline val="0"/>
        <shadow val="0"/>
        <u val="none"/>
        <vertAlign val="baseline"/>
        <sz val="16"/>
        <color auto="1"/>
        <name val="Aptos Narrow"/>
        <scheme val="minor"/>
      </font>
      <numFmt numFmtId="2" formatCode="0.00"/>
    </dxf>
    <dxf>
      <font>
        <strike val="0"/>
        <outline val="0"/>
        <shadow val="0"/>
        <u val="none"/>
        <vertAlign val="baseline"/>
        <sz val="16"/>
        <color auto="1"/>
        <name val="Aptos Narrow"/>
        <scheme val="minor"/>
      </font>
      <numFmt numFmtId="3" formatCode="#,##0"/>
    </dxf>
    <dxf>
      <font>
        <b val="0"/>
        <i val="0"/>
        <strike val="0"/>
        <condense val="0"/>
        <extend val="0"/>
        <outline val="0"/>
        <shadow val="0"/>
        <u val="none"/>
        <vertAlign val="baseline"/>
        <sz val="14"/>
        <color theme="0" tint="-0.249977111117893"/>
        <name val="Aptos Narrow"/>
        <scheme val="minor"/>
      </font>
      <numFmt numFmtId="3" formatCode="#,##0"/>
    </dxf>
    <dxf>
      <font>
        <strike val="0"/>
        <outline val="0"/>
        <shadow val="0"/>
        <u val="none"/>
        <vertAlign val="baseline"/>
        <sz val="16"/>
        <color auto="1"/>
        <name val="Aptos Narrow"/>
        <scheme val="minor"/>
      </font>
      <numFmt numFmtId="3" formatCode="#,##0"/>
    </dxf>
    <dxf>
      <font>
        <strike val="0"/>
        <outline val="0"/>
        <shadow val="0"/>
        <u val="none"/>
        <vertAlign val="baseline"/>
        <sz val="16"/>
        <color auto="1"/>
        <name val="Aptos Narrow"/>
        <scheme val="minor"/>
      </font>
      <numFmt numFmtId="3" formatCode="#,##0"/>
    </dxf>
    <dxf>
      <font>
        <b val="0"/>
        <i val="0"/>
        <strike val="0"/>
        <condense val="0"/>
        <extend val="0"/>
        <outline val="0"/>
        <shadow val="0"/>
        <u val="none"/>
        <vertAlign val="baseline"/>
        <sz val="16"/>
        <color auto="1"/>
        <name val="Aptos Narrow"/>
        <scheme val="minor"/>
      </font>
    </dxf>
    <dxf>
      <font>
        <strike val="0"/>
        <outline val="0"/>
        <shadow val="0"/>
        <u val="none"/>
        <vertAlign val="baseline"/>
        <sz val="16"/>
        <color auto="1"/>
        <name val="Aptos Narrow"/>
        <scheme val="none"/>
      </font>
    </dxf>
    <dxf>
      <font>
        <strike val="0"/>
        <outline val="0"/>
        <shadow val="0"/>
        <u val="none"/>
        <vertAlign val="baseline"/>
        <sz val="16"/>
        <color theme="0"/>
        <name val="Aptos Narrow"/>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593F397-1FE6-BC4C-A81D-C0A20A850E1F}" name="Table7" displayName="Table7" ref="AJ2:AT218" totalsRowShown="0">
  <autoFilter ref="AJ2:AT218" xr:uid="{F593F397-1FE6-BC4C-A81D-C0A20A850E1F}"/>
  <sortState xmlns:xlrd2="http://schemas.microsoft.com/office/spreadsheetml/2017/richdata2" ref="AJ91:AR133">
    <sortCondition ref="AN2:AN218"/>
  </sortState>
  <tableColumns count="11">
    <tableColumn id="6" xr3:uid="{5DB0FBB3-0BB3-024E-AB88-924AC4951DC2}" name="dataset"/>
    <tableColumn id="1" xr3:uid="{8468715E-A000-8A47-8E4B-9D2CACED6CEA}" name="query" dataDxfId="105"/>
    <tableColumn id="2" xr3:uid="{1803BC41-BEC8-E544-92BD-C663EA966AB2}" name="g2aimd"/>
    <tableColumn id="10" xr3:uid="{217652BF-A5E4-D54B-AB8E-21AEB3DED3A0}" name="GPU"/>
    <tableColumn id="3" xr3:uid="{4CBACDEA-BF51-954F-8944-FC4AE07D8CE8}" name="cpuchunk=1" dataDxfId="104"/>
    <tableColumn id="5" xr3:uid="{6C5CEFD7-4CFC-F246-A6B3-B98EF3B01C6D}" name="cpuchunk=10" dataDxfId="103">
      <calculatedColumnFormula>Table7[[#This Row],[cpuchunk=1]]/Table7[[#This Row],[CPU Only (30m X)]]</calculatedColumnFormula>
    </tableColumn>
    <tableColumn id="7" xr3:uid="{736FF2C4-3CF5-B442-B148-E21BB5DC8B13}" name="cpuchunk=100"/>
    <tableColumn id="8" xr3:uid="{ACA1C7AA-D09E-5841-B44B-0C7F61620892}" name="GPU_chunk10_ratio"/>
    <tableColumn id="9" xr3:uid="{CFB7F44E-198D-F74D-89F7-2CFB77FD3B4D}" name="expand mode" dataDxfId="102">
      <calculatedColumnFormula>Table7[[#This Row],[cpuchunk=1]]/Table7[[#This Row],[GPU_chunk10_ratio]]</calculatedColumnFormula>
    </tableColumn>
    <tableColumn id="4" xr3:uid="{191AE9E6-20B3-0846-A2BC-4F940320D63B}" name="CPU Only (30m X)" dataDxfId="101"/>
    <tableColumn id="11" xr3:uid="{46591BF7-69A0-8B4F-8A46-B687B6F03373}" name="Column1"/>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75A73A0-4C5B-1643-B670-C6D2F38A31E6}" name="Table711" displayName="Table711" ref="B2:N146" totalsRowShown="0" dataDxfId="100">
  <autoFilter ref="B2:N146" xr:uid="{775A73A0-4C5B-1643-B670-C6D2F38A31E6}">
    <filterColumn colId="0">
      <customFilters>
        <customFilter operator="notEqual" val=" "/>
      </customFilters>
    </filterColumn>
    <filterColumn colId="4">
      <customFilters>
        <customFilter operator="greaterThan" val="10"/>
      </customFilters>
    </filterColumn>
  </autoFilter>
  <sortState xmlns:xlrd2="http://schemas.microsoft.com/office/spreadsheetml/2017/richdata2" ref="B43:N82">
    <sortCondition descending="1" ref="M2:M146"/>
  </sortState>
  <tableColumns count="13">
    <tableColumn id="6" xr3:uid="{035602A2-C078-8B48-907C-31F22E05D12D}" name="selected" dataDxfId="99"/>
    <tableColumn id="1" xr3:uid="{D424175F-3477-4B41-B05D-FC01FF18A9A1}" name="dataset" dataDxfId="98"/>
    <tableColumn id="2" xr3:uid="{C5A1CFE8-8313-124B-B259-B171F20526E8}" name="query" dataDxfId="97"/>
    <tableColumn id="10" xr3:uid="{A004886C-70F9-CF4E-BE5B-3AFFCAD459F9}" name="G2AIMD (pingpong)" dataDxfId="96"/>
    <tableColumn id="3" xr3:uid="{DCCAC3F0-FAED-084E-BE08-E1FE91F55051}" name="gpu-layered" dataDxfId="95"/>
    <tableColumn id="17" xr3:uid="{F94BC6BD-3BF2-6147-B367-E4E4C24D22C6}" name="gpu-hybrid-drop" dataDxfId="94"/>
    <tableColumn id="5" xr3:uid="{CDCB45D3-67D8-7D4A-8490-CD3EDE2AC56B}" name="gpu-hybrid-copy" dataDxfId="93"/>
    <tableColumn id="11" xr3:uid="{6A36B7AE-76AE-4D49-BF74-711E150755B6}" name="CPU Only (X &gt; 30m)" dataDxfId="92"/>
    <tableColumn id="7" xr3:uid="{92121CCF-D064-0749-82B0-474024F905C9}" name="CPU+GPU" dataDxfId="91"/>
    <tableColumn id="16" xr3:uid="{AE560744-0FD7-6947-A320-D0C0B4AE6E69}" name="ratio_G2C" dataDxfId="90">
      <calculatedColumnFormula>Table711[[#This Row],[G2AIMD (pingpong)]]/Table711[[#This Row],[gpu-hybrid-copy]]</calculatedColumnFormula>
    </tableColumn>
    <tableColumn id="12" xr3:uid="{4DC16C13-C4B9-E544-9472-D456DEE924DF}" name="ratio_G2L" dataDxfId="89">
      <calculatedColumnFormula>Table711[[#This Row],[G2AIMD (pingpong)]]/Table711[[#This Row],[gpu-layered]]</calculatedColumnFormula>
    </tableColumn>
    <tableColumn id="9" xr3:uid="{C9AA3EF3-427A-A54A-9DD8-2FE7F4B5889C}" name="ratio_L2CG" dataDxfId="88">
      <calculatedColumnFormula>Table711[[#This Row],[gpu-layered]]/Table711[[#This Row],[CPU+GPU]]</calculatedColumnFormula>
    </tableColumn>
    <tableColumn id="15" xr3:uid="{544C33AC-C081-7346-A98E-F9836779AB4F}" name="ratio_CP2CG" dataDxfId="87">
      <calculatedColumnFormula>Table711[[#This Row],[CPU Only (X &gt; 30m)]]/Table711[[#This Row],[CPU+GPU]]</calculatedColumnFormula>
    </tableColumn>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5FA0D67-181E-3D43-961B-3AC51E60AE98}" name="Table2123242526" displayName="Table2123242526" ref="D5:W55" totalsRowShown="0" headerRowDxfId="126" dataDxfId="125">
  <autoFilter ref="D5:W55" xr:uid="{C2D1855A-F6DE-F647-932C-7E457E008762}">
    <filterColumn colId="8">
      <filters>
        <filter val="0.53"/>
        <filter val="0.6"/>
        <filter val="0.66"/>
        <filter val="0.72"/>
        <filter val="0.76"/>
        <filter val="0.8"/>
        <filter val="0.92"/>
        <filter val="0.99"/>
        <filter val="1.0"/>
        <filter val="1.01"/>
        <filter val="1.1"/>
        <filter val="1.16"/>
        <filter val="1.18"/>
        <filter val="1.2"/>
        <filter val="1.3"/>
        <filter val="1.4"/>
        <filter val="1.5"/>
        <filter val="1.6"/>
        <filter val="1.7"/>
        <filter val="1.8"/>
        <filter val="1.86"/>
        <filter val="1.9"/>
        <filter val="2.0"/>
        <filter val="2.1"/>
        <filter val="2.21"/>
        <filter val="2.3"/>
        <filter val="2.6"/>
        <filter val="2.9"/>
        <filter val="3.0"/>
        <filter val="3.1"/>
        <filter val="3.5"/>
        <filter val="3.8"/>
        <filter val="4.00"/>
        <filter val="4.02"/>
        <filter val="4.2"/>
        <filter val="4.35"/>
        <filter val="4.5"/>
        <filter val="4.6"/>
        <filter val="4.9"/>
        <filter val="5.94"/>
        <filter val="7.38"/>
        <filter val="7.7"/>
        <filter val="9.7"/>
      </filters>
    </filterColumn>
  </autoFilter>
  <sortState xmlns:xlrd2="http://schemas.microsoft.com/office/spreadsheetml/2017/richdata2" ref="D7:W55">
    <sortCondition descending="1" ref="N5:N55"/>
  </sortState>
  <tableColumns count="20">
    <tableColumn id="1" xr3:uid="{DCD9EDEC-8AF2-E44B-9035-1BD484B62FE1}" name="Sr. No." dataDxfId="124"/>
    <tableColumn id="20" xr3:uid="{467ED1CC-CCE6-BA41-BF9A-B6406E3E5896}" name="Column4"/>
    <tableColumn id="2" xr3:uid="{571D0713-F0AE-744B-82A9-0647E85B70E4}" name="V" dataDxfId="123"/>
    <tableColumn id="3" xr3:uid="{ABD0A75D-6045-B043-A337-828FF3957B09}" name="E" dataDxfId="122"/>
    <tableColumn id="16" xr3:uid="{DB68AF15-4883-A048-BD25-976C5665D354}" name="avg_degree" dataDxfId="121">
      <calculatedColumnFormula>Table2123242526[[#This Row],[E]]/Table2123242526[[#This Row],[V]]</calculatedColumnFormula>
    </tableColumn>
    <tableColumn id="4" xr3:uid="{EDC46D59-3A43-FB4C-A363-665D3D09EB05}" name="d_max" dataDxfId="120"/>
    <tableColumn id="5" xr3:uid="{551C0AA0-56D8-3A41-B323-883BB3F745E7}" name="#MC" dataDxfId="119"/>
    <tableColumn id="13" xr3:uid="{17828130-93AE-BE4F-B56D-398C6624F065}" name="G2AIMD (pingpong)" dataDxfId="118"/>
    <tableColumn id="11" xr3:uid="{C7BED3EB-3028-664A-84CC-DEF09092CD49}" name="gpu-layered" dataDxfId="117"/>
    <tableColumn id="19" xr3:uid="{8CC5E279-42F6-0C43-A0B6-56B8DF7232A8}" name="gpu-hybrid-drop" dataDxfId="116"/>
    <tableColumn id="12" xr3:uid="{1DC67553-F60B-924D-B26A-702DAE3E2FF5}" name="gpu-hybrid-copy" dataDxfId="115"/>
    <tableColumn id="22" xr3:uid="{27638D44-5B8B-8F45-8E46-FBF02105E8B2}" name="CPU Only" dataDxfId="114"/>
    <tableColumn id="6" xr3:uid="{0EF7B805-A81A-8940-BA19-BE4CF8ED9743}" name="CPU+GPU" dataDxfId="113"/>
    <tableColumn id="18" xr3:uid="{5F152D57-9049-4C4D-820F-CF7ED3FC1AB9}" name="ratio_G2C" dataDxfId="112">
      <calculatedColumnFormula>Table2123242526[[#This Row],[G2AIMD (pingpong)]]/Table2123242526[[#This Row],[gpu-hybrid-copy]]</calculatedColumnFormula>
    </tableColumn>
    <tableColumn id="17" xr3:uid="{A982461B-5C18-B24B-81EC-EA70D205666C}" name="ratio_G2L" dataDxfId="111">
      <calculatedColumnFormula>Table2123242526[[#This Row],[G2AIMD (pingpong)]]/Table2123242526[[#This Row],[gpu-layered]]</calculatedColumnFormula>
    </tableColumn>
    <tableColumn id="8" xr3:uid="{D21CD819-32CC-D84C-A64E-F3C22D69ECB4}" name="ratio_C2CG" dataDxfId="110">
      <calculatedColumnFormula>Table2123242526[[#This Row],[gpu-hybrid-copy]]/Table2123242526[[#This Row],[CPU+GPU]]</calculatedColumnFormula>
    </tableColumn>
    <tableColumn id="10" xr3:uid="{7C22635A-6F19-0A4E-969C-BB2F24A517F2}" name="ratio_CP2CG" dataDxfId="109">
      <calculatedColumnFormula>Table2123242526[[#This Row],[CPU Only]]/Table2123242526[[#This Row],[CPU+GPU]]</calculatedColumnFormula>
    </tableColumn>
    <tableColumn id="14" xr3:uid="{95929B9E-5DA5-0E43-9465-9B1D5425C82D}" name="Column1" dataDxfId="108"/>
    <tableColumn id="15" xr3:uid="{17D0CDA3-5847-894F-A062-711FB2BC3839}" name="Column2" dataDxfId="107"/>
    <tableColumn id="9" xr3:uid="{46255FCB-1EC0-D248-B678-F09A3FC1F276}" name="Column3" dataDxfId="106"/>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10DC2C0-0CD9-8F43-8FD5-B04C0D58B24B}" name="Table21232425267" displayName="Table21232425267" ref="C5:N65" totalsRowShown="0" headerRowDxfId="86" dataDxfId="85">
  <autoFilter ref="C5:N65" xr:uid="{C2D1855A-F6DE-F647-932C-7E457E008762}">
    <filterColumn colId="7">
      <filters>
        <filter val="0.53"/>
        <filter val="0.6"/>
        <filter val="0.66"/>
        <filter val="0.72"/>
        <filter val="0.76"/>
        <filter val="0.8"/>
        <filter val="0.92"/>
        <filter val="0.99"/>
        <filter val="1.0"/>
        <filter val="1.01"/>
        <filter val="1.1"/>
        <filter val="1.16"/>
        <filter val="1.18"/>
        <filter val="1.2"/>
        <filter val="1.3"/>
        <filter val="1.4"/>
        <filter val="1.5"/>
        <filter val="1.6"/>
        <filter val="1.7"/>
        <filter val="1.8"/>
        <filter val="1.86"/>
        <filter val="1.9"/>
        <filter val="2.0"/>
        <filter val="2.1"/>
        <filter val="2.21"/>
        <filter val="2.3"/>
        <filter val="2.6"/>
        <filter val="2.9"/>
        <filter val="3.0"/>
        <filter val="3.1"/>
        <filter val="3.5"/>
        <filter val="3.8"/>
        <filter val="4.00"/>
        <filter val="4.02"/>
        <filter val="4.2"/>
        <filter val="4.35"/>
        <filter val="4.5"/>
        <filter val="4.6"/>
        <filter val="4.9"/>
        <filter val="5.94"/>
        <filter val="7.38"/>
        <filter val="7.7"/>
        <filter val="9.7"/>
      </filters>
    </filterColumn>
  </autoFilter>
  <sortState xmlns:xlrd2="http://schemas.microsoft.com/office/spreadsheetml/2017/richdata2" ref="C16:N65">
    <sortCondition descending="1" ref="H5:H65"/>
  </sortState>
  <tableColumns count="12">
    <tableColumn id="1" xr3:uid="{45FBE749-E1E4-164F-A352-F1B4961F1774}" name="dataset" dataDxfId="84"/>
    <tableColumn id="2" xr3:uid="{02357CAC-0BD3-9E4B-A9E0-917B12066564}" name="V" dataDxfId="83"/>
    <tableColumn id="3" xr3:uid="{5219B515-C0A3-4547-ACA9-47BBABAF72D3}" name="E" dataDxfId="82"/>
    <tableColumn id="4" xr3:uid="{2AE1DABE-8B06-1046-BCBE-1F40336F2F8D}" name="d_max" dataDxfId="81"/>
    <tableColumn id="5" xr3:uid="{C86C8D6B-3195-3F4F-96F4-F708FE6B00BC}" name="#MC" dataDxfId="80"/>
    <tableColumn id="13" xr3:uid="{509970CF-BF55-9444-B9C2-72DD611171C6}" name="G2AIMD" dataDxfId="79"/>
    <tableColumn id="8" xr3:uid="{C77600D2-A754-234A-9C56-EA9994B7275F}" name="CPU Only" dataDxfId="78"/>
    <tableColumn id="11" xr3:uid="{AC9D9F95-859B-354D-B20B-C85B8310D54A}" name="No pingpong" dataDxfId="77"/>
    <tableColumn id="6" xr3:uid="{00BE533A-C453-454B-956C-207F1D177DD9}" name="Column1" dataDxfId="76"/>
    <tableColumn id="7" xr3:uid="{DD735CFC-5929-E243-AB53-B4DFD67E3788}" name="CPU+GPU" dataDxfId="75"/>
    <tableColumn id="9" xr3:uid="{CD0D6AF1-B07D-174C-8489-ADE055FDC18D}" name="Column3" dataDxfId="74"/>
    <tableColumn id="10" xr3:uid="{83EA63C7-27BC-B04E-BFA6-C8ED05A7434C}" name="Column5" dataDxfId="73"/>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29FE261-6349-3D4B-8266-C8BA6B60DBEF}" name="Table21232425" displayName="Table21232425" ref="C5:Q65" totalsRowShown="0" headerRowDxfId="72" dataDxfId="71">
  <autoFilter ref="C5:Q65" xr:uid="{C2D1855A-F6DE-F647-932C-7E457E008762}">
    <filterColumn colId="11">
      <filters>
        <filter val="0.53"/>
        <filter val="0.6"/>
        <filter val="0.66"/>
        <filter val="0.72"/>
        <filter val="0.76"/>
        <filter val="0.8"/>
        <filter val="0.92"/>
        <filter val="0.99"/>
        <filter val="1.0"/>
        <filter val="1.01"/>
        <filter val="1.1"/>
        <filter val="1.16"/>
        <filter val="1.18"/>
        <filter val="1.2"/>
        <filter val="1.3"/>
        <filter val="1.4"/>
        <filter val="1.5"/>
        <filter val="1.6"/>
        <filter val="1.7"/>
        <filter val="1.8"/>
        <filter val="1.86"/>
        <filter val="1.9"/>
        <filter val="2.0"/>
        <filter val="2.1"/>
        <filter val="2.21"/>
        <filter val="2.3"/>
        <filter val="2.6"/>
        <filter val="2.9"/>
        <filter val="3.0"/>
        <filter val="3.1"/>
        <filter val="3.5"/>
        <filter val="3.8"/>
        <filter val="4.00"/>
        <filter val="4.02"/>
        <filter val="4.2"/>
        <filter val="4.35"/>
        <filter val="4.5"/>
        <filter val="4.6"/>
        <filter val="4.9"/>
        <filter val="5.94"/>
        <filter val="7.38"/>
        <filter val="7.7"/>
        <filter val="9.7"/>
      </filters>
    </filterColumn>
  </autoFilter>
  <sortState xmlns:xlrd2="http://schemas.microsoft.com/office/spreadsheetml/2017/richdata2" ref="C16:Q65">
    <sortCondition descending="1" ref="J5:J65"/>
  </sortState>
  <tableColumns count="15">
    <tableColumn id="1" xr3:uid="{2C9A213D-0BE1-AD4F-A3B0-ED4B01D81C03}" name="dataset" dataDxfId="70"/>
    <tableColumn id="2" xr3:uid="{99F57411-E357-6146-AD2F-944EA3B99F22}" name="V" dataDxfId="69"/>
    <tableColumn id="3" xr3:uid="{5DA3F50F-6683-4740-8275-FC8B2AEBA335}" name="E" dataDxfId="68"/>
    <tableColumn id="4" xr3:uid="{927D83F2-F8F5-B542-B08E-3F1134B07F82}" name="d_max" dataDxfId="67"/>
    <tableColumn id="5" xr3:uid="{8E95BA4C-9028-0E4D-9185-262920783C20}" name="Column3" dataDxfId="66"/>
    <tableColumn id="13" xr3:uid="{318AFBDF-EF22-1E4A-85CD-495CB3CF3C71}" name="AIMD" dataDxfId="65"/>
    <tableColumn id="8" xr3:uid="{5C230B4E-7E1D-A645-B48D-91815A51AEE6}" name="Column4" dataDxfId="64"/>
    <tableColumn id="18" xr3:uid="{9C400945-3C78-F840-9780-8447CB0FA306}" name="Ours-One-warp" dataDxfId="63"/>
    <tableColumn id="21" xr3:uid="{D30286C1-C814-674F-AAC3-2D0BB6091E4C}" name="Ours" dataDxfId="62"/>
    <tableColumn id="9" xr3:uid="{165FB5C8-A66B-6B4F-855C-F795F8373EC6}" name="Column5" dataDxfId="61"/>
    <tableColumn id="10" xr3:uid="{BDEF5DE0-0613-924A-A15D-0D8027906427}" name="Imp. One Warp" dataDxfId="60">
      <calculatedColumnFormula>IFERROR(Table21232425[[#This Row],[AIMD]]/Table21232425[[#This Row],[Ours-One-warp]], "NONE")</calculatedColumnFormula>
    </tableColumn>
    <tableColumn id="11" xr3:uid="{F9DF35F2-8695-BF48-8954-6D40FC01ED76}" name="Impr. Ours" dataDxfId="59">
      <calculatedColumnFormula>IFERROR(Table21232425[[#This Row],[AIMD]]/Table21232425[[#This Row],[Ours]], "NONE")</calculatedColumnFormula>
    </tableColumn>
    <tableColumn id="12" xr3:uid="{757CB4BA-7334-0E43-BB3B-4096363E8DCD}" name="Column54" dataDxfId="58"/>
    <tableColumn id="22" xr3:uid="{BDD89152-D598-A741-AB88-00948177B5F5}" name="Column14" dataDxfId="57"/>
    <tableColumn id="6" xr3:uid="{552442CE-C2A8-A144-A063-3B1AE4C1A620}" name="P100" dataDxfId="56"/>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3FD434C1-9517-214A-A32C-CD587D5A9698}" name="Table2123" displayName="Table2123" ref="C5:N68" totalsRowShown="0" headerRowDxfId="55" dataDxfId="54">
  <autoFilter ref="C5:N68" xr:uid="{C2D1855A-F6DE-F647-932C-7E457E008762}"/>
  <sortState xmlns:xlrd2="http://schemas.microsoft.com/office/spreadsheetml/2017/richdata2" ref="C6:N68">
    <sortCondition ref="E5:E68"/>
  </sortState>
  <tableColumns count="12">
    <tableColumn id="7" xr3:uid="{BF239966-238E-AA44-B939-6E5FDC5F71B0}" name="Column2" dataDxfId="53"/>
    <tableColumn id="1" xr3:uid="{07A3267A-F3CC-4549-8CF2-689C95F4D970}" name="Column1" dataDxfId="52"/>
    <tableColumn id="2" xr3:uid="{5888CD12-EF96-DC47-B986-D3BEE536C817}" name="V" dataDxfId="51"/>
    <tableColumn id="3" xr3:uid="{E88B6B80-2EC0-B643-8B7D-095946923F1D}" name="E" dataDxfId="50"/>
    <tableColumn id="4" xr3:uid="{87770781-C48A-7241-901E-9BB9E192477A}" name="d_max" dataDxfId="49"/>
    <tableColumn id="5" xr3:uid="{0F006EB6-C45E-2342-94F3-1EEE253AEDDF}" name="Column3" dataDxfId="48"/>
    <tableColumn id="6" xr3:uid="{45ACA3DD-1024-154B-99F8-E8731884AA56}" name="degen" dataDxfId="47"/>
    <tableColumn id="9" xr3:uid="{C8F5D7A0-26AC-5B4B-A5BF-ECBA904E8B5F}" name="L1+IP" dataDxfId="46"/>
    <tableColumn id="10" xr3:uid="{148621AF-82D1-754C-8A17-F205D10E7546}" name="L1+IPX" dataDxfId="45"/>
    <tableColumn id="11" xr3:uid="{CF2EDA69-7981-DA4B-BC59-275E2B7DD8FF}" name="L2+IP" dataDxfId="44"/>
    <tableColumn id="12" xr3:uid="{A44BD5E2-6546-F946-9DAB-F0E75D944E17}" name="L2+IPX" dataDxfId="43"/>
    <tableColumn id="13" xr3:uid="{41C9E2A0-948C-0449-9519-4FD1DD7303F3}" name="Column6" dataDxfId="42"/>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114581D-F873-BB49-8C36-A5292A876FE1}" name="Table21232425262" displayName="Table21232425262" ref="C5:O65" totalsRowShown="0" headerRowDxfId="41" dataDxfId="40">
  <autoFilter ref="C5:O65" xr:uid="{C2D1855A-F6DE-F647-932C-7E457E008762}">
    <filterColumn colId="7">
      <filters>
        <filter val="0.53"/>
        <filter val="0.6"/>
        <filter val="0.66"/>
        <filter val="0.72"/>
        <filter val="0.76"/>
        <filter val="0.8"/>
        <filter val="0.92"/>
        <filter val="0.99"/>
        <filter val="1.0"/>
        <filter val="1.01"/>
        <filter val="1.1"/>
        <filter val="1.16"/>
        <filter val="1.18"/>
        <filter val="1.2"/>
        <filter val="1.3"/>
        <filter val="1.4"/>
        <filter val="1.5"/>
        <filter val="1.6"/>
        <filter val="1.7"/>
        <filter val="1.8"/>
        <filter val="1.86"/>
        <filter val="1.9"/>
        <filter val="2.0"/>
        <filter val="2.1"/>
        <filter val="2.21"/>
        <filter val="2.3"/>
        <filter val="2.6"/>
        <filter val="2.9"/>
        <filter val="3.0"/>
        <filter val="3.1"/>
        <filter val="3.5"/>
        <filter val="3.8"/>
        <filter val="4.00"/>
        <filter val="4.02"/>
        <filter val="4.2"/>
        <filter val="4.35"/>
        <filter val="4.5"/>
        <filter val="4.6"/>
        <filter val="4.9"/>
        <filter val="5.94"/>
        <filter val="7.38"/>
        <filter val="7.7"/>
        <filter val="9.7"/>
      </filters>
    </filterColumn>
  </autoFilter>
  <sortState xmlns:xlrd2="http://schemas.microsoft.com/office/spreadsheetml/2017/richdata2" ref="C16:O65">
    <sortCondition ref="F5:F65"/>
  </sortState>
  <tableColumns count="13">
    <tableColumn id="1" xr3:uid="{93D2B530-37A6-6B45-8871-3688A64D3200}" name="dataset" dataDxfId="39"/>
    <tableColumn id="2" xr3:uid="{4CA00932-10CB-7242-9605-49C2DA3903A7}" name="V" dataDxfId="38"/>
    <tableColumn id="3" xr3:uid="{21570761-C185-8A43-A5B5-40064CE0EB46}" name="E" dataDxfId="37"/>
    <tableColumn id="4" xr3:uid="{DE0EE7AB-FF9F-9444-A3CE-ED0CE1C6F973}" name="d_max" dataDxfId="36"/>
    <tableColumn id="5" xr3:uid="{E5AC7CCD-B087-B94F-B6E3-D6BB8C84612A}" name="#MC" dataDxfId="35"/>
    <tableColumn id="13" xr3:uid="{D63975A4-7A47-B14E-B1F3-45D05D7759C5}" name="k" dataDxfId="34"/>
    <tableColumn id="8" xr3:uid="{A05DC304-EB27-FB42-A647-BE3A4AC04A40}" name="g" dataDxfId="33"/>
    <tableColumn id="11" xr3:uid="{B6F311BE-FEB9-1E41-80C7-77BC3AE1CC38}" name="Column4" dataDxfId="32"/>
    <tableColumn id="12" xr3:uid="{5F3B423D-E39D-A54A-8E40-5B0FF4A51DB7}" name="Column5" dataDxfId="31"/>
    <tableColumn id="22" xr3:uid="{B28C92C6-3B5F-3D4F-AE63-FA7C5A773801}" name="Column6" dataDxfId="30"/>
    <tableColumn id="6" xr3:uid="{0808855D-658E-A045-8C1C-56022CE500C1}" name="Column7" dataDxfId="29"/>
    <tableColumn id="7" xr3:uid="{23D665A5-EE7E-5B4E-9964-48FA5C9F438F}" name="Column8" dataDxfId="28"/>
    <tableColumn id="9" xr3:uid="{1B24FDF3-D187-D64C-A634-DA395DE6E3A6}" name="Column3" dataDxfId="27"/>
  </tableColumns>
  <tableStyleInfo name="TableStyleLight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4CEF186-5E4D-F74F-8481-B0DCDC51754D}" name="Table11" displayName="Table11" ref="A4:E27" totalsRowShown="0" headerRowDxfId="26" dataDxfId="25" tableBorderDxfId="24">
  <autoFilter ref="A4:E27" xr:uid="{E4CEF186-5E4D-F74F-8481-B0DCDC51754D}"/>
  <sortState xmlns:xlrd2="http://schemas.microsoft.com/office/spreadsheetml/2017/richdata2" ref="A5:E30">
    <sortCondition ref="A4:A30"/>
  </sortState>
  <tableColumns count="5">
    <tableColumn id="1" xr3:uid="{0DF62002-2402-DC45-B774-8359050BA5AB}" name="dataset" dataDxfId="23"/>
    <tableColumn id="2" xr3:uid="{E6188E17-A10C-4545-B48B-A53661D320DB}" name="V" dataDxfId="22"/>
    <tableColumn id="3" xr3:uid="{EE354D71-5480-4C47-A193-930664907DD0}" name="E" dataDxfId="21"/>
    <tableColumn id="4" xr3:uid="{FBBA7B48-2044-F64D-B80B-230FDC7E1AB3}" name="avg_degree" dataDxfId="20"/>
    <tableColumn id="5" xr3:uid="{E7CAFF0E-6D25-364B-81E9-70125D1ED7FE}" name="d_max" dataDxfId="19"/>
  </tableColumns>
  <tableStyleInfo name="TableStyleLight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9052549-E3C8-1646-ACF1-4176A2D91F71}" name="Table20" displayName="Table20" ref="C1:J1325" totalsRowShown="0" headerRowDxfId="18" dataDxfId="17">
  <autoFilter ref="C1:J1325" xr:uid="{B9052549-E3C8-1646-ACF1-4176A2D91F71}"/>
  <sortState xmlns:xlrd2="http://schemas.microsoft.com/office/spreadsheetml/2017/richdata2" ref="C2:J1325">
    <sortCondition descending="1" ref="F1:F1325"/>
  </sortState>
  <tableColumns count="8">
    <tableColumn id="1" xr3:uid="{C0E1B844-CCC7-C34F-94BD-EBA95DE377F7}" name="Column1" dataDxfId="16"/>
    <tableColumn id="2" xr3:uid="{B6BA1FB8-7E1D-C042-AA80-EB33EEF07489}" name="Column2" dataDxfId="15"/>
    <tableColumn id="3" xr3:uid="{3D672021-12CF-7E44-B929-F19CA72D60EC}" name="Column3" dataDxfId="14"/>
    <tableColumn id="4" xr3:uid="{E67ACF71-76CE-354C-BC0B-A74B8388BAB6}" name="Column4" dataDxfId="13"/>
    <tableColumn id="5" xr3:uid="{7230C838-1B3B-0B48-95A0-052BC39D44C0}" name="Column5" dataDxfId="12"/>
    <tableColumn id="6" xr3:uid="{AE57CC59-63EA-7B49-A644-2CB81B9D0778}" name="Avg" dataDxfId="11">
      <calculatedColumnFormula>G2/F2</calculatedColumnFormula>
    </tableColumn>
    <tableColumn id="7" xr3:uid="{6EEE6663-215D-4A4B-BD28-E520BA613AB9}" name="DS" dataDxfId="10"/>
    <tableColumn id="8" xr3:uid="{B4275871-ABC6-FF4E-BBC0-2DFB27420938}" name="Column6" dataDxfId="9">
      <calculatedColumnFormula>"http://konect.cc/files/download.tsv."&amp;I2&amp;".tar.bz2"</calculatedColumnFormula>
    </tableColumn>
  </tableColumns>
  <tableStyleInfo name="TableStyleLight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6BFB292-FCEE-944B-AA6B-53DFC0773001}" name="Table4" displayName="Table4" ref="X1:AC51" totalsRowShown="0" headerRowDxfId="8" dataDxfId="7" tableBorderDxfId="6">
  <autoFilter ref="X1:AC51" xr:uid="{06BFB292-FCEE-944B-AA6B-53DFC0773001}">
    <filterColumn colId="5">
      <filters>
        <filter val="1"/>
      </filters>
    </filterColumn>
  </autoFilter>
  <sortState xmlns:xlrd2="http://schemas.microsoft.com/office/spreadsheetml/2017/richdata2" ref="X6:AC29">
    <sortCondition descending="1" ref="AC1:AC51"/>
  </sortState>
  <tableColumns count="6">
    <tableColumn id="1" xr3:uid="{118D15E2-FFFA-0B4E-B4A6-054085AA3465}" name="dataset" dataDxfId="5"/>
    <tableColumn id="2" xr3:uid="{6CAE8E08-8011-8645-8C1D-572AD42A255C}" name="V" dataDxfId="4"/>
    <tableColumn id="3" xr3:uid="{061E8B13-2CA6-A441-9C80-F42E2F090D03}" name="E" dataDxfId="3"/>
    <tableColumn id="4" xr3:uid="{20CDF773-C4D3-974A-9358-6905826D00BD}" name="avg_degree" dataDxfId="2">
      <calculatedColumnFormula>Table4[[#This Row],[E]]/Table4[[#This Row],[V]]</calculatedColumnFormula>
    </tableColumn>
    <tableColumn id="5" xr3:uid="{941262D5-9BF7-A44F-9261-04A432C92C2E}" name="d_max" dataDxfId="1"/>
    <tableColumn id="6" xr3:uid="{E90FCA38-7D9E-0248-B762-0A09964B4AB4}" name="selected"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DFEBC-7D5C-D748-9A5F-2F159F856E9F}">
  <dimension ref="B1:AT218"/>
  <sheetViews>
    <sheetView topLeftCell="E2" zoomScale="87" workbookViewId="0">
      <selection activeCell="J43" sqref="J43:J82"/>
    </sheetView>
  </sheetViews>
  <sheetFormatPr baseColWidth="10" defaultRowHeight="16" x14ac:dyDescent="0.2"/>
  <cols>
    <col min="3" max="3" width="51.1640625" bestFit="1" customWidth="1"/>
    <col min="4" max="9" width="26.6640625" customWidth="1"/>
    <col min="10" max="10" width="18" customWidth="1"/>
    <col min="11" max="13" width="18.5" customWidth="1"/>
    <col min="14" max="14" width="26.6640625" customWidth="1"/>
    <col min="15" max="16" width="22.83203125" customWidth="1"/>
    <col min="19" max="19" width="23.1640625" bestFit="1" customWidth="1"/>
    <col min="40" max="40" width="32.33203125" customWidth="1"/>
    <col min="43" max="43" width="14.5" customWidth="1"/>
    <col min="44" max="44" width="19.6640625" bestFit="1" customWidth="1"/>
    <col min="45" max="47" width="22.83203125" customWidth="1"/>
    <col min="48" max="48" width="28.5" bestFit="1" customWidth="1"/>
    <col min="49" max="49" width="22.83203125" customWidth="1"/>
    <col min="51" max="51" width="23.1640625" bestFit="1" customWidth="1"/>
  </cols>
  <sheetData>
    <row r="1" spans="2:46" ht="33" thickBot="1" x14ac:dyDescent="0.45">
      <c r="J1" s="110"/>
      <c r="K1" s="121"/>
      <c r="L1" s="121"/>
      <c r="M1" s="121"/>
      <c r="AN1" s="110"/>
      <c r="AO1" s="110" t="s">
        <v>3935</v>
      </c>
      <c r="AP1" s="110"/>
      <c r="AQ1" s="111"/>
      <c r="AR1" s="112"/>
    </row>
    <row r="2" spans="2:46" ht="29" x14ac:dyDescent="0.35">
      <c r="B2" t="s">
        <v>3976</v>
      </c>
      <c r="C2" s="88" t="s">
        <v>25</v>
      </c>
      <c r="D2" s="88" t="s">
        <v>3977</v>
      </c>
      <c r="E2" s="13" t="s">
        <v>3959</v>
      </c>
      <c r="F2" s="13" t="s">
        <v>3960</v>
      </c>
      <c r="G2" s="13" t="s">
        <v>3987</v>
      </c>
      <c r="H2" s="13" t="s">
        <v>3986</v>
      </c>
      <c r="I2" s="71" t="s">
        <v>3989</v>
      </c>
      <c r="J2" s="88" t="s">
        <v>3935</v>
      </c>
      <c r="K2" s="171" t="s">
        <v>3999</v>
      </c>
      <c r="L2" s="171" t="s">
        <v>3997</v>
      </c>
      <c r="M2" s="171" t="s">
        <v>3998</v>
      </c>
      <c r="N2" s="171" t="s">
        <v>4020</v>
      </c>
      <c r="O2" s="13"/>
      <c r="P2" s="13" t="s">
        <v>4020</v>
      </c>
      <c r="AI2" t="s">
        <v>3976</v>
      </c>
      <c r="AJ2" s="88" t="s">
        <v>25</v>
      </c>
      <c r="AK2" s="88" t="s">
        <v>3977</v>
      </c>
      <c r="AL2" t="s">
        <v>3944</v>
      </c>
      <c r="AM2" s="115" t="s">
        <v>3978</v>
      </c>
      <c r="AN2" s="88" t="s">
        <v>3979</v>
      </c>
      <c r="AO2" s="88" t="s">
        <v>3980</v>
      </c>
      <c r="AP2" s="88" t="s">
        <v>3981</v>
      </c>
      <c r="AQ2" s="88" t="s">
        <v>3982</v>
      </c>
      <c r="AR2" s="88" t="s">
        <v>3983</v>
      </c>
      <c r="AS2" s="71" t="s">
        <v>3985</v>
      </c>
      <c r="AT2" t="s">
        <v>19</v>
      </c>
    </row>
    <row r="3" spans="2:46" ht="26" hidden="1" x14ac:dyDescent="0.35">
      <c r="B3" s="87"/>
      <c r="C3" s="84" t="s">
        <v>1408</v>
      </c>
      <c r="D3" s="87">
        <v>9</v>
      </c>
      <c r="E3" s="125">
        <v>0.29519200000000001</v>
      </c>
      <c r="F3" s="125">
        <v>0.117589</v>
      </c>
      <c r="G3" s="125"/>
      <c r="H3" s="125">
        <v>0.88711899999999999</v>
      </c>
      <c r="I3" s="123">
        <v>0.135495</v>
      </c>
      <c r="J3" s="125">
        <v>0.80822000000000005</v>
      </c>
      <c r="K3" s="125">
        <f>Table711[[#This Row],[G2AIMD (pingpong)]]/Table711[[#This Row],[gpu-hybrid-copy]]</f>
        <v>0.33275355392004907</v>
      </c>
      <c r="L3" s="125">
        <f>Table711[[#This Row],[G2AIMD (pingpong)]]/Table711[[#This Row],[gpu-layered]]</f>
        <v>2.5103708680233696</v>
      </c>
      <c r="M3" s="125">
        <f>Table711[[#This Row],[gpu-layered]]/Table711[[#This Row],[CPU+GPU]]</f>
        <v>0.14549132661898986</v>
      </c>
      <c r="N3" s="149">
        <f>Table711[[#This Row],[CPU Only (X &gt; 30m)]]/Table711[[#This Row],[CPU+GPU]]</f>
        <v>0.16764618544455717</v>
      </c>
      <c r="AJ3" s="68" t="s">
        <v>1408</v>
      </c>
      <c r="AK3">
        <v>9</v>
      </c>
      <c r="AM3" s="2">
        <v>0.117589</v>
      </c>
      <c r="AN3" s="94">
        <f ca="1">Table7[[#This Row],[cpuchunk=1]]/Table7[[#This Row],[CPU Only (30m X)]]</f>
        <v>2.184897526895706</v>
      </c>
      <c r="AQ3" s="94" t="e">
        <f ca="1">Table7[[#This Row],[cpuchunk=1]]/Table7[[#This Row],[GPU_chunk10_ratio]]</f>
        <v>#DIV/0!</v>
      </c>
      <c r="AR3" s="2">
        <v>5.3818999999999999E-2</v>
      </c>
    </row>
    <row r="4" spans="2:46" ht="26" hidden="1" x14ac:dyDescent="0.35">
      <c r="B4" s="87"/>
      <c r="C4" s="84" t="s">
        <v>1408</v>
      </c>
      <c r="D4" s="87">
        <v>7</v>
      </c>
      <c r="E4" s="125">
        <v>0.47237400000000002</v>
      </c>
      <c r="F4" s="125">
        <v>0.25453300000000001</v>
      </c>
      <c r="G4" s="125"/>
      <c r="H4" s="125">
        <v>1.179624</v>
      </c>
      <c r="I4" s="123">
        <v>95.055833000000007</v>
      </c>
      <c r="J4" s="125">
        <v>3.66</v>
      </c>
      <c r="K4" s="125">
        <f>Table711[[#This Row],[G2AIMD (pingpong)]]/Table711[[#This Row],[gpu-hybrid-copy]]</f>
        <v>0.40044454843238186</v>
      </c>
      <c r="L4" s="125">
        <f>Table711[[#This Row],[G2AIMD (pingpong)]]/Table711[[#This Row],[gpu-layered]]</f>
        <v>1.8558458038839758</v>
      </c>
      <c r="M4" s="125">
        <f>Table711[[#This Row],[gpu-layered]]/Table711[[#This Row],[CPU+GPU]]</f>
        <v>6.9544535519125678E-2</v>
      </c>
      <c r="N4" s="149">
        <f>Table711[[#This Row],[CPU Only (X &gt; 30m)]]/Table711[[#This Row],[CPU+GPU]]</f>
        <v>25.971539071038251</v>
      </c>
      <c r="AJ4" s="68" t="s">
        <v>1346</v>
      </c>
      <c r="AK4">
        <v>24</v>
      </c>
      <c r="AM4" s="2">
        <v>0.170796</v>
      </c>
      <c r="AN4" s="94">
        <f ca="1">Table7[[#This Row],[cpuchunk=1]]/Table7[[#This Row],[CPU Only (30m X)]]</f>
        <v>0.50613570562837273</v>
      </c>
      <c r="AQ4" s="94" t="e">
        <f ca="1">Table7[[#This Row],[cpuchunk=1]]/Table7[[#This Row],[GPU_chunk10_ratio]]</f>
        <v>#DIV/0!</v>
      </c>
      <c r="AR4" s="2">
        <v>0.337451</v>
      </c>
    </row>
    <row r="5" spans="2:46" ht="26" hidden="1" x14ac:dyDescent="0.35">
      <c r="B5" s="87"/>
      <c r="C5" s="84" t="s">
        <v>3919</v>
      </c>
      <c r="D5" s="87">
        <v>2</v>
      </c>
      <c r="E5" s="125">
        <v>2.1774770000000001</v>
      </c>
      <c r="F5" s="125">
        <v>0.35126800000000002</v>
      </c>
      <c r="G5" s="125"/>
      <c r="H5" s="125">
        <v>0.26249400000000001</v>
      </c>
      <c r="I5" s="123">
        <v>5.7128509999999997</v>
      </c>
      <c r="J5" s="125">
        <v>1.1177680000000001</v>
      </c>
      <c r="K5" s="125">
        <f>Table711[[#This Row],[G2AIMD (pingpong)]]/Table711[[#This Row],[gpu-hybrid-copy]]</f>
        <v>8.2953400839638238</v>
      </c>
      <c r="L5" s="125">
        <f>Table711[[#This Row],[G2AIMD (pingpong)]]/Table711[[#This Row],[gpu-layered]]</f>
        <v>6.1989051094890506</v>
      </c>
      <c r="M5" s="125">
        <f>Table711[[#This Row],[gpu-layered]]/Table711[[#This Row],[CPU+GPU]]</f>
        <v>0.31425841498414697</v>
      </c>
      <c r="N5" s="149">
        <f>Table711[[#This Row],[CPU Only (X &gt; 30m)]]/Table711[[#This Row],[CPU+GPU]]</f>
        <v>5.1109452050872806</v>
      </c>
      <c r="Q5" t="s">
        <v>3972</v>
      </c>
      <c r="AJ5" s="68" t="s">
        <v>1371</v>
      </c>
      <c r="AK5">
        <v>24</v>
      </c>
      <c r="AM5" s="2">
        <v>0.18123400000000001</v>
      </c>
      <c r="AN5" s="94">
        <f ca="1">Table7[[#This Row],[cpuchunk=1]]/Table7[[#This Row],[CPU Only (30m X)]]</f>
        <v>0.82478064586594835</v>
      </c>
      <c r="AQ5" s="94" t="e">
        <f ca="1">Table7[[#This Row],[cpuchunk=1]]/Table7[[#This Row],[GPU_chunk10_ratio]]</f>
        <v>#DIV/0!</v>
      </c>
      <c r="AR5" s="2">
        <v>0.21973599999999999</v>
      </c>
    </row>
    <row r="6" spans="2:46" ht="26" hidden="1" x14ac:dyDescent="0.35">
      <c r="B6" s="87"/>
      <c r="C6" s="84" t="s">
        <v>1371</v>
      </c>
      <c r="D6" s="87">
        <v>2</v>
      </c>
      <c r="E6" s="125">
        <v>2.2413180000000001</v>
      </c>
      <c r="F6" s="125">
        <v>0.39108199999999999</v>
      </c>
      <c r="G6" s="125"/>
      <c r="H6" s="125">
        <v>0.35967500000000002</v>
      </c>
      <c r="I6" s="123">
        <v>18.897711999999999</v>
      </c>
      <c r="J6" s="125">
        <v>3.5</v>
      </c>
      <c r="K6" s="125">
        <f>Table711[[#This Row],[G2AIMD (pingpong)]]/Table711[[#This Row],[gpu-hybrid-copy]]</f>
        <v>6.2315090011816219</v>
      </c>
      <c r="L6" s="125">
        <f>Table711[[#This Row],[G2AIMD (pingpong)]]/Table711[[#This Row],[gpu-layered]]</f>
        <v>5.7310691875361179</v>
      </c>
      <c r="M6" s="125">
        <f>Table711[[#This Row],[gpu-layered]]/Table711[[#This Row],[CPU+GPU]]</f>
        <v>0.11173771428571429</v>
      </c>
      <c r="N6" s="149">
        <f>Table711[[#This Row],[CPU Only (X &gt; 30m)]]/Table711[[#This Row],[CPU+GPU]]</f>
        <v>5.3993462857142855</v>
      </c>
      <c r="Q6" t="s">
        <v>3973</v>
      </c>
      <c r="AJ6" s="68" t="s">
        <v>1408</v>
      </c>
      <c r="AK6">
        <v>7</v>
      </c>
      <c r="AM6" s="2">
        <v>0.25453300000000001</v>
      </c>
      <c r="AN6" s="94">
        <f ca="1">Table7[[#This Row],[cpuchunk=1]]/Table7[[#This Row],[CPU Only (30m X)]]</f>
        <v>0.24474326923076922</v>
      </c>
      <c r="AQ6" s="94" t="e">
        <f ca="1">Table7[[#This Row],[cpuchunk=1]]/Table7[[#This Row],[GPU_chunk10_ratio]]</f>
        <v>#DIV/0!</v>
      </c>
      <c r="AR6" s="2">
        <v>1.04</v>
      </c>
    </row>
    <row r="7" spans="2:46" ht="26" hidden="1" x14ac:dyDescent="0.35">
      <c r="B7" s="87"/>
      <c r="C7" s="84" t="s">
        <v>1391</v>
      </c>
      <c r="D7" s="87">
        <v>9</v>
      </c>
      <c r="E7" s="125">
        <v>0.66364400000000001</v>
      </c>
      <c r="F7" s="125">
        <v>0.40964400000000001</v>
      </c>
      <c r="G7" s="125"/>
      <c r="H7" s="125">
        <v>1.7647679999999999</v>
      </c>
      <c r="I7" s="123">
        <v>15.837813000000001</v>
      </c>
      <c r="J7" s="125">
        <v>1.7730490000000001</v>
      </c>
      <c r="K7" s="125">
        <f>Table711[[#This Row],[G2AIMD (pingpong)]]/Table711[[#This Row],[gpu-hybrid-copy]]</f>
        <v>0.37605169631362312</v>
      </c>
      <c r="L7" s="125">
        <f>Table711[[#This Row],[G2AIMD (pingpong)]]/Table711[[#This Row],[gpu-layered]]</f>
        <v>1.6200505805040475</v>
      </c>
      <c r="M7" s="125">
        <f>Table711[[#This Row],[gpu-layered]]/Table711[[#This Row],[CPU+GPU]]</f>
        <v>0.23103930009830523</v>
      </c>
      <c r="N7" s="149">
        <f>Table711[[#This Row],[CPU Only (X &gt; 30m)]]/Table711[[#This Row],[CPU+GPU]]</f>
        <v>8.9325297834408417</v>
      </c>
      <c r="AJ7" s="68" t="s">
        <v>3919</v>
      </c>
      <c r="AK7">
        <v>24</v>
      </c>
      <c r="AM7" s="2">
        <v>0.27111200000000002</v>
      </c>
      <c r="AN7" s="94">
        <f ca="1">Table7[[#This Row],[cpuchunk=1]]/Table7[[#This Row],[CPU Only (30m X)]]</f>
        <v>1.0106277095813405</v>
      </c>
      <c r="AQ7" s="94" t="e">
        <f ca="1">Table7[[#This Row],[cpuchunk=1]]/Table7[[#This Row],[GPU_chunk10_ratio]]</f>
        <v>#DIV/0!</v>
      </c>
      <c r="AR7" s="2">
        <v>0.26826100000000003</v>
      </c>
    </row>
    <row r="8" spans="2:46" ht="26" hidden="1" x14ac:dyDescent="0.35">
      <c r="B8" s="87"/>
      <c r="C8" s="84" t="s">
        <v>3912</v>
      </c>
      <c r="D8" s="87">
        <v>2</v>
      </c>
      <c r="E8" s="125">
        <v>0.51276999999999995</v>
      </c>
      <c r="F8" s="125">
        <v>0.57725099999999996</v>
      </c>
      <c r="G8" s="125"/>
      <c r="H8" s="125">
        <v>0.68419399999999997</v>
      </c>
      <c r="I8" s="123">
        <v>9.4467379999999999</v>
      </c>
      <c r="J8" s="125">
        <v>2.1800000000000002</v>
      </c>
      <c r="K8" s="125">
        <f>Table711[[#This Row],[G2AIMD (pingpong)]]/Table711[[#This Row],[gpu-hybrid-copy]]</f>
        <v>0.74945117905155556</v>
      </c>
      <c r="L8" s="125">
        <f>Table711[[#This Row],[G2AIMD (pingpong)]]/Table711[[#This Row],[gpu-layered]]</f>
        <v>0.88829642564499667</v>
      </c>
      <c r="M8" s="125">
        <f>Table711[[#This Row],[gpu-layered]]/Table711[[#This Row],[CPU+GPU]]</f>
        <v>0.26479403669724766</v>
      </c>
      <c r="N8" s="149">
        <f>Table711[[#This Row],[CPU Only (X &gt; 30m)]]/Table711[[#This Row],[CPU+GPU]]</f>
        <v>4.3333660550458708</v>
      </c>
      <c r="Q8" t="s">
        <v>3974</v>
      </c>
      <c r="AJ8" s="68" t="s">
        <v>1425</v>
      </c>
      <c r="AK8">
        <v>24</v>
      </c>
      <c r="AM8" s="2">
        <v>0.27822200000000002</v>
      </c>
      <c r="AN8" s="94">
        <f ca="1">Table7[[#This Row],[cpuchunk=1]]/Table7[[#This Row],[CPU Only (30m X)]]</f>
        <v>0.6852302925667505</v>
      </c>
      <c r="AQ8" s="94" t="e">
        <f ca="1">Table7[[#This Row],[cpuchunk=1]]/Table7[[#This Row],[GPU_chunk10_ratio]]</f>
        <v>#DIV/0!</v>
      </c>
      <c r="AR8" s="2">
        <v>0.40602700000000003</v>
      </c>
    </row>
    <row r="9" spans="2:46" ht="26" hidden="1" x14ac:dyDescent="0.35">
      <c r="B9" s="87"/>
      <c r="C9" s="84" t="s">
        <v>1371</v>
      </c>
      <c r="D9" s="87">
        <v>9</v>
      </c>
      <c r="E9" s="125">
        <v>2.5862780000000001</v>
      </c>
      <c r="F9" s="125">
        <v>0.67302200000000001</v>
      </c>
      <c r="G9" s="125"/>
      <c r="H9" s="125">
        <v>0.51527199999999995</v>
      </c>
      <c r="I9" s="123">
        <v>22.9221</v>
      </c>
      <c r="J9" s="125">
        <v>4.04</v>
      </c>
      <c r="K9" s="125">
        <f>Table711[[#This Row],[G2AIMD (pingpong)]]/Table711[[#This Row],[gpu-hybrid-copy]]</f>
        <v>5.0192480864475471</v>
      </c>
      <c r="L9" s="125">
        <f>Table711[[#This Row],[G2AIMD (pingpong)]]/Table711[[#This Row],[gpu-layered]]</f>
        <v>3.842783742581966</v>
      </c>
      <c r="M9" s="125">
        <f>Table711[[#This Row],[gpu-layered]]/Table711[[#This Row],[CPU+GPU]]</f>
        <v>0.16658960396039604</v>
      </c>
      <c r="N9" s="149">
        <f>Table711[[#This Row],[CPU Only (X &gt; 30m)]]/Table711[[#This Row],[CPU+GPU]]</f>
        <v>5.6737871287128714</v>
      </c>
      <c r="AJ9" s="68" t="s">
        <v>1371</v>
      </c>
      <c r="AK9">
        <v>25</v>
      </c>
      <c r="AM9" s="2">
        <v>0.29469600000000001</v>
      </c>
      <c r="AN9" s="94">
        <f ca="1">Table7[[#This Row],[cpuchunk=1]]/Table7[[#This Row],[CPU Only (30m X)]]</f>
        <v>0.68562973165386287</v>
      </c>
      <c r="AQ9" s="94" t="e">
        <f ca="1">Table7[[#This Row],[cpuchunk=1]]/Table7[[#This Row],[GPU_chunk10_ratio]]</f>
        <v>#DIV/0!</v>
      </c>
      <c r="AR9" s="2">
        <v>0.42981799999999998</v>
      </c>
    </row>
    <row r="10" spans="2:46" ht="26" hidden="1" x14ac:dyDescent="0.35">
      <c r="B10" s="87"/>
      <c r="C10" s="84" t="s">
        <v>1346</v>
      </c>
      <c r="D10" s="87">
        <v>2</v>
      </c>
      <c r="E10" s="125">
        <v>2.4068320000000001</v>
      </c>
      <c r="F10" s="125">
        <v>0.71216500000000005</v>
      </c>
      <c r="G10" s="125"/>
      <c r="H10" s="125">
        <v>0.87592300000000001</v>
      </c>
      <c r="I10" s="123">
        <v>22.320332000000001</v>
      </c>
      <c r="J10" s="125">
        <v>4.82</v>
      </c>
      <c r="K10" s="125">
        <f>Table711[[#This Row],[G2AIMD (pingpong)]]/Table711[[#This Row],[gpu-hybrid-copy]]</f>
        <v>2.7477666415883588</v>
      </c>
      <c r="L10" s="125">
        <f>Table711[[#This Row],[G2AIMD (pingpong)]]/Table711[[#This Row],[gpu-layered]]</f>
        <v>3.3795988289230725</v>
      </c>
      <c r="M10" s="125">
        <f>Table711[[#This Row],[gpu-layered]]/Table711[[#This Row],[CPU+GPU]]</f>
        <v>0.14775207468879667</v>
      </c>
      <c r="N10" s="149">
        <f>Table711[[#This Row],[CPU Only (X &gt; 30m)]]/Table711[[#This Row],[CPU+GPU]]</f>
        <v>4.630774273858921</v>
      </c>
      <c r="AJ10" s="68" t="s">
        <v>1437</v>
      </c>
      <c r="AK10">
        <v>24</v>
      </c>
      <c r="AM10" s="2">
        <v>0.29792999999999997</v>
      </c>
      <c r="AN10" s="94">
        <f ca="1">Table7[[#This Row],[cpuchunk=1]]/Table7[[#This Row],[CPU Only (30m X)]]</f>
        <v>0.71661198610696852</v>
      </c>
      <c r="AQ10" s="94" t="e">
        <f ca="1">Table7[[#This Row],[cpuchunk=1]]/Table7[[#This Row],[GPU_chunk10_ratio]]</f>
        <v>#DIV/0!</v>
      </c>
      <c r="AR10" s="2">
        <v>0.41574800000000001</v>
      </c>
    </row>
    <row r="11" spans="2:46" ht="26" hidden="1" x14ac:dyDescent="0.35">
      <c r="B11" s="87"/>
      <c r="C11" s="84" t="s">
        <v>3919</v>
      </c>
      <c r="D11" s="87">
        <v>9</v>
      </c>
      <c r="E11" s="125">
        <v>2.8009819999999999</v>
      </c>
      <c r="F11" s="125">
        <v>0.948967</v>
      </c>
      <c r="G11" s="125"/>
      <c r="H11" s="125">
        <v>0.70522399999999996</v>
      </c>
      <c r="I11" s="123">
        <v>18.058859000000002</v>
      </c>
      <c r="J11" s="125">
        <v>2.3128129999999998</v>
      </c>
      <c r="K11" s="125">
        <f>Table711[[#This Row],[G2AIMD (pingpong)]]/Table711[[#This Row],[gpu-hybrid-copy]]</f>
        <v>3.9717621635111682</v>
      </c>
      <c r="L11" s="125">
        <f>Table711[[#This Row],[G2AIMD (pingpong)]]/Table711[[#This Row],[gpu-layered]]</f>
        <v>2.9516115945022321</v>
      </c>
      <c r="M11" s="125">
        <f>Table711[[#This Row],[gpu-layered]]/Table711[[#This Row],[CPU+GPU]]</f>
        <v>0.41030857228837786</v>
      </c>
      <c r="N11" s="149">
        <f>Table711[[#This Row],[CPU Only (X &gt; 30m)]]/Table711[[#This Row],[CPU+GPU]]</f>
        <v>7.8081794766805634</v>
      </c>
      <c r="AJ11" s="68" t="s">
        <v>1411</v>
      </c>
      <c r="AK11">
        <v>25</v>
      </c>
      <c r="AM11" s="2">
        <v>0.30438700000000002</v>
      </c>
      <c r="AN11" s="94">
        <f ca="1">Table7[[#This Row],[cpuchunk=1]]/Table7[[#This Row],[CPU Only (30m X)]]</f>
        <v>0.91364157546869651</v>
      </c>
      <c r="AP11" s="108"/>
      <c r="AQ11" s="94" t="e">
        <f ca="1">Table7[[#This Row],[cpuchunk=1]]/Table7[[#This Row],[GPU_chunk10_ratio]]</f>
        <v>#DIV/0!</v>
      </c>
      <c r="AR11" s="2">
        <v>0.33315800000000001</v>
      </c>
    </row>
    <row r="12" spans="2:46" ht="26" hidden="1" x14ac:dyDescent="0.35">
      <c r="B12" s="87"/>
      <c r="C12" s="84" t="s">
        <v>1408</v>
      </c>
      <c r="D12" s="87">
        <v>2</v>
      </c>
      <c r="E12" s="125">
        <v>0.29532700000000001</v>
      </c>
      <c r="F12" s="125">
        <v>1.103539</v>
      </c>
      <c r="G12" s="125"/>
      <c r="H12" s="125">
        <v>0.89108399999999999</v>
      </c>
      <c r="I12" s="123">
        <v>8.3141999999999994E-2</v>
      </c>
      <c r="J12" s="125">
        <v>1.030009</v>
      </c>
      <c r="K12" s="125">
        <f>Table711[[#This Row],[G2AIMD (pingpong)]]/Table711[[#This Row],[gpu-hybrid-copy]]</f>
        <v>0.33142442238891062</v>
      </c>
      <c r="L12" s="125">
        <f>Table711[[#This Row],[G2AIMD (pingpong)]]/Table711[[#This Row],[gpu-layered]]</f>
        <v>0.26761809052511965</v>
      </c>
      <c r="M12" s="125">
        <f>Table711[[#This Row],[gpu-layered]]/Table711[[#This Row],[CPU+GPU]]</f>
        <v>1.0713877257383189</v>
      </c>
      <c r="N12" s="149">
        <f>Table711[[#This Row],[CPU Only (X &gt; 30m)]]/Table711[[#This Row],[CPU+GPU]]</f>
        <v>8.0719683031895834E-2</v>
      </c>
      <c r="AJ12" s="68" t="s">
        <v>3919</v>
      </c>
      <c r="AK12">
        <v>2</v>
      </c>
      <c r="AM12" s="2">
        <v>0.35126800000000002</v>
      </c>
      <c r="AN12" s="94">
        <f ca="1">Table7[[#This Row],[cpuchunk=1]]/Table7[[#This Row],[CPU Only (30m X)]]</f>
        <v>0.9148295053532689</v>
      </c>
      <c r="AQ12" s="94" t="e">
        <f ca="1">Table7[[#This Row],[cpuchunk=1]]/Table7[[#This Row],[GPU_chunk10_ratio]]</f>
        <v>#DIV/0!</v>
      </c>
      <c r="AR12" s="2">
        <v>0.38397100000000001</v>
      </c>
    </row>
    <row r="13" spans="2:46" ht="26" hidden="1" x14ac:dyDescent="0.35">
      <c r="B13" s="87"/>
      <c r="C13" s="84" t="s">
        <v>1408</v>
      </c>
      <c r="D13" s="87">
        <v>5</v>
      </c>
      <c r="E13" s="125">
        <v>2.1705930000000002</v>
      </c>
      <c r="F13" s="125">
        <v>1.2022219999999999</v>
      </c>
      <c r="G13" s="125"/>
      <c r="H13" s="125">
        <v>1.159494</v>
      </c>
      <c r="I13" s="123">
        <v>5.5105000000000001E-2</v>
      </c>
      <c r="J13" s="125">
        <v>0.80837800000000004</v>
      </c>
      <c r="K13" s="125">
        <f>Table711[[#This Row],[G2AIMD (pingpong)]]/Table711[[#This Row],[gpu-hybrid-copy]]</f>
        <v>1.8720174489906805</v>
      </c>
      <c r="L13" s="125">
        <f>Table711[[#This Row],[G2AIMD (pingpong)]]/Table711[[#This Row],[gpu-layered]]</f>
        <v>1.8054843448215059</v>
      </c>
      <c r="M13" s="125">
        <f>Table711[[#This Row],[gpu-layered]]/Table711[[#This Row],[CPU+GPU]]</f>
        <v>1.4872027690016303</v>
      </c>
      <c r="N13" s="149">
        <f>Table711[[#This Row],[CPU Only (X &gt; 30m)]]/Table711[[#This Row],[CPU+GPU]]</f>
        <v>6.8167367246510915E-2</v>
      </c>
      <c r="AJ13" s="68" t="s">
        <v>1371</v>
      </c>
      <c r="AK13">
        <v>2</v>
      </c>
      <c r="AM13" s="2">
        <v>0.39108199999999999</v>
      </c>
      <c r="AN13" s="94">
        <f ca="1">Table7[[#This Row],[cpuchunk=1]]/Table7[[#This Row],[CPU Only (30m X)]]</f>
        <v>0.49504050632911389</v>
      </c>
      <c r="AQ13" s="94" t="e">
        <f ca="1">Table7[[#This Row],[cpuchunk=1]]/Table7[[#This Row],[GPU_chunk10_ratio]]</f>
        <v>#DIV/0!</v>
      </c>
      <c r="AR13" s="2">
        <v>0.79</v>
      </c>
    </row>
    <row r="14" spans="2:46" ht="26" hidden="1" x14ac:dyDescent="0.35">
      <c r="B14" s="87"/>
      <c r="C14" s="84" t="s">
        <v>1408</v>
      </c>
      <c r="D14" s="87">
        <v>8</v>
      </c>
      <c r="E14" s="125">
        <v>0.46597300000000003</v>
      </c>
      <c r="F14" s="125">
        <v>1.359286</v>
      </c>
      <c r="G14" s="125"/>
      <c r="H14" s="125">
        <v>0.94250100000000003</v>
      </c>
      <c r="I14" s="123">
        <v>142.51957999999999</v>
      </c>
      <c r="J14" s="125">
        <v>3.41</v>
      </c>
      <c r="K14" s="125">
        <f>Table711[[#This Row],[G2AIMD (pingpong)]]/Table711[[#This Row],[gpu-hybrid-copy]]</f>
        <v>0.49440053644505416</v>
      </c>
      <c r="L14" s="125">
        <f>Table711[[#This Row],[G2AIMD (pingpong)]]/Table711[[#This Row],[gpu-layered]]</f>
        <v>0.34280717965167007</v>
      </c>
      <c r="M14" s="125">
        <f>Table711[[#This Row],[gpu-layered]]/Table711[[#This Row],[CPU+GPU]]</f>
        <v>0.39861759530791785</v>
      </c>
      <c r="N14" s="149">
        <f>Table711[[#This Row],[CPU Only (X &gt; 30m)]]/Table711[[#This Row],[CPU+GPU]]</f>
        <v>41.794598240469206</v>
      </c>
      <c r="AJ14" s="68" t="s">
        <v>1433</v>
      </c>
      <c r="AK14">
        <v>24</v>
      </c>
      <c r="AM14" s="2">
        <v>0.39257300000000001</v>
      </c>
      <c r="AN14" s="94">
        <f ca="1">Table7[[#This Row],[cpuchunk=1]]/Table7[[#This Row],[CPU Only (30m X)]]</f>
        <v>0.8352617021276596</v>
      </c>
      <c r="AQ14" s="94" t="e">
        <f ca="1">Table7[[#This Row],[cpuchunk=1]]/Table7[[#This Row],[GPU_chunk10_ratio]]</f>
        <v>#DIV/0!</v>
      </c>
      <c r="AR14" s="2">
        <v>0.47</v>
      </c>
    </row>
    <row r="15" spans="2:46" ht="26" hidden="1" x14ac:dyDescent="0.35">
      <c r="B15" s="87"/>
      <c r="C15" s="84" t="s">
        <v>1431</v>
      </c>
      <c r="D15" s="87">
        <v>7</v>
      </c>
      <c r="E15" s="125">
        <v>1.663343</v>
      </c>
      <c r="F15" s="125">
        <v>1.4923439999999999</v>
      </c>
      <c r="G15" s="125"/>
      <c r="H15" s="125">
        <v>2.4612229999999999</v>
      </c>
      <c r="I15" s="123">
        <v>40.757514</v>
      </c>
      <c r="J15" s="125">
        <v>3.64</v>
      </c>
      <c r="K15" s="125">
        <f>Table711[[#This Row],[G2AIMD (pingpong)]]/Table711[[#This Row],[gpu-hybrid-copy]]</f>
        <v>0.6758197042689752</v>
      </c>
      <c r="L15" s="125">
        <f>Table711[[#This Row],[G2AIMD (pingpong)]]/Table711[[#This Row],[gpu-layered]]</f>
        <v>1.1145841709418205</v>
      </c>
      <c r="M15" s="125">
        <f>Table711[[#This Row],[gpu-layered]]/Table711[[#This Row],[CPU+GPU]]</f>
        <v>0.40998461538461534</v>
      </c>
      <c r="N15" s="149">
        <f>Table711[[#This Row],[CPU Only (X &gt; 30m)]]/Table711[[#This Row],[CPU+GPU]]</f>
        <v>11.19711923076923</v>
      </c>
      <c r="O15" t="s">
        <v>3990</v>
      </c>
      <c r="P15" t="s">
        <v>3991</v>
      </c>
      <c r="AJ15" s="68" t="s">
        <v>1411</v>
      </c>
      <c r="AK15">
        <v>24</v>
      </c>
      <c r="AM15" s="2">
        <v>0.40340599999999999</v>
      </c>
      <c r="AN15" s="94">
        <f ca="1">Table7[[#This Row],[cpuchunk=1]]/Table7[[#This Row],[CPU Only (30m X)]]</f>
        <v>0.53038352969327884</v>
      </c>
      <c r="AQ15" s="94" t="e">
        <f ca="1">Table7[[#This Row],[cpuchunk=1]]/Table7[[#This Row],[GPU_chunk10_ratio]]</f>
        <v>#DIV/0!</v>
      </c>
      <c r="AR15" s="2">
        <v>0.76059299999999996</v>
      </c>
    </row>
    <row r="16" spans="2:46" ht="26" hidden="1" x14ac:dyDescent="0.35">
      <c r="B16" s="87"/>
      <c r="C16" s="84" t="s">
        <v>1431</v>
      </c>
      <c r="D16" s="87">
        <v>9</v>
      </c>
      <c r="E16" s="125">
        <v>0.31252000000000002</v>
      </c>
      <c r="F16" s="125">
        <v>1.5036099999999999</v>
      </c>
      <c r="G16" s="125"/>
      <c r="H16" s="125">
        <v>1.138563</v>
      </c>
      <c r="I16" s="123">
        <v>0.237675</v>
      </c>
      <c r="J16" s="125">
        <v>1.26372</v>
      </c>
      <c r="K16" s="125">
        <f>Table711[[#This Row],[G2AIMD (pingpong)]]/Table711[[#This Row],[gpu-hybrid-copy]]</f>
        <v>0.2744863481423514</v>
      </c>
      <c r="L16" s="125">
        <f>Table711[[#This Row],[G2AIMD (pingpong)]]/Table711[[#This Row],[gpu-layered]]</f>
        <v>0.20784644954476231</v>
      </c>
      <c r="M16" s="125">
        <f>Table711[[#This Row],[gpu-layered]]/Table711[[#This Row],[CPU+GPU]]</f>
        <v>1.1898284430095274</v>
      </c>
      <c r="N16" s="149">
        <f>Table711[[#This Row],[CPU Only (X &gt; 30m)]]/Table711[[#This Row],[CPU+GPU]]</f>
        <v>0.18807568132181179</v>
      </c>
      <c r="O16" t="s">
        <v>3992</v>
      </c>
      <c r="P16" t="s">
        <v>3993</v>
      </c>
      <c r="AJ16" s="68" t="s">
        <v>1391</v>
      </c>
      <c r="AK16">
        <v>9</v>
      </c>
      <c r="AM16" s="2">
        <v>0.40964400000000001</v>
      </c>
      <c r="AN16" s="94">
        <f ca="1">Table7[[#This Row],[cpuchunk=1]]/Table7[[#This Row],[CPU Only (30m X)]]</f>
        <v>0.91892522421071998</v>
      </c>
      <c r="AQ16" s="94" t="e">
        <f ca="1">Table7[[#This Row],[cpuchunk=1]]/Table7[[#This Row],[GPU_chunk10_ratio]]</f>
        <v>#DIV/0!</v>
      </c>
      <c r="AR16" s="2">
        <v>0.44578600000000002</v>
      </c>
    </row>
    <row r="17" spans="2:44" ht="26" hidden="1" x14ac:dyDescent="0.35">
      <c r="B17" s="87"/>
      <c r="C17" s="84" t="s">
        <v>1346</v>
      </c>
      <c r="D17" s="87">
        <v>9</v>
      </c>
      <c r="E17" s="125">
        <v>3.3691879999999998</v>
      </c>
      <c r="F17" s="125">
        <v>1.544257</v>
      </c>
      <c r="G17" s="125"/>
      <c r="H17" s="125">
        <v>1.3374809999999999</v>
      </c>
      <c r="I17" s="123">
        <v>131.51616200000001</v>
      </c>
      <c r="J17" s="125">
        <v>6.17</v>
      </c>
      <c r="K17" s="125">
        <f>Table711[[#This Row],[G2AIMD (pingpong)]]/Table711[[#This Row],[gpu-hybrid-copy]]</f>
        <v>2.5190548501249737</v>
      </c>
      <c r="L17" s="125">
        <f>Table711[[#This Row],[G2AIMD (pingpong)]]/Table711[[#This Row],[gpu-layered]]</f>
        <v>2.1817534257575</v>
      </c>
      <c r="M17" s="125">
        <f>Table711[[#This Row],[gpu-layered]]/Table711[[#This Row],[CPU+GPU]]</f>
        <v>0.25028476499189628</v>
      </c>
      <c r="N17" s="149">
        <f>Table711[[#This Row],[CPU Only (X &gt; 30m)]]/Table711[[#This Row],[CPU+GPU]]</f>
        <v>21.315423338735819</v>
      </c>
      <c r="O17" t="s">
        <v>3938</v>
      </c>
      <c r="P17" t="s">
        <v>3994</v>
      </c>
      <c r="AJ17" s="68" t="s">
        <v>1436</v>
      </c>
      <c r="AK17">
        <v>24</v>
      </c>
      <c r="AM17" s="2">
        <v>0.44019900000000001</v>
      </c>
      <c r="AN17" s="94">
        <f ca="1">Table7[[#This Row],[cpuchunk=1]]/Table7[[#This Row],[CPU Only (30m X)]]</f>
        <v>0.71605948414970599</v>
      </c>
      <c r="AQ17" s="94" t="e">
        <f ca="1">Table7[[#This Row],[cpuchunk=1]]/Table7[[#This Row],[GPU_chunk10_ratio]]</f>
        <v>#DIV/0!</v>
      </c>
      <c r="AR17" s="2">
        <v>0.61475199999999997</v>
      </c>
    </row>
    <row r="18" spans="2:44" ht="26" hidden="1" x14ac:dyDescent="0.35">
      <c r="B18" s="87"/>
      <c r="C18" s="84" t="s">
        <v>1391</v>
      </c>
      <c r="D18" s="87">
        <v>2</v>
      </c>
      <c r="E18" s="125">
        <v>0.94670100000000001</v>
      </c>
      <c r="F18" s="125">
        <v>1.8836040000000001</v>
      </c>
      <c r="G18" s="125"/>
      <c r="H18" s="125">
        <v>1.5855140000000001</v>
      </c>
      <c r="I18" s="123">
        <v>22.697265999999999</v>
      </c>
      <c r="J18" s="125">
        <v>2.72</v>
      </c>
      <c r="K18" s="125">
        <f>Table711[[#This Row],[G2AIMD (pingpong)]]/Table711[[#This Row],[gpu-hybrid-copy]]</f>
        <v>0.597094065394566</v>
      </c>
      <c r="L18" s="125">
        <f>Table711[[#This Row],[G2AIMD (pingpong)]]/Table711[[#This Row],[gpu-layered]]</f>
        <v>0.50260086514999969</v>
      </c>
      <c r="M18" s="125">
        <f>Table711[[#This Row],[gpu-layered]]/Table711[[#This Row],[CPU+GPU]]</f>
        <v>0.6925014705882353</v>
      </c>
      <c r="N18" s="149">
        <f>Table711[[#This Row],[CPU Only (X &gt; 30m)]]/Table711[[#This Row],[CPU+GPU]]</f>
        <v>8.3445830882352929</v>
      </c>
      <c r="O18" t="s">
        <v>3995</v>
      </c>
      <c r="P18" t="s">
        <v>3996</v>
      </c>
      <c r="AJ18" s="68" t="s">
        <v>1448</v>
      </c>
      <c r="AK18">
        <v>24</v>
      </c>
      <c r="AM18" s="2">
        <v>0.44334899999999999</v>
      </c>
      <c r="AN18" s="94">
        <f ca="1">Table7[[#This Row],[cpuchunk=1]]/Table7[[#This Row],[CPU Only (30m X)]]</f>
        <v>0.76439482758620692</v>
      </c>
      <c r="AQ18" s="94" t="e">
        <f ca="1">Table7[[#This Row],[cpuchunk=1]]/Table7[[#This Row],[GPU_chunk10_ratio]]</f>
        <v>#DIV/0!</v>
      </c>
      <c r="AR18" s="2">
        <v>0.57999999999999996</v>
      </c>
    </row>
    <row r="19" spans="2:44" ht="26" hidden="1" x14ac:dyDescent="0.35">
      <c r="B19" s="87"/>
      <c r="C19" s="84" t="s">
        <v>3919</v>
      </c>
      <c r="D19" s="87">
        <v>5</v>
      </c>
      <c r="E19" s="125">
        <v>3.7282199999999999</v>
      </c>
      <c r="F19" s="125">
        <v>2.0098569999999998</v>
      </c>
      <c r="G19" s="125"/>
      <c r="H19" s="125">
        <v>1.551825</v>
      </c>
      <c r="I19" s="123">
        <v>34.506560999999998</v>
      </c>
      <c r="J19" s="125">
        <v>3.6021369999999999</v>
      </c>
      <c r="K19" s="125">
        <f>Table711[[#This Row],[G2AIMD (pingpong)]]/Table711[[#This Row],[gpu-hybrid-copy]]</f>
        <v>2.402474505823788</v>
      </c>
      <c r="L19" s="125">
        <f>Table711[[#This Row],[G2AIMD (pingpong)]]/Table711[[#This Row],[gpu-layered]]</f>
        <v>1.8549677912408695</v>
      </c>
      <c r="M19" s="125">
        <f>Table711[[#This Row],[gpu-layered]]/Table711[[#This Row],[CPU+GPU]]</f>
        <v>0.55796239843181972</v>
      </c>
      <c r="N19" s="149">
        <f>Table711[[#This Row],[CPU Only (X &gt; 30m)]]/Table711[[#This Row],[CPU+GPU]]</f>
        <v>9.5794693538863172</v>
      </c>
      <c r="AJ19" s="68" t="s">
        <v>1346</v>
      </c>
      <c r="AK19">
        <v>25</v>
      </c>
      <c r="AM19" s="2">
        <v>0.482099</v>
      </c>
      <c r="AN19" s="94">
        <f ca="1">Table7[[#This Row],[cpuchunk=1]]/Table7[[#This Row],[CPU Only (30m X)]]</f>
        <v>0.8171169491525424</v>
      </c>
      <c r="AQ19" s="94" t="e">
        <f ca="1">Table7[[#This Row],[cpuchunk=1]]/Table7[[#This Row],[GPU_chunk10_ratio]]</f>
        <v>#DIV/0!</v>
      </c>
      <c r="AR19" s="2">
        <v>0.59</v>
      </c>
    </row>
    <row r="20" spans="2:44" ht="26" hidden="1" x14ac:dyDescent="0.35">
      <c r="B20" s="87"/>
      <c r="C20" s="84" t="s">
        <v>1431</v>
      </c>
      <c r="D20" s="87">
        <v>2</v>
      </c>
      <c r="E20" s="125">
        <v>0.83933199999999997</v>
      </c>
      <c r="F20" s="125">
        <v>2.023552</v>
      </c>
      <c r="G20" s="125"/>
      <c r="H20" s="125">
        <v>2.1786789999999998</v>
      </c>
      <c r="I20" s="123">
        <v>13.386818999999999</v>
      </c>
      <c r="J20" s="125">
        <v>3.27</v>
      </c>
      <c r="K20" s="125">
        <f>Table711[[#This Row],[G2AIMD (pingpong)]]/Table711[[#This Row],[gpu-hybrid-copy]]</f>
        <v>0.38524812512536266</v>
      </c>
      <c r="L20" s="125">
        <f>Table711[[#This Row],[G2AIMD (pingpong)]]/Table711[[#This Row],[gpu-layered]]</f>
        <v>0.41478153267126316</v>
      </c>
      <c r="M20" s="125">
        <f>Table711[[#This Row],[gpu-layered]]/Table711[[#This Row],[CPU+GPU]]</f>
        <v>0.61882324159021407</v>
      </c>
      <c r="N20" s="149">
        <f>Table711[[#This Row],[CPU Only (X &gt; 30m)]]/Table711[[#This Row],[CPU+GPU]]</f>
        <v>4.0938284403669725</v>
      </c>
      <c r="AJ20" s="68" t="s">
        <v>1409</v>
      </c>
      <c r="AK20">
        <v>25</v>
      </c>
      <c r="AM20" s="2">
        <v>0.486155</v>
      </c>
      <c r="AN20" s="94">
        <f ca="1">Table7[[#This Row],[cpuchunk=1]]/Table7[[#This Row],[CPU Only (30m X)]]</f>
        <v>0.88196983028400899</v>
      </c>
      <c r="AQ20" s="94" t="e">
        <f ca="1">Table7[[#This Row],[cpuchunk=1]]/Table7[[#This Row],[GPU_chunk10_ratio]]</f>
        <v>#DIV/0!</v>
      </c>
      <c r="AR20" s="2">
        <v>0.55121500000000001</v>
      </c>
    </row>
    <row r="21" spans="2:44" ht="26" hidden="1" x14ac:dyDescent="0.35">
      <c r="B21" s="87"/>
      <c r="C21" s="84" t="s">
        <v>1434</v>
      </c>
      <c r="D21" s="87">
        <v>2</v>
      </c>
      <c r="E21" s="125">
        <v>3.206035</v>
      </c>
      <c r="F21" s="125">
        <v>2.2730779999999999</v>
      </c>
      <c r="G21" s="125"/>
      <c r="H21" s="125">
        <v>1.8188139999999999</v>
      </c>
      <c r="I21" s="123">
        <v>74.721911000000006</v>
      </c>
      <c r="J21" s="125">
        <v>6.18</v>
      </c>
      <c r="K21" s="125">
        <f>Table711[[#This Row],[G2AIMD (pingpong)]]/Table711[[#This Row],[gpu-hybrid-copy]]</f>
        <v>1.7627063569996713</v>
      </c>
      <c r="L21" s="125">
        <f>Table711[[#This Row],[G2AIMD (pingpong)]]/Table711[[#This Row],[gpu-layered]]</f>
        <v>1.4104377412477707</v>
      </c>
      <c r="M21" s="125">
        <f>Table711[[#This Row],[gpu-layered]]/Table711[[#This Row],[CPU+GPU]]</f>
        <v>0.36781197411003236</v>
      </c>
      <c r="N21" s="149">
        <f>Table711[[#This Row],[CPU Only (X &gt; 30m)]]/Table711[[#This Row],[CPU+GPU]]</f>
        <v>12.090924110032365</v>
      </c>
      <c r="AJ21" s="68" t="s">
        <v>3912</v>
      </c>
      <c r="AK21">
        <v>24</v>
      </c>
      <c r="AM21" s="2">
        <v>0.52312099999999995</v>
      </c>
      <c r="AN21" s="94">
        <f ca="1">Table7[[#This Row],[cpuchunk=1]]/Table7[[#This Row],[CPU Only (30m X)]]</f>
        <v>0.69920819287801295</v>
      </c>
      <c r="AQ21" s="94" t="e">
        <f ca="1">Table7[[#This Row],[cpuchunk=1]]/Table7[[#This Row],[GPU_chunk10_ratio]]</f>
        <v>#DIV/0!</v>
      </c>
      <c r="AR21" s="2">
        <v>0.74816199999999999</v>
      </c>
    </row>
    <row r="22" spans="2:44" ht="26" hidden="1" x14ac:dyDescent="0.35">
      <c r="B22" s="87"/>
      <c r="C22" s="84" t="s">
        <v>1431</v>
      </c>
      <c r="D22" s="87">
        <v>5</v>
      </c>
      <c r="E22" s="125">
        <v>3.1444489999999998</v>
      </c>
      <c r="F22" s="125">
        <v>2.4282240000000002</v>
      </c>
      <c r="G22" s="125"/>
      <c r="H22" s="125">
        <v>2.4531010000000002</v>
      </c>
      <c r="I22" s="123">
        <v>5.5830380000000002</v>
      </c>
      <c r="J22" s="125">
        <v>2.52</v>
      </c>
      <c r="K22" s="125">
        <f>Table711[[#This Row],[G2AIMD (pingpong)]]/Table711[[#This Row],[gpu-hybrid-copy]]</f>
        <v>1.2818261457640756</v>
      </c>
      <c r="L22" s="125">
        <f>Table711[[#This Row],[G2AIMD (pingpong)]]/Table711[[#This Row],[gpu-layered]]</f>
        <v>1.2949583728684009</v>
      </c>
      <c r="M22" s="125">
        <f>Table711[[#This Row],[gpu-layered]]/Table711[[#This Row],[CPU+GPU]]</f>
        <v>0.96358095238095243</v>
      </c>
      <c r="N22" s="149">
        <f>Table711[[#This Row],[CPU Only (X &gt; 30m)]]/Table711[[#This Row],[CPU+GPU]]</f>
        <v>2.2154912698412699</v>
      </c>
      <c r="AJ22" s="68" t="s">
        <v>1409</v>
      </c>
      <c r="AK22">
        <v>24</v>
      </c>
      <c r="AM22" s="2">
        <v>0.54158700000000004</v>
      </c>
      <c r="AN22" s="94">
        <f ca="1">Table7[[#This Row],[cpuchunk=1]]/Table7[[#This Row],[CPU Only (30m X)]]</f>
        <v>1.1408772916574506</v>
      </c>
      <c r="AQ22" s="94" t="e">
        <f ca="1">Table7[[#This Row],[cpuchunk=1]]/Table7[[#This Row],[GPU_chunk10_ratio]]</f>
        <v>#DIV/0!</v>
      </c>
      <c r="AR22" s="2">
        <v>0.47471099999999999</v>
      </c>
    </row>
    <row r="23" spans="2:44" ht="26" hidden="1" x14ac:dyDescent="0.35">
      <c r="B23" s="87"/>
      <c r="C23" s="84" t="s">
        <v>1371</v>
      </c>
      <c r="D23" s="87">
        <v>5</v>
      </c>
      <c r="E23" s="125">
        <v>4.8828569999999996</v>
      </c>
      <c r="F23" s="125">
        <v>2.8553199999999999</v>
      </c>
      <c r="G23" s="125"/>
      <c r="H23" s="125">
        <v>2.6740370000000002</v>
      </c>
      <c r="I23" s="123">
        <v>117.90758099999999</v>
      </c>
      <c r="J23" s="125">
        <v>6.88</v>
      </c>
      <c r="K23" s="125">
        <f>Table711[[#This Row],[G2AIMD (pingpong)]]/Table711[[#This Row],[gpu-hybrid-copy]]</f>
        <v>1.8260244716135188</v>
      </c>
      <c r="L23" s="125">
        <f>Table711[[#This Row],[G2AIMD (pingpong)]]/Table711[[#This Row],[gpu-layered]]</f>
        <v>1.7100909880503761</v>
      </c>
      <c r="M23" s="125">
        <f>Table711[[#This Row],[gpu-layered]]/Table711[[#This Row],[CPU+GPU]]</f>
        <v>0.41501744186046508</v>
      </c>
      <c r="N23" s="149">
        <f>Table711[[#This Row],[CPU Only (X &gt; 30m)]]/Table711[[#This Row],[CPU+GPU]]</f>
        <v>17.137729796511628</v>
      </c>
      <c r="AJ23" s="68" t="s">
        <v>1423</v>
      </c>
      <c r="AK23">
        <v>24</v>
      </c>
      <c r="AM23" s="2">
        <v>0.54716100000000001</v>
      </c>
      <c r="AN23" s="94">
        <f ca="1">Table7[[#This Row],[cpuchunk=1]]/Table7[[#This Row],[CPU Only (30m X)]]</f>
        <v>0.83784185220347296</v>
      </c>
      <c r="AQ23" s="94" t="e">
        <f ca="1">Table7[[#This Row],[cpuchunk=1]]/Table7[[#This Row],[GPU_chunk10_ratio]]</f>
        <v>#DIV/0!</v>
      </c>
      <c r="AR23" s="2">
        <v>0.65305999999999997</v>
      </c>
    </row>
    <row r="24" spans="2:44" ht="26" hidden="1" x14ac:dyDescent="0.35">
      <c r="B24" s="87"/>
      <c r="C24" s="84" t="s">
        <v>1408</v>
      </c>
      <c r="D24" s="87">
        <v>6</v>
      </c>
      <c r="E24" s="125">
        <v>0.96152199999999999</v>
      </c>
      <c r="F24" s="125">
        <v>3.2149070000000002</v>
      </c>
      <c r="G24" s="125"/>
      <c r="H24" s="125">
        <v>2.8805540000000001</v>
      </c>
      <c r="I24" s="123">
        <v>1.002783</v>
      </c>
      <c r="J24" s="125">
        <v>2.463384</v>
      </c>
      <c r="K24" s="125">
        <f>Table711[[#This Row],[G2AIMD (pingpong)]]/Table711[[#This Row],[gpu-hybrid-copy]]</f>
        <v>0.333797595879126</v>
      </c>
      <c r="L24" s="125">
        <f>Table711[[#This Row],[G2AIMD (pingpong)]]/Table711[[#This Row],[gpu-layered]]</f>
        <v>0.2990823684790882</v>
      </c>
      <c r="M24" s="125">
        <f>Table711[[#This Row],[gpu-layered]]/Table711[[#This Row],[CPU+GPU]]</f>
        <v>1.3050774869041937</v>
      </c>
      <c r="N24" s="149">
        <f>Table711[[#This Row],[CPU Only (X &gt; 30m)]]/Table711[[#This Row],[CPU+GPU]]</f>
        <v>0.40707538897711437</v>
      </c>
      <c r="AJ24" s="68" t="s">
        <v>3912</v>
      </c>
      <c r="AK24">
        <v>2</v>
      </c>
      <c r="AM24" s="2">
        <v>0.57725099999999996</v>
      </c>
      <c r="AN24" s="94">
        <f ca="1">Table7[[#This Row],[cpuchunk=1]]/Table7[[#This Row],[CPU Only (30m X)]]</f>
        <v>0.67841726026849869</v>
      </c>
      <c r="AQ24" s="94" t="e">
        <f ca="1">Table7[[#This Row],[cpuchunk=1]]/Table7[[#This Row],[GPU_chunk10_ratio]]</f>
        <v>#DIV/0!</v>
      </c>
      <c r="AR24" s="2">
        <v>0.85087900000000005</v>
      </c>
    </row>
    <row r="25" spans="2:44" ht="26" hidden="1" x14ac:dyDescent="0.35">
      <c r="B25" s="87"/>
      <c r="C25" s="84" t="s">
        <v>1</v>
      </c>
      <c r="D25" s="87">
        <v>2</v>
      </c>
      <c r="E25" s="125">
        <v>5.6472629999999997</v>
      </c>
      <c r="F25" s="125">
        <v>3.6229019999999998</v>
      </c>
      <c r="G25" s="125"/>
      <c r="H25" s="125">
        <v>4.5954129999999997</v>
      </c>
      <c r="I25" s="123">
        <v>290.598725</v>
      </c>
      <c r="J25" s="125">
        <v>9.5</v>
      </c>
      <c r="K25" s="125">
        <f>Table711[[#This Row],[G2AIMD (pingpong)]]/Table711[[#This Row],[gpu-hybrid-copy]]</f>
        <v>1.2288912878994771</v>
      </c>
      <c r="L25" s="125">
        <f>Table711[[#This Row],[G2AIMD (pingpong)]]/Table711[[#This Row],[gpu-layered]]</f>
        <v>1.5587678054774874</v>
      </c>
      <c r="M25" s="125">
        <f>Table711[[#This Row],[gpu-layered]]/Table711[[#This Row],[CPU+GPU]]</f>
        <v>0.38135810526315789</v>
      </c>
      <c r="N25" s="149">
        <f>Table711[[#This Row],[CPU Only (X &gt; 30m)]]/Table711[[#This Row],[CPU+GPU]]</f>
        <v>30.589339473684209</v>
      </c>
      <c r="AJ25" s="68" t="s">
        <v>1425</v>
      </c>
      <c r="AK25">
        <v>25</v>
      </c>
      <c r="AM25" s="2">
        <v>0.60898099999999999</v>
      </c>
      <c r="AN25" s="94">
        <f ca="1">Table7[[#This Row],[cpuchunk=1]]/Table7[[#This Row],[CPU Only (30m X)]]</f>
        <v>0.87517892147000154</v>
      </c>
      <c r="AQ25" s="94" t="e">
        <f ca="1">Table7[[#This Row],[cpuchunk=1]]/Table7[[#This Row],[GPU_chunk10_ratio]]</f>
        <v>#DIV/0!</v>
      </c>
      <c r="AR25" s="2">
        <v>0.69583600000000001</v>
      </c>
    </row>
    <row r="26" spans="2:44" ht="26" hidden="1" x14ac:dyDescent="0.35">
      <c r="B26" s="87"/>
      <c r="C26" s="84" t="s">
        <v>3919</v>
      </c>
      <c r="D26" s="87">
        <v>7</v>
      </c>
      <c r="E26" s="125">
        <v>3.8864519999999998</v>
      </c>
      <c r="F26" s="125">
        <v>3.7306889999999999</v>
      </c>
      <c r="G26" s="125"/>
      <c r="H26" s="125">
        <v>3.0154839999999998</v>
      </c>
      <c r="I26" s="123">
        <v>259.05960099999999</v>
      </c>
      <c r="J26" s="125">
        <v>6.75</v>
      </c>
      <c r="K26" s="125">
        <f>Table711[[#This Row],[G2AIMD (pingpong)]]/Table711[[#This Row],[gpu-hybrid-copy]]</f>
        <v>1.2888319089074922</v>
      </c>
      <c r="L26" s="125">
        <f>Table711[[#This Row],[G2AIMD (pingpong)]]/Table711[[#This Row],[gpu-layered]]</f>
        <v>1.0417518050955199</v>
      </c>
      <c r="M26" s="125">
        <f>Table711[[#This Row],[gpu-layered]]/Table711[[#This Row],[CPU+GPU]]</f>
        <v>0.55269466666666667</v>
      </c>
      <c r="N26" s="149">
        <f>Table711[[#This Row],[CPU Only (X &gt; 30m)]]/Table711[[#This Row],[CPU+GPU]]</f>
        <v>38.379200148148144</v>
      </c>
      <c r="AJ26" s="68" t="s">
        <v>3919</v>
      </c>
      <c r="AK26">
        <v>25</v>
      </c>
      <c r="AM26" s="2">
        <v>0.61563900000000005</v>
      </c>
      <c r="AN26" s="94">
        <f ca="1">Table7[[#This Row],[cpuchunk=1]]/Table7[[#This Row],[CPU Only (30m X)]]</f>
        <v>0.95961187748421806</v>
      </c>
      <c r="AQ26" s="94" t="e">
        <f ca="1">Table7[[#This Row],[cpuchunk=1]]/Table7[[#This Row],[GPU_chunk10_ratio]]</f>
        <v>#DIV/0!</v>
      </c>
      <c r="AR26" s="2">
        <v>0.64154999999999995</v>
      </c>
    </row>
    <row r="27" spans="2:44" ht="26" hidden="1" x14ac:dyDescent="0.35">
      <c r="B27" s="87"/>
      <c r="C27" s="84" t="s">
        <v>1425</v>
      </c>
      <c r="D27" s="87">
        <v>2</v>
      </c>
      <c r="E27" s="125">
        <v>5.0243349999999998</v>
      </c>
      <c r="F27" s="125">
        <v>4.2398239999999996</v>
      </c>
      <c r="G27" s="125"/>
      <c r="H27" s="125">
        <v>4.7216040000000001</v>
      </c>
      <c r="I27" s="123">
        <v>433.325399</v>
      </c>
      <c r="J27" s="125">
        <v>8.23</v>
      </c>
      <c r="K27" s="125">
        <f>Table711[[#This Row],[G2AIMD (pingpong)]]/Table711[[#This Row],[gpu-hybrid-copy]]</f>
        <v>1.0641161351100177</v>
      </c>
      <c r="L27" s="125">
        <f>Table711[[#This Row],[G2AIMD (pingpong)]]/Table711[[#This Row],[gpu-layered]]</f>
        <v>1.1850338598960712</v>
      </c>
      <c r="M27" s="125">
        <f>Table711[[#This Row],[gpu-layered]]/Table711[[#This Row],[CPU+GPU]]</f>
        <v>0.51516695018226</v>
      </c>
      <c r="N27" s="149">
        <f>Table711[[#This Row],[CPU Only (X &gt; 30m)]]/Table711[[#This Row],[CPU+GPU]]</f>
        <v>52.651931834750911</v>
      </c>
      <c r="AJ27" s="68" t="s">
        <v>1437</v>
      </c>
      <c r="AK27">
        <v>25</v>
      </c>
      <c r="AM27" s="2">
        <v>0.62617800000000001</v>
      </c>
      <c r="AN27" s="94">
        <f ca="1">Table7[[#This Row],[cpuchunk=1]]/Table7[[#This Row],[CPU Only (30m X)]]</f>
        <v>0.82391842105263158</v>
      </c>
      <c r="AQ27" s="94" t="e">
        <f ca="1">Table7[[#This Row],[cpuchunk=1]]/Table7[[#This Row],[GPU_chunk10_ratio]]</f>
        <v>#DIV/0!</v>
      </c>
      <c r="AR27" s="2">
        <v>0.76</v>
      </c>
    </row>
    <row r="28" spans="2:44" ht="26" hidden="1" x14ac:dyDescent="0.35">
      <c r="B28" s="87"/>
      <c r="C28" s="84" t="s">
        <v>1411</v>
      </c>
      <c r="D28" s="87">
        <v>9</v>
      </c>
      <c r="E28" s="125">
        <v>5.2258110000000002</v>
      </c>
      <c r="F28" s="125">
        <v>4.4936379999999998</v>
      </c>
      <c r="G28" s="125"/>
      <c r="H28" s="125">
        <v>5.0982810000000001</v>
      </c>
      <c r="I28" s="123">
        <v>523.451097</v>
      </c>
      <c r="J28" s="125">
        <v>23.13</v>
      </c>
      <c r="K28" s="125">
        <f>Table711[[#This Row],[G2AIMD (pingpong)]]/Table711[[#This Row],[gpu-hybrid-copy]]</f>
        <v>1.0250143136480707</v>
      </c>
      <c r="L28" s="125">
        <f>Table711[[#This Row],[G2AIMD (pingpong)]]/Table711[[#This Row],[gpu-layered]]</f>
        <v>1.1629354656516615</v>
      </c>
      <c r="M28" s="125">
        <f>Table711[[#This Row],[gpu-layered]]/Table711[[#This Row],[CPU+GPU]]</f>
        <v>0.19427747514051016</v>
      </c>
      <c r="N28" s="149">
        <f>Table711[[#This Row],[CPU Only (X &gt; 30m)]]/Table711[[#This Row],[CPU+GPU]]</f>
        <v>22.630829961089496</v>
      </c>
      <c r="AJ28" s="68" t="s">
        <v>1371</v>
      </c>
      <c r="AK28">
        <v>9</v>
      </c>
      <c r="AM28" s="2">
        <v>0.67302200000000001</v>
      </c>
      <c r="AN28" s="94">
        <f ca="1">Table7[[#This Row],[cpuchunk=1]]/Table7[[#This Row],[CPU Only (30m X)]]</f>
        <v>0.7395846153846154</v>
      </c>
      <c r="AQ28" s="94" t="e">
        <f ca="1">Table7[[#This Row],[cpuchunk=1]]/Table7[[#This Row],[GPU_chunk10_ratio]]</f>
        <v>#DIV/0!</v>
      </c>
      <c r="AR28" s="2">
        <v>0.91</v>
      </c>
    </row>
    <row r="29" spans="2:44" ht="26" hidden="1" x14ac:dyDescent="0.35">
      <c r="B29" s="87"/>
      <c r="C29" s="84" t="s">
        <v>1391</v>
      </c>
      <c r="D29" s="87">
        <v>5</v>
      </c>
      <c r="E29" s="125">
        <v>4.0416489999999996</v>
      </c>
      <c r="F29" s="125">
        <v>4.8162799999999999</v>
      </c>
      <c r="G29" s="125"/>
      <c r="H29" s="125">
        <v>4.927346</v>
      </c>
      <c r="I29" s="123">
        <v>75.350153000000006</v>
      </c>
      <c r="J29" s="125">
        <v>4.6795150000000003</v>
      </c>
      <c r="K29" s="125">
        <f>Table711[[#This Row],[G2AIMD (pingpong)]]/Table711[[#This Row],[gpu-hybrid-copy]]</f>
        <v>0.820248669364806</v>
      </c>
      <c r="L29" s="125">
        <f>Table711[[#This Row],[G2AIMD (pingpong)]]/Table711[[#This Row],[gpu-layered]]</f>
        <v>0.83916404361872643</v>
      </c>
      <c r="M29" s="125">
        <f>Table711[[#This Row],[gpu-layered]]/Table711[[#This Row],[CPU+GPU]]</f>
        <v>1.0292263193942106</v>
      </c>
      <c r="N29" s="149">
        <f>Table711[[#This Row],[CPU Only (X &gt; 30m)]]/Table711[[#This Row],[CPU+GPU]]</f>
        <v>16.102128746248276</v>
      </c>
      <c r="AJ29" s="68" t="s">
        <v>1346</v>
      </c>
      <c r="AK29">
        <v>2</v>
      </c>
      <c r="AM29" s="2">
        <v>0.71216500000000005</v>
      </c>
      <c r="AN29" s="94">
        <f ca="1">Table7[[#This Row],[cpuchunk=1]]/Table7[[#This Row],[CPU Only (30m X)]]</f>
        <v>0.51606159420289865</v>
      </c>
      <c r="AQ29" s="94" t="e">
        <f ca="1">Table7[[#This Row],[cpuchunk=1]]/Table7[[#This Row],[GPU_chunk10_ratio]]</f>
        <v>#DIV/0!</v>
      </c>
      <c r="AR29" s="2">
        <v>1.38</v>
      </c>
    </row>
    <row r="30" spans="2:44" ht="26" hidden="1" x14ac:dyDescent="0.35">
      <c r="B30" s="87"/>
      <c r="C30" s="84" t="s">
        <v>1425</v>
      </c>
      <c r="D30" s="87">
        <v>9</v>
      </c>
      <c r="E30" s="125">
        <v>5.8781990000000004</v>
      </c>
      <c r="F30" s="125">
        <v>5.2190339999999997</v>
      </c>
      <c r="G30" s="125"/>
      <c r="H30" s="125">
        <v>5.4314640000000001</v>
      </c>
      <c r="I30" s="123" t="s">
        <v>3971</v>
      </c>
      <c r="J30" s="125">
        <v>10.4</v>
      </c>
      <c r="K30" s="125">
        <f>Table711[[#This Row],[G2AIMD (pingpong)]]/Table711[[#This Row],[gpu-hybrid-copy]]</f>
        <v>1.0822494634963982</v>
      </c>
      <c r="L30" s="125">
        <f>Table711[[#This Row],[G2AIMD (pingpong)]]/Table711[[#This Row],[gpu-layered]]</f>
        <v>1.1263001927176564</v>
      </c>
      <c r="M30" s="125">
        <f>Table711[[#This Row],[gpu-layered]]/Table711[[#This Row],[CPU+GPU]]</f>
        <v>0.50183019230769221</v>
      </c>
      <c r="N30" s="149" t="e">
        <f>Table711[[#This Row],[CPU Only (X &gt; 30m)]]/Table711[[#This Row],[CPU+GPU]]</f>
        <v>#VALUE!</v>
      </c>
      <c r="AJ30" s="68" t="s">
        <v>1450</v>
      </c>
      <c r="AK30">
        <v>24</v>
      </c>
      <c r="AM30" s="2">
        <v>0.75700999999999996</v>
      </c>
      <c r="AN30" s="94">
        <f ca="1">Table7[[#This Row],[cpuchunk=1]]/Table7[[#This Row],[CPU Only (30m X)]]</f>
        <v>0.94794510255703879</v>
      </c>
      <c r="AQ30" s="94" t="e">
        <f ca="1">Table7[[#This Row],[cpuchunk=1]]/Table7[[#This Row],[GPU_chunk10_ratio]]</f>
        <v>#DIV/0!</v>
      </c>
      <c r="AR30" s="2">
        <v>0.79857999999999996</v>
      </c>
    </row>
    <row r="31" spans="2:44" ht="26" hidden="1" x14ac:dyDescent="0.35">
      <c r="B31" s="87"/>
      <c r="C31" s="84" t="s">
        <v>3912</v>
      </c>
      <c r="D31" s="87">
        <v>9</v>
      </c>
      <c r="E31" s="125">
        <v>7.2557400000000003</v>
      </c>
      <c r="F31" s="125">
        <v>5.362946</v>
      </c>
      <c r="G31" s="125"/>
      <c r="H31" s="125">
        <v>10.85</v>
      </c>
      <c r="I31" s="123">
        <v>267.42445199999997</v>
      </c>
      <c r="J31" s="125">
        <v>9</v>
      </c>
      <c r="K31" s="125">
        <f>Table711[[#This Row],[G2AIMD (pingpong)]]/Table711[[#This Row],[gpu-hybrid-copy]]</f>
        <v>0.66873179723502307</v>
      </c>
      <c r="L31" s="125">
        <f>Table711[[#This Row],[G2AIMD (pingpong)]]/Table711[[#This Row],[gpu-layered]]</f>
        <v>1.3529392240757225</v>
      </c>
      <c r="M31" s="125">
        <f>Table711[[#This Row],[gpu-layered]]/Table711[[#This Row],[CPU+GPU]]</f>
        <v>0.59588288888888885</v>
      </c>
      <c r="N31" s="149">
        <f>Table711[[#This Row],[CPU Only (X &gt; 30m)]]/Table711[[#This Row],[CPU+GPU]]</f>
        <v>29.713827999999996</v>
      </c>
      <c r="AJ31" s="68" t="s">
        <v>1449</v>
      </c>
      <c r="AK31">
        <v>24</v>
      </c>
      <c r="AM31" s="2">
        <v>0.76452299999999995</v>
      </c>
      <c r="AN31" s="94">
        <f ca="1">Table7[[#This Row],[cpuchunk=1]]/Table7[[#This Row],[CPU Only (30m X)]]</f>
        <v>1.109622144750172</v>
      </c>
      <c r="AQ31" s="94" t="e">
        <f ca="1">Table7[[#This Row],[cpuchunk=1]]/Table7[[#This Row],[GPU_chunk10_ratio]]</f>
        <v>#DIV/0!</v>
      </c>
      <c r="AR31" s="2">
        <v>0.688994</v>
      </c>
    </row>
    <row r="32" spans="2:44" ht="26" hidden="1" x14ac:dyDescent="0.35">
      <c r="B32" s="87"/>
      <c r="C32" s="84" t="s">
        <v>1461</v>
      </c>
      <c r="D32" s="87">
        <v>2</v>
      </c>
      <c r="E32" s="125">
        <v>7.7065450000000002</v>
      </c>
      <c r="F32" s="125">
        <v>5.4978040000000004</v>
      </c>
      <c r="G32" s="125"/>
      <c r="H32" s="125">
        <v>7.9631809999999996</v>
      </c>
      <c r="I32" s="123" t="s">
        <v>3971</v>
      </c>
      <c r="J32" s="125">
        <v>18.579999999999998</v>
      </c>
      <c r="K32" s="125">
        <f>Table711[[#This Row],[G2AIMD (pingpong)]]/Table711[[#This Row],[gpu-hybrid-copy]]</f>
        <v>0.96777217546606065</v>
      </c>
      <c r="L32" s="125">
        <f>Table711[[#This Row],[G2AIMD (pingpong)]]/Table711[[#This Row],[gpu-layered]]</f>
        <v>1.401749680417854</v>
      </c>
      <c r="M32" s="125">
        <f>Table711[[#This Row],[gpu-layered]]/Table711[[#This Row],[CPU+GPU]]</f>
        <v>0.29589903121636174</v>
      </c>
      <c r="N32" s="149" t="e">
        <f>Table711[[#This Row],[CPU Only (X &gt; 30m)]]/Table711[[#This Row],[CPU+GPU]]</f>
        <v>#VALUE!</v>
      </c>
      <c r="AJ32" s="68" t="s">
        <v>1423</v>
      </c>
      <c r="AK32">
        <v>25</v>
      </c>
      <c r="AM32" s="2">
        <v>0.79256700000000002</v>
      </c>
      <c r="AN32" s="94">
        <f ca="1">Table7[[#This Row],[cpuchunk=1]]/Table7[[#This Row],[CPU Only (30m X)]]</f>
        <v>0.90100881720332315</v>
      </c>
      <c r="AQ32" s="94" t="e">
        <f ca="1">Table7[[#This Row],[cpuchunk=1]]/Table7[[#This Row],[GPU_chunk10_ratio]]</f>
        <v>#DIV/0!</v>
      </c>
      <c r="AR32" s="2">
        <v>0.87964399999999998</v>
      </c>
    </row>
    <row r="33" spans="2:44" ht="26" hidden="1" x14ac:dyDescent="0.35">
      <c r="B33" s="87"/>
      <c r="C33" s="84" t="s">
        <v>18</v>
      </c>
      <c r="D33" s="87">
        <v>9</v>
      </c>
      <c r="E33" s="125">
        <v>5.0656379999999999</v>
      </c>
      <c r="F33" s="125">
        <v>5.5034890000000001</v>
      </c>
      <c r="G33" s="125"/>
      <c r="H33" s="125">
        <v>5.13049</v>
      </c>
      <c r="I33" s="123">
        <v>441.29256199999998</v>
      </c>
      <c r="J33" s="125">
        <v>8.2100000000000009</v>
      </c>
      <c r="K33" s="125">
        <f>Table711[[#This Row],[G2AIMD (pingpong)]]/Table711[[#This Row],[gpu-hybrid-copy]]</f>
        <v>0.98735949197834905</v>
      </c>
      <c r="L33" s="125">
        <f>Table711[[#This Row],[G2AIMD (pingpong)]]/Table711[[#This Row],[gpu-layered]]</f>
        <v>0.92044119648462996</v>
      </c>
      <c r="M33" s="125">
        <f>Table711[[#This Row],[gpu-layered]]/Table711[[#This Row],[CPU+GPU]]</f>
        <v>0.67033970767356876</v>
      </c>
      <c r="N33" s="149">
        <f>Table711[[#This Row],[CPU Only (X &gt; 30m)]]/Table711[[#This Row],[CPU+GPU]]</f>
        <v>53.750616565164428</v>
      </c>
      <c r="AJ33" s="68" t="s">
        <v>1408</v>
      </c>
      <c r="AK33">
        <v>24</v>
      </c>
      <c r="AM33" s="2">
        <v>0.94571400000000005</v>
      </c>
      <c r="AN33" s="94">
        <f ca="1">Table7[[#This Row],[cpuchunk=1]]/Table7[[#This Row],[CPU Only (30m X)]]</f>
        <v>0.74213343922003772</v>
      </c>
      <c r="AQ33" s="94" t="e">
        <f ca="1">Table7[[#This Row],[cpuchunk=1]]/Table7[[#This Row],[GPU_chunk10_ratio]]</f>
        <v>#DIV/0!</v>
      </c>
      <c r="AR33" s="2">
        <v>1.2743180000000001</v>
      </c>
    </row>
    <row r="34" spans="2:44" ht="26" hidden="1" x14ac:dyDescent="0.35">
      <c r="B34" s="87"/>
      <c r="C34" s="84" t="s">
        <v>3919</v>
      </c>
      <c r="D34" s="87">
        <v>8</v>
      </c>
      <c r="E34" s="125">
        <v>7.8519019999999999</v>
      </c>
      <c r="F34" s="125">
        <v>6.0313509999999999</v>
      </c>
      <c r="G34" s="125"/>
      <c r="H34" s="125">
        <v>12.61</v>
      </c>
      <c r="I34" s="123">
        <v>126.505053</v>
      </c>
      <c r="J34" s="125">
        <v>8.73</v>
      </c>
      <c r="K34" s="125">
        <f>Table711[[#This Row],[G2AIMD (pingpong)]]/Table711[[#This Row],[gpu-hybrid-copy]]</f>
        <v>0.62267264076130058</v>
      </c>
      <c r="L34" s="125">
        <f>Table711[[#This Row],[G2AIMD (pingpong)]]/Table711[[#This Row],[gpu-layered]]</f>
        <v>1.301847960763683</v>
      </c>
      <c r="M34" s="125">
        <f>Table711[[#This Row],[gpu-layered]]/Table711[[#This Row],[CPU+GPU]]</f>
        <v>0.69087640320733101</v>
      </c>
      <c r="N34" s="149">
        <f>Table711[[#This Row],[CPU Only (X &gt; 30m)]]/Table711[[#This Row],[CPU+GPU]]</f>
        <v>14.490842268041236</v>
      </c>
      <c r="AJ34" s="68" t="s">
        <v>3919</v>
      </c>
      <c r="AK34">
        <v>9</v>
      </c>
      <c r="AM34" s="2">
        <v>0.948967</v>
      </c>
      <c r="AN34" s="94">
        <f ca="1">Table7[[#This Row],[cpuchunk=1]]/Table7[[#This Row],[CPU Only (30m X)]]</f>
        <v>0.97904219725755492</v>
      </c>
      <c r="AQ34" s="94" t="e">
        <f ca="1">Table7[[#This Row],[cpuchunk=1]]/Table7[[#This Row],[GPU_chunk10_ratio]]</f>
        <v>#DIV/0!</v>
      </c>
      <c r="AR34" s="2">
        <v>0.96928099999999995</v>
      </c>
    </row>
    <row r="35" spans="2:44" ht="26" hidden="1" x14ac:dyDescent="0.35">
      <c r="B35" s="87"/>
      <c r="C35" s="84" t="s">
        <v>1461</v>
      </c>
      <c r="D35" s="87">
        <v>9</v>
      </c>
      <c r="E35" s="125">
        <v>6.390218</v>
      </c>
      <c r="F35" s="125">
        <v>6.5457919999999996</v>
      </c>
      <c r="G35" s="125"/>
      <c r="H35" s="125">
        <v>6.3412800000000002</v>
      </c>
      <c r="I35" s="123" t="s">
        <v>3971</v>
      </c>
      <c r="J35" s="125">
        <v>10.54</v>
      </c>
      <c r="K35" s="125">
        <f>Table711[[#This Row],[G2AIMD (pingpong)]]/Table711[[#This Row],[gpu-hybrid-copy]]</f>
        <v>1.0077173693639139</v>
      </c>
      <c r="L35" s="125">
        <f>Table711[[#This Row],[G2AIMD (pingpong)]]/Table711[[#This Row],[gpu-layered]]</f>
        <v>0.97623297532216124</v>
      </c>
      <c r="M35" s="125">
        <f>Table711[[#This Row],[gpu-layered]]/Table711[[#This Row],[CPU+GPU]]</f>
        <v>0.62104288425047438</v>
      </c>
      <c r="N35" s="149" t="e">
        <f>Table711[[#This Row],[CPU Only (X &gt; 30m)]]/Table711[[#This Row],[CPU+GPU]]</f>
        <v>#VALUE!</v>
      </c>
      <c r="AJ35" s="68" t="s">
        <v>1440</v>
      </c>
      <c r="AK35">
        <v>24</v>
      </c>
      <c r="AM35" s="2">
        <v>1.0290090000000001</v>
      </c>
      <c r="AN35" s="94">
        <f ca="1">Table7[[#This Row],[cpuchunk=1]]/Table7[[#This Row],[CPU Only (30m X)]]</f>
        <v>1.2042319782233697</v>
      </c>
      <c r="AQ35" s="94" t="e">
        <f ca="1">Table7[[#This Row],[cpuchunk=1]]/Table7[[#This Row],[GPU_chunk10_ratio]]</f>
        <v>#DIV/0!</v>
      </c>
      <c r="AR35" s="2">
        <v>0.85449399999999998</v>
      </c>
    </row>
    <row r="36" spans="2:44" ht="26" hidden="1" x14ac:dyDescent="0.35">
      <c r="B36" s="87"/>
      <c r="C36" s="84" t="s">
        <v>1423</v>
      </c>
      <c r="D36" s="87">
        <v>9</v>
      </c>
      <c r="E36" s="125">
        <v>9.3385649999999991</v>
      </c>
      <c r="F36" s="125">
        <v>8.3094400000000004</v>
      </c>
      <c r="G36" s="125"/>
      <c r="H36" s="125">
        <v>8.7997490000000003</v>
      </c>
      <c r="I36" s="123" t="s">
        <v>3971</v>
      </c>
      <c r="J36" s="125">
        <v>16.059999999999999</v>
      </c>
      <c r="K36" s="125">
        <f>Table711[[#This Row],[G2AIMD (pingpong)]]/Table711[[#This Row],[gpu-hybrid-copy]]</f>
        <v>1.061230837379566</v>
      </c>
      <c r="L36" s="125">
        <f>Table711[[#This Row],[G2AIMD (pingpong)]]/Table711[[#This Row],[gpu-layered]]</f>
        <v>1.1238501030153656</v>
      </c>
      <c r="M36" s="125">
        <f>Table711[[#This Row],[gpu-layered]]/Table711[[#This Row],[CPU+GPU]]</f>
        <v>0.51739975093399759</v>
      </c>
      <c r="N36" s="149" t="e">
        <f>Table711[[#This Row],[CPU Only (X &gt; 30m)]]/Table711[[#This Row],[CPU+GPU]]</f>
        <v>#VALUE!</v>
      </c>
      <c r="AJ36" s="68" t="s">
        <v>1434</v>
      </c>
      <c r="AK36">
        <v>24</v>
      </c>
      <c r="AM36" s="2">
        <v>1.0415239999999999</v>
      </c>
      <c r="AN36" s="94">
        <f ca="1">Table7[[#This Row],[cpuchunk=1]]/Table7[[#This Row],[CPU Only (30m X)]]</f>
        <v>0.93231537403201203</v>
      </c>
      <c r="AQ36" s="94" t="e">
        <f ca="1">Table7[[#This Row],[cpuchunk=1]]/Table7[[#This Row],[GPU_chunk10_ratio]]</f>
        <v>#DIV/0!</v>
      </c>
      <c r="AR36" s="2">
        <v>1.117137</v>
      </c>
    </row>
    <row r="37" spans="2:44" ht="26" hidden="1" x14ac:dyDescent="0.35">
      <c r="B37" s="87"/>
      <c r="C37" s="84" t="s">
        <v>1346</v>
      </c>
      <c r="D37" s="87">
        <v>5</v>
      </c>
      <c r="E37" s="125">
        <v>10.325545</v>
      </c>
      <c r="F37" s="125">
        <v>8.3391870000000008</v>
      </c>
      <c r="G37" s="125"/>
      <c r="H37" s="125">
        <v>8.0574849999999998</v>
      </c>
      <c r="I37" s="123">
        <v>411.32039900000001</v>
      </c>
      <c r="J37" s="125">
        <v>15.2</v>
      </c>
      <c r="K37" s="125">
        <f>Table711[[#This Row],[G2AIMD (pingpong)]]/Table711[[#This Row],[gpu-hybrid-copy]]</f>
        <v>1.281484855386017</v>
      </c>
      <c r="L37" s="125">
        <f>Table711[[#This Row],[G2AIMD (pingpong)]]/Table711[[#This Row],[gpu-layered]]</f>
        <v>1.2381956418533364</v>
      </c>
      <c r="M37" s="125">
        <f>Table711[[#This Row],[gpu-layered]]/Table711[[#This Row],[CPU+GPU]]</f>
        <v>0.54863072368421062</v>
      </c>
      <c r="N37" s="149">
        <f>Table711[[#This Row],[CPU Only (X &gt; 30m)]]/Table711[[#This Row],[CPU+GPU]]</f>
        <v>27.060552565789475</v>
      </c>
      <c r="AJ37" s="68" t="s">
        <v>1408</v>
      </c>
      <c r="AK37">
        <v>2</v>
      </c>
      <c r="AM37" s="2">
        <v>1.103539</v>
      </c>
      <c r="AN37" s="94">
        <f ca="1">Table7[[#This Row],[cpuchunk=1]]/Table7[[#This Row],[CPU Only (30m X)]]</f>
        <v>14.821954790270372</v>
      </c>
      <c r="AQ37" s="94" t="e">
        <f ca="1">Table7[[#This Row],[cpuchunk=1]]/Table7[[#This Row],[GPU_chunk10_ratio]]</f>
        <v>#DIV/0!</v>
      </c>
      <c r="AR37" s="2">
        <v>7.4453000000000005E-2</v>
      </c>
    </row>
    <row r="38" spans="2:44" ht="26" hidden="1" x14ac:dyDescent="0.35">
      <c r="B38" s="87"/>
      <c r="C38" s="84" t="s">
        <v>1423</v>
      </c>
      <c r="D38" s="87">
        <v>2</v>
      </c>
      <c r="E38" s="125">
        <v>12.437353</v>
      </c>
      <c r="F38" s="125">
        <v>8.7754530000000006</v>
      </c>
      <c r="G38" s="125"/>
      <c r="H38" s="125">
        <v>10.31409</v>
      </c>
      <c r="I38" s="123" t="s">
        <v>3971</v>
      </c>
      <c r="J38" s="125">
        <v>15.42</v>
      </c>
      <c r="K38" s="125">
        <f>Table711[[#This Row],[G2AIMD (pingpong)]]/Table711[[#This Row],[gpu-hybrid-copy]]</f>
        <v>1.2058604297616173</v>
      </c>
      <c r="L38" s="125">
        <f>Table711[[#This Row],[G2AIMD (pingpong)]]/Table711[[#This Row],[gpu-layered]]</f>
        <v>1.4172889992117785</v>
      </c>
      <c r="M38" s="125">
        <f>Table711[[#This Row],[gpu-layered]]/Table711[[#This Row],[CPU+GPU]]</f>
        <v>0.56909552529182883</v>
      </c>
      <c r="N38" s="149" t="e">
        <f>Table711[[#This Row],[CPU Only (X &gt; 30m)]]/Table711[[#This Row],[CPU+GPU]]</f>
        <v>#VALUE!</v>
      </c>
      <c r="AJ38" s="68" t="s">
        <v>1408</v>
      </c>
      <c r="AK38">
        <v>5</v>
      </c>
      <c r="AM38" s="2">
        <v>1.2022219999999999</v>
      </c>
      <c r="AN38" s="94">
        <f ca="1">Table7[[#This Row],[cpuchunk=1]]/Table7[[#This Row],[CPU Only (30m X)]]</f>
        <v>7.4959440838492855</v>
      </c>
      <c r="AQ38" s="94" t="e">
        <f ca="1">Table7[[#This Row],[cpuchunk=1]]/Table7[[#This Row],[GPU_chunk10_ratio]]</f>
        <v>#DIV/0!</v>
      </c>
      <c r="AR38" s="2">
        <v>0.160383</v>
      </c>
    </row>
    <row r="39" spans="2:44" ht="26" hidden="1" x14ac:dyDescent="0.35">
      <c r="B39" s="87"/>
      <c r="C39" s="84" t="s">
        <v>1371</v>
      </c>
      <c r="D39" s="87">
        <v>7</v>
      </c>
      <c r="E39" s="125">
        <v>8.8645990000000001</v>
      </c>
      <c r="F39" s="125">
        <v>8.8003280000000004</v>
      </c>
      <c r="G39" s="125"/>
      <c r="H39" s="125">
        <v>8.2539730000000002</v>
      </c>
      <c r="I39" s="123" t="s">
        <v>3971</v>
      </c>
      <c r="J39" s="125">
        <v>12.62</v>
      </c>
      <c r="K39" s="125">
        <f>Table711[[#This Row],[G2AIMD (pingpong)]]/Table711[[#This Row],[gpu-hybrid-copy]]</f>
        <v>1.073979645923242</v>
      </c>
      <c r="L39" s="125">
        <f>Table711[[#This Row],[G2AIMD (pingpong)]]/Table711[[#This Row],[gpu-layered]]</f>
        <v>1.007303250515208</v>
      </c>
      <c r="M39" s="125">
        <f>Table711[[#This Row],[gpu-layered]]/Table711[[#This Row],[CPU+GPU]]</f>
        <v>0.69733185419968313</v>
      </c>
      <c r="N39" s="149" t="e">
        <f>Table711[[#This Row],[CPU Only (X &gt; 30m)]]/Table711[[#This Row],[CPU+GPU]]</f>
        <v>#VALUE!</v>
      </c>
      <c r="AJ39" s="68" t="s">
        <v>1438</v>
      </c>
      <c r="AK39">
        <v>24</v>
      </c>
      <c r="AM39" s="2">
        <v>1.2497990000000001</v>
      </c>
      <c r="AN39" s="94">
        <f ca="1">Table7[[#This Row],[cpuchunk=1]]/Table7[[#This Row],[CPU Only (30m X)]]</f>
        <v>1.0711843633356048</v>
      </c>
      <c r="AQ39" s="94" t="e">
        <f ca="1">Table7[[#This Row],[cpuchunk=1]]/Table7[[#This Row],[GPU_chunk10_ratio]]</f>
        <v>#DIV/0!</v>
      </c>
      <c r="AR39" s="2">
        <v>1.1667449999999999</v>
      </c>
    </row>
    <row r="40" spans="2:44" ht="26" hidden="1" x14ac:dyDescent="0.35">
      <c r="B40" s="87"/>
      <c r="C40" s="84" t="s">
        <v>1431</v>
      </c>
      <c r="D40" s="87">
        <v>8</v>
      </c>
      <c r="E40" s="125" t="s">
        <v>3904</v>
      </c>
      <c r="F40" s="125">
        <v>8.9290000000000003</v>
      </c>
      <c r="G40" s="125"/>
      <c r="H40" s="125">
        <v>16.3</v>
      </c>
      <c r="I40" s="123" t="s">
        <v>3971</v>
      </c>
      <c r="J40" s="125">
        <v>9.31</v>
      </c>
      <c r="K40" s="125" t="e">
        <f>Table711[[#This Row],[G2AIMD (pingpong)]]/Table711[[#This Row],[gpu-hybrid-copy]]</f>
        <v>#VALUE!</v>
      </c>
      <c r="L40" s="125" t="e">
        <f>Table711[[#This Row],[G2AIMD (pingpong)]]/Table711[[#This Row],[gpu-layered]]</f>
        <v>#VALUE!</v>
      </c>
      <c r="M40" s="125">
        <f>Table711[[#This Row],[gpu-layered]]/Table711[[#This Row],[CPU+GPU]]</f>
        <v>0.95907626208378083</v>
      </c>
      <c r="N40" s="149" t="e">
        <f>Table711[[#This Row],[CPU Only (X &gt; 30m)]]/Table711[[#This Row],[CPU+GPU]]</f>
        <v>#VALUE!</v>
      </c>
      <c r="AJ40" s="68" t="s">
        <v>1433</v>
      </c>
      <c r="AK40">
        <v>25</v>
      </c>
      <c r="AM40" s="2">
        <v>1.3173029999999999</v>
      </c>
      <c r="AN40" s="94">
        <f ca="1">Table7[[#This Row],[cpuchunk=1]]/Table7[[#This Row],[CPU Only (30m X)]]</f>
        <v>0.95527831219320458</v>
      </c>
      <c r="AQ40" s="94" t="e">
        <f ca="1">Table7[[#This Row],[cpuchunk=1]]/Table7[[#This Row],[GPU_chunk10_ratio]]</f>
        <v>#DIV/0!</v>
      </c>
      <c r="AR40" s="2">
        <v>1.378973</v>
      </c>
    </row>
    <row r="41" spans="2:44" ht="26" hidden="1" x14ac:dyDescent="0.35">
      <c r="B41" s="87"/>
      <c r="C41" s="84" t="s">
        <v>1391</v>
      </c>
      <c r="D41" s="87">
        <v>7</v>
      </c>
      <c r="E41" s="125">
        <v>10.388268999999999</v>
      </c>
      <c r="F41" s="125">
        <v>9.1454550000000001</v>
      </c>
      <c r="G41" s="125"/>
      <c r="H41" s="125">
        <v>10.842553000000001</v>
      </c>
      <c r="I41" s="123">
        <v>508.62465400000002</v>
      </c>
      <c r="J41" s="125">
        <v>10.950684000000001</v>
      </c>
      <c r="K41" s="125">
        <f>Table711[[#This Row],[G2AIMD (pingpong)]]/Table711[[#This Row],[gpu-hybrid-copy]]</f>
        <v>0.95810174965250328</v>
      </c>
      <c r="L41" s="125">
        <f>Table711[[#This Row],[G2AIMD (pingpong)]]/Table711[[#This Row],[gpu-layered]]</f>
        <v>1.1358941681961148</v>
      </c>
      <c r="M41" s="125">
        <f>Table711[[#This Row],[gpu-layered]]/Table711[[#This Row],[CPU+GPU]]</f>
        <v>0.83514920163891126</v>
      </c>
      <c r="N41" s="149">
        <f>Table711[[#This Row],[CPU Only (X &gt; 30m)]]/Table711[[#This Row],[CPU+GPU]]</f>
        <v>46.446838754547201</v>
      </c>
      <c r="AJ41" s="68" t="s">
        <v>1455</v>
      </c>
      <c r="AK41">
        <v>24</v>
      </c>
      <c r="AM41" s="2">
        <v>1.3242640000000001</v>
      </c>
      <c r="AN41" s="94">
        <f ca="1">Table7[[#This Row],[cpuchunk=1]]/Table7[[#This Row],[CPU Only (30m X)]]</f>
        <v>0.86553202614379088</v>
      </c>
      <c r="AQ41" s="94" t="e">
        <f ca="1">Table7[[#This Row],[cpuchunk=1]]/Table7[[#This Row],[GPU_chunk10_ratio]]</f>
        <v>#DIV/0!</v>
      </c>
      <c r="AR41" s="2">
        <v>1.53</v>
      </c>
    </row>
    <row r="42" spans="2:44" ht="26" hidden="1" x14ac:dyDescent="0.35">
      <c r="B42" s="87"/>
      <c r="C42" s="84" t="s">
        <v>3912</v>
      </c>
      <c r="D42" s="87">
        <v>5</v>
      </c>
      <c r="E42" s="125">
        <v>12.009475999999999</v>
      </c>
      <c r="F42" s="125">
        <v>9.7607599999999994</v>
      </c>
      <c r="G42" s="125"/>
      <c r="H42" s="125">
        <v>18.600000000000001</v>
      </c>
      <c r="I42" s="123">
        <v>516.02195900000004</v>
      </c>
      <c r="J42" s="125">
        <v>14.38</v>
      </c>
      <c r="K42" s="125">
        <f>Table711[[#This Row],[G2AIMD (pingpong)]]/Table711[[#This Row],[gpu-hybrid-copy]]</f>
        <v>0.64567075268817198</v>
      </c>
      <c r="L42" s="125">
        <f>Table711[[#This Row],[G2AIMD (pingpong)]]/Table711[[#This Row],[gpu-layered]]</f>
        <v>1.2303832898257923</v>
      </c>
      <c r="M42" s="125">
        <f>Table711[[#This Row],[gpu-layered]]/Table711[[#This Row],[CPU+GPU]]</f>
        <v>0.67877329624478433</v>
      </c>
      <c r="N42" s="149">
        <f>Table711[[#This Row],[CPU Only (X &gt; 30m)]]/Table711[[#This Row],[CPU+GPU]]</f>
        <v>35.884698122392209</v>
      </c>
      <c r="AJ42" s="68" t="s">
        <v>1408</v>
      </c>
      <c r="AK42">
        <v>8</v>
      </c>
      <c r="AM42" s="2">
        <v>1.359286</v>
      </c>
      <c r="AN42" s="94">
        <f ca="1">Table7[[#This Row],[cpuchunk=1]]/Table7[[#This Row],[CPU Only (30m X)]]</f>
        <v>5.23718815619642</v>
      </c>
      <c r="AQ42" s="94" t="e">
        <f ca="1">Table7[[#This Row],[cpuchunk=1]]/Table7[[#This Row],[GPU_chunk10_ratio]]</f>
        <v>#DIV/0!</v>
      </c>
      <c r="AR42" s="2">
        <v>0.25954500000000003</v>
      </c>
    </row>
    <row r="43" spans="2:44" ht="26" x14ac:dyDescent="0.35">
      <c r="B43" s="87">
        <v>1</v>
      </c>
      <c r="C43" s="84" t="s">
        <v>1425</v>
      </c>
      <c r="D43" s="87">
        <v>8</v>
      </c>
      <c r="E43" s="125" t="s">
        <v>3904</v>
      </c>
      <c r="F43" s="134">
        <v>327.69895100000002</v>
      </c>
      <c r="G43" s="69">
        <v>338.07</v>
      </c>
      <c r="H43" s="125">
        <v>340.68</v>
      </c>
      <c r="I43" s="123" t="s">
        <v>3971</v>
      </c>
      <c r="J43" s="69">
        <v>314.91000000000003</v>
      </c>
      <c r="K43" s="151" t="e">
        <f>Table711[[#This Row],[G2AIMD (pingpong)]]/Table711[[#This Row],[gpu-hybrid-copy]]</f>
        <v>#VALUE!</v>
      </c>
      <c r="L43" s="151" t="e">
        <f>Table711[[#This Row],[G2AIMD (pingpong)]]/Table711[[#This Row],[gpu-layered]]</f>
        <v>#VALUE!</v>
      </c>
      <c r="M43" s="151">
        <f>Table711[[#This Row],[gpu-layered]]/Table711[[#This Row],[CPU+GPU]]</f>
        <v>1.0406114477152202</v>
      </c>
      <c r="N43" s="150" t="e">
        <f>Table711[[#This Row],[CPU Only (X &gt; 30m)]]/Table711[[#This Row],[CPU+GPU]]</f>
        <v>#VALUE!</v>
      </c>
      <c r="AJ43" s="68" t="s">
        <v>1408</v>
      </c>
      <c r="AK43">
        <v>25</v>
      </c>
      <c r="AM43" s="2">
        <v>1.3638410000000001</v>
      </c>
      <c r="AN43" s="94">
        <f ca="1">Table7[[#This Row],[cpuchunk=1]]/Table7[[#This Row],[CPU Only (30m X)]]</f>
        <v>1.0701005415465541</v>
      </c>
      <c r="AQ43" s="94" t="e">
        <f ca="1">Table7[[#This Row],[cpuchunk=1]]/Table7[[#This Row],[GPU_chunk10_ratio]]</f>
        <v>#DIV/0!</v>
      </c>
      <c r="AR43" s="2">
        <v>1.2744979999999999</v>
      </c>
    </row>
    <row r="44" spans="2:44" ht="26" x14ac:dyDescent="0.35">
      <c r="B44" s="87">
        <v>1</v>
      </c>
      <c r="C44" s="84" t="s">
        <v>1371</v>
      </c>
      <c r="D44" s="87">
        <v>6</v>
      </c>
      <c r="E44" s="125">
        <v>42.350599000000003</v>
      </c>
      <c r="F44" s="134">
        <v>36.167906000000002</v>
      </c>
      <c r="G44" s="69">
        <v>122.9</v>
      </c>
      <c r="H44" s="125">
        <v>507.61</v>
      </c>
      <c r="I44" s="123">
        <v>398.639387</v>
      </c>
      <c r="J44" s="69">
        <v>35.24</v>
      </c>
      <c r="K44" s="150">
        <f>Table711[[#This Row],[G2AIMD (pingpong)]]/Table711[[#This Row],[gpu-hybrid-copy]]</f>
        <v>8.3431372510391844E-2</v>
      </c>
      <c r="L44" s="150">
        <f>Table711[[#This Row],[G2AIMD (pingpong)]]/Table711[[#This Row],[gpu-layered]]</f>
        <v>1.1709441790741217</v>
      </c>
      <c r="M44" s="150">
        <f>Table711[[#This Row],[gpu-layered]]/Table711[[#This Row],[CPU+GPU]]</f>
        <v>1.0263310442678775</v>
      </c>
      <c r="N44" s="150">
        <f>Table711[[#This Row],[CPU Only (X &gt; 30m)]]/Table711[[#This Row],[CPU+GPU]]</f>
        <v>11.312127894438138</v>
      </c>
      <c r="AJ44" s="68" t="s">
        <v>1448</v>
      </c>
      <c r="AK44">
        <v>25</v>
      </c>
      <c r="AM44" s="2">
        <v>1.3693169999999999</v>
      </c>
      <c r="AN44" s="94">
        <f ca="1">Table7[[#This Row],[cpuchunk=1]]/Table7[[#This Row],[CPU Only (30m X)]]</f>
        <v>0.92803025938845507</v>
      </c>
      <c r="AQ44" s="94" t="e">
        <f ca="1">Table7[[#This Row],[cpuchunk=1]]/Table7[[#This Row],[GPU_chunk10_ratio]]</f>
        <v>#DIV/0!</v>
      </c>
      <c r="AR44" s="2">
        <v>1.475509</v>
      </c>
    </row>
    <row r="45" spans="2:44" ht="26" x14ac:dyDescent="0.35">
      <c r="B45" s="87">
        <v>1</v>
      </c>
      <c r="C45" s="84" t="s">
        <v>1411</v>
      </c>
      <c r="D45" s="87">
        <v>5</v>
      </c>
      <c r="E45" s="125">
        <v>241.00033300000001</v>
      </c>
      <c r="F45" s="69">
        <v>233.81640899999999</v>
      </c>
      <c r="G45" s="134">
        <v>231.597522</v>
      </c>
      <c r="H45" s="125">
        <v>232.05175199999999</v>
      </c>
      <c r="I45" s="123" t="s">
        <v>3971</v>
      </c>
      <c r="J45" s="69">
        <v>228.49</v>
      </c>
      <c r="K45" s="150">
        <f>Table711[[#This Row],[G2AIMD (pingpong)]]/Table711[[#This Row],[gpu-hybrid-copy]]</f>
        <v>1.0385628676485925</v>
      </c>
      <c r="L45" s="150">
        <f>Table711[[#This Row],[G2AIMD (pingpong)]]/Table711[[#This Row],[gpu-layered]]</f>
        <v>1.0307246357547131</v>
      </c>
      <c r="M45" s="150">
        <f>Table711[[#This Row],[gpu-layered]]/Table711[[#This Row],[CPU+GPU]]</f>
        <v>1.0233113440413146</v>
      </c>
      <c r="N45" s="150" t="e">
        <f>Table711[[#This Row],[CPU Only (X &gt; 30m)]]/Table711[[#This Row],[CPU+GPU]]</f>
        <v>#VALUE!</v>
      </c>
      <c r="AJ45" s="68" t="s">
        <v>1391</v>
      </c>
      <c r="AK45">
        <v>24</v>
      </c>
      <c r="AM45" s="2">
        <v>1.4042870000000001</v>
      </c>
      <c r="AN45" s="94">
        <f ca="1">Table7[[#This Row],[cpuchunk=1]]/Table7[[#This Row],[CPU Only (30m X)]]</f>
        <v>0.82820890425703209</v>
      </c>
      <c r="AQ45" s="94" t="e">
        <f ca="1">Table7[[#This Row],[cpuchunk=1]]/Table7[[#This Row],[GPU_chunk10_ratio]]</f>
        <v>#DIV/0!</v>
      </c>
      <c r="AR45" s="2">
        <v>1.6955709999999999</v>
      </c>
    </row>
    <row r="46" spans="2:44" ht="26" x14ac:dyDescent="0.35">
      <c r="B46" s="87">
        <v>1</v>
      </c>
      <c r="C46" s="84" t="s">
        <v>1411</v>
      </c>
      <c r="D46" s="87">
        <v>2</v>
      </c>
      <c r="E46" s="125">
        <v>42.610433999999998</v>
      </c>
      <c r="F46" s="69">
        <v>43.725070000000002</v>
      </c>
      <c r="G46" s="69">
        <v>43.719253999999999</v>
      </c>
      <c r="H46" s="148">
        <v>43.239319000000002</v>
      </c>
      <c r="I46" s="123" t="s">
        <v>3971</v>
      </c>
      <c r="J46" s="69">
        <v>43.25</v>
      </c>
      <c r="K46" s="150">
        <f>Table711[[#This Row],[G2AIMD (pingpong)]]/Table711[[#This Row],[gpu-hybrid-copy]]</f>
        <v>0.98545571450836211</v>
      </c>
      <c r="L46" s="150">
        <f>Table711[[#This Row],[G2AIMD (pingpong)]]/Table711[[#This Row],[gpu-layered]]</f>
        <v>0.97450807968975228</v>
      </c>
      <c r="M46" s="150">
        <f>Table711[[#This Row],[gpu-layered]]/Table711[[#This Row],[CPU+GPU]]</f>
        <v>1.0109842774566475</v>
      </c>
      <c r="N46" s="150" t="e">
        <f>Table711[[#This Row],[CPU Only (X &gt; 30m)]]/Table711[[#This Row],[CPU+GPU]]</f>
        <v>#VALUE!</v>
      </c>
      <c r="AJ46" s="68" t="s">
        <v>1431</v>
      </c>
      <c r="AK46">
        <v>24</v>
      </c>
      <c r="AM46" s="2">
        <v>1.43831</v>
      </c>
      <c r="AN46" s="94">
        <f ca="1">Table7[[#This Row],[cpuchunk=1]]/Table7[[#This Row],[CPU Only (30m X)]]</f>
        <v>0.91949151187953282</v>
      </c>
      <c r="AQ46" s="94" t="e">
        <f ca="1">Table7[[#This Row],[cpuchunk=1]]/Table7[[#This Row],[GPU_chunk10_ratio]]</f>
        <v>#DIV/0!</v>
      </c>
      <c r="AR46" s="2">
        <v>1.5642450000000001</v>
      </c>
    </row>
    <row r="47" spans="2:44" ht="26" x14ac:dyDescent="0.35">
      <c r="B47" s="87">
        <v>1</v>
      </c>
      <c r="C47" s="84" t="s">
        <v>1450</v>
      </c>
      <c r="D47" s="87">
        <v>5</v>
      </c>
      <c r="E47" s="125">
        <v>582.60663599999998</v>
      </c>
      <c r="F47" s="134">
        <v>540.18943400000001</v>
      </c>
      <c r="G47" s="69">
        <v>542.1</v>
      </c>
      <c r="H47" s="125">
        <v>546.05999999999995</v>
      </c>
      <c r="I47" s="123" t="s">
        <v>3971</v>
      </c>
      <c r="J47" s="69">
        <v>537.62</v>
      </c>
      <c r="K47" s="150">
        <f>Table711[[#This Row],[G2AIMD (pingpong)]]/Table711[[#This Row],[gpu-hybrid-copy]]</f>
        <v>1.0669278760575762</v>
      </c>
      <c r="L47" s="150">
        <f>Table711[[#This Row],[G2AIMD (pingpong)]]/Table711[[#This Row],[gpu-layered]]</f>
        <v>1.0785228279751951</v>
      </c>
      <c r="M47" s="150">
        <f>Table711[[#This Row],[gpu-layered]]/Table711[[#This Row],[CPU+GPU]]</f>
        <v>1.0047792753245788</v>
      </c>
      <c r="N47" s="150" t="e">
        <f>Table711[[#This Row],[CPU Only (X &gt; 30m)]]/Table711[[#This Row],[CPU+GPU]]</f>
        <v>#VALUE!</v>
      </c>
      <c r="AJ47" s="68" t="s">
        <v>1440</v>
      </c>
      <c r="AK47">
        <v>25</v>
      </c>
      <c r="AM47" s="2">
        <v>1.476593</v>
      </c>
      <c r="AN47" s="94">
        <f ca="1">Table7[[#This Row],[cpuchunk=1]]/Table7[[#This Row],[CPU Only (30m X)]]</f>
        <v>1.1271702290076335</v>
      </c>
      <c r="AQ47" s="94" t="e">
        <f ca="1">Table7[[#This Row],[cpuchunk=1]]/Table7[[#This Row],[GPU_chunk10_ratio]]</f>
        <v>#DIV/0!</v>
      </c>
      <c r="AR47" s="2">
        <v>1.31</v>
      </c>
    </row>
    <row r="48" spans="2:44" ht="26" x14ac:dyDescent="0.35">
      <c r="B48" s="87">
        <v>1</v>
      </c>
      <c r="C48" s="84" t="s">
        <v>1448</v>
      </c>
      <c r="D48" s="87">
        <v>5</v>
      </c>
      <c r="E48" s="125">
        <v>317.764993</v>
      </c>
      <c r="F48" s="69">
        <v>302.72099300000002</v>
      </c>
      <c r="G48" s="134">
        <v>301.500158</v>
      </c>
      <c r="H48" s="125">
        <v>301.80645500000003</v>
      </c>
      <c r="I48" s="123" t="s">
        <v>3971</v>
      </c>
      <c r="J48" s="69">
        <v>301.58999999999997</v>
      </c>
      <c r="K48" s="150">
        <f>Table711[[#This Row],[G2AIMD (pingpong)]]/Table711[[#This Row],[gpu-hybrid-copy]]</f>
        <v>1.0528767285643377</v>
      </c>
      <c r="L48" s="150">
        <f>Table711[[#This Row],[G2AIMD (pingpong)]]/Table711[[#This Row],[gpu-layered]]</f>
        <v>1.0496959257794189</v>
      </c>
      <c r="M48" s="150">
        <f>Table711[[#This Row],[gpu-layered]]/Table711[[#This Row],[CPU+GPU]]</f>
        <v>1.0037501011306742</v>
      </c>
      <c r="N48" s="150" t="e">
        <f>Table711[[#This Row],[CPU Only (X &gt; 30m)]]/Table711[[#This Row],[CPU+GPU]]</f>
        <v>#VALUE!</v>
      </c>
      <c r="AJ48" s="68" t="s">
        <v>1431</v>
      </c>
      <c r="AK48">
        <v>7</v>
      </c>
      <c r="AM48" s="2">
        <v>1.4923439999999999</v>
      </c>
      <c r="AN48" s="94">
        <f ca="1">Table7[[#This Row],[cpuchunk=1]]/Table7[[#This Row],[CPU Only (30m X)]]</f>
        <v>0.95053757961783425</v>
      </c>
      <c r="AQ48" s="94" t="e">
        <f ca="1">Table7[[#This Row],[cpuchunk=1]]/Table7[[#This Row],[GPU_chunk10_ratio]]</f>
        <v>#DIV/0!</v>
      </c>
      <c r="AR48" s="2">
        <v>1.57</v>
      </c>
    </row>
    <row r="49" spans="2:44" ht="26" x14ac:dyDescent="0.35">
      <c r="B49" s="87">
        <v>1</v>
      </c>
      <c r="C49" s="84" t="s">
        <v>1423</v>
      </c>
      <c r="D49" s="87">
        <v>5</v>
      </c>
      <c r="E49" s="125">
        <v>170.47756100000001</v>
      </c>
      <c r="F49" s="69">
        <v>161.27854099999999</v>
      </c>
      <c r="G49" s="134">
        <v>160.60965400000001</v>
      </c>
      <c r="H49" s="125">
        <v>160.654089</v>
      </c>
      <c r="I49" s="123" t="s">
        <v>3971</v>
      </c>
      <c r="J49" s="69">
        <v>161.06</v>
      </c>
      <c r="K49" s="150">
        <f>Table711[[#This Row],[G2AIMD (pingpong)]]/Table711[[#This Row],[gpu-hybrid-copy]]</f>
        <v>1.0611467287334342</v>
      </c>
      <c r="L49" s="150">
        <f>Table711[[#This Row],[G2AIMD (pingpong)]]/Table711[[#This Row],[gpu-layered]]</f>
        <v>1.0570380903929433</v>
      </c>
      <c r="M49" s="150">
        <f>Table711[[#This Row],[gpu-layered]]/Table711[[#This Row],[CPU+GPU]]</f>
        <v>1.0013568918415496</v>
      </c>
      <c r="N49" s="150" t="e">
        <f>Table711[[#This Row],[CPU Only (X &gt; 30m)]]/Table711[[#This Row],[CPU+GPU]]</f>
        <v>#VALUE!</v>
      </c>
      <c r="AJ49" s="68" t="s">
        <v>1431</v>
      </c>
      <c r="AK49">
        <v>25</v>
      </c>
      <c r="AM49" s="2">
        <v>1.4968319999999999</v>
      </c>
      <c r="AN49" s="94">
        <f ca="1">Table7[[#This Row],[cpuchunk=1]]/Table7[[#This Row],[CPU Only (30m X)]]</f>
        <v>1.0890549696165397</v>
      </c>
      <c r="AQ49" s="94" t="e">
        <f ca="1">Table7[[#This Row],[cpuchunk=1]]/Table7[[#This Row],[GPU_chunk10_ratio]]</f>
        <v>#DIV/0!</v>
      </c>
      <c r="AR49" s="2">
        <v>1.3744320000000001</v>
      </c>
    </row>
    <row r="50" spans="2:44" ht="26" x14ac:dyDescent="0.35">
      <c r="B50" s="87">
        <v>1</v>
      </c>
      <c r="C50" s="84" t="s">
        <v>18</v>
      </c>
      <c r="D50" s="87">
        <v>5</v>
      </c>
      <c r="E50" s="125">
        <v>547.90130299999998</v>
      </c>
      <c r="F50" s="69">
        <v>515.21909300000004</v>
      </c>
      <c r="G50" s="134">
        <v>507.925364</v>
      </c>
      <c r="H50" s="125">
        <v>507.94913500000001</v>
      </c>
      <c r="I50" s="123" t="s">
        <v>3971</v>
      </c>
      <c r="J50" s="69">
        <v>515.07000000000005</v>
      </c>
      <c r="K50" s="150">
        <f>Table711[[#This Row],[G2AIMD (pingpong)]]/Table711[[#This Row],[gpu-hybrid-copy]]</f>
        <v>1.0786538754515251</v>
      </c>
      <c r="L50" s="150">
        <f>Table711[[#This Row],[G2AIMD (pingpong)]]/Table711[[#This Row],[gpu-layered]]</f>
        <v>1.0634336158035198</v>
      </c>
      <c r="M50" s="150">
        <f>Table711[[#This Row],[gpu-layered]]/Table711[[#This Row],[CPU+GPU]]</f>
        <v>1.0002894616265749</v>
      </c>
      <c r="N50" s="150" t="e">
        <f>Table711[[#This Row],[CPU Only (X &gt; 30m)]]/Table711[[#This Row],[CPU+GPU]]</f>
        <v>#VALUE!</v>
      </c>
      <c r="AJ50" s="68" t="s">
        <v>1431</v>
      </c>
      <c r="AK50">
        <v>9</v>
      </c>
      <c r="AM50" s="2">
        <v>1.5036099999999999</v>
      </c>
      <c r="AN50" s="94">
        <f ca="1">Table7[[#This Row],[cpuchunk=1]]/Table7[[#This Row],[CPU Only (30m X)]]</f>
        <v>7.1284448468930588</v>
      </c>
      <c r="AQ50" s="94" t="e">
        <f ca="1">Table7[[#This Row],[cpuchunk=1]]/Table7[[#This Row],[GPU_chunk10_ratio]]</f>
        <v>#DIV/0!</v>
      </c>
      <c r="AR50" s="2">
        <v>0.21093100000000001</v>
      </c>
    </row>
    <row r="51" spans="2:44" ht="26" x14ac:dyDescent="0.35">
      <c r="B51" s="87">
        <v>1</v>
      </c>
      <c r="C51" s="84" t="s">
        <v>1434</v>
      </c>
      <c r="D51" s="87">
        <v>8</v>
      </c>
      <c r="E51" s="125" t="s">
        <v>3904</v>
      </c>
      <c r="F51" s="134">
        <v>76.951184999999995</v>
      </c>
      <c r="G51" s="69">
        <v>79.67</v>
      </c>
      <c r="H51" s="125">
        <v>85.26</v>
      </c>
      <c r="I51" s="123" t="s">
        <v>3971</v>
      </c>
      <c r="J51" s="69">
        <v>77.040000000000006</v>
      </c>
      <c r="K51" s="151" t="e">
        <f>Table711[[#This Row],[G2AIMD (pingpong)]]/Table711[[#This Row],[gpu-hybrid-copy]]</f>
        <v>#VALUE!</v>
      </c>
      <c r="L51" s="151" t="e">
        <f>Table711[[#This Row],[G2AIMD (pingpong)]]/Table711[[#This Row],[gpu-layered]]</f>
        <v>#VALUE!</v>
      </c>
      <c r="M51" s="151">
        <f>Table711[[#This Row],[gpu-layered]]/Table711[[#This Row],[CPU+GPU]]</f>
        <v>0.99884715732087215</v>
      </c>
      <c r="N51" s="150" t="e">
        <f>Table711[[#This Row],[CPU Only (X &gt; 30m)]]/Table711[[#This Row],[CPU+GPU]]</f>
        <v>#VALUE!</v>
      </c>
      <c r="AJ51" s="68" t="s">
        <v>1346</v>
      </c>
      <c r="AK51">
        <v>9</v>
      </c>
      <c r="AM51" s="2">
        <v>1.544257</v>
      </c>
      <c r="AN51" s="94">
        <f ca="1">Table7[[#This Row],[cpuchunk=1]]/Table7[[#This Row],[CPU Only (30m X)]]</f>
        <v>0.70193499999999998</v>
      </c>
      <c r="AQ51" s="94" t="e">
        <f ca="1">Table7[[#This Row],[cpuchunk=1]]/Table7[[#This Row],[GPU_chunk10_ratio]]</f>
        <v>#DIV/0!</v>
      </c>
      <c r="AR51" s="2">
        <v>2.2000000000000002</v>
      </c>
    </row>
    <row r="52" spans="2:44" ht="26" x14ac:dyDescent="0.35">
      <c r="B52" s="87">
        <v>1</v>
      </c>
      <c r="C52" s="84" t="s">
        <v>1425</v>
      </c>
      <c r="D52" s="87">
        <v>5</v>
      </c>
      <c r="E52" s="125">
        <v>107.200653</v>
      </c>
      <c r="F52" s="69">
        <v>102.262202</v>
      </c>
      <c r="G52" s="69">
        <v>102.179209</v>
      </c>
      <c r="H52" s="148">
        <v>101.933378</v>
      </c>
      <c r="I52" s="123" t="s">
        <v>3971</v>
      </c>
      <c r="J52" s="69">
        <v>102.59</v>
      </c>
      <c r="K52" s="150">
        <f>Table711[[#This Row],[G2AIMD (pingpong)]]/Table711[[#This Row],[gpu-hybrid-copy]]</f>
        <v>1.0516737020134856</v>
      </c>
      <c r="L52" s="150">
        <f>Table711[[#This Row],[G2AIMD (pingpong)]]/Table711[[#This Row],[gpu-layered]]</f>
        <v>1.0482920463613721</v>
      </c>
      <c r="M52" s="150">
        <f>Table711[[#This Row],[gpu-layered]]/Table711[[#This Row],[CPU+GPU]]</f>
        <v>0.99680477629398578</v>
      </c>
      <c r="N52" s="150" t="e">
        <f>Table711[[#This Row],[CPU Only (X &gt; 30m)]]/Table711[[#This Row],[CPU+GPU]]</f>
        <v>#VALUE!</v>
      </c>
      <c r="AJ52" s="68" t="s">
        <v>1391</v>
      </c>
      <c r="AK52">
        <v>25</v>
      </c>
      <c r="AM52" s="2">
        <v>1.5655140000000001</v>
      </c>
      <c r="AN52" s="94">
        <f ca="1">Table7[[#This Row],[cpuchunk=1]]/Table7[[#This Row],[CPU Only (30m X)]]</f>
        <v>1.0204432288607836</v>
      </c>
      <c r="AQ52" s="94" t="e">
        <f ca="1">Table7[[#This Row],[cpuchunk=1]]/Table7[[#This Row],[GPU_chunk10_ratio]]</f>
        <v>#DIV/0!</v>
      </c>
      <c r="AR52" s="2">
        <v>1.534151</v>
      </c>
    </row>
    <row r="53" spans="2:44" ht="26" x14ac:dyDescent="0.35">
      <c r="B53" s="87">
        <v>1</v>
      </c>
      <c r="C53" s="84" t="s">
        <v>1461</v>
      </c>
      <c r="D53" s="87">
        <v>7</v>
      </c>
      <c r="E53" s="125">
        <v>478.88740799999999</v>
      </c>
      <c r="F53" s="134">
        <v>448.63136500000002</v>
      </c>
      <c r="G53" s="69">
        <v>453.35</v>
      </c>
      <c r="H53" s="125">
        <v>454.16</v>
      </c>
      <c r="I53" s="123" t="s">
        <v>3971</v>
      </c>
      <c r="J53" s="69">
        <v>452.29</v>
      </c>
      <c r="K53" s="150">
        <f>Table711[[#This Row],[G2AIMD (pingpong)]]/Table711[[#This Row],[gpu-hybrid-copy]]</f>
        <v>1.0544464682050378</v>
      </c>
      <c r="L53" s="150">
        <f>Table711[[#This Row],[G2AIMD (pingpong)]]/Table711[[#This Row],[gpu-layered]]</f>
        <v>1.0674407662067942</v>
      </c>
      <c r="M53" s="150">
        <f>Table711[[#This Row],[gpu-layered]]/Table711[[#This Row],[CPU+GPU]]</f>
        <v>0.99191086471069445</v>
      </c>
      <c r="N53" s="150" t="e">
        <f>Table711[[#This Row],[CPU Only (X &gt; 30m)]]/Table711[[#This Row],[CPU+GPU]]</f>
        <v>#VALUE!</v>
      </c>
      <c r="AJ53" s="68" t="s">
        <v>1438</v>
      </c>
      <c r="AK53">
        <v>25</v>
      </c>
      <c r="AM53" s="2">
        <v>1.742991</v>
      </c>
      <c r="AN53" s="94">
        <f ca="1">Table7[[#This Row],[cpuchunk=1]]/Table7[[#This Row],[CPU Only (30m X)]]</f>
        <v>0.99529985347374572</v>
      </c>
      <c r="AQ53" s="94" t="e">
        <f ca="1">Table7[[#This Row],[cpuchunk=1]]/Table7[[#This Row],[GPU_chunk10_ratio]]</f>
        <v>#DIV/0!</v>
      </c>
      <c r="AR53" s="2">
        <v>1.7512220000000001</v>
      </c>
    </row>
    <row r="54" spans="2:44" ht="26" x14ac:dyDescent="0.35">
      <c r="B54" s="87">
        <v>1</v>
      </c>
      <c r="C54" s="84" t="s">
        <v>1434</v>
      </c>
      <c r="D54" s="87">
        <v>7</v>
      </c>
      <c r="E54" s="125">
        <v>76.175668000000002</v>
      </c>
      <c r="F54" s="134">
        <v>70.302897999999999</v>
      </c>
      <c r="G54" s="69">
        <v>72.11</v>
      </c>
      <c r="H54" s="125">
        <v>75.11</v>
      </c>
      <c r="I54" s="123" t="s">
        <v>3971</v>
      </c>
      <c r="J54" s="69">
        <v>71.010000000000005</v>
      </c>
      <c r="K54" s="150">
        <f>Table711[[#This Row],[G2AIMD (pingpong)]]/Table711[[#This Row],[gpu-hybrid-copy]]</f>
        <v>1.014188097457063</v>
      </c>
      <c r="L54" s="150">
        <f>Table711[[#This Row],[G2AIMD (pingpong)]]/Table711[[#This Row],[gpu-layered]]</f>
        <v>1.083535247721936</v>
      </c>
      <c r="M54" s="150">
        <f>Table711[[#This Row],[gpu-layered]]/Table711[[#This Row],[CPU+GPU]]</f>
        <v>0.99004221940571746</v>
      </c>
      <c r="N54" s="150" t="e">
        <f>Table711[[#This Row],[CPU Only (X &gt; 30m)]]/Table711[[#This Row],[CPU+GPU]]</f>
        <v>#VALUE!</v>
      </c>
      <c r="AJ54" s="68" t="s">
        <v>1391</v>
      </c>
      <c r="AK54">
        <v>2</v>
      </c>
      <c r="AM54" s="2">
        <v>1.8836040000000001</v>
      </c>
      <c r="AN54" s="94">
        <f ca="1">Table7[[#This Row],[cpuchunk=1]]/Table7[[#This Row],[CPU Only (30m X)]]</f>
        <v>2.7452101751532481</v>
      </c>
      <c r="AQ54" s="94" t="e">
        <f ca="1">Table7[[#This Row],[cpuchunk=1]]/Table7[[#This Row],[GPU_chunk10_ratio]]</f>
        <v>#DIV/0!</v>
      </c>
      <c r="AR54" s="2">
        <v>0.68614200000000003</v>
      </c>
    </row>
    <row r="55" spans="2:44" ht="26" x14ac:dyDescent="0.35">
      <c r="B55" s="87">
        <v>1</v>
      </c>
      <c r="C55" s="84" t="s">
        <v>1346</v>
      </c>
      <c r="D55" s="87">
        <v>8</v>
      </c>
      <c r="E55" s="125">
        <v>37.425060000000002</v>
      </c>
      <c r="F55" s="134">
        <v>29.901053999999998</v>
      </c>
      <c r="G55" s="69">
        <v>30.71</v>
      </c>
      <c r="H55" s="125">
        <v>33.69</v>
      </c>
      <c r="I55" s="123" t="s">
        <v>3971</v>
      </c>
      <c r="J55" s="69">
        <v>30.21</v>
      </c>
      <c r="K55" s="150">
        <f>Table711[[#This Row],[G2AIMD (pingpong)]]/Table711[[#This Row],[gpu-hybrid-copy]]</f>
        <v>1.11086553873553</v>
      </c>
      <c r="L55" s="150">
        <f>Table711[[#This Row],[G2AIMD (pingpong)]]/Table711[[#This Row],[gpu-layered]]</f>
        <v>1.2516301264831668</v>
      </c>
      <c r="M55" s="150">
        <f>Table711[[#This Row],[gpu-layered]]/Table711[[#This Row],[CPU+GPU]]</f>
        <v>0.98977338629592837</v>
      </c>
      <c r="N55" s="150" t="e">
        <f>Table711[[#This Row],[CPU Only (X &gt; 30m)]]/Table711[[#This Row],[CPU+GPU]]</f>
        <v>#VALUE!</v>
      </c>
      <c r="AJ55" s="68" t="s">
        <v>3919</v>
      </c>
      <c r="AK55">
        <v>5</v>
      </c>
      <c r="AM55" s="2">
        <v>2.0098569999999998</v>
      </c>
      <c r="AN55" s="94">
        <f ca="1">Table7[[#This Row],[cpuchunk=1]]/Table7[[#This Row],[CPU Only (30m X)]]</f>
        <v>1.0267573615056091</v>
      </c>
      <c r="AQ55" s="94" t="e">
        <f ca="1">Table7[[#This Row],[cpuchunk=1]]/Table7[[#This Row],[GPU_chunk10_ratio]]</f>
        <v>#DIV/0!</v>
      </c>
      <c r="AR55" s="2">
        <v>1.9574800000000001</v>
      </c>
    </row>
    <row r="56" spans="2:44" ht="26" x14ac:dyDescent="0.35">
      <c r="B56" s="87">
        <v>1</v>
      </c>
      <c r="C56" s="84" t="s">
        <v>1461</v>
      </c>
      <c r="D56" s="87">
        <v>5</v>
      </c>
      <c r="E56" s="125">
        <v>140.261855</v>
      </c>
      <c r="F56" s="134">
        <v>130.19395800000001</v>
      </c>
      <c r="G56" s="69">
        <v>131.03888000000001</v>
      </c>
      <c r="H56" s="125">
        <v>135.52529799999999</v>
      </c>
      <c r="I56" s="123" t="s">
        <v>3971</v>
      </c>
      <c r="J56" s="69">
        <v>131.59</v>
      </c>
      <c r="K56" s="150">
        <f>Table711[[#This Row],[G2AIMD (pingpong)]]/Table711[[#This Row],[gpu-hybrid-copy]]</f>
        <v>1.0349496150895754</v>
      </c>
      <c r="L56" s="150">
        <f>Table711[[#This Row],[G2AIMD (pingpong)]]/Table711[[#This Row],[gpu-layered]]</f>
        <v>1.077329986388462</v>
      </c>
      <c r="M56" s="150">
        <f>Table711[[#This Row],[gpu-layered]]/Table711[[#This Row],[CPU+GPU]]</f>
        <v>0.98939097195835557</v>
      </c>
      <c r="N56" s="150" t="e">
        <f>Table711[[#This Row],[CPU Only (X &gt; 30m)]]/Table711[[#This Row],[CPU+GPU]]</f>
        <v>#VALUE!</v>
      </c>
      <c r="AJ56" s="68" t="s">
        <v>1431</v>
      </c>
      <c r="AK56">
        <v>2</v>
      </c>
      <c r="AM56" s="2">
        <v>2.023552</v>
      </c>
      <c r="AN56" s="94">
        <f ca="1">Table7[[#This Row],[cpuchunk=1]]/Table7[[#This Row],[CPU Only (30m X)]]</f>
        <v>3.3839341257684104</v>
      </c>
      <c r="AQ56" s="94" t="e">
        <f ca="1">Table7[[#This Row],[cpuchunk=1]]/Table7[[#This Row],[GPU_chunk10_ratio]]</f>
        <v>#DIV/0!</v>
      </c>
      <c r="AR56" s="2">
        <v>0.59798799999999996</v>
      </c>
    </row>
    <row r="57" spans="2:44" ht="26" x14ac:dyDescent="0.35">
      <c r="B57" s="87">
        <v>1</v>
      </c>
      <c r="C57" s="84" t="s">
        <v>1425</v>
      </c>
      <c r="D57" s="87">
        <v>7</v>
      </c>
      <c r="E57" s="125">
        <v>426.04929700000002</v>
      </c>
      <c r="F57" s="134">
        <v>411.01339899999999</v>
      </c>
      <c r="G57" s="69">
        <v>414.23</v>
      </c>
      <c r="H57" s="125">
        <v>416.72</v>
      </c>
      <c r="I57" s="123" t="s">
        <v>3971</v>
      </c>
      <c r="J57" s="69">
        <v>415.7</v>
      </c>
      <c r="K57" s="150">
        <f>Table711[[#This Row],[G2AIMD (pingpong)]]/Table711[[#This Row],[gpu-hybrid-copy]]</f>
        <v>1.0223874472067576</v>
      </c>
      <c r="L57" s="150">
        <f>Table711[[#This Row],[G2AIMD (pingpong)]]/Table711[[#This Row],[gpu-layered]]</f>
        <v>1.0365825008055274</v>
      </c>
      <c r="M57" s="150">
        <f>Table711[[#This Row],[gpu-layered]]/Table711[[#This Row],[CPU+GPU]]</f>
        <v>0.9887260019244648</v>
      </c>
      <c r="N57" s="150" t="e">
        <f>Table711[[#This Row],[CPU Only (X &gt; 30m)]]/Table711[[#This Row],[CPU+GPU]]</f>
        <v>#VALUE!</v>
      </c>
      <c r="AJ57" s="68" t="s">
        <v>1</v>
      </c>
      <c r="AK57">
        <v>24</v>
      </c>
      <c r="AM57" s="2">
        <v>2.031037</v>
      </c>
      <c r="AN57" s="94">
        <f ca="1">Table7[[#This Row],[cpuchunk=1]]/Table7[[#This Row],[CPU Only (30m X)]]</f>
        <v>0.84627458464133365</v>
      </c>
      <c r="AQ57" s="94" t="e">
        <f ca="1">Table7[[#This Row],[cpuchunk=1]]/Table7[[#This Row],[GPU_chunk10_ratio]]</f>
        <v>#DIV/0!</v>
      </c>
      <c r="AR57" s="2">
        <v>2.3999739999999998</v>
      </c>
    </row>
    <row r="58" spans="2:44" ht="26" x14ac:dyDescent="0.35">
      <c r="B58" s="87">
        <v>1</v>
      </c>
      <c r="C58" s="84" t="s">
        <v>1</v>
      </c>
      <c r="D58" s="87">
        <v>8</v>
      </c>
      <c r="E58" s="125">
        <v>208.09928300000001</v>
      </c>
      <c r="F58" s="134">
        <v>175.971495</v>
      </c>
      <c r="G58" s="69">
        <v>186.01</v>
      </c>
      <c r="H58" s="125">
        <v>199.22</v>
      </c>
      <c r="I58" s="123" t="s">
        <v>3971</v>
      </c>
      <c r="J58" s="69">
        <v>178.12</v>
      </c>
      <c r="K58" s="150">
        <f>Table711[[#This Row],[G2AIMD (pingpong)]]/Table711[[#This Row],[gpu-hybrid-copy]]</f>
        <v>1.0445702389318343</v>
      </c>
      <c r="L58" s="150">
        <f>Table711[[#This Row],[G2AIMD (pingpong)]]/Table711[[#This Row],[gpu-layered]]</f>
        <v>1.1825738196973323</v>
      </c>
      <c r="M58" s="150">
        <f>Table711[[#This Row],[gpu-layered]]/Table711[[#This Row],[CPU+GPU]]</f>
        <v>0.98793787895800589</v>
      </c>
      <c r="N58" s="150" t="e">
        <f>Table711[[#This Row],[CPU Only (X &gt; 30m)]]/Table711[[#This Row],[CPU+GPU]]</f>
        <v>#VALUE!</v>
      </c>
      <c r="AJ58" s="68" t="s">
        <v>1436</v>
      </c>
      <c r="AK58">
        <v>25</v>
      </c>
      <c r="AM58" s="2">
        <v>2.174401</v>
      </c>
      <c r="AN58" s="94">
        <f ca="1">Table7[[#This Row],[cpuchunk=1]]/Table7[[#This Row],[CPU Only (30m X)]]</f>
        <v>0.87325341365461839</v>
      </c>
      <c r="AQ58" s="94" t="e">
        <f ca="1">Table7[[#This Row],[cpuchunk=1]]/Table7[[#This Row],[GPU_chunk10_ratio]]</f>
        <v>#DIV/0!</v>
      </c>
      <c r="AR58" s="2">
        <v>2.4900000000000002</v>
      </c>
    </row>
    <row r="59" spans="2:44" ht="26" x14ac:dyDescent="0.35">
      <c r="B59" s="87">
        <v>1</v>
      </c>
      <c r="C59" s="84" t="s">
        <v>1455</v>
      </c>
      <c r="D59" s="87">
        <v>2</v>
      </c>
      <c r="E59" s="125">
        <v>66.658944000000005</v>
      </c>
      <c r="F59" s="69">
        <v>64.671341999999996</v>
      </c>
      <c r="G59" s="69">
        <v>64.485517999999999</v>
      </c>
      <c r="H59" s="148">
        <v>64.471490000000003</v>
      </c>
      <c r="I59" s="123" t="s">
        <v>3971</v>
      </c>
      <c r="J59" s="69">
        <v>65.63</v>
      </c>
      <c r="K59" s="150">
        <f>Table711[[#This Row],[G2AIMD (pingpong)]]/Table711[[#This Row],[gpu-hybrid-copy]]</f>
        <v>1.0339290126535001</v>
      </c>
      <c r="L59" s="150">
        <f>Table711[[#This Row],[G2AIMD (pingpong)]]/Table711[[#This Row],[gpu-layered]]</f>
        <v>1.0307338913734001</v>
      </c>
      <c r="M59" s="150">
        <f>Table711[[#This Row],[gpu-layered]]/Table711[[#This Row],[CPU+GPU]]</f>
        <v>0.98539299101020872</v>
      </c>
      <c r="N59" s="150" t="e">
        <f>Table711[[#This Row],[CPU Only (X &gt; 30m)]]/Table711[[#This Row],[CPU+GPU]]</f>
        <v>#VALUE!</v>
      </c>
      <c r="AJ59" s="68" t="s">
        <v>1449</v>
      </c>
      <c r="AK59">
        <v>25</v>
      </c>
      <c r="AM59" s="2">
        <v>2.2564649999999999</v>
      </c>
      <c r="AN59" s="94">
        <f ca="1">Table7[[#This Row],[cpuchunk=1]]/Table7[[#This Row],[CPU Only (30m X)]]</f>
        <v>0.97049377889430377</v>
      </c>
      <c r="AQ59" s="94" t="e">
        <f ca="1">Table7[[#This Row],[cpuchunk=1]]/Table7[[#This Row],[GPU_chunk10_ratio]]</f>
        <v>#DIV/0!</v>
      </c>
      <c r="AR59" s="2">
        <v>2.3250690000000001</v>
      </c>
    </row>
    <row r="60" spans="2:44" ht="26" x14ac:dyDescent="0.35">
      <c r="B60" s="87">
        <v>1</v>
      </c>
      <c r="C60" s="84" t="s">
        <v>1440</v>
      </c>
      <c r="D60" s="87">
        <v>2</v>
      </c>
      <c r="E60" s="125">
        <v>257.65440699999999</v>
      </c>
      <c r="F60" s="69">
        <v>254.59750500000001</v>
      </c>
      <c r="G60" s="69">
        <v>254.583181</v>
      </c>
      <c r="H60" s="148">
        <v>253.83616000000001</v>
      </c>
      <c r="I60" s="123" t="s">
        <v>3971</v>
      </c>
      <c r="J60" s="69">
        <v>258.51</v>
      </c>
      <c r="K60" s="150">
        <f>Table711[[#This Row],[G2AIMD (pingpong)]]/Table711[[#This Row],[gpu-hybrid-copy]]</f>
        <v>1.0150421712966347</v>
      </c>
      <c r="L60" s="150">
        <f>Table711[[#This Row],[G2AIMD (pingpong)]]/Table711[[#This Row],[gpu-layered]]</f>
        <v>1.0120068026589655</v>
      </c>
      <c r="M60" s="150">
        <f>Table711[[#This Row],[gpu-layered]]/Table711[[#This Row],[CPU+GPU]]</f>
        <v>0.98486520830915636</v>
      </c>
      <c r="N60" s="150" t="e">
        <f>Table711[[#This Row],[CPU Only (X &gt; 30m)]]/Table711[[#This Row],[CPU+GPU]]</f>
        <v>#VALUE!</v>
      </c>
      <c r="AJ60" s="68" t="s">
        <v>1434</v>
      </c>
      <c r="AK60">
        <v>2</v>
      </c>
      <c r="AM60" s="2">
        <v>2.2730779999999999</v>
      </c>
      <c r="AN60" s="94">
        <f ca="1">Table7[[#This Row],[cpuchunk=1]]/Table7[[#This Row],[CPU Only (30m X)]]</f>
        <v>0.98241354257922886</v>
      </c>
      <c r="AQ60" s="94" t="e">
        <f ca="1">Table7[[#This Row],[cpuchunk=1]]/Table7[[#This Row],[GPU_chunk10_ratio]]</f>
        <v>#DIV/0!</v>
      </c>
      <c r="AR60" s="2">
        <v>2.3137690000000002</v>
      </c>
    </row>
    <row r="61" spans="2:44" ht="26" x14ac:dyDescent="0.35">
      <c r="B61" s="87">
        <v>1</v>
      </c>
      <c r="C61" s="84" t="s">
        <v>1346</v>
      </c>
      <c r="D61" s="87">
        <v>7</v>
      </c>
      <c r="E61" s="125">
        <v>28.379384999999999</v>
      </c>
      <c r="F61" s="134">
        <v>26.721715</v>
      </c>
      <c r="G61" s="69">
        <v>27.15</v>
      </c>
      <c r="H61" s="125">
        <v>30.64</v>
      </c>
      <c r="I61" s="123" t="s">
        <v>3971</v>
      </c>
      <c r="J61" s="69">
        <v>27.19</v>
      </c>
      <c r="K61" s="150">
        <f>Table711[[#This Row],[G2AIMD (pingpong)]]/Table711[[#This Row],[gpu-hybrid-copy]]</f>
        <v>0.92622013707571793</v>
      </c>
      <c r="L61" s="150">
        <f>Table711[[#This Row],[G2AIMD (pingpong)]]/Table711[[#This Row],[gpu-layered]]</f>
        <v>1.0620345662694179</v>
      </c>
      <c r="M61" s="150">
        <f>Table711[[#This Row],[gpu-layered]]/Table711[[#This Row],[CPU+GPU]]</f>
        <v>0.98277730783376238</v>
      </c>
      <c r="N61" s="150" t="e">
        <f>Table711[[#This Row],[CPU Only (X &gt; 30m)]]/Table711[[#This Row],[CPU+GPU]]</f>
        <v>#VALUE!</v>
      </c>
      <c r="AJ61" s="68" t="s">
        <v>3912</v>
      </c>
      <c r="AK61">
        <v>25</v>
      </c>
      <c r="AM61" s="2">
        <v>2.3830969999999998</v>
      </c>
      <c r="AN61" s="94">
        <f ca="1">Table7[[#This Row],[cpuchunk=1]]/Table7[[#This Row],[CPU Only (30m X)]]</f>
        <v>0.94894387999912377</v>
      </c>
      <c r="AQ61" s="94" t="e">
        <f ca="1">Table7[[#This Row],[cpuchunk=1]]/Table7[[#This Row],[GPU_chunk10_ratio]]</f>
        <v>#DIV/0!</v>
      </c>
      <c r="AR61" s="2">
        <v>2.5113150000000002</v>
      </c>
    </row>
    <row r="62" spans="2:44" ht="26" x14ac:dyDescent="0.35">
      <c r="B62" s="87">
        <v>1</v>
      </c>
      <c r="C62" s="84" t="s">
        <v>18</v>
      </c>
      <c r="D62" s="87">
        <v>2</v>
      </c>
      <c r="E62" s="125">
        <v>65.804128000000006</v>
      </c>
      <c r="F62" s="69">
        <v>65.994421000000003</v>
      </c>
      <c r="G62" s="69">
        <v>65.272642000000005</v>
      </c>
      <c r="H62" s="148">
        <v>64.638947999999999</v>
      </c>
      <c r="I62" s="123" t="s">
        <v>3971</v>
      </c>
      <c r="J62" s="69">
        <v>67.16</v>
      </c>
      <c r="K62" s="150">
        <f>Table711[[#This Row],[G2AIMD (pingpong)]]/Table711[[#This Row],[gpu-hybrid-copy]]</f>
        <v>1.0180259740613353</v>
      </c>
      <c r="L62" s="150">
        <f>Table711[[#This Row],[G2AIMD (pingpong)]]/Table711[[#This Row],[gpu-layered]]</f>
        <v>0.9971165289865942</v>
      </c>
      <c r="M62" s="150">
        <f>Table711[[#This Row],[gpu-layered]]/Table711[[#This Row],[CPU+GPU]]</f>
        <v>0.98264474389517575</v>
      </c>
      <c r="N62" s="150" t="e">
        <f>Table711[[#This Row],[CPU Only (X &gt; 30m)]]/Table711[[#This Row],[CPU+GPU]]</f>
        <v>#VALUE!</v>
      </c>
      <c r="AJ62" s="68" t="s">
        <v>1431</v>
      </c>
      <c r="AK62">
        <v>5</v>
      </c>
      <c r="AM62" s="2">
        <v>2.4282240000000002</v>
      </c>
      <c r="AN62" s="94">
        <f ca="1">Table7[[#This Row],[cpuchunk=1]]/Table7[[#This Row],[CPU Only (30m X)]]</f>
        <v>2.3716367472115332</v>
      </c>
      <c r="AQ62" s="94" t="e">
        <f ca="1">Table7[[#This Row],[cpuchunk=1]]/Table7[[#This Row],[GPU_chunk10_ratio]]</f>
        <v>#DIV/0!</v>
      </c>
      <c r="AR62" s="2">
        <v>1.02386</v>
      </c>
    </row>
    <row r="63" spans="2:44" ht="26" x14ac:dyDescent="0.35">
      <c r="B63" s="87">
        <v>1</v>
      </c>
      <c r="C63" s="84" t="s">
        <v>1438</v>
      </c>
      <c r="D63" s="87">
        <v>2</v>
      </c>
      <c r="E63" s="125">
        <v>103.344572</v>
      </c>
      <c r="F63" s="69">
        <v>101.57598900000001</v>
      </c>
      <c r="G63" s="134">
        <v>101.208506</v>
      </c>
      <c r="H63" s="125">
        <v>101.263729</v>
      </c>
      <c r="I63" s="123" t="s">
        <v>3971</v>
      </c>
      <c r="J63" s="69">
        <v>103.5</v>
      </c>
      <c r="K63" s="150">
        <f>Table711[[#This Row],[G2AIMD (pingpong)]]/Table711[[#This Row],[gpu-hybrid-copy]]</f>
        <v>1.020548749493513</v>
      </c>
      <c r="L63" s="150">
        <f>Table711[[#This Row],[G2AIMD (pingpong)]]/Table711[[#This Row],[gpu-layered]]</f>
        <v>1.0174114278129254</v>
      </c>
      <c r="M63" s="150">
        <f>Table711[[#This Row],[gpu-layered]]/Table711[[#This Row],[CPU+GPU]]</f>
        <v>0.98141052173913046</v>
      </c>
      <c r="N63" s="150" t="e">
        <f>Table711[[#This Row],[CPU Only (X &gt; 30m)]]/Table711[[#This Row],[CPU+GPU]]</f>
        <v>#VALUE!</v>
      </c>
      <c r="AJ63" s="68" t="s">
        <v>1450</v>
      </c>
      <c r="AK63">
        <v>25</v>
      </c>
      <c r="AM63" s="2">
        <v>2.7511410000000001</v>
      </c>
      <c r="AN63" s="94">
        <f ca="1">Table7[[#This Row],[cpuchunk=1]]/Table7[[#This Row],[CPU Only (30m X)]]</f>
        <v>0.97401175268521034</v>
      </c>
      <c r="AQ63" s="94" t="e">
        <f ca="1">Table7[[#This Row],[cpuchunk=1]]/Table7[[#This Row],[GPU_chunk10_ratio]]</f>
        <v>#DIV/0!</v>
      </c>
      <c r="AR63" s="2">
        <v>2.8245459999999998</v>
      </c>
    </row>
    <row r="64" spans="2:44" ht="26" x14ac:dyDescent="0.35">
      <c r="B64" s="87">
        <v>1</v>
      </c>
      <c r="C64" s="84" t="s">
        <v>1436</v>
      </c>
      <c r="D64" s="87">
        <v>2</v>
      </c>
      <c r="E64" s="125">
        <v>29.259466</v>
      </c>
      <c r="F64" s="134">
        <v>27.204583</v>
      </c>
      <c r="G64" s="69">
        <v>27.286231000000001</v>
      </c>
      <c r="H64" s="125">
        <v>27.217074</v>
      </c>
      <c r="I64" s="123" t="s">
        <v>3971</v>
      </c>
      <c r="J64" s="69">
        <v>27.73</v>
      </c>
      <c r="K64" s="150">
        <f>Table711[[#This Row],[G2AIMD (pingpong)]]/Table711[[#This Row],[gpu-hybrid-copy]]</f>
        <v>1.0750408364984421</v>
      </c>
      <c r="L64" s="150">
        <f>Table711[[#This Row],[G2AIMD (pingpong)]]/Table711[[#This Row],[gpu-layered]]</f>
        <v>1.0755344421195503</v>
      </c>
      <c r="M64" s="150">
        <f>Table711[[#This Row],[gpu-layered]]/Table711[[#This Row],[CPU+GPU]]</f>
        <v>0.98105239812477463</v>
      </c>
      <c r="N64" s="150" t="e">
        <f>Table711[[#This Row],[CPU Only (X &gt; 30m)]]/Table711[[#This Row],[CPU+GPU]]</f>
        <v>#VALUE!</v>
      </c>
      <c r="AJ64" s="68" t="s">
        <v>1461</v>
      </c>
      <c r="AK64">
        <v>24</v>
      </c>
      <c r="AM64" s="2">
        <v>2.8523550000000002</v>
      </c>
      <c r="AN64" s="94">
        <f ca="1">Table7[[#This Row],[cpuchunk=1]]/Table7[[#This Row],[CPU Only (30m X)]]</f>
        <v>0.82453757784362858</v>
      </c>
      <c r="AQ64" s="94" t="e">
        <f ca="1">Table7[[#This Row],[cpuchunk=1]]/Table7[[#This Row],[GPU_chunk10_ratio]]</f>
        <v>#DIV/0!</v>
      </c>
      <c r="AR64" s="2">
        <v>3.4593389999999999</v>
      </c>
    </row>
    <row r="65" spans="2:44" ht="26" x14ac:dyDescent="0.35">
      <c r="B65" s="87">
        <v>1</v>
      </c>
      <c r="C65" s="84" t="s">
        <v>1391</v>
      </c>
      <c r="D65" s="87">
        <v>8</v>
      </c>
      <c r="E65" s="125">
        <v>25.276336000000001</v>
      </c>
      <c r="F65" s="134">
        <v>18.415679999999998</v>
      </c>
      <c r="G65" s="69">
        <v>19.75</v>
      </c>
      <c r="H65" s="125">
        <v>21.01</v>
      </c>
      <c r="I65" s="123" t="s">
        <v>3971</v>
      </c>
      <c r="J65" s="69">
        <v>18.805613999999998</v>
      </c>
      <c r="K65" s="150">
        <f>Table711[[#This Row],[G2AIMD (pingpong)]]/Table711[[#This Row],[gpu-hybrid-copy]]</f>
        <v>1.2030621608757734</v>
      </c>
      <c r="L65" s="150">
        <f>Table711[[#This Row],[G2AIMD (pingpong)]]/Table711[[#This Row],[gpu-layered]]</f>
        <v>1.3725442666249632</v>
      </c>
      <c r="M65" s="150">
        <f>Table711[[#This Row],[gpu-layered]]/Table711[[#This Row],[CPU+GPU]]</f>
        <v>0.97926502160471862</v>
      </c>
      <c r="N65" s="150" t="e">
        <f>Table711[[#This Row],[CPU Only (X &gt; 30m)]]/Table711[[#This Row],[CPU+GPU]]</f>
        <v>#VALUE!</v>
      </c>
      <c r="AJ65" s="68" t="s">
        <v>1371</v>
      </c>
      <c r="AK65">
        <v>5</v>
      </c>
      <c r="AM65" s="2">
        <v>2.8553199999999999</v>
      </c>
      <c r="AN65" s="94">
        <f ca="1">Table7[[#This Row],[cpuchunk=1]]/Table7[[#This Row],[CPU Only (30m X)]]</f>
        <v>0.88400000000000001</v>
      </c>
      <c r="AQ65" s="94" t="e">
        <f ca="1">Table7[[#This Row],[cpuchunk=1]]/Table7[[#This Row],[GPU_chunk10_ratio]]</f>
        <v>#DIV/0!</v>
      </c>
      <c r="AR65" s="2">
        <v>3.23</v>
      </c>
    </row>
    <row r="66" spans="2:44" ht="26" x14ac:dyDescent="0.35">
      <c r="B66" s="87">
        <v>1</v>
      </c>
      <c r="C66" s="84" t="s">
        <v>1</v>
      </c>
      <c r="D66" s="87">
        <v>5</v>
      </c>
      <c r="E66" s="125">
        <v>57.615180000000002</v>
      </c>
      <c r="F66" s="69">
        <v>50.911676</v>
      </c>
      <c r="G66" s="69">
        <v>50.697586999999999</v>
      </c>
      <c r="H66" s="148">
        <v>50.490558</v>
      </c>
      <c r="I66" s="123" t="s">
        <v>3971</v>
      </c>
      <c r="J66" s="69">
        <v>52</v>
      </c>
      <c r="K66" s="150">
        <f>Table711[[#This Row],[G2AIMD (pingpong)]]/Table711[[#This Row],[gpu-hybrid-copy]]</f>
        <v>1.141108006768315</v>
      </c>
      <c r="L66" s="150">
        <f>Table711[[#This Row],[G2AIMD (pingpong)]]/Table711[[#This Row],[gpu-layered]]</f>
        <v>1.1316692854503554</v>
      </c>
      <c r="M66" s="150">
        <f>Table711[[#This Row],[gpu-layered]]/Table711[[#This Row],[CPU+GPU]]</f>
        <v>0.97907069230769228</v>
      </c>
      <c r="N66" s="150" t="e">
        <f>Table711[[#This Row],[CPU Only (X &gt; 30m)]]/Table711[[#This Row],[CPU+GPU]]</f>
        <v>#VALUE!</v>
      </c>
      <c r="AJ66" s="68" t="s">
        <v>1461</v>
      </c>
      <c r="AK66">
        <v>25</v>
      </c>
      <c r="AM66" s="2">
        <v>2.9992399999999999</v>
      </c>
      <c r="AN66" s="94">
        <f ca="1">Table7[[#This Row],[cpuchunk=1]]/Table7[[#This Row],[CPU Only (30m X)]]</f>
        <v>0.90769463104817782</v>
      </c>
      <c r="AQ66" s="94" t="e">
        <f ca="1">Table7[[#This Row],[cpuchunk=1]]/Table7[[#This Row],[GPU_chunk10_ratio]]</f>
        <v>#DIV/0!</v>
      </c>
      <c r="AR66" s="2">
        <v>3.3042389999999999</v>
      </c>
    </row>
    <row r="67" spans="2:44" ht="26" x14ac:dyDescent="0.35">
      <c r="B67" s="87">
        <v>1</v>
      </c>
      <c r="C67" s="84" t="s">
        <v>3912</v>
      </c>
      <c r="D67" s="87">
        <v>6</v>
      </c>
      <c r="E67" s="125">
        <v>62.898426000000001</v>
      </c>
      <c r="F67" s="134">
        <v>55.336329999999997</v>
      </c>
      <c r="G67" s="69">
        <v>56.47</v>
      </c>
      <c r="H67" s="125">
        <v>66.36</v>
      </c>
      <c r="I67" s="123">
        <v>681.58641899999998</v>
      </c>
      <c r="J67" s="69">
        <v>56.564124</v>
      </c>
      <c r="K67" s="150">
        <f>Table711[[#This Row],[G2AIMD (pingpong)]]/Table711[[#This Row],[gpu-hybrid-copy]]</f>
        <v>0.94783643761301994</v>
      </c>
      <c r="L67" s="150">
        <f>Table711[[#This Row],[G2AIMD (pingpong)]]/Table711[[#This Row],[gpu-layered]]</f>
        <v>1.1366569846608909</v>
      </c>
      <c r="M67" s="150">
        <f>Table711[[#This Row],[gpu-layered]]/Table711[[#This Row],[CPU+GPU]]</f>
        <v>0.97829376797208067</v>
      </c>
      <c r="N67" s="150">
        <f>Table711[[#This Row],[CPU Only (X &gt; 30m)]]/Table711[[#This Row],[CPU+GPU]]</f>
        <v>12.049800665170736</v>
      </c>
      <c r="AJ67" s="68" t="s">
        <v>1408</v>
      </c>
      <c r="AK67">
        <v>18</v>
      </c>
      <c r="AM67" s="2">
        <v>3.0108380000000001</v>
      </c>
      <c r="AN67" s="94">
        <f ca="1">Table7[[#This Row],[cpuchunk=1]]/Table7[[#This Row],[CPU Only (30m X)]]</f>
        <v>0.99060014318577838</v>
      </c>
      <c r="AQ67" s="94" t="e">
        <f ca="1">Table7[[#This Row],[cpuchunk=1]]/Table7[[#This Row],[GPU_chunk10_ratio]]</f>
        <v>#DIV/0!</v>
      </c>
      <c r="AR67" s="2">
        <v>3.0394079999999999</v>
      </c>
    </row>
    <row r="68" spans="2:44" ht="26" x14ac:dyDescent="0.35">
      <c r="B68" s="87">
        <v>1</v>
      </c>
      <c r="C68" s="84" t="s">
        <v>1433</v>
      </c>
      <c r="D68" s="87">
        <v>2</v>
      </c>
      <c r="E68" s="125">
        <v>28.529733</v>
      </c>
      <c r="F68" s="69">
        <v>26.229344000000001</v>
      </c>
      <c r="G68" s="69">
        <v>26.240309</v>
      </c>
      <c r="H68" s="148">
        <v>26.180481</v>
      </c>
      <c r="I68" s="123" t="s">
        <v>3971</v>
      </c>
      <c r="J68" s="69">
        <v>26.82</v>
      </c>
      <c r="K68" s="150">
        <f>Table711[[#This Row],[G2AIMD (pingpong)]]/Table711[[#This Row],[gpu-hybrid-copy]]</f>
        <v>1.0897329579238824</v>
      </c>
      <c r="L68" s="150">
        <f>Table711[[#This Row],[G2AIMD (pingpong)]]/Table711[[#This Row],[gpu-layered]]</f>
        <v>1.0877028796450265</v>
      </c>
      <c r="M68" s="150">
        <f>Table711[[#This Row],[gpu-layered]]/Table711[[#This Row],[CPU+GPU]]</f>
        <v>0.9779770320656227</v>
      </c>
      <c r="N68" s="150" t="e">
        <f>Table711[[#This Row],[CPU Only (X &gt; 30m)]]/Table711[[#This Row],[CPU+GPU]]</f>
        <v>#VALUE!</v>
      </c>
      <c r="AJ68" s="68" t="s">
        <v>1408</v>
      </c>
      <c r="AK68">
        <v>6</v>
      </c>
      <c r="AM68" s="2">
        <v>3.2149070000000002</v>
      </c>
      <c r="AN68" s="94">
        <f ca="1">Table7[[#This Row],[cpuchunk=1]]/Table7[[#This Row],[CPU Only (30m X)]]</f>
        <v>2.1620465455347571</v>
      </c>
      <c r="AQ68" s="94" t="e">
        <f ca="1">Table7[[#This Row],[cpuchunk=1]]/Table7[[#This Row],[GPU_chunk10_ratio]]</f>
        <v>#DIV/0!</v>
      </c>
      <c r="AR68" s="2">
        <v>1.486974</v>
      </c>
    </row>
    <row r="69" spans="2:44" ht="26" x14ac:dyDescent="0.35">
      <c r="B69" s="87">
        <v>1</v>
      </c>
      <c r="C69" s="84" t="s">
        <v>1409</v>
      </c>
      <c r="D69" s="87">
        <v>2</v>
      </c>
      <c r="E69" s="125">
        <v>113.499054</v>
      </c>
      <c r="F69" s="69">
        <v>111.25745999999999</v>
      </c>
      <c r="G69" s="69">
        <v>111.11881700000001</v>
      </c>
      <c r="H69" s="148">
        <v>110.583904</v>
      </c>
      <c r="I69" s="123" t="s">
        <v>3971</v>
      </c>
      <c r="J69" s="69">
        <v>114.07</v>
      </c>
      <c r="K69" s="150">
        <f>Table711[[#This Row],[G2AIMD (pingpong)]]/Table711[[#This Row],[gpu-hybrid-copy]]</f>
        <v>1.026361431406871</v>
      </c>
      <c r="L69" s="150">
        <f>Table711[[#This Row],[G2AIMD (pingpong)]]/Table711[[#This Row],[gpu-layered]]</f>
        <v>1.020147808515492</v>
      </c>
      <c r="M69" s="150">
        <f>Table711[[#This Row],[gpu-layered]]/Table711[[#This Row],[CPU+GPU]]</f>
        <v>0.97534373630227056</v>
      </c>
      <c r="N69" s="150" t="e">
        <f>Table711[[#This Row],[CPU Only (X &gt; 30m)]]/Table711[[#This Row],[CPU+GPU]]</f>
        <v>#VALUE!</v>
      </c>
      <c r="AJ69" s="68" t="s">
        <v>18</v>
      </c>
      <c r="AK69">
        <v>25</v>
      </c>
      <c r="AM69" s="2">
        <v>3.3076409999999998</v>
      </c>
      <c r="AN69" s="94">
        <f ca="1">Table7[[#This Row],[cpuchunk=1]]/Table7[[#This Row],[CPU Only (30m X)]]</f>
        <v>0.93837913440165455</v>
      </c>
      <c r="AQ69" s="94" t="e">
        <f ca="1">Table7[[#This Row],[cpuchunk=1]]/Table7[[#This Row],[GPU_chunk10_ratio]]</f>
        <v>#DIV/0!</v>
      </c>
      <c r="AR69" s="2">
        <v>3.524845</v>
      </c>
    </row>
    <row r="70" spans="2:44" ht="26" x14ac:dyDescent="0.35">
      <c r="B70" s="87">
        <v>1</v>
      </c>
      <c r="C70" s="84" t="s">
        <v>1450</v>
      </c>
      <c r="D70" s="87">
        <v>2</v>
      </c>
      <c r="E70" s="125">
        <v>21.122053000000001</v>
      </c>
      <c r="F70" s="134">
        <v>18.906770000000002</v>
      </c>
      <c r="G70" s="69">
        <v>19.009142000000001</v>
      </c>
      <c r="H70" s="125">
        <v>19.015332000000001</v>
      </c>
      <c r="I70" s="123" t="s">
        <v>3971</v>
      </c>
      <c r="J70" s="69">
        <v>19.39</v>
      </c>
      <c r="K70" s="150">
        <f>Table711[[#This Row],[G2AIMD (pingpong)]]/Table711[[#This Row],[gpu-hybrid-copy]]</f>
        <v>1.1107906504077867</v>
      </c>
      <c r="L70" s="150">
        <f>Table711[[#This Row],[G2AIMD (pingpong)]]/Table711[[#This Row],[gpu-layered]]</f>
        <v>1.1171687707630653</v>
      </c>
      <c r="M70" s="150">
        <f>Table711[[#This Row],[gpu-layered]]/Table711[[#This Row],[CPU+GPU]]</f>
        <v>0.97507839092315629</v>
      </c>
      <c r="N70" s="150" t="e">
        <f>Table711[[#This Row],[CPU Only (X &gt; 30m)]]/Table711[[#This Row],[CPU+GPU]]</f>
        <v>#VALUE!</v>
      </c>
      <c r="AJ70" s="68" t="s">
        <v>1</v>
      </c>
      <c r="AK70">
        <v>2</v>
      </c>
      <c r="AM70" s="2">
        <v>3.6229019999999998</v>
      </c>
      <c r="AN70" s="94">
        <f ca="1">Table7[[#This Row],[cpuchunk=1]]/Table7[[#This Row],[CPU Only (30m X)]]</f>
        <v>0.387812115308449</v>
      </c>
      <c r="AQ70" s="94" t="e">
        <f ca="1">Table7[[#This Row],[cpuchunk=1]]/Table7[[#This Row],[GPU_chunk10_ratio]]</f>
        <v>#DIV/0!</v>
      </c>
      <c r="AR70" s="2">
        <v>9.3419000000000008</v>
      </c>
    </row>
    <row r="71" spans="2:44" ht="26" x14ac:dyDescent="0.35">
      <c r="B71" s="87">
        <v>1</v>
      </c>
      <c r="C71" s="84" t="s">
        <v>3912</v>
      </c>
      <c r="D71" s="87">
        <v>8</v>
      </c>
      <c r="E71" s="125">
        <v>23.409692</v>
      </c>
      <c r="F71" s="134">
        <v>19.219840999999999</v>
      </c>
      <c r="G71" s="69">
        <v>20.399999999999999</v>
      </c>
      <c r="H71" s="125">
        <v>24.39</v>
      </c>
      <c r="I71" s="123">
        <v>579.55940199999998</v>
      </c>
      <c r="J71" s="69">
        <v>19.72</v>
      </c>
      <c r="K71" s="150">
        <f>Table711[[#This Row],[G2AIMD (pingpong)]]/Table711[[#This Row],[gpu-hybrid-copy]]</f>
        <v>0.95980697006970062</v>
      </c>
      <c r="L71" s="150">
        <f>Table711[[#This Row],[G2AIMD (pingpong)]]/Table711[[#This Row],[gpu-layered]]</f>
        <v>1.217996132226068</v>
      </c>
      <c r="M71" s="150">
        <f>Table711[[#This Row],[gpu-layered]]/Table711[[#This Row],[CPU+GPU]]</f>
        <v>0.97463696754563889</v>
      </c>
      <c r="N71" s="150">
        <f>Table711[[#This Row],[CPU Only (X &gt; 30m)]]/Table711[[#This Row],[CPU+GPU]]</f>
        <v>29.389422008113591</v>
      </c>
      <c r="AJ71" s="68" t="s">
        <v>3919</v>
      </c>
      <c r="AK71">
        <v>7</v>
      </c>
      <c r="AM71" s="2">
        <v>3.7306889999999999</v>
      </c>
      <c r="AN71" s="94">
        <f ca="1">Table7[[#This Row],[cpuchunk=1]]/Table7[[#This Row],[CPU Only (30m X)]]</f>
        <v>0.98206651284676938</v>
      </c>
      <c r="AQ71" s="94" t="e">
        <f ca="1">Table7[[#This Row],[cpuchunk=1]]/Table7[[#This Row],[GPU_chunk10_ratio]]</f>
        <v>#DIV/0!</v>
      </c>
      <c r="AR71" s="2">
        <v>3.7988149999999998</v>
      </c>
    </row>
    <row r="72" spans="2:44" ht="26" x14ac:dyDescent="0.35">
      <c r="B72" s="87">
        <v>1</v>
      </c>
      <c r="C72" s="84" t="s">
        <v>1449</v>
      </c>
      <c r="D72" s="87">
        <v>2</v>
      </c>
      <c r="E72" s="125">
        <v>46.799216999999999</v>
      </c>
      <c r="F72" s="134">
        <v>44.304222000000003</v>
      </c>
      <c r="G72" s="69">
        <v>44.380322999999997</v>
      </c>
      <c r="H72" s="125">
        <v>44.349592999999999</v>
      </c>
      <c r="I72" s="123" t="s">
        <v>3971</v>
      </c>
      <c r="J72" s="69">
        <v>45.59</v>
      </c>
      <c r="K72" s="150">
        <f>Table711[[#This Row],[G2AIMD (pingpong)]]/Table711[[#This Row],[gpu-hybrid-copy]]</f>
        <v>1.0552344189494591</v>
      </c>
      <c r="L72" s="150">
        <f>Table711[[#This Row],[G2AIMD (pingpong)]]/Table711[[#This Row],[gpu-layered]]</f>
        <v>1.0563150618015591</v>
      </c>
      <c r="M72" s="150">
        <f>Table711[[#This Row],[gpu-layered]]/Table711[[#This Row],[CPU+GPU]]</f>
        <v>0.97179692915112958</v>
      </c>
      <c r="N72" s="150" t="e">
        <f>Table711[[#This Row],[CPU Only (X &gt; 30m)]]/Table711[[#This Row],[CPU+GPU]]</f>
        <v>#VALUE!</v>
      </c>
      <c r="AJ72" s="68" t="s">
        <v>18</v>
      </c>
      <c r="AK72">
        <v>24</v>
      </c>
      <c r="AM72" s="2">
        <v>3.8970630000000002</v>
      </c>
      <c r="AN72" s="94">
        <f ca="1">Table7[[#This Row],[cpuchunk=1]]/Table7[[#This Row],[CPU Only (30m X)]]</f>
        <v>1.0386528807292894</v>
      </c>
      <c r="AQ72" s="94" t="e">
        <f ca="1">Table7[[#This Row],[cpuchunk=1]]/Table7[[#This Row],[GPU_chunk10_ratio]]</f>
        <v>#DIV/0!</v>
      </c>
      <c r="AR72" s="2">
        <v>3.7520359999999999</v>
      </c>
    </row>
    <row r="73" spans="2:44" ht="26" x14ac:dyDescent="0.35">
      <c r="B73" s="87">
        <v>1</v>
      </c>
      <c r="C73" s="84" t="s">
        <v>3912</v>
      </c>
      <c r="D73" s="87">
        <v>7</v>
      </c>
      <c r="E73" s="125">
        <v>19.990193000000001</v>
      </c>
      <c r="F73" s="134">
        <v>18.188489000000001</v>
      </c>
      <c r="G73" s="69">
        <v>18.760000000000002</v>
      </c>
      <c r="H73" s="125">
        <v>22.04</v>
      </c>
      <c r="I73" s="123" t="s">
        <v>3971</v>
      </c>
      <c r="J73" s="69">
        <v>18.91</v>
      </c>
      <c r="K73" s="150">
        <f>Table711[[#This Row],[G2AIMD (pingpong)]]/Table711[[#This Row],[gpu-hybrid-copy]]</f>
        <v>0.90699605263157901</v>
      </c>
      <c r="L73" s="150">
        <f>Table711[[#This Row],[G2AIMD (pingpong)]]/Table711[[#This Row],[gpu-layered]]</f>
        <v>1.0990573763439064</v>
      </c>
      <c r="M73" s="150">
        <f>Table711[[#This Row],[gpu-layered]]/Table711[[#This Row],[CPU+GPU]]</f>
        <v>0.96184500264410366</v>
      </c>
      <c r="N73" s="150" t="e">
        <f>Table711[[#This Row],[CPU Only (X &gt; 30m)]]/Table711[[#This Row],[CPU+GPU]]</f>
        <v>#VALUE!</v>
      </c>
      <c r="AJ73" s="68" t="s">
        <v>1434</v>
      </c>
      <c r="AK73">
        <v>25</v>
      </c>
      <c r="AM73" s="2">
        <v>3.970812</v>
      </c>
      <c r="AN73" s="94">
        <f ca="1">Table7[[#This Row],[cpuchunk=1]]/Table7[[#This Row],[CPU Only (30m X)]]</f>
        <v>0.96852994535876324</v>
      </c>
      <c r="AQ73" s="94" t="e">
        <f ca="1">Table7[[#This Row],[cpuchunk=1]]/Table7[[#This Row],[GPU_chunk10_ratio]]</f>
        <v>#DIV/0!</v>
      </c>
      <c r="AR73" s="2">
        <v>4.0998340000000004</v>
      </c>
    </row>
    <row r="74" spans="2:44" ht="26" x14ac:dyDescent="0.35">
      <c r="B74" s="87">
        <v>1</v>
      </c>
      <c r="C74" s="84" t="s">
        <v>1448</v>
      </c>
      <c r="D74" s="87">
        <v>2</v>
      </c>
      <c r="E74" s="125">
        <v>12.071039000000001</v>
      </c>
      <c r="F74" s="134">
        <v>11.80391</v>
      </c>
      <c r="G74" s="69">
        <v>11.904071999999999</v>
      </c>
      <c r="H74" s="125">
        <v>11.820052</v>
      </c>
      <c r="I74" s="123" t="s">
        <v>3971</v>
      </c>
      <c r="J74" s="69">
        <v>12.28</v>
      </c>
      <c r="K74" s="150">
        <f>Table711[[#This Row],[G2AIMD (pingpong)]]/Table711[[#This Row],[gpu-hybrid-copy]]</f>
        <v>1.0212340013394188</v>
      </c>
      <c r="L74" s="150">
        <f>Table711[[#This Row],[G2AIMD (pingpong)]]/Table711[[#This Row],[gpu-layered]]</f>
        <v>1.0226305520797769</v>
      </c>
      <c r="M74" s="150">
        <f>Table711[[#This Row],[gpu-layered]]/Table711[[#This Row],[CPU+GPU]]</f>
        <v>0.96123045602605872</v>
      </c>
      <c r="N74" s="150" t="e">
        <f>Table711[[#This Row],[CPU Only (X &gt; 30m)]]/Table711[[#This Row],[CPU+GPU]]</f>
        <v>#VALUE!</v>
      </c>
      <c r="AJ74" s="68" t="s">
        <v>1425</v>
      </c>
      <c r="AK74">
        <v>2</v>
      </c>
      <c r="AM74" s="2">
        <v>4.2398239999999996</v>
      </c>
      <c r="AN74" s="94">
        <f ca="1">Table7[[#This Row],[cpuchunk=1]]/Table7[[#This Row],[CPU Only (30m X)]]</f>
        <v>0.22140073107049607</v>
      </c>
      <c r="AQ74" s="94" t="e">
        <f ca="1">Table7[[#This Row],[cpuchunk=1]]/Table7[[#This Row],[GPU_chunk10_ratio]]</f>
        <v>#DIV/0!</v>
      </c>
      <c r="AR74" s="2">
        <v>19.149999999999999</v>
      </c>
    </row>
    <row r="75" spans="2:44" ht="26" x14ac:dyDescent="0.35">
      <c r="B75" s="87">
        <v>1</v>
      </c>
      <c r="C75" s="84" t="s">
        <v>3919</v>
      </c>
      <c r="D75" s="87">
        <v>6</v>
      </c>
      <c r="E75" s="125">
        <v>18.152170999999999</v>
      </c>
      <c r="F75" s="134">
        <v>13.829148</v>
      </c>
      <c r="G75" s="69">
        <v>14.59</v>
      </c>
      <c r="H75" s="125">
        <v>24.49</v>
      </c>
      <c r="I75" s="123">
        <v>122.148618</v>
      </c>
      <c r="J75" s="69">
        <v>14.428466999999999</v>
      </c>
      <c r="K75" s="150">
        <f>Table711[[#This Row],[G2AIMD (pingpong)]]/Table711[[#This Row],[gpu-hybrid-copy]]</f>
        <v>0.74120747243772966</v>
      </c>
      <c r="L75" s="150">
        <f>Table711[[#This Row],[G2AIMD (pingpong)]]/Table711[[#This Row],[gpu-layered]]</f>
        <v>1.3126022658807324</v>
      </c>
      <c r="M75" s="150">
        <f>Table711[[#This Row],[gpu-layered]]/Table711[[#This Row],[CPU+GPU]]</f>
        <v>0.95846273897289302</v>
      </c>
      <c r="N75" s="150">
        <f>Table711[[#This Row],[CPU Only (X &gt; 30m)]]/Table711[[#This Row],[CPU+GPU]]</f>
        <v>8.4658070743066478</v>
      </c>
      <c r="AJ75" s="68" t="s">
        <v>1411</v>
      </c>
      <c r="AK75">
        <v>9</v>
      </c>
      <c r="AM75" s="2">
        <v>4.4936379999999998</v>
      </c>
      <c r="AN75" s="94">
        <f ca="1">Table7[[#This Row],[cpuchunk=1]]/Table7[[#This Row],[CPU Only (30m X)]]</f>
        <v>0.12063457718120804</v>
      </c>
      <c r="AQ75" s="94" t="e">
        <f ca="1">Table7[[#This Row],[cpuchunk=1]]/Table7[[#This Row],[GPU_chunk10_ratio]]</f>
        <v>#DIV/0!</v>
      </c>
      <c r="AR75" s="2">
        <v>37.25</v>
      </c>
    </row>
    <row r="76" spans="2:44" ht="26" x14ac:dyDescent="0.35">
      <c r="B76" s="87">
        <v>1</v>
      </c>
      <c r="C76" s="84" t="s">
        <v>1440</v>
      </c>
      <c r="D76" s="87">
        <v>9</v>
      </c>
      <c r="E76" s="125">
        <v>143.057703</v>
      </c>
      <c r="F76" s="69">
        <v>138.77937499999999</v>
      </c>
      <c r="G76" s="134">
        <v>138.30026100000001</v>
      </c>
      <c r="H76" s="125">
        <v>138.30904899999999</v>
      </c>
      <c r="I76" s="123" t="s">
        <v>3971</v>
      </c>
      <c r="J76" s="69">
        <v>145.9</v>
      </c>
      <c r="K76" s="150">
        <f>Table711[[#This Row],[G2AIMD (pingpong)]]/Table711[[#This Row],[gpu-hybrid-copy]]</f>
        <v>1.0343336465280737</v>
      </c>
      <c r="L76" s="150">
        <f>Table711[[#This Row],[G2AIMD (pingpong)]]/Table711[[#This Row],[gpu-layered]]</f>
        <v>1.0308282696906512</v>
      </c>
      <c r="M76" s="150">
        <f>Table711[[#This Row],[gpu-layered]]/Table711[[#This Row],[CPU+GPU]]</f>
        <v>0.951195167923235</v>
      </c>
      <c r="N76" s="150" t="e">
        <f>Table711[[#This Row],[CPU Only (X &gt; 30m)]]/Table711[[#This Row],[CPU+GPU]]</f>
        <v>#VALUE!</v>
      </c>
      <c r="AJ76" s="68" t="s">
        <v>1</v>
      </c>
      <c r="AK76">
        <v>25</v>
      </c>
      <c r="AM76" s="2">
        <v>4.7557159999999996</v>
      </c>
      <c r="AN76" s="94">
        <f ca="1">Table7[[#This Row],[cpuchunk=1]]/Table7[[#This Row],[CPU Only (30m X)]]</f>
        <v>0.96199235740838018</v>
      </c>
      <c r="AQ76" s="94" t="e">
        <f ca="1">Table7[[#This Row],[cpuchunk=1]]/Table7[[#This Row],[GPU_chunk10_ratio]]</f>
        <v>#DIV/0!</v>
      </c>
      <c r="AR76" s="2">
        <v>4.9436109999999998</v>
      </c>
    </row>
    <row r="77" spans="2:44" ht="26" x14ac:dyDescent="0.35">
      <c r="B77" s="87">
        <v>1</v>
      </c>
      <c r="C77" s="84" t="s">
        <v>1434</v>
      </c>
      <c r="D77" s="87">
        <v>5</v>
      </c>
      <c r="E77" s="125">
        <v>30.819552000000002</v>
      </c>
      <c r="F77" s="134">
        <v>25.365794000000001</v>
      </c>
      <c r="G77" s="69">
        <v>26.35</v>
      </c>
      <c r="H77" s="125">
        <v>29.44</v>
      </c>
      <c r="I77" s="123">
        <v>1506.4237009999999</v>
      </c>
      <c r="J77" s="69">
        <v>26.810158999999999</v>
      </c>
      <c r="K77" s="150">
        <f>Table711[[#This Row],[G2AIMD (pingpong)]]/Table711[[#This Row],[gpu-hybrid-copy]]</f>
        <v>1.0468597826086956</v>
      </c>
      <c r="L77" s="150">
        <f>Table711[[#This Row],[G2AIMD (pingpong)]]/Table711[[#This Row],[gpu-layered]]</f>
        <v>1.2150044268277194</v>
      </c>
      <c r="M77" s="150">
        <f>Table711[[#This Row],[gpu-layered]]/Table711[[#This Row],[CPU+GPU]]</f>
        <v>0.94612620536864411</v>
      </c>
      <c r="N77" s="150">
        <f>Table711[[#This Row],[CPU Only (X &gt; 30m)]]/Table711[[#This Row],[CPU+GPU]]</f>
        <v>56.188540358899026</v>
      </c>
      <c r="AJ77" s="68" t="s">
        <v>1391</v>
      </c>
      <c r="AK77">
        <v>5</v>
      </c>
      <c r="AM77" s="2">
        <v>4.8162799999999999</v>
      </c>
      <c r="AN77" s="94">
        <f ca="1">Table7[[#This Row],[cpuchunk=1]]/Table7[[#This Row],[CPU Only (30m X)]]</f>
        <v>1.3254570097766034</v>
      </c>
      <c r="AQ77" s="94" t="e">
        <f ca="1">Table7[[#This Row],[cpuchunk=1]]/Table7[[#This Row],[GPU_chunk10_ratio]]</f>
        <v>#DIV/0!</v>
      </c>
      <c r="AR77" s="2">
        <v>3.6336750000000002</v>
      </c>
    </row>
    <row r="78" spans="2:44" ht="26" x14ac:dyDescent="0.35">
      <c r="B78" s="87">
        <v>1</v>
      </c>
      <c r="C78" s="84" t="s">
        <v>1371</v>
      </c>
      <c r="D78" s="87">
        <v>8</v>
      </c>
      <c r="E78" s="125">
        <v>15.318994999999999</v>
      </c>
      <c r="F78" s="134">
        <v>7.7371660000000002</v>
      </c>
      <c r="G78" s="69">
        <v>8.91</v>
      </c>
      <c r="H78" s="125">
        <v>11.48</v>
      </c>
      <c r="I78" s="123" t="s">
        <v>3971</v>
      </c>
      <c r="J78" s="69">
        <v>8.24</v>
      </c>
      <c r="K78" s="150">
        <f>Table711[[#This Row],[G2AIMD (pingpong)]]/Table711[[#This Row],[gpu-hybrid-copy]]</f>
        <v>1.3344072299651566</v>
      </c>
      <c r="L78" s="150">
        <f>Table711[[#This Row],[G2AIMD (pingpong)]]/Table711[[#This Row],[gpu-layered]]</f>
        <v>1.9799232690625999</v>
      </c>
      <c r="M78" s="150">
        <f>Table711[[#This Row],[gpu-layered]]/Table711[[#This Row],[CPU+GPU]]</f>
        <v>0.93897645631067961</v>
      </c>
      <c r="N78" s="150" t="e">
        <f>Table711[[#This Row],[CPU Only (X &gt; 30m)]]/Table711[[#This Row],[CPU+GPU]]</f>
        <v>#VALUE!</v>
      </c>
      <c r="AJ78" s="68" t="s">
        <v>1425</v>
      </c>
      <c r="AK78">
        <v>9</v>
      </c>
      <c r="AM78" s="2">
        <v>5.2190339999999997</v>
      </c>
      <c r="AN78" s="94">
        <f ca="1">Table7[[#This Row],[cpuchunk=1]]/Table7[[#This Row],[CPU Only (30m X)]]</f>
        <v>0.62279642004773261</v>
      </c>
      <c r="AQ78" s="94" t="e">
        <f ca="1">Table7[[#This Row],[cpuchunk=1]]/Table7[[#This Row],[GPU_chunk10_ratio]]</f>
        <v>#DIV/0!</v>
      </c>
      <c r="AR78" s="2">
        <v>8.3800000000000008</v>
      </c>
    </row>
    <row r="79" spans="2:44" ht="26" x14ac:dyDescent="0.35">
      <c r="B79" s="87">
        <v>1</v>
      </c>
      <c r="C79" s="84" t="s">
        <v>1409</v>
      </c>
      <c r="D79" s="87">
        <v>9</v>
      </c>
      <c r="E79" s="125">
        <v>55.395792</v>
      </c>
      <c r="F79" s="134">
        <v>52.507688999999999</v>
      </c>
      <c r="G79" s="69">
        <v>52.609563999999999</v>
      </c>
      <c r="H79" s="125">
        <v>52.765434999999997</v>
      </c>
      <c r="I79" s="123" t="s">
        <v>3971</v>
      </c>
      <c r="J79" s="69">
        <v>56.48</v>
      </c>
      <c r="K79" s="150">
        <f>Table711[[#This Row],[G2AIMD (pingpong)]]/Table711[[#This Row],[gpu-hybrid-copy]]</f>
        <v>1.049850001236605</v>
      </c>
      <c r="L79" s="150">
        <f>Table711[[#This Row],[G2AIMD (pingpong)]]/Table711[[#This Row],[gpu-layered]]</f>
        <v>1.0550034300690705</v>
      </c>
      <c r="M79" s="150">
        <f>Table711[[#This Row],[gpu-layered]]/Table711[[#This Row],[CPU+GPU]]</f>
        <v>0.92966871458923517</v>
      </c>
      <c r="N79" s="150" t="e">
        <f>Table711[[#This Row],[CPU Only (X &gt; 30m)]]/Table711[[#This Row],[CPU+GPU]]</f>
        <v>#VALUE!</v>
      </c>
      <c r="AJ79" s="68" t="s">
        <v>3912</v>
      </c>
      <c r="AK79">
        <v>9</v>
      </c>
      <c r="AM79" s="2">
        <v>5.362946</v>
      </c>
      <c r="AN79" s="94">
        <f ca="1">Table7[[#This Row],[cpuchunk=1]]/Table7[[#This Row],[CPU Only (30m X)]]</f>
        <v>0.95669975754918268</v>
      </c>
      <c r="AQ79" s="94" t="e">
        <f ca="1">Table7[[#This Row],[cpuchunk=1]]/Table7[[#This Row],[GPU_chunk10_ratio]]</f>
        <v>#DIV/0!</v>
      </c>
      <c r="AR79" s="2">
        <v>5.6056730000000003</v>
      </c>
    </row>
    <row r="80" spans="2:44" ht="26" x14ac:dyDescent="0.35">
      <c r="B80" s="87">
        <v>1</v>
      </c>
      <c r="C80" s="84" t="s">
        <v>1450</v>
      </c>
      <c r="D80" s="87">
        <v>9</v>
      </c>
      <c r="E80" s="125">
        <v>33.843966000000002</v>
      </c>
      <c r="F80" s="134">
        <v>28.473952000000001</v>
      </c>
      <c r="G80" s="69">
        <v>29.47</v>
      </c>
      <c r="H80" s="125">
        <v>32.340000000000003</v>
      </c>
      <c r="I80" s="123" t="s">
        <v>3971</v>
      </c>
      <c r="J80" s="69">
        <v>31.71</v>
      </c>
      <c r="K80" s="150">
        <f>Table711[[#This Row],[G2AIMD (pingpong)]]/Table711[[#This Row],[gpu-hybrid-copy]]</f>
        <v>1.0465048237476808</v>
      </c>
      <c r="L80" s="150">
        <f>Table711[[#This Row],[G2AIMD (pingpong)]]/Table711[[#This Row],[gpu-layered]]</f>
        <v>1.1885939120779581</v>
      </c>
      <c r="M80" s="150">
        <f>Table711[[#This Row],[gpu-layered]]/Table711[[#This Row],[CPU+GPU]]</f>
        <v>0.89794865972879212</v>
      </c>
      <c r="N80" s="150" t="e">
        <f>Table711[[#This Row],[CPU Only (X &gt; 30m)]]/Table711[[#This Row],[CPU+GPU]]</f>
        <v>#VALUE!</v>
      </c>
      <c r="AJ80" s="68" t="s">
        <v>1461</v>
      </c>
      <c r="AK80">
        <v>2</v>
      </c>
      <c r="AM80" s="2">
        <v>5.4978040000000004</v>
      </c>
      <c r="AN80" s="94">
        <f ca="1">Table7[[#This Row],[cpuchunk=1]]/Table7[[#This Row],[CPU Only (30m X)]]</f>
        <v>0.1884100068540096</v>
      </c>
      <c r="AQ80" s="94" t="e">
        <f ca="1">Table7[[#This Row],[cpuchunk=1]]/Table7[[#This Row],[GPU_chunk10_ratio]]</f>
        <v>#DIV/0!</v>
      </c>
      <c r="AR80" s="2">
        <v>29.18</v>
      </c>
    </row>
    <row r="81" spans="2:45" ht="26" x14ac:dyDescent="0.35">
      <c r="B81" s="87">
        <v>1</v>
      </c>
      <c r="C81" s="84" t="s">
        <v>1436</v>
      </c>
      <c r="D81" s="87">
        <v>9</v>
      </c>
      <c r="E81" s="125">
        <v>52.928930999999999</v>
      </c>
      <c r="F81" s="69">
        <v>48.544631000000003</v>
      </c>
      <c r="G81" s="69">
        <v>48.416003000000003</v>
      </c>
      <c r="H81" s="148">
        <v>48.403063000000003</v>
      </c>
      <c r="I81" s="123" t="s">
        <v>3971</v>
      </c>
      <c r="J81" s="69">
        <v>57.78</v>
      </c>
      <c r="K81" s="150">
        <f>Table711[[#This Row],[G2AIMD (pingpong)]]/Table711[[#This Row],[gpu-hybrid-copy]]</f>
        <v>1.0935037520249493</v>
      </c>
      <c r="L81" s="150">
        <f>Table711[[#This Row],[G2AIMD (pingpong)]]/Table711[[#This Row],[gpu-layered]]</f>
        <v>1.0903148280187771</v>
      </c>
      <c r="M81" s="150">
        <f>Table711[[#This Row],[gpu-layered]]/Table711[[#This Row],[CPU+GPU]]</f>
        <v>0.84016322256836273</v>
      </c>
      <c r="N81" s="150" t="e">
        <f>Table711[[#This Row],[CPU Only (X &gt; 30m)]]/Table711[[#This Row],[CPU+GPU]]</f>
        <v>#VALUE!</v>
      </c>
      <c r="AJ81" s="68" t="s">
        <v>18</v>
      </c>
      <c r="AK81">
        <v>9</v>
      </c>
      <c r="AM81" s="2">
        <v>5.5034890000000001</v>
      </c>
      <c r="AN81" s="94">
        <f ca="1">Table7[[#This Row],[cpuchunk=1]]/Table7[[#This Row],[CPU Only (30m X)]]</f>
        <v>0.39282576730906499</v>
      </c>
      <c r="AQ81" s="94" t="e">
        <f ca="1">Table7[[#This Row],[cpuchunk=1]]/Table7[[#This Row],[GPU_chunk10_ratio]]</f>
        <v>#DIV/0!</v>
      </c>
      <c r="AR81" s="2">
        <v>14.01</v>
      </c>
    </row>
    <row r="82" spans="2:45" ht="26" x14ac:dyDescent="0.35">
      <c r="B82" s="87">
        <v>1</v>
      </c>
      <c r="C82" s="84" t="s">
        <v>1448</v>
      </c>
      <c r="D82" s="87">
        <v>9</v>
      </c>
      <c r="E82" s="125">
        <v>14.808792</v>
      </c>
      <c r="F82" s="69">
        <v>13.964254</v>
      </c>
      <c r="G82" s="69">
        <v>13.923613</v>
      </c>
      <c r="H82" s="148">
        <v>13.921635999999999</v>
      </c>
      <c r="I82" s="123" t="s">
        <v>3971</v>
      </c>
      <c r="J82" s="69">
        <v>21.84</v>
      </c>
      <c r="K82" s="150">
        <f>Table711[[#This Row],[G2AIMD (pingpong)]]/Table711[[#This Row],[gpu-hybrid-copy]]</f>
        <v>1.0637249817478349</v>
      </c>
      <c r="L82" s="150">
        <f>Table711[[#This Row],[G2AIMD (pingpong)]]/Table711[[#This Row],[gpu-layered]]</f>
        <v>1.0604785619052761</v>
      </c>
      <c r="M82" s="150">
        <f>Table711[[#This Row],[gpu-layered]]/Table711[[#This Row],[CPU+GPU]]</f>
        <v>0.6393889194139194</v>
      </c>
      <c r="N82" s="150" t="e">
        <f>Table711[[#This Row],[CPU Only (X &gt; 30m)]]/Table711[[#This Row],[CPU+GPU]]</f>
        <v>#VALUE!</v>
      </c>
      <c r="AJ82" s="68" t="s">
        <v>1455</v>
      </c>
      <c r="AK82">
        <v>25</v>
      </c>
      <c r="AM82" s="2">
        <v>5.7600699999999998</v>
      </c>
      <c r="AN82" s="94">
        <f ca="1">Table7[[#This Row],[cpuchunk=1]]/Table7[[#This Row],[CPU Only (30m X)]]</f>
        <v>1.0397238267148015</v>
      </c>
      <c r="AQ82" s="94" t="e">
        <f ca="1">Table7[[#This Row],[cpuchunk=1]]/Table7[[#This Row],[GPU_chunk10_ratio]]</f>
        <v>#DIV/0!</v>
      </c>
      <c r="AR82" s="2">
        <v>5.54</v>
      </c>
    </row>
    <row r="83" spans="2:45" ht="26" hidden="1" x14ac:dyDescent="0.35">
      <c r="B83" s="87">
        <v>1</v>
      </c>
      <c r="C83" s="84" t="s">
        <v>1434</v>
      </c>
      <c r="D83" s="87">
        <v>9</v>
      </c>
      <c r="E83" s="125">
        <v>11.925243999999999</v>
      </c>
      <c r="F83" s="134">
        <v>9.8677430000000008</v>
      </c>
      <c r="G83" s="69">
        <v>10.130000000000001</v>
      </c>
      <c r="H83" s="125">
        <v>13.25</v>
      </c>
      <c r="I83" s="123">
        <v>784.80277100000001</v>
      </c>
      <c r="J83" s="125">
        <v>11.13</v>
      </c>
      <c r="K83" s="150">
        <f>Table711[[#This Row],[G2AIMD (pingpong)]]/Table711[[#This Row],[gpu-hybrid-copy]]</f>
        <v>0.90001841509433955</v>
      </c>
      <c r="L83" s="150">
        <f>Table711[[#This Row],[G2AIMD (pingpong)]]/Table711[[#This Row],[gpu-layered]]</f>
        <v>1.2085077610959263</v>
      </c>
      <c r="M83" s="150">
        <f>Table711[[#This Row],[gpu-layered]]/Table711[[#This Row],[CPU+GPU]]</f>
        <v>0.88658966756513924</v>
      </c>
      <c r="N83" s="150">
        <f>Table711[[#This Row],[CPU Only (X &gt; 30m)]]/Table711[[#This Row],[CPU+GPU]]</f>
        <v>70.512378346810422</v>
      </c>
      <c r="AJ83" s="68" t="s">
        <v>3919</v>
      </c>
      <c r="AK83">
        <v>8</v>
      </c>
      <c r="AM83" s="2">
        <v>6.0313509999999999</v>
      </c>
      <c r="AN83" s="94">
        <f ca="1">Table7[[#This Row],[cpuchunk=1]]/Table7[[#This Row],[CPU Only (30m X)]]</f>
        <v>1.0475083655982218</v>
      </c>
      <c r="AQ83" s="94" t="e">
        <f ca="1">Table7[[#This Row],[cpuchunk=1]]/Table7[[#This Row],[GPU_chunk10_ratio]]</f>
        <v>#DIV/0!</v>
      </c>
      <c r="AR83" s="2">
        <v>5.7578069999999997</v>
      </c>
    </row>
    <row r="84" spans="2:45" ht="26" hidden="1" x14ac:dyDescent="0.35">
      <c r="B84" s="87"/>
      <c r="C84" s="84" t="s">
        <v>1346</v>
      </c>
      <c r="D84" s="87">
        <v>6</v>
      </c>
      <c r="E84" s="125" t="s">
        <v>3971</v>
      </c>
      <c r="F84" s="125" t="s">
        <v>3971</v>
      </c>
      <c r="G84" s="125"/>
      <c r="H84" s="125" t="s">
        <v>3971</v>
      </c>
      <c r="I84" s="123" t="s">
        <v>3971</v>
      </c>
      <c r="J84" s="125" t="s">
        <v>3971</v>
      </c>
      <c r="K84" s="125" t="e">
        <f>Table711[[#This Row],[G2AIMD (pingpong)]]/Table711[[#This Row],[gpu-hybrid-copy]]</f>
        <v>#VALUE!</v>
      </c>
      <c r="L84" s="125" t="e">
        <f>Table711[[#This Row],[G2AIMD (pingpong)]]/Table711[[#This Row],[gpu-layered]]</f>
        <v>#VALUE!</v>
      </c>
      <c r="M84" s="125" t="e">
        <f>Table711[[#This Row],[gpu-layered]]/Table711[[#This Row],[CPU+GPU]]</f>
        <v>#VALUE!</v>
      </c>
      <c r="N84" s="149" t="e">
        <f>Table711[[#This Row],[CPU Only (X &gt; 30m)]]/Table711[[#This Row],[CPU+GPU]]</f>
        <v>#VALUE!</v>
      </c>
      <c r="AJ84" s="68" t="s">
        <v>1461</v>
      </c>
      <c r="AK84">
        <v>9</v>
      </c>
      <c r="AM84" s="2">
        <v>6.5457919999999996</v>
      </c>
      <c r="AN84" s="94">
        <f ca="1">Table7[[#This Row],[cpuchunk=1]]/Table7[[#This Row],[CPU Only (30m X)]]</f>
        <v>0.55099259259259248</v>
      </c>
      <c r="AQ84" s="94" t="e">
        <f ca="1">Table7[[#This Row],[cpuchunk=1]]/Table7[[#This Row],[GPU_chunk10_ratio]]</f>
        <v>#DIV/0!</v>
      </c>
      <c r="AR84" s="2">
        <v>11.88</v>
      </c>
    </row>
    <row r="85" spans="2:45" ht="26" hidden="1" x14ac:dyDescent="0.35">
      <c r="B85" s="87"/>
      <c r="C85" s="84" t="s">
        <v>1</v>
      </c>
      <c r="D85" s="87">
        <v>6</v>
      </c>
      <c r="E85" s="125" t="s">
        <v>3971</v>
      </c>
      <c r="F85" s="125" t="s">
        <v>3971</v>
      </c>
      <c r="G85" s="125"/>
      <c r="H85" s="125" t="s">
        <v>3971</v>
      </c>
      <c r="I85" s="123" t="s">
        <v>3971</v>
      </c>
      <c r="J85" s="125" t="s">
        <v>3971</v>
      </c>
      <c r="K85" s="125" t="e">
        <f>Table711[[#This Row],[G2AIMD (pingpong)]]/Table711[[#This Row],[gpu-hybrid-copy]]</f>
        <v>#VALUE!</v>
      </c>
      <c r="L85" s="125" t="e">
        <f>Table711[[#This Row],[G2AIMD (pingpong)]]/Table711[[#This Row],[gpu-layered]]</f>
        <v>#VALUE!</v>
      </c>
      <c r="M85" s="125" t="e">
        <f>Table711[[#This Row],[gpu-layered]]/Table711[[#This Row],[CPU+GPU]]</f>
        <v>#VALUE!</v>
      </c>
      <c r="N85" s="149" t="e">
        <f>Table711[[#This Row],[CPU Only (X &gt; 30m)]]/Table711[[#This Row],[CPU+GPU]]</f>
        <v>#VALUE!</v>
      </c>
      <c r="AJ85" s="68" t="s">
        <v>1423</v>
      </c>
      <c r="AK85">
        <v>9</v>
      </c>
      <c r="AM85" s="2">
        <v>8.3094400000000004</v>
      </c>
      <c r="AN85" s="94">
        <f ca="1">Table7[[#This Row],[cpuchunk=1]]/Table7[[#This Row],[CPU Only (30m X)]]</f>
        <v>0.59057853589196874</v>
      </c>
      <c r="AQ85" s="94" t="e">
        <f ca="1">Table7[[#This Row],[cpuchunk=1]]/Table7[[#This Row],[GPU_chunk10_ratio]]</f>
        <v>#DIV/0!</v>
      </c>
      <c r="AR85" s="2">
        <v>14.07</v>
      </c>
    </row>
    <row r="86" spans="2:45" ht="26" hidden="1" x14ac:dyDescent="0.35">
      <c r="B86" s="87"/>
      <c r="C86" s="84" t="s">
        <v>1</v>
      </c>
      <c r="D86" s="87">
        <v>7</v>
      </c>
      <c r="E86" s="125" t="s">
        <v>3971</v>
      </c>
      <c r="F86" s="125" t="s">
        <v>3971</v>
      </c>
      <c r="G86" s="125"/>
      <c r="H86" s="125" t="s">
        <v>3971</v>
      </c>
      <c r="I86" s="123" t="s">
        <v>3971</v>
      </c>
      <c r="J86" s="125" t="s">
        <v>3971</v>
      </c>
      <c r="K86" s="125" t="e">
        <f>Table711[[#This Row],[G2AIMD (pingpong)]]/Table711[[#This Row],[gpu-hybrid-copy]]</f>
        <v>#VALUE!</v>
      </c>
      <c r="L86" s="125" t="e">
        <f>Table711[[#This Row],[G2AIMD (pingpong)]]/Table711[[#This Row],[gpu-layered]]</f>
        <v>#VALUE!</v>
      </c>
      <c r="M86" s="125" t="e">
        <f>Table711[[#This Row],[gpu-layered]]/Table711[[#This Row],[CPU+GPU]]</f>
        <v>#VALUE!</v>
      </c>
      <c r="N86" s="149" t="e">
        <f>Table711[[#This Row],[CPU Only (X &gt; 30m)]]/Table711[[#This Row],[CPU+GPU]]</f>
        <v>#VALUE!</v>
      </c>
      <c r="AJ86" s="68" t="s">
        <v>1346</v>
      </c>
      <c r="AK86">
        <v>5</v>
      </c>
      <c r="AM86" s="2">
        <v>8.3391870000000008</v>
      </c>
      <c r="AN86" s="94">
        <f ca="1">Table7[[#This Row],[cpuchunk=1]]/Table7[[#This Row],[CPU Only (30m X)]]</f>
        <v>0.92657633333333345</v>
      </c>
      <c r="AQ86" s="94" t="e">
        <f ca="1">Table7[[#This Row],[cpuchunk=1]]/Table7[[#This Row],[GPU_chunk10_ratio]]</f>
        <v>#DIV/0!</v>
      </c>
      <c r="AR86" s="2">
        <v>9</v>
      </c>
    </row>
    <row r="87" spans="2:45" ht="26" hidden="1" x14ac:dyDescent="0.35">
      <c r="B87" s="87"/>
      <c r="C87" s="84" t="s">
        <v>1</v>
      </c>
      <c r="D87" s="87">
        <v>9</v>
      </c>
      <c r="E87" s="125" t="s">
        <v>3971</v>
      </c>
      <c r="F87" s="125" t="s">
        <v>3971</v>
      </c>
      <c r="G87" s="125"/>
      <c r="H87" s="125" t="s">
        <v>3971</v>
      </c>
      <c r="I87" s="123" t="s">
        <v>3971</v>
      </c>
      <c r="J87" s="125" t="s">
        <v>3971</v>
      </c>
      <c r="K87" s="125" t="e">
        <f>Table711[[#This Row],[G2AIMD (pingpong)]]/Table711[[#This Row],[gpu-hybrid-copy]]</f>
        <v>#VALUE!</v>
      </c>
      <c r="L87" s="125" t="e">
        <f>Table711[[#This Row],[G2AIMD (pingpong)]]/Table711[[#This Row],[gpu-layered]]</f>
        <v>#VALUE!</v>
      </c>
      <c r="M87" s="125" t="e">
        <f>Table711[[#This Row],[gpu-layered]]/Table711[[#This Row],[CPU+GPU]]</f>
        <v>#VALUE!</v>
      </c>
      <c r="N87" s="149" t="e">
        <f>Table711[[#This Row],[CPU Only (X &gt; 30m)]]/Table711[[#This Row],[CPU+GPU]]</f>
        <v>#VALUE!</v>
      </c>
      <c r="AJ87" s="68" t="s">
        <v>1423</v>
      </c>
      <c r="AK87">
        <v>2</v>
      </c>
      <c r="AM87" s="2">
        <v>8.7754530000000006</v>
      </c>
      <c r="AN87" s="94">
        <f ca="1">Table7[[#This Row],[cpuchunk=1]]/Table7[[#This Row],[CPU Only (30m X)]]</f>
        <v>0.33094065222376678</v>
      </c>
      <c r="AQ87" s="94" t="e">
        <f ca="1">Table7[[#This Row],[cpuchunk=1]]/Table7[[#This Row],[GPU_chunk10_ratio]]</f>
        <v>#DIV/0!</v>
      </c>
      <c r="AR87" s="2">
        <v>26.516697000000001</v>
      </c>
    </row>
    <row r="88" spans="2:45" ht="26" hidden="1" x14ac:dyDescent="0.35">
      <c r="B88" s="87"/>
      <c r="C88" s="84" t="s">
        <v>1461</v>
      </c>
      <c r="D88" s="87">
        <v>6</v>
      </c>
      <c r="E88" s="125" t="s">
        <v>3971</v>
      </c>
      <c r="F88" s="125" t="s">
        <v>3971</v>
      </c>
      <c r="G88" s="125"/>
      <c r="H88" s="125" t="s">
        <v>3971</v>
      </c>
      <c r="I88" s="123" t="s">
        <v>3971</v>
      </c>
      <c r="J88" s="125" t="s">
        <v>3971</v>
      </c>
      <c r="K88" s="125" t="e">
        <f>Table711[[#This Row],[G2AIMD (pingpong)]]/Table711[[#This Row],[gpu-hybrid-copy]]</f>
        <v>#VALUE!</v>
      </c>
      <c r="L88" s="125" t="e">
        <f>Table711[[#This Row],[G2AIMD (pingpong)]]/Table711[[#This Row],[gpu-layered]]</f>
        <v>#VALUE!</v>
      </c>
      <c r="M88" s="125" t="e">
        <f>Table711[[#This Row],[gpu-layered]]/Table711[[#This Row],[CPU+GPU]]</f>
        <v>#VALUE!</v>
      </c>
      <c r="N88" s="149" t="e">
        <f>Table711[[#This Row],[CPU Only (X &gt; 30m)]]/Table711[[#This Row],[CPU+GPU]]</f>
        <v>#VALUE!</v>
      </c>
      <c r="AJ88" s="68" t="s">
        <v>1371</v>
      </c>
      <c r="AK88">
        <v>7</v>
      </c>
      <c r="AM88" s="2">
        <v>8.8003280000000004</v>
      </c>
      <c r="AN88" s="94">
        <f ca="1">Table7[[#This Row],[cpuchunk=1]]/Table7[[#This Row],[CPU Only (30m X)]]</f>
        <v>0.91006494312306108</v>
      </c>
      <c r="AQ88" s="94" t="e">
        <f ca="1">Table7[[#This Row],[cpuchunk=1]]/Table7[[#This Row],[GPU_chunk10_ratio]]</f>
        <v>#DIV/0!</v>
      </c>
      <c r="AR88" s="2">
        <v>9.67</v>
      </c>
    </row>
    <row r="89" spans="2:45" ht="26" hidden="1" x14ac:dyDescent="0.35">
      <c r="B89" s="87"/>
      <c r="C89" s="84" t="s">
        <v>1461</v>
      </c>
      <c r="D89" s="87">
        <v>8</v>
      </c>
      <c r="E89" s="125" t="s">
        <v>3971</v>
      </c>
      <c r="F89" s="125" t="s">
        <v>3971</v>
      </c>
      <c r="G89" s="125"/>
      <c r="H89" s="125" t="s">
        <v>3971</v>
      </c>
      <c r="I89" s="123" t="s">
        <v>3971</v>
      </c>
      <c r="J89" s="125" t="s">
        <v>3971</v>
      </c>
      <c r="K89" s="125" t="e">
        <f>Table711[[#This Row],[G2AIMD (pingpong)]]/Table711[[#This Row],[gpu-hybrid-copy]]</f>
        <v>#VALUE!</v>
      </c>
      <c r="L89" s="125" t="e">
        <f>Table711[[#This Row],[G2AIMD (pingpong)]]/Table711[[#This Row],[gpu-layered]]</f>
        <v>#VALUE!</v>
      </c>
      <c r="M89" s="125" t="e">
        <f>Table711[[#This Row],[gpu-layered]]/Table711[[#This Row],[CPU+GPU]]</f>
        <v>#VALUE!</v>
      </c>
      <c r="N89" s="149" t="e">
        <f>Table711[[#This Row],[CPU Only (X &gt; 30m)]]/Table711[[#This Row],[CPU+GPU]]</f>
        <v>#VALUE!</v>
      </c>
      <c r="AJ89" s="68" t="s">
        <v>1391</v>
      </c>
      <c r="AK89">
        <v>7</v>
      </c>
      <c r="AM89" s="2">
        <v>9.1454550000000001</v>
      </c>
      <c r="AN89" s="94">
        <f ca="1">Table7[[#This Row],[cpuchunk=1]]/Table7[[#This Row],[CPU Only (30m X)]]</f>
        <v>0.99442259433197533</v>
      </c>
      <c r="AQ89" s="94" t="e">
        <f ca="1">Table7[[#This Row],[cpuchunk=1]]/Table7[[#This Row],[GPU_chunk10_ratio]]</f>
        <v>#DIV/0!</v>
      </c>
      <c r="AR89" s="2">
        <v>9.1967490000000005</v>
      </c>
    </row>
    <row r="90" spans="2:45" ht="26" hidden="1" x14ac:dyDescent="0.35">
      <c r="B90" s="87"/>
      <c r="C90" s="84" t="s">
        <v>1391</v>
      </c>
      <c r="D90" s="87">
        <v>6</v>
      </c>
      <c r="E90" s="125" t="s">
        <v>3971</v>
      </c>
      <c r="F90" s="125" t="s">
        <v>3971</v>
      </c>
      <c r="G90" s="125"/>
      <c r="H90" s="125" t="s">
        <v>3971</v>
      </c>
      <c r="I90" s="123" t="s">
        <v>3971</v>
      </c>
      <c r="J90" s="125" t="s">
        <v>3971</v>
      </c>
      <c r="K90" s="125" t="e">
        <f>Table711[[#This Row],[G2AIMD (pingpong)]]/Table711[[#This Row],[gpu-hybrid-copy]]</f>
        <v>#VALUE!</v>
      </c>
      <c r="L90" s="125" t="e">
        <f>Table711[[#This Row],[G2AIMD (pingpong)]]/Table711[[#This Row],[gpu-layered]]</f>
        <v>#VALUE!</v>
      </c>
      <c r="M90" s="125" t="e">
        <f>Table711[[#This Row],[gpu-layered]]/Table711[[#This Row],[CPU+GPU]]</f>
        <v>#VALUE!</v>
      </c>
      <c r="N90" s="149" t="e">
        <f>Table711[[#This Row],[CPU Only (X &gt; 30m)]]/Table711[[#This Row],[CPU+GPU]]</f>
        <v>#VALUE!</v>
      </c>
      <c r="AJ90" s="68" t="s">
        <v>3912</v>
      </c>
      <c r="AK90">
        <v>5</v>
      </c>
      <c r="AM90" s="2">
        <v>9.7607599999999994</v>
      </c>
      <c r="AN90" s="94">
        <f ca="1">Table7[[#This Row],[cpuchunk=1]]/Table7[[#This Row],[CPU Only (30m X)]]</f>
        <v>0.98360926665142989</v>
      </c>
      <c r="AQ90" s="94" t="e">
        <f ca="1">Table7[[#This Row],[cpuchunk=1]]/Table7[[#This Row],[GPU_chunk10_ratio]]</f>
        <v>#DIV/0!</v>
      </c>
      <c r="AR90" s="2">
        <v>9.9234120000000008</v>
      </c>
    </row>
    <row r="91" spans="2:45" ht="29" hidden="1" x14ac:dyDescent="0.35">
      <c r="B91" s="87"/>
      <c r="C91" s="84" t="s">
        <v>1440</v>
      </c>
      <c r="D91" s="87">
        <v>5</v>
      </c>
      <c r="E91" s="125" t="s">
        <v>3971</v>
      </c>
      <c r="F91" s="125" t="s">
        <v>3971</v>
      </c>
      <c r="G91" s="125"/>
      <c r="H91" s="125" t="s">
        <v>3971</v>
      </c>
      <c r="I91" s="123" t="s">
        <v>3971</v>
      </c>
      <c r="J91" s="125" t="s">
        <v>3971</v>
      </c>
      <c r="K91" s="125" t="e">
        <f>Table711[[#This Row],[G2AIMD (pingpong)]]/Table711[[#This Row],[gpu-hybrid-copy]]</f>
        <v>#VALUE!</v>
      </c>
      <c r="L91" s="125" t="e">
        <f>Table711[[#This Row],[G2AIMD (pingpong)]]/Table711[[#This Row],[gpu-layered]]</f>
        <v>#VALUE!</v>
      </c>
      <c r="M91" s="125" t="e">
        <f>Table711[[#This Row],[gpu-layered]]/Table711[[#This Row],[CPU+GPU]]</f>
        <v>#VALUE!</v>
      </c>
      <c r="N91" s="149" t="e">
        <f>Table711[[#This Row],[CPU Only (X &gt; 30m)]]/Table711[[#This Row],[CPU+GPU]]</f>
        <v>#VALUE!</v>
      </c>
      <c r="AI91">
        <v>1</v>
      </c>
      <c r="AJ91" s="68" t="s">
        <v>1371</v>
      </c>
      <c r="AK91">
        <v>8</v>
      </c>
      <c r="AL91" s="68">
        <v>15.318994999999999</v>
      </c>
      <c r="AM91" s="116">
        <v>10.159229</v>
      </c>
      <c r="AN91" s="47">
        <v>9.8000000000000007</v>
      </c>
      <c r="AO91" s="36">
        <v>10.49</v>
      </c>
      <c r="AP91" s="36">
        <v>13.33</v>
      </c>
      <c r="AQ91" s="114">
        <f ca="1">Table7[[#This Row],[cpuchunk=1]]/Table7[[#This Row],[GPU_chunk10_ratio]]</f>
        <v>0.76213270817704426</v>
      </c>
      <c r="AR91" s="2">
        <v>10.119999999999999</v>
      </c>
      <c r="AS91" s="120">
        <v>1844.568945</v>
      </c>
    </row>
    <row r="92" spans="2:45" ht="29" hidden="1" x14ac:dyDescent="0.35">
      <c r="B92" s="87"/>
      <c r="C92" s="84" t="s">
        <v>1440</v>
      </c>
      <c r="D92" s="87">
        <v>6</v>
      </c>
      <c r="E92" s="125" t="s">
        <v>3971</v>
      </c>
      <c r="F92" s="125" t="s">
        <v>3971</v>
      </c>
      <c r="G92" s="125"/>
      <c r="H92" s="125" t="s">
        <v>3971</v>
      </c>
      <c r="I92" s="123" t="s">
        <v>3971</v>
      </c>
      <c r="J92" s="125" t="s">
        <v>3971</v>
      </c>
      <c r="K92" s="125" t="e">
        <f>Table711[[#This Row],[G2AIMD (pingpong)]]/Table711[[#This Row],[gpu-hybrid-copy]]</f>
        <v>#VALUE!</v>
      </c>
      <c r="L92" s="125" t="e">
        <f>Table711[[#This Row],[G2AIMD (pingpong)]]/Table711[[#This Row],[gpu-layered]]</f>
        <v>#VALUE!</v>
      </c>
      <c r="M92" s="125" t="e">
        <f>Table711[[#This Row],[gpu-layered]]/Table711[[#This Row],[CPU+GPU]]</f>
        <v>#VALUE!</v>
      </c>
      <c r="N92" s="149" t="e">
        <f>Table711[[#This Row],[CPU Only (X &gt; 30m)]]/Table711[[#This Row],[CPU+GPU]]</f>
        <v>#VALUE!</v>
      </c>
      <c r="AI92">
        <v>1</v>
      </c>
      <c r="AJ92" s="68" t="s">
        <v>1448</v>
      </c>
      <c r="AK92">
        <v>2</v>
      </c>
      <c r="AL92" s="68">
        <v>12.071039000000001</v>
      </c>
      <c r="AM92" s="116">
        <v>10.268869</v>
      </c>
      <c r="AN92" s="47">
        <v>12.47</v>
      </c>
      <c r="AO92" s="36">
        <v>13.1</v>
      </c>
      <c r="AP92" s="36">
        <v>12.38</v>
      </c>
      <c r="AQ92" s="114">
        <f ca="1">Table7[[#This Row],[cpuchunk=1]]/Table7[[#This Row],[GPU_chunk10_ratio]]</f>
        <v>0.82947245557350568</v>
      </c>
      <c r="AR92" s="2">
        <v>33.94</v>
      </c>
      <c r="AS92" s="120" t="s">
        <v>3971</v>
      </c>
    </row>
    <row r="93" spans="2:45" ht="29" hidden="1" x14ac:dyDescent="0.35">
      <c r="B93" s="87"/>
      <c r="C93" s="84" t="s">
        <v>1440</v>
      </c>
      <c r="D93" s="87">
        <v>7</v>
      </c>
      <c r="E93" s="125" t="s">
        <v>3971</v>
      </c>
      <c r="F93" s="125" t="s">
        <v>3971</v>
      </c>
      <c r="G93" s="125"/>
      <c r="H93" s="125" t="s">
        <v>3971</v>
      </c>
      <c r="I93" s="123" t="s">
        <v>3971</v>
      </c>
      <c r="J93" s="125" t="s">
        <v>3971</v>
      </c>
      <c r="K93" s="125" t="e">
        <f>Table711[[#This Row],[G2AIMD (pingpong)]]/Table711[[#This Row],[gpu-hybrid-copy]]</f>
        <v>#VALUE!</v>
      </c>
      <c r="L93" s="125" t="e">
        <f>Table711[[#This Row],[G2AIMD (pingpong)]]/Table711[[#This Row],[gpu-layered]]</f>
        <v>#VALUE!</v>
      </c>
      <c r="M93" s="125" t="e">
        <f>Table711[[#This Row],[gpu-layered]]/Table711[[#This Row],[CPU+GPU]]</f>
        <v>#VALUE!</v>
      </c>
      <c r="N93" s="149" t="e">
        <f>Table711[[#This Row],[CPU Only (X &gt; 30m)]]/Table711[[#This Row],[CPU+GPU]]</f>
        <v>#VALUE!</v>
      </c>
      <c r="AI93">
        <v>1</v>
      </c>
      <c r="AJ93" s="68" t="s">
        <v>1434</v>
      </c>
      <c r="AK93">
        <v>9</v>
      </c>
      <c r="AL93" s="68">
        <v>11.925243999999999</v>
      </c>
      <c r="AM93" s="116">
        <v>11.339861000000001</v>
      </c>
      <c r="AN93" s="47">
        <v>10.944299000000001</v>
      </c>
      <c r="AO93" s="36">
        <v>11.13</v>
      </c>
      <c r="AP93" s="36">
        <v>12.09</v>
      </c>
      <c r="AQ93" s="114">
        <f ca="1">Table7[[#This Row],[cpuchunk=1]]/Table7[[#This Row],[GPU_chunk10_ratio]]</f>
        <v>0.93795376344086034</v>
      </c>
      <c r="AR93" s="2">
        <v>10.973511999999999</v>
      </c>
      <c r="AS93" s="120">
        <v>784.80277100000001</v>
      </c>
    </row>
    <row r="94" spans="2:45" ht="29" hidden="1" x14ac:dyDescent="0.35">
      <c r="B94" s="87"/>
      <c r="C94" s="84" t="s">
        <v>1440</v>
      </c>
      <c r="D94" s="87">
        <v>8</v>
      </c>
      <c r="E94" s="125" t="s">
        <v>3971</v>
      </c>
      <c r="F94" s="125" t="s">
        <v>3971</v>
      </c>
      <c r="G94" s="125"/>
      <c r="H94" s="125" t="s">
        <v>3971</v>
      </c>
      <c r="I94" s="123" t="s">
        <v>3971</v>
      </c>
      <c r="J94" s="125" t="s">
        <v>3971</v>
      </c>
      <c r="K94" s="125" t="e">
        <f>Table711[[#This Row],[G2AIMD (pingpong)]]/Table711[[#This Row],[gpu-hybrid-copy]]</f>
        <v>#VALUE!</v>
      </c>
      <c r="L94" s="125" t="e">
        <f>Table711[[#This Row],[G2AIMD (pingpong)]]/Table711[[#This Row],[gpu-layered]]</f>
        <v>#VALUE!</v>
      </c>
      <c r="M94" s="125" t="e">
        <f>Table711[[#This Row],[gpu-layered]]/Table711[[#This Row],[CPU+GPU]]</f>
        <v>#VALUE!</v>
      </c>
      <c r="N94" s="149" t="e">
        <f>Table711[[#This Row],[CPU Only (X &gt; 30m)]]/Table711[[#This Row],[CPU+GPU]]</f>
        <v>#VALUE!</v>
      </c>
      <c r="AI94">
        <v>1</v>
      </c>
      <c r="AJ94" s="68" t="s">
        <v>1448</v>
      </c>
      <c r="AK94">
        <v>9</v>
      </c>
      <c r="AL94" s="68">
        <v>14.808792</v>
      </c>
      <c r="AM94" s="116">
        <v>14.022862</v>
      </c>
      <c r="AN94" s="47">
        <v>20.95</v>
      </c>
      <c r="AO94" s="36">
        <v>26.07</v>
      </c>
      <c r="AP94" s="36">
        <v>15.63</v>
      </c>
      <c r="AQ94" s="114">
        <f ca="1">Table7[[#This Row],[cpuchunk=1]]/Table7[[#This Row],[GPU_chunk10_ratio]]</f>
        <v>0.8971760716570697</v>
      </c>
      <c r="AR94" s="2">
        <v>35.89</v>
      </c>
      <c r="AS94" s="120" t="s">
        <v>3971</v>
      </c>
    </row>
    <row r="95" spans="2:45" ht="29" hidden="1" x14ac:dyDescent="0.35">
      <c r="B95" s="87"/>
      <c r="C95" s="84" t="s">
        <v>1450</v>
      </c>
      <c r="D95" s="87">
        <v>6</v>
      </c>
      <c r="E95" s="125" t="s">
        <v>3971</v>
      </c>
      <c r="F95" s="125" t="s">
        <v>3971</v>
      </c>
      <c r="G95" s="125"/>
      <c r="H95" s="125" t="s">
        <v>3971</v>
      </c>
      <c r="I95" s="123" t="s">
        <v>3971</v>
      </c>
      <c r="J95" s="125" t="s">
        <v>3971</v>
      </c>
      <c r="K95" s="125" t="e">
        <f>Table711[[#This Row],[G2AIMD (pingpong)]]/Table711[[#This Row],[gpu-hybrid-copy]]</f>
        <v>#VALUE!</v>
      </c>
      <c r="L95" s="125" t="e">
        <f>Table711[[#This Row],[G2AIMD (pingpong)]]/Table711[[#This Row],[gpu-layered]]</f>
        <v>#VALUE!</v>
      </c>
      <c r="M95" s="125" t="e">
        <f>Table711[[#This Row],[gpu-layered]]/Table711[[#This Row],[CPU+GPU]]</f>
        <v>#VALUE!</v>
      </c>
      <c r="N95" s="149" t="e">
        <f>Table711[[#This Row],[CPU Only (X &gt; 30m)]]/Table711[[#This Row],[CPU+GPU]]</f>
        <v>#VALUE!</v>
      </c>
      <c r="AI95">
        <v>1</v>
      </c>
      <c r="AJ95" s="68" t="s">
        <v>3919</v>
      </c>
      <c r="AK95">
        <v>6</v>
      </c>
      <c r="AL95" s="68">
        <v>18.152170999999999</v>
      </c>
      <c r="AM95" s="116">
        <v>14.641228999999999</v>
      </c>
      <c r="AN95" s="47">
        <v>14.524549</v>
      </c>
      <c r="AO95" s="36">
        <v>14.290449000000001</v>
      </c>
      <c r="AP95" s="36">
        <v>14.21</v>
      </c>
      <c r="AQ95" s="114">
        <f ca="1">Table7[[#This Row],[cpuchunk=1]]/Table7[[#This Row],[GPU_chunk10_ratio]]</f>
        <v>1.0303468684025332</v>
      </c>
      <c r="AR95" s="2">
        <v>14.312435000000001</v>
      </c>
      <c r="AS95" s="120">
        <v>122.148618</v>
      </c>
    </row>
    <row r="96" spans="2:45" ht="29" hidden="1" x14ac:dyDescent="0.35">
      <c r="B96" s="87"/>
      <c r="C96" s="84" t="s">
        <v>1450</v>
      </c>
      <c r="D96" s="87">
        <v>7</v>
      </c>
      <c r="E96" s="125" t="s">
        <v>3971</v>
      </c>
      <c r="F96" s="125" t="s">
        <v>3971</v>
      </c>
      <c r="G96" s="125"/>
      <c r="H96" s="125" t="s">
        <v>3971</v>
      </c>
      <c r="I96" s="123" t="s">
        <v>3971</v>
      </c>
      <c r="J96" s="125" t="s">
        <v>3971</v>
      </c>
      <c r="K96" s="125" t="e">
        <f>Table711[[#This Row],[G2AIMD (pingpong)]]/Table711[[#This Row],[gpu-hybrid-copy]]</f>
        <v>#VALUE!</v>
      </c>
      <c r="L96" s="125" t="e">
        <f>Table711[[#This Row],[G2AIMD (pingpong)]]/Table711[[#This Row],[gpu-layered]]</f>
        <v>#VALUE!</v>
      </c>
      <c r="M96" s="125" t="e">
        <f>Table711[[#This Row],[gpu-layered]]/Table711[[#This Row],[CPU+GPU]]</f>
        <v>#VALUE!</v>
      </c>
      <c r="N96" s="149" t="e">
        <f>Table711[[#This Row],[CPU Only (X &gt; 30m)]]/Table711[[#This Row],[CPU+GPU]]</f>
        <v>#VALUE!</v>
      </c>
      <c r="AI96">
        <v>1</v>
      </c>
      <c r="AJ96" s="68" t="s">
        <v>1450</v>
      </c>
      <c r="AK96">
        <v>2</v>
      </c>
      <c r="AL96" s="68">
        <v>21.122053000000001</v>
      </c>
      <c r="AM96" s="116">
        <v>16.624081</v>
      </c>
      <c r="AN96" s="47">
        <v>19.920000000000002</v>
      </c>
      <c r="AO96" s="36">
        <v>20.420000000000002</v>
      </c>
      <c r="AP96" s="36">
        <v>19.739999999999998</v>
      </c>
      <c r="AQ96" s="114">
        <f ca="1">Table7[[#This Row],[cpuchunk=1]]/Table7[[#This Row],[GPU_chunk10_ratio]]</f>
        <v>0.84215202634245201</v>
      </c>
      <c r="AR96" s="2">
        <v>38.707056000000001</v>
      </c>
      <c r="AS96" s="120" t="s">
        <v>3971</v>
      </c>
    </row>
    <row r="97" spans="2:45" ht="29" hidden="1" x14ac:dyDescent="0.35">
      <c r="B97" s="87"/>
      <c r="C97" s="84" t="s">
        <v>1450</v>
      </c>
      <c r="D97" s="87">
        <v>8</v>
      </c>
      <c r="E97" s="125" t="s">
        <v>3971</v>
      </c>
      <c r="F97" s="125" t="s">
        <v>3971</v>
      </c>
      <c r="G97" s="125"/>
      <c r="H97" s="125" t="s">
        <v>3971</v>
      </c>
      <c r="I97" s="123" t="s">
        <v>3971</v>
      </c>
      <c r="J97" s="125" t="s">
        <v>3971</v>
      </c>
      <c r="K97" s="125" t="e">
        <f>Table711[[#This Row],[G2AIMD (pingpong)]]/Table711[[#This Row],[gpu-hybrid-copy]]</f>
        <v>#VALUE!</v>
      </c>
      <c r="L97" s="125" t="e">
        <f>Table711[[#This Row],[G2AIMD (pingpong)]]/Table711[[#This Row],[gpu-layered]]</f>
        <v>#VALUE!</v>
      </c>
      <c r="M97" s="125" t="e">
        <f>Table711[[#This Row],[gpu-layered]]/Table711[[#This Row],[CPU+GPU]]</f>
        <v>#VALUE!</v>
      </c>
      <c r="N97" s="149" t="e">
        <f>Table711[[#This Row],[CPU Only (X &gt; 30m)]]/Table711[[#This Row],[CPU+GPU]]</f>
        <v>#VALUE!</v>
      </c>
      <c r="AI97">
        <v>1</v>
      </c>
      <c r="AJ97" s="68" t="s">
        <v>3912</v>
      </c>
      <c r="AK97">
        <v>7</v>
      </c>
      <c r="AL97" s="68">
        <v>19.990193000000001</v>
      </c>
      <c r="AM97" s="116">
        <v>19.956325</v>
      </c>
      <c r="AN97" s="47">
        <v>19.78</v>
      </c>
      <c r="AO97" s="36">
        <v>19.64</v>
      </c>
      <c r="AP97" s="36">
        <v>19.96</v>
      </c>
      <c r="AQ97" s="114">
        <f ca="1">Table7[[#This Row],[cpuchunk=1]]/Table7[[#This Row],[GPU_chunk10_ratio]]</f>
        <v>0.99981588176352698</v>
      </c>
      <c r="AR97" s="2">
        <v>19.59</v>
      </c>
      <c r="AS97" s="120" t="s">
        <v>3971</v>
      </c>
    </row>
    <row r="98" spans="2:45" ht="29" hidden="1" x14ac:dyDescent="0.35">
      <c r="B98" s="87"/>
      <c r="C98" s="84" t="s">
        <v>1455</v>
      </c>
      <c r="D98" s="87">
        <v>5</v>
      </c>
      <c r="E98" s="125" t="s">
        <v>3971</v>
      </c>
      <c r="F98" s="125" t="s">
        <v>3971</v>
      </c>
      <c r="G98" s="125"/>
      <c r="H98" s="125" t="s">
        <v>3971</v>
      </c>
      <c r="I98" s="123" t="s">
        <v>3971</v>
      </c>
      <c r="J98" s="125" t="s">
        <v>3971</v>
      </c>
      <c r="K98" s="125" t="e">
        <f>Table711[[#This Row],[G2AIMD (pingpong)]]/Table711[[#This Row],[gpu-hybrid-copy]]</f>
        <v>#VALUE!</v>
      </c>
      <c r="L98" s="125" t="e">
        <f>Table711[[#This Row],[G2AIMD (pingpong)]]/Table711[[#This Row],[gpu-layered]]</f>
        <v>#VALUE!</v>
      </c>
      <c r="M98" s="125" t="e">
        <f>Table711[[#This Row],[gpu-layered]]/Table711[[#This Row],[CPU+GPU]]</f>
        <v>#VALUE!</v>
      </c>
      <c r="N98" s="149" t="e">
        <f>Table711[[#This Row],[CPU Only (X &gt; 30m)]]/Table711[[#This Row],[CPU+GPU]]</f>
        <v>#VALUE!</v>
      </c>
      <c r="AI98">
        <v>1</v>
      </c>
      <c r="AJ98" s="68" t="s">
        <v>1431</v>
      </c>
      <c r="AK98">
        <v>8</v>
      </c>
      <c r="AL98" s="68" t="s">
        <v>3971</v>
      </c>
      <c r="AM98" s="116">
        <v>21.587534000000002</v>
      </c>
      <c r="AN98" s="47">
        <v>8.9600000000000009</v>
      </c>
      <c r="AO98" s="36">
        <v>9.31</v>
      </c>
      <c r="AP98" s="36">
        <v>11.89</v>
      </c>
      <c r="AQ98" s="114">
        <f ca="1">Table7[[#This Row],[cpuchunk=1]]/Table7[[#This Row],[GPU_chunk10_ratio]]</f>
        <v>1.8156042052144661</v>
      </c>
      <c r="AR98" s="2">
        <v>20.056457999999999</v>
      </c>
      <c r="AS98" s="120" t="s">
        <v>3971</v>
      </c>
    </row>
    <row r="99" spans="2:45" ht="29" hidden="1" x14ac:dyDescent="0.35">
      <c r="B99" s="87"/>
      <c r="C99" s="84" t="s">
        <v>1455</v>
      </c>
      <c r="D99" s="87">
        <v>6</v>
      </c>
      <c r="E99" s="125" t="s">
        <v>3971</v>
      </c>
      <c r="F99" s="125" t="s">
        <v>3971</v>
      </c>
      <c r="G99" s="125"/>
      <c r="H99" s="125" t="s">
        <v>3971</v>
      </c>
      <c r="I99" s="123" t="s">
        <v>3971</v>
      </c>
      <c r="J99" s="125" t="s">
        <v>3971</v>
      </c>
      <c r="K99" s="125" t="e">
        <f>Table711[[#This Row],[G2AIMD (pingpong)]]/Table711[[#This Row],[gpu-hybrid-copy]]</f>
        <v>#VALUE!</v>
      </c>
      <c r="L99" s="125" t="e">
        <f>Table711[[#This Row],[G2AIMD (pingpong)]]/Table711[[#This Row],[gpu-layered]]</f>
        <v>#VALUE!</v>
      </c>
      <c r="M99" s="125" t="e">
        <f>Table711[[#This Row],[gpu-layered]]/Table711[[#This Row],[CPU+GPU]]</f>
        <v>#VALUE!</v>
      </c>
      <c r="N99" s="149" t="e">
        <f>Table711[[#This Row],[CPU Only (X &gt; 30m)]]/Table711[[#This Row],[CPU+GPU]]</f>
        <v>#VALUE!</v>
      </c>
      <c r="AI99">
        <v>1</v>
      </c>
      <c r="AJ99" s="68" t="s">
        <v>3912</v>
      </c>
      <c r="AK99">
        <v>8</v>
      </c>
      <c r="AL99" s="68">
        <v>23.409692</v>
      </c>
      <c r="AM99" s="116">
        <v>22.264191</v>
      </c>
      <c r="AN99" s="47">
        <v>21.95</v>
      </c>
      <c r="AO99" s="36">
        <v>22.3</v>
      </c>
      <c r="AP99" s="36">
        <v>22.88</v>
      </c>
      <c r="AQ99" s="114">
        <f ca="1">Table7[[#This Row],[cpuchunk=1]]/Table7[[#This Row],[GPU_chunk10_ratio]]</f>
        <v>0.97308527097902109</v>
      </c>
      <c r="AR99" s="2">
        <v>21.730737999999999</v>
      </c>
      <c r="AS99" s="120">
        <v>579.55940199999998</v>
      </c>
    </row>
    <row r="100" spans="2:45" ht="29" hidden="1" x14ac:dyDescent="0.35">
      <c r="B100" s="87"/>
      <c r="C100" s="84" t="s">
        <v>1455</v>
      </c>
      <c r="D100" s="87">
        <v>7</v>
      </c>
      <c r="E100" s="125" t="s">
        <v>3971</v>
      </c>
      <c r="F100" s="125" t="s">
        <v>3971</v>
      </c>
      <c r="G100" s="125"/>
      <c r="H100" s="125" t="s">
        <v>3971</v>
      </c>
      <c r="I100" s="123" t="s">
        <v>3971</v>
      </c>
      <c r="J100" s="125" t="s">
        <v>3971</v>
      </c>
      <c r="K100" s="125" t="e">
        <f>Table711[[#This Row],[G2AIMD (pingpong)]]/Table711[[#This Row],[gpu-hybrid-copy]]</f>
        <v>#VALUE!</v>
      </c>
      <c r="L100" s="125" t="e">
        <f>Table711[[#This Row],[G2AIMD (pingpong)]]/Table711[[#This Row],[gpu-layered]]</f>
        <v>#VALUE!</v>
      </c>
      <c r="M100" s="125" t="e">
        <f>Table711[[#This Row],[gpu-layered]]/Table711[[#This Row],[CPU+GPU]]</f>
        <v>#VALUE!</v>
      </c>
      <c r="N100" s="149" t="e">
        <f>Table711[[#This Row],[CPU Only (X &gt; 30m)]]/Table711[[#This Row],[CPU+GPU]]</f>
        <v>#VALUE!</v>
      </c>
      <c r="AI100">
        <v>1</v>
      </c>
      <c r="AJ100" s="107" t="s">
        <v>1433</v>
      </c>
      <c r="AK100" s="108">
        <v>2</v>
      </c>
      <c r="AL100" s="68">
        <v>28.529733</v>
      </c>
      <c r="AM100" s="117">
        <v>22.509125000000001</v>
      </c>
      <c r="AN100" s="47">
        <v>27.45</v>
      </c>
      <c r="AO100" s="36">
        <v>27.35</v>
      </c>
      <c r="AP100" s="36">
        <v>26.74</v>
      </c>
      <c r="AQ100" s="114">
        <f ca="1">Table7[[#This Row],[cpuchunk=1]]/Table7[[#This Row],[GPU_chunk10_ratio]]</f>
        <v>0.84177729992520578</v>
      </c>
      <c r="AR100" s="109" t="s">
        <v>3971</v>
      </c>
      <c r="AS100" s="120" t="s">
        <v>3971</v>
      </c>
    </row>
    <row r="101" spans="2:45" ht="29" hidden="1" x14ac:dyDescent="0.35">
      <c r="B101" s="87"/>
      <c r="C101" s="84" t="s">
        <v>1455</v>
      </c>
      <c r="D101" s="87">
        <v>8</v>
      </c>
      <c r="E101" s="125" t="s">
        <v>3971</v>
      </c>
      <c r="F101" s="125" t="s">
        <v>3971</v>
      </c>
      <c r="G101" s="125"/>
      <c r="H101" s="125" t="s">
        <v>3971</v>
      </c>
      <c r="I101" s="123" t="s">
        <v>3971</v>
      </c>
      <c r="J101" s="125" t="s">
        <v>3971</v>
      </c>
      <c r="K101" s="125" t="e">
        <f>Table711[[#This Row],[G2AIMD (pingpong)]]/Table711[[#This Row],[gpu-hybrid-copy]]</f>
        <v>#VALUE!</v>
      </c>
      <c r="L101" s="125" t="e">
        <f>Table711[[#This Row],[G2AIMD (pingpong)]]/Table711[[#This Row],[gpu-layered]]</f>
        <v>#VALUE!</v>
      </c>
      <c r="M101" s="125" t="e">
        <f>Table711[[#This Row],[gpu-layered]]/Table711[[#This Row],[CPU+GPU]]</f>
        <v>#VALUE!</v>
      </c>
      <c r="N101" s="149" t="e">
        <f>Table711[[#This Row],[CPU Only (X &gt; 30m)]]/Table711[[#This Row],[CPU+GPU]]</f>
        <v>#VALUE!</v>
      </c>
      <c r="AI101">
        <v>1</v>
      </c>
      <c r="AJ101" s="107" t="s">
        <v>1436</v>
      </c>
      <c r="AK101" s="108">
        <v>2</v>
      </c>
      <c r="AL101" s="68">
        <v>29.259466</v>
      </c>
      <c r="AM101" s="117">
        <v>23.602007</v>
      </c>
      <c r="AN101" s="47">
        <v>28.64</v>
      </c>
      <c r="AO101" s="36">
        <v>28.91</v>
      </c>
      <c r="AP101" s="36">
        <v>27.72</v>
      </c>
      <c r="AQ101" s="114">
        <f ca="1">Table7[[#This Row],[cpuchunk=1]]/Table7[[#This Row],[GPU_chunk10_ratio]]</f>
        <v>0.85144325396825404</v>
      </c>
      <c r="AR101" s="109">
        <v>63.010843999999999</v>
      </c>
      <c r="AS101" s="120" t="s">
        <v>3971</v>
      </c>
    </row>
    <row r="102" spans="2:45" ht="29" hidden="1" x14ac:dyDescent="0.35">
      <c r="B102" s="87"/>
      <c r="C102" s="84" t="s">
        <v>1455</v>
      </c>
      <c r="D102" s="87">
        <v>9</v>
      </c>
      <c r="E102" s="125" t="s">
        <v>3971</v>
      </c>
      <c r="F102" s="125" t="s">
        <v>3971</v>
      </c>
      <c r="G102" s="125"/>
      <c r="H102" s="125" t="s">
        <v>3971</v>
      </c>
      <c r="I102" s="123" t="s">
        <v>3971</v>
      </c>
      <c r="J102" s="125" t="s">
        <v>3971</v>
      </c>
      <c r="K102" s="125" t="e">
        <f>Table711[[#This Row],[G2AIMD (pingpong)]]/Table711[[#This Row],[gpu-hybrid-copy]]</f>
        <v>#VALUE!</v>
      </c>
      <c r="L102" s="125" t="e">
        <f>Table711[[#This Row],[G2AIMD (pingpong)]]/Table711[[#This Row],[gpu-layered]]</f>
        <v>#VALUE!</v>
      </c>
      <c r="M102" s="125" t="e">
        <f>Table711[[#This Row],[gpu-layered]]/Table711[[#This Row],[CPU+GPU]]</f>
        <v>#VALUE!</v>
      </c>
      <c r="N102" s="149" t="e">
        <f>Table711[[#This Row],[CPU Only (X &gt; 30m)]]/Table711[[#This Row],[CPU+GPU]]</f>
        <v>#VALUE!</v>
      </c>
      <c r="AI102">
        <v>1</v>
      </c>
      <c r="AJ102" s="68" t="s">
        <v>1391</v>
      </c>
      <c r="AK102">
        <v>8</v>
      </c>
      <c r="AL102" s="68">
        <v>25.276336000000001</v>
      </c>
      <c r="AM102" s="116">
        <v>24.973725999999999</v>
      </c>
      <c r="AN102" s="47">
        <v>20.522815000000001</v>
      </c>
      <c r="AO102" s="36">
        <v>21.015433000000002</v>
      </c>
      <c r="AP102" s="36">
        <v>20.965391</v>
      </c>
      <c r="AQ102" s="114">
        <f ca="1">Table7[[#This Row],[cpuchunk=1]]/Table7[[#This Row],[GPU_chunk10_ratio]]</f>
        <v>1.1911881824669999</v>
      </c>
      <c r="AR102" s="2">
        <v>25.777509999999999</v>
      </c>
      <c r="AS102" s="120" t="s">
        <v>3971</v>
      </c>
    </row>
    <row r="103" spans="2:45" ht="29" hidden="1" x14ac:dyDescent="0.35">
      <c r="B103" s="87"/>
      <c r="C103" s="84" t="s">
        <v>1409</v>
      </c>
      <c r="D103" s="87">
        <v>5</v>
      </c>
      <c r="E103" s="125" t="s">
        <v>3971</v>
      </c>
      <c r="F103" s="125" t="s">
        <v>3971</v>
      </c>
      <c r="G103" s="125"/>
      <c r="H103" s="125" t="s">
        <v>3971</v>
      </c>
      <c r="I103" s="123" t="s">
        <v>3971</v>
      </c>
      <c r="J103" s="125" t="s">
        <v>3971</v>
      </c>
      <c r="K103" s="125" t="e">
        <f>Table711[[#This Row],[G2AIMD (pingpong)]]/Table711[[#This Row],[gpu-hybrid-copy]]</f>
        <v>#VALUE!</v>
      </c>
      <c r="L103" s="125" t="e">
        <f>Table711[[#This Row],[G2AIMD (pingpong)]]/Table711[[#This Row],[gpu-layered]]</f>
        <v>#VALUE!</v>
      </c>
      <c r="M103" s="125" t="e">
        <f>Table711[[#This Row],[gpu-layered]]/Table711[[#This Row],[CPU+GPU]]</f>
        <v>#VALUE!</v>
      </c>
      <c r="N103" s="149" t="e">
        <f>Table711[[#This Row],[CPU Only (X &gt; 30m)]]/Table711[[#This Row],[CPU+GPU]]</f>
        <v>#VALUE!</v>
      </c>
      <c r="AI103">
        <v>1</v>
      </c>
      <c r="AJ103" s="68" t="s">
        <v>1346</v>
      </c>
      <c r="AK103">
        <v>7</v>
      </c>
      <c r="AL103" s="68">
        <v>28.379384999999999</v>
      </c>
      <c r="AM103" s="116">
        <v>26.479275000000001</v>
      </c>
      <c r="AN103" s="47">
        <v>29.23</v>
      </c>
      <c r="AO103" s="36">
        <v>30.8</v>
      </c>
      <c r="AP103" s="36">
        <v>34.92</v>
      </c>
      <c r="AQ103" s="114">
        <f ca="1">Table7[[#This Row],[cpuchunk=1]]/Table7[[#This Row],[GPU_chunk10_ratio]]</f>
        <v>0.75828393470790378</v>
      </c>
      <c r="AR103" s="2">
        <v>26.73</v>
      </c>
      <c r="AS103" s="120">
        <v>2038.237151</v>
      </c>
    </row>
    <row r="104" spans="2:45" ht="29" hidden="1" x14ac:dyDescent="0.35">
      <c r="B104" s="87"/>
      <c r="C104" s="84" t="s">
        <v>1409</v>
      </c>
      <c r="D104" s="87">
        <v>6</v>
      </c>
      <c r="E104" s="125" t="s">
        <v>3971</v>
      </c>
      <c r="F104" s="125" t="s">
        <v>3971</v>
      </c>
      <c r="G104" s="125"/>
      <c r="H104" s="125" t="s">
        <v>3971</v>
      </c>
      <c r="I104" s="123" t="s">
        <v>3971</v>
      </c>
      <c r="J104" s="125" t="s">
        <v>3971</v>
      </c>
      <c r="K104" s="125" t="e">
        <f>Table711[[#This Row],[G2AIMD (pingpong)]]/Table711[[#This Row],[gpu-hybrid-copy]]</f>
        <v>#VALUE!</v>
      </c>
      <c r="L104" s="125" t="e">
        <f>Table711[[#This Row],[G2AIMD (pingpong)]]/Table711[[#This Row],[gpu-layered]]</f>
        <v>#VALUE!</v>
      </c>
      <c r="M104" s="125" t="e">
        <f>Table711[[#This Row],[gpu-layered]]/Table711[[#This Row],[CPU+GPU]]</f>
        <v>#VALUE!</v>
      </c>
      <c r="N104" s="149" t="e">
        <f>Table711[[#This Row],[CPU Only (X &gt; 30m)]]/Table711[[#This Row],[CPU+GPU]]</f>
        <v>#VALUE!</v>
      </c>
      <c r="AI104">
        <v>1</v>
      </c>
      <c r="AJ104" s="68" t="s">
        <v>1434</v>
      </c>
      <c r="AK104">
        <v>5</v>
      </c>
      <c r="AL104" s="68">
        <v>30.819552000000002</v>
      </c>
      <c r="AM104" s="116">
        <v>27.584989</v>
      </c>
      <c r="AN104" s="47">
        <v>28.18</v>
      </c>
      <c r="AO104" s="36">
        <v>28.29</v>
      </c>
      <c r="AP104" s="36">
        <v>28.36</v>
      </c>
      <c r="AQ104" s="114">
        <f ca="1">Table7[[#This Row],[cpuchunk=1]]/Table7[[#This Row],[GPU_chunk10_ratio]]</f>
        <v>0.97267239069111422</v>
      </c>
      <c r="AR104" s="2">
        <v>27.874337000000001</v>
      </c>
      <c r="AS104" s="120">
        <v>1506.4237009999999</v>
      </c>
    </row>
    <row r="105" spans="2:45" ht="29" hidden="1" x14ac:dyDescent="0.35">
      <c r="B105" s="87"/>
      <c r="C105" s="84" t="s">
        <v>1409</v>
      </c>
      <c r="D105" s="87">
        <v>7</v>
      </c>
      <c r="E105" s="125" t="s">
        <v>3971</v>
      </c>
      <c r="F105" s="125" t="s">
        <v>3971</v>
      </c>
      <c r="G105" s="125"/>
      <c r="H105" s="125" t="s">
        <v>3971</v>
      </c>
      <c r="I105" s="123" t="s">
        <v>3971</v>
      </c>
      <c r="J105" s="125" t="s">
        <v>3971</v>
      </c>
      <c r="K105" s="125" t="e">
        <f>Table711[[#This Row],[G2AIMD (pingpong)]]/Table711[[#This Row],[gpu-hybrid-copy]]</f>
        <v>#VALUE!</v>
      </c>
      <c r="L105" s="125" t="e">
        <f>Table711[[#This Row],[G2AIMD (pingpong)]]/Table711[[#This Row],[gpu-layered]]</f>
        <v>#VALUE!</v>
      </c>
      <c r="M105" s="125" t="e">
        <f>Table711[[#This Row],[gpu-layered]]/Table711[[#This Row],[CPU+GPU]]</f>
        <v>#VALUE!</v>
      </c>
      <c r="N105" s="149" t="e">
        <f>Table711[[#This Row],[CPU Only (X &gt; 30m)]]/Table711[[#This Row],[CPU+GPU]]</f>
        <v>#VALUE!</v>
      </c>
      <c r="AI105">
        <v>1</v>
      </c>
      <c r="AJ105" s="68" t="s">
        <v>1450</v>
      </c>
      <c r="AK105">
        <v>9</v>
      </c>
      <c r="AL105" s="68">
        <v>33.843966000000002</v>
      </c>
      <c r="AM105" s="116">
        <v>28.268073000000001</v>
      </c>
      <c r="AN105" s="47">
        <v>40.86</v>
      </c>
      <c r="AO105" s="36">
        <v>53.31</v>
      </c>
      <c r="AP105" s="36">
        <v>31.61</v>
      </c>
      <c r="AQ105" s="114">
        <f ca="1">Table7[[#This Row],[cpuchunk=1]]/Table7[[#This Row],[GPU_chunk10_ratio]]</f>
        <v>0.89427627333122439</v>
      </c>
      <c r="AR105" s="2">
        <v>59.78</v>
      </c>
      <c r="AS105" s="120" t="s">
        <v>3971</v>
      </c>
    </row>
    <row r="106" spans="2:45" ht="29" hidden="1" x14ac:dyDescent="0.35">
      <c r="B106" s="87"/>
      <c r="C106" s="84" t="s">
        <v>1409</v>
      </c>
      <c r="D106" s="87">
        <v>8</v>
      </c>
      <c r="E106" s="125" t="s">
        <v>3971</v>
      </c>
      <c r="F106" s="125" t="s">
        <v>3971</v>
      </c>
      <c r="G106" s="125"/>
      <c r="H106" s="125" t="s">
        <v>3971</v>
      </c>
      <c r="I106" s="123" t="s">
        <v>3971</v>
      </c>
      <c r="J106" s="125" t="s">
        <v>3971</v>
      </c>
      <c r="K106" s="125" t="e">
        <f>Table711[[#This Row],[G2AIMD (pingpong)]]/Table711[[#This Row],[gpu-hybrid-copy]]</f>
        <v>#VALUE!</v>
      </c>
      <c r="L106" s="125" t="e">
        <f>Table711[[#This Row],[G2AIMD (pingpong)]]/Table711[[#This Row],[gpu-layered]]</f>
        <v>#VALUE!</v>
      </c>
      <c r="M106" s="125" t="e">
        <f>Table711[[#This Row],[gpu-layered]]/Table711[[#This Row],[CPU+GPU]]</f>
        <v>#VALUE!</v>
      </c>
      <c r="N106" s="149" t="e">
        <f>Table711[[#This Row],[CPU Only (X &gt; 30m)]]/Table711[[#This Row],[CPU+GPU]]</f>
        <v>#VALUE!</v>
      </c>
      <c r="AI106">
        <v>1</v>
      </c>
      <c r="AJ106" s="68" t="s">
        <v>1346</v>
      </c>
      <c r="AK106">
        <v>8</v>
      </c>
      <c r="AL106" s="68">
        <v>37.425060000000002</v>
      </c>
      <c r="AM106" s="116">
        <v>34.536710999999997</v>
      </c>
      <c r="AN106" s="47">
        <v>34.25</v>
      </c>
      <c r="AO106" s="36">
        <v>34.200000000000003</v>
      </c>
      <c r="AP106" s="36">
        <v>34.51</v>
      </c>
      <c r="AQ106" s="114">
        <f ca="1">Table7[[#This Row],[cpuchunk=1]]/Table7[[#This Row],[GPU_chunk10_ratio]]</f>
        <v>1.0007740075340481</v>
      </c>
      <c r="AR106" s="2">
        <v>35.340000000000003</v>
      </c>
      <c r="AS106" s="120" t="s">
        <v>3971</v>
      </c>
    </row>
    <row r="107" spans="2:45" ht="29" hidden="1" x14ac:dyDescent="0.35">
      <c r="B107" s="87"/>
      <c r="C107" s="84" t="s">
        <v>1449</v>
      </c>
      <c r="D107" s="87">
        <v>5</v>
      </c>
      <c r="E107" s="125" t="s">
        <v>3971</v>
      </c>
      <c r="F107" s="125" t="s">
        <v>3971</v>
      </c>
      <c r="G107" s="125"/>
      <c r="H107" s="125" t="s">
        <v>3971</v>
      </c>
      <c r="I107" s="123" t="s">
        <v>3971</v>
      </c>
      <c r="J107" s="125" t="s">
        <v>3971</v>
      </c>
      <c r="K107" s="125" t="e">
        <f>Table711[[#This Row],[G2AIMD (pingpong)]]/Table711[[#This Row],[gpu-hybrid-copy]]</f>
        <v>#VALUE!</v>
      </c>
      <c r="L107" s="125" t="e">
        <f>Table711[[#This Row],[G2AIMD (pingpong)]]/Table711[[#This Row],[gpu-layered]]</f>
        <v>#VALUE!</v>
      </c>
      <c r="M107" s="125" t="e">
        <f>Table711[[#This Row],[gpu-layered]]/Table711[[#This Row],[CPU+GPU]]</f>
        <v>#VALUE!</v>
      </c>
      <c r="N107" s="149" t="e">
        <f>Table711[[#This Row],[CPU Only (X &gt; 30m)]]/Table711[[#This Row],[CPU+GPU]]</f>
        <v>#VALUE!</v>
      </c>
      <c r="AI107">
        <v>1</v>
      </c>
      <c r="AJ107" s="68" t="s">
        <v>1411</v>
      </c>
      <c r="AK107">
        <v>2</v>
      </c>
      <c r="AL107" s="68">
        <v>42.610433999999998</v>
      </c>
      <c r="AM107" s="116">
        <v>36.894198000000003</v>
      </c>
      <c r="AN107" s="47">
        <v>43.47</v>
      </c>
      <c r="AO107" s="36">
        <v>44.47</v>
      </c>
      <c r="AP107" s="36">
        <v>43.62</v>
      </c>
      <c r="AQ107" s="114">
        <f ca="1">Table7[[#This Row],[cpuchunk=1]]/Table7[[#This Row],[GPU_chunk10_ratio]]</f>
        <v>0.84580921595598357</v>
      </c>
      <c r="AR107" s="2">
        <v>264.74</v>
      </c>
      <c r="AS107" s="120" t="s">
        <v>3971</v>
      </c>
    </row>
    <row r="108" spans="2:45" ht="29" hidden="1" x14ac:dyDescent="0.35">
      <c r="B108" s="87"/>
      <c r="C108" s="84" t="s">
        <v>1449</v>
      </c>
      <c r="D108" s="87">
        <v>6</v>
      </c>
      <c r="E108" s="125" t="s">
        <v>3971</v>
      </c>
      <c r="F108" s="125" t="s">
        <v>3971</v>
      </c>
      <c r="G108" s="125"/>
      <c r="H108" s="125" t="s">
        <v>3971</v>
      </c>
      <c r="I108" s="123" t="s">
        <v>3971</v>
      </c>
      <c r="J108" s="125" t="s">
        <v>3971</v>
      </c>
      <c r="K108" s="125" t="e">
        <f>Table711[[#This Row],[G2AIMD (pingpong)]]/Table711[[#This Row],[gpu-hybrid-copy]]</f>
        <v>#VALUE!</v>
      </c>
      <c r="L108" s="125" t="e">
        <f>Table711[[#This Row],[G2AIMD (pingpong)]]/Table711[[#This Row],[gpu-layered]]</f>
        <v>#VALUE!</v>
      </c>
      <c r="M108" s="125" t="e">
        <f>Table711[[#This Row],[gpu-layered]]/Table711[[#This Row],[CPU+GPU]]</f>
        <v>#VALUE!</v>
      </c>
      <c r="N108" s="149" t="e">
        <f>Table711[[#This Row],[CPU Only (X &gt; 30m)]]/Table711[[#This Row],[CPU+GPU]]</f>
        <v>#VALUE!</v>
      </c>
      <c r="AI108">
        <v>1</v>
      </c>
      <c r="AJ108" s="68" t="s">
        <v>1449</v>
      </c>
      <c r="AK108">
        <v>2</v>
      </c>
      <c r="AL108" s="68">
        <v>46.799216999999999</v>
      </c>
      <c r="AM108" s="116">
        <v>38.434747000000002</v>
      </c>
      <c r="AN108" s="47">
        <v>46.32</v>
      </c>
      <c r="AO108" s="36">
        <v>45.97</v>
      </c>
      <c r="AP108" s="36">
        <v>46.61</v>
      </c>
      <c r="AQ108" s="114">
        <f ca="1">Table7[[#This Row],[cpuchunk=1]]/Table7[[#This Row],[GPU_chunk10_ratio]]</f>
        <v>0.82460302510190953</v>
      </c>
      <c r="AR108" s="2">
        <v>93.861074000000002</v>
      </c>
      <c r="AS108" s="120" t="s">
        <v>3971</v>
      </c>
    </row>
    <row r="109" spans="2:45" ht="29" hidden="1" x14ac:dyDescent="0.35">
      <c r="B109" s="87"/>
      <c r="C109" s="84" t="s">
        <v>1449</v>
      </c>
      <c r="D109" s="87">
        <v>7</v>
      </c>
      <c r="E109" s="125" t="s">
        <v>3971</v>
      </c>
      <c r="F109" s="125" t="s">
        <v>3971</v>
      </c>
      <c r="G109" s="125"/>
      <c r="H109" s="125" t="s">
        <v>3971</v>
      </c>
      <c r="I109" s="123" t="s">
        <v>3971</v>
      </c>
      <c r="J109" s="125" t="s">
        <v>3971</v>
      </c>
      <c r="K109" s="125" t="e">
        <f>Table711[[#This Row],[G2AIMD (pingpong)]]/Table711[[#This Row],[gpu-hybrid-copy]]</f>
        <v>#VALUE!</v>
      </c>
      <c r="L109" s="125" t="e">
        <f>Table711[[#This Row],[G2AIMD (pingpong)]]/Table711[[#This Row],[gpu-layered]]</f>
        <v>#VALUE!</v>
      </c>
      <c r="M109" s="125" t="e">
        <f>Table711[[#This Row],[gpu-layered]]/Table711[[#This Row],[CPU+GPU]]</f>
        <v>#VALUE!</v>
      </c>
      <c r="N109" s="149" t="e">
        <f>Table711[[#This Row],[CPU Only (X &gt; 30m)]]/Table711[[#This Row],[CPU+GPU]]</f>
        <v>#VALUE!</v>
      </c>
      <c r="AI109">
        <v>1</v>
      </c>
      <c r="AJ109" s="104" t="s">
        <v>1371</v>
      </c>
      <c r="AK109" s="105">
        <v>6</v>
      </c>
      <c r="AL109" s="68">
        <v>42.350599000000003</v>
      </c>
      <c r="AM109" s="118">
        <v>42.45</v>
      </c>
      <c r="AN109" s="47">
        <v>36.76</v>
      </c>
      <c r="AO109" s="36">
        <v>37</v>
      </c>
      <c r="AP109" s="36">
        <v>36.46</v>
      </c>
      <c r="AQ109" s="114">
        <f ca="1">Table7[[#This Row],[cpuchunk=1]]/Table7[[#This Row],[GPU_chunk10_ratio]]</f>
        <v>1.164289632473944</v>
      </c>
      <c r="AR109" s="106">
        <v>33.44</v>
      </c>
      <c r="AS109" s="120">
        <v>398.639387</v>
      </c>
    </row>
    <row r="110" spans="2:45" ht="29" hidden="1" x14ac:dyDescent="0.35">
      <c r="B110" s="87"/>
      <c r="C110" s="84" t="s">
        <v>1449</v>
      </c>
      <c r="D110" s="87">
        <v>8</v>
      </c>
      <c r="E110" s="125" t="s">
        <v>3971</v>
      </c>
      <c r="F110" s="125" t="s">
        <v>3971</v>
      </c>
      <c r="G110" s="125"/>
      <c r="H110" s="125" t="s">
        <v>3971</v>
      </c>
      <c r="I110" s="123" t="s">
        <v>3971</v>
      </c>
      <c r="J110" s="125" t="s">
        <v>3971</v>
      </c>
      <c r="K110" s="125" t="e">
        <f>Table711[[#This Row],[G2AIMD (pingpong)]]/Table711[[#This Row],[gpu-hybrid-copy]]</f>
        <v>#VALUE!</v>
      </c>
      <c r="L110" s="125" t="e">
        <f>Table711[[#This Row],[G2AIMD (pingpong)]]/Table711[[#This Row],[gpu-layered]]</f>
        <v>#VALUE!</v>
      </c>
      <c r="M110" s="125" t="e">
        <f>Table711[[#This Row],[gpu-layered]]/Table711[[#This Row],[CPU+GPU]]</f>
        <v>#VALUE!</v>
      </c>
      <c r="N110" s="149" t="e">
        <f>Table711[[#This Row],[CPU Only (X &gt; 30m)]]/Table711[[#This Row],[CPU+GPU]]</f>
        <v>#VALUE!</v>
      </c>
      <c r="AI110">
        <v>1</v>
      </c>
      <c r="AJ110" s="68" t="s">
        <v>1409</v>
      </c>
      <c r="AK110">
        <v>9</v>
      </c>
      <c r="AL110" s="68">
        <v>55.395792</v>
      </c>
      <c r="AM110" s="116">
        <v>45.427039000000001</v>
      </c>
      <c r="AN110" s="47">
        <v>126.68</v>
      </c>
      <c r="AO110" s="36">
        <v>93.31</v>
      </c>
      <c r="AP110" s="36">
        <v>53.87</v>
      </c>
      <c r="AQ110" s="113">
        <f ca="1">Table7[[#This Row],[cpuchunk=1]]/Table7[[#This Row],[GPU_chunk10_ratio]]</f>
        <v>0.84327156116576951</v>
      </c>
      <c r="AR110" s="2">
        <v>199.23</v>
      </c>
      <c r="AS110" s="120" t="s">
        <v>3971</v>
      </c>
    </row>
    <row r="111" spans="2:45" ht="29" hidden="1" x14ac:dyDescent="0.35">
      <c r="B111" s="87"/>
      <c r="C111" s="84" t="s">
        <v>1449</v>
      </c>
      <c r="D111" s="87">
        <v>9</v>
      </c>
      <c r="E111" s="125" t="s">
        <v>3971</v>
      </c>
      <c r="F111" s="125" t="s">
        <v>3971</v>
      </c>
      <c r="G111" s="125"/>
      <c r="H111" s="125" t="s">
        <v>3971</v>
      </c>
      <c r="I111" s="123" t="s">
        <v>3971</v>
      </c>
      <c r="J111" s="125" t="s">
        <v>3971</v>
      </c>
      <c r="K111" s="125" t="e">
        <f>Table711[[#This Row],[G2AIMD (pingpong)]]/Table711[[#This Row],[gpu-hybrid-copy]]</f>
        <v>#VALUE!</v>
      </c>
      <c r="L111" s="125" t="e">
        <f>Table711[[#This Row],[G2AIMD (pingpong)]]/Table711[[#This Row],[gpu-layered]]</f>
        <v>#VALUE!</v>
      </c>
      <c r="M111" s="125" t="e">
        <f>Table711[[#This Row],[gpu-layered]]/Table711[[#This Row],[CPU+GPU]]</f>
        <v>#VALUE!</v>
      </c>
      <c r="N111" s="149" t="e">
        <f>Table711[[#This Row],[CPU Only (X &gt; 30m)]]/Table711[[#This Row],[CPU+GPU]]</f>
        <v>#VALUE!</v>
      </c>
      <c r="AI111">
        <v>1</v>
      </c>
      <c r="AJ111" s="68" t="s">
        <v>1436</v>
      </c>
      <c r="AK111">
        <v>9</v>
      </c>
      <c r="AL111" s="68">
        <v>52.928930999999999</v>
      </c>
      <c r="AM111" s="116">
        <v>45.434877</v>
      </c>
      <c r="AN111" s="47">
        <v>65.650000000000006</v>
      </c>
      <c r="AO111" s="36">
        <v>57.73</v>
      </c>
      <c r="AP111" s="36">
        <v>51.67</v>
      </c>
      <c r="AQ111" s="113">
        <f ca="1">Table7[[#This Row],[cpuchunk=1]]/Table7[[#This Row],[GPU_chunk10_ratio]]</f>
        <v>0.87932798529127154</v>
      </c>
      <c r="AR111" s="2">
        <v>106.22</v>
      </c>
      <c r="AS111" s="120" t="s">
        <v>3971</v>
      </c>
    </row>
    <row r="112" spans="2:45" ht="29" hidden="1" x14ac:dyDescent="0.35">
      <c r="B112" s="87"/>
      <c r="C112" s="84" t="s">
        <v>1437</v>
      </c>
      <c r="D112" s="87">
        <v>2</v>
      </c>
      <c r="E112" s="125" t="s">
        <v>3971</v>
      </c>
      <c r="F112" s="125" t="s">
        <v>3971</v>
      </c>
      <c r="G112" s="125"/>
      <c r="H112" s="125" t="s">
        <v>3971</v>
      </c>
      <c r="I112" s="123" t="s">
        <v>3971</v>
      </c>
      <c r="J112" s="125" t="s">
        <v>3971</v>
      </c>
      <c r="K112" s="125" t="e">
        <f>Table711[[#This Row],[G2AIMD (pingpong)]]/Table711[[#This Row],[gpu-hybrid-copy]]</f>
        <v>#VALUE!</v>
      </c>
      <c r="L112" s="125" t="e">
        <f>Table711[[#This Row],[G2AIMD (pingpong)]]/Table711[[#This Row],[gpu-layered]]</f>
        <v>#VALUE!</v>
      </c>
      <c r="M112" s="125" t="e">
        <f>Table711[[#This Row],[gpu-layered]]/Table711[[#This Row],[CPU+GPU]]</f>
        <v>#VALUE!</v>
      </c>
      <c r="N112" s="149" t="e">
        <f>Table711[[#This Row],[CPU Only (X &gt; 30m)]]/Table711[[#This Row],[CPU+GPU]]</f>
        <v>#VALUE!</v>
      </c>
      <c r="AI112">
        <v>1</v>
      </c>
      <c r="AJ112" s="68" t="s">
        <v>18</v>
      </c>
      <c r="AK112">
        <v>2</v>
      </c>
      <c r="AL112" s="68">
        <v>65.804128000000006</v>
      </c>
      <c r="AM112" s="116">
        <v>54.708874999999999</v>
      </c>
      <c r="AN112" s="47">
        <v>67.98</v>
      </c>
      <c r="AO112" s="36">
        <v>72.959999999999994</v>
      </c>
      <c r="AP112" s="36">
        <v>122.94</v>
      </c>
      <c r="AQ112" s="113">
        <f ca="1">Table7[[#This Row],[cpuchunk=1]]/Table7[[#This Row],[GPU_chunk10_ratio]]</f>
        <v>0.44500467707824953</v>
      </c>
      <c r="AR112" s="2">
        <v>477.430588</v>
      </c>
      <c r="AS112" s="120" t="s">
        <v>3971</v>
      </c>
    </row>
    <row r="113" spans="2:45" ht="29" hidden="1" x14ac:dyDescent="0.35">
      <c r="B113" s="87"/>
      <c r="C113" s="84" t="s">
        <v>1437</v>
      </c>
      <c r="D113" s="87">
        <v>5</v>
      </c>
      <c r="E113" s="125" t="s">
        <v>3971</v>
      </c>
      <c r="F113" s="125" t="s">
        <v>3971</v>
      </c>
      <c r="G113" s="125"/>
      <c r="H113" s="125" t="s">
        <v>3971</v>
      </c>
      <c r="I113" s="123" t="s">
        <v>3971</v>
      </c>
      <c r="J113" s="125" t="s">
        <v>3971</v>
      </c>
      <c r="K113" s="125" t="e">
        <f>Table711[[#This Row],[G2AIMD (pingpong)]]/Table711[[#This Row],[gpu-hybrid-copy]]</f>
        <v>#VALUE!</v>
      </c>
      <c r="L113" s="125" t="e">
        <f>Table711[[#This Row],[G2AIMD (pingpong)]]/Table711[[#This Row],[gpu-layered]]</f>
        <v>#VALUE!</v>
      </c>
      <c r="M113" s="125" t="e">
        <f>Table711[[#This Row],[gpu-layered]]/Table711[[#This Row],[CPU+GPU]]</f>
        <v>#VALUE!</v>
      </c>
      <c r="N113" s="149" t="e">
        <f>Table711[[#This Row],[CPU Only (X &gt; 30m)]]/Table711[[#This Row],[CPU+GPU]]</f>
        <v>#VALUE!</v>
      </c>
      <c r="AI113">
        <v>1</v>
      </c>
      <c r="AJ113" s="68" t="s">
        <v>1455</v>
      </c>
      <c r="AK113">
        <v>2</v>
      </c>
      <c r="AL113" s="68">
        <v>66.658944000000005</v>
      </c>
      <c r="AM113" s="116">
        <v>56.069319</v>
      </c>
      <c r="AN113" s="47">
        <v>67.33</v>
      </c>
      <c r="AO113" s="36">
        <v>67.69</v>
      </c>
      <c r="AP113" s="36">
        <v>65.989999999999995</v>
      </c>
      <c r="AQ113" s="113">
        <f ca="1">Table7[[#This Row],[cpuchunk=1]]/Table7[[#This Row],[GPU_chunk10_ratio]]</f>
        <v>0.84966387331413862</v>
      </c>
      <c r="AR113" s="2">
        <v>124.84438</v>
      </c>
      <c r="AS113" s="120" t="s">
        <v>3971</v>
      </c>
    </row>
    <row r="114" spans="2:45" ht="29" hidden="1" x14ac:dyDescent="0.35">
      <c r="B114" s="87"/>
      <c r="C114" s="84" t="s">
        <v>1437</v>
      </c>
      <c r="D114" s="87">
        <v>6</v>
      </c>
      <c r="E114" s="125" t="s">
        <v>3971</v>
      </c>
      <c r="F114" s="125" t="s">
        <v>3971</v>
      </c>
      <c r="G114" s="125"/>
      <c r="H114" s="125" t="s">
        <v>3971</v>
      </c>
      <c r="I114" s="123" t="s">
        <v>3971</v>
      </c>
      <c r="J114" s="125" t="s">
        <v>3971</v>
      </c>
      <c r="K114" s="125" t="e">
        <f>Table711[[#This Row],[G2AIMD (pingpong)]]/Table711[[#This Row],[gpu-hybrid-copy]]</f>
        <v>#VALUE!</v>
      </c>
      <c r="L114" s="125" t="e">
        <f>Table711[[#This Row],[G2AIMD (pingpong)]]/Table711[[#This Row],[gpu-layered]]</f>
        <v>#VALUE!</v>
      </c>
      <c r="M114" s="125" t="e">
        <f>Table711[[#This Row],[gpu-layered]]/Table711[[#This Row],[CPU+GPU]]</f>
        <v>#VALUE!</v>
      </c>
      <c r="N114" s="149" t="e">
        <f>Table711[[#This Row],[CPU Only (X &gt; 30m)]]/Table711[[#This Row],[CPU+GPU]]</f>
        <v>#VALUE!</v>
      </c>
      <c r="AI114">
        <v>1</v>
      </c>
      <c r="AJ114" s="68" t="s">
        <v>3912</v>
      </c>
      <c r="AK114">
        <v>6</v>
      </c>
      <c r="AL114" s="68">
        <v>62.898426000000001</v>
      </c>
      <c r="AM114" s="116">
        <v>57.623711</v>
      </c>
      <c r="AN114" s="47">
        <v>56.491925000000002</v>
      </c>
      <c r="AO114" s="36">
        <v>55.23</v>
      </c>
      <c r="AP114" s="36">
        <v>56.37</v>
      </c>
      <c r="AQ114" s="113">
        <f ca="1">Table7[[#This Row],[cpuchunk=1]]/Table7[[#This Row],[GPU_chunk10_ratio]]</f>
        <v>1.0222407486251552</v>
      </c>
      <c r="AR114" s="2">
        <v>57.396535</v>
      </c>
      <c r="AS114" s="120">
        <v>681.58641899999998</v>
      </c>
    </row>
    <row r="115" spans="2:45" ht="29" hidden="1" x14ac:dyDescent="0.35">
      <c r="B115" s="87"/>
      <c r="C115" s="84" t="s">
        <v>1437</v>
      </c>
      <c r="D115" s="87">
        <v>7</v>
      </c>
      <c r="E115" s="125" t="s">
        <v>3971</v>
      </c>
      <c r="F115" s="125" t="s">
        <v>3971</v>
      </c>
      <c r="G115" s="125"/>
      <c r="H115" s="125" t="s">
        <v>3971</v>
      </c>
      <c r="I115" s="123" t="s">
        <v>3971</v>
      </c>
      <c r="J115" s="125" t="s">
        <v>3971</v>
      </c>
      <c r="K115" s="125" t="e">
        <f>Table711[[#This Row],[G2AIMD (pingpong)]]/Table711[[#This Row],[gpu-hybrid-copy]]</f>
        <v>#VALUE!</v>
      </c>
      <c r="L115" s="125" t="e">
        <f>Table711[[#This Row],[G2AIMD (pingpong)]]/Table711[[#This Row],[gpu-layered]]</f>
        <v>#VALUE!</v>
      </c>
      <c r="M115" s="125" t="e">
        <f>Table711[[#This Row],[gpu-layered]]/Table711[[#This Row],[CPU+GPU]]</f>
        <v>#VALUE!</v>
      </c>
      <c r="N115" s="149" t="e">
        <f>Table711[[#This Row],[CPU Only (X &gt; 30m)]]/Table711[[#This Row],[CPU+GPU]]</f>
        <v>#VALUE!</v>
      </c>
      <c r="AI115">
        <v>1</v>
      </c>
      <c r="AJ115" s="68" t="s">
        <v>1</v>
      </c>
      <c r="AK115">
        <v>5</v>
      </c>
      <c r="AL115" s="68">
        <v>57.615180000000002</v>
      </c>
      <c r="AM115" s="116">
        <v>65.316587999999996</v>
      </c>
      <c r="AN115" s="47">
        <v>57.84</v>
      </c>
      <c r="AO115" s="36">
        <v>60.35</v>
      </c>
      <c r="AP115" s="36">
        <v>62.65</v>
      </c>
      <c r="AQ115" s="113">
        <f ca="1">Table7[[#This Row],[cpuchunk=1]]/Table7[[#This Row],[GPU_chunk10_ratio]]</f>
        <v>1.0425632561851557</v>
      </c>
      <c r="AR115" s="2">
        <v>73.226096999999996</v>
      </c>
      <c r="AS115" s="120" t="s">
        <v>3971</v>
      </c>
    </row>
    <row r="116" spans="2:45" ht="29" hidden="1" x14ac:dyDescent="0.35">
      <c r="B116" s="87"/>
      <c r="C116" s="84" t="s">
        <v>1437</v>
      </c>
      <c r="D116" s="87">
        <v>8</v>
      </c>
      <c r="E116" s="125" t="s">
        <v>3971</v>
      </c>
      <c r="F116" s="125" t="s">
        <v>3971</v>
      </c>
      <c r="G116" s="125"/>
      <c r="H116" s="125" t="s">
        <v>3971</v>
      </c>
      <c r="I116" s="123" t="s">
        <v>3971</v>
      </c>
      <c r="J116" s="125" t="s">
        <v>3971</v>
      </c>
      <c r="K116" s="125" t="e">
        <f>Table711[[#This Row],[G2AIMD (pingpong)]]/Table711[[#This Row],[gpu-hybrid-copy]]</f>
        <v>#VALUE!</v>
      </c>
      <c r="L116" s="125" t="e">
        <f>Table711[[#This Row],[G2AIMD (pingpong)]]/Table711[[#This Row],[gpu-layered]]</f>
        <v>#VALUE!</v>
      </c>
      <c r="M116" s="125" t="e">
        <f>Table711[[#This Row],[gpu-layered]]/Table711[[#This Row],[CPU+GPU]]</f>
        <v>#VALUE!</v>
      </c>
      <c r="N116" s="149" t="e">
        <f>Table711[[#This Row],[CPU Only (X &gt; 30m)]]/Table711[[#This Row],[CPU+GPU]]</f>
        <v>#VALUE!</v>
      </c>
      <c r="AI116">
        <v>1</v>
      </c>
      <c r="AJ116" s="68" t="s">
        <v>1434</v>
      </c>
      <c r="AK116">
        <v>7</v>
      </c>
      <c r="AL116" s="68">
        <v>76.175668000000002</v>
      </c>
      <c r="AM116" s="116">
        <v>74.836130999999995</v>
      </c>
      <c r="AN116" s="47">
        <v>76.02</v>
      </c>
      <c r="AO116" s="36">
        <v>75.81</v>
      </c>
      <c r="AP116" s="36">
        <v>82.83</v>
      </c>
      <c r="AQ116" s="113">
        <f ca="1">Table7[[#This Row],[cpuchunk=1]]/Table7[[#This Row],[GPU_chunk10_ratio]]</f>
        <v>0.90349065555957986</v>
      </c>
      <c r="AR116" s="2">
        <v>73.849999999999994</v>
      </c>
      <c r="AS116" s="120" t="s">
        <v>3971</v>
      </c>
    </row>
    <row r="117" spans="2:45" ht="29" hidden="1" x14ac:dyDescent="0.35">
      <c r="B117" s="87"/>
      <c r="C117" s="84" t="s">
        <v>1437</v>
      </c>
      <c r="D117" s="87">
        <v>9</v>
      </c>
      <c r="E117" s="125" t="s">
        <v>3971</v>
      </c>
      <c r="F117" s="125" t="s">
        <v>3971</v>
      </c>
      <c r="G117" s="125"/>
      <c r="H117" s="125" t="s">
        <v>3971</v>
      </c>
      <c r="I117" s="123" t="s">
        <v>3971</v>
      </c>
      <c r="J117" s="125" t="s">
        <v>3971</v>
      </c>
      <c r="K117" s="125" t="e">
        <f>Table711[[#This Row],[G2AIMD (pingpong)]]/Table711[[#This Row],[gpu-hybrid-copy]]</f>
        <v>#VALUE!</v>
      </c>
      <c r="L117" s="125" t="e">
        <f>Table711[[#This Row],[G2AIMD (pingpong)]]/Table711[[#This Row],[gpu-layered]]</f>
        <v>#VALUE!</v>
      </c>
      <c r="M117" s="125" t="e">
        <f>Table711[[#This Row],[gpu-layered]]/Table711[[#This Row],[CPU+GPU]]</f>
        <v>#VALUE!</v>
      </c>
      <c r="N117" s="149" t="e">
        <f>Table711[[#This Row],[CPU Only (X &gt; 30m)]]/Table711[[#This Row],[CPU+GPU]]</f>
        <v>#VALUE!</v>
      </c>
      <c r="AI117">
        <v>1</v>
      </c>
      <c r="AJ117" s="68" t="s">
        <v>1438</v>
      </c>
      <c r="AK117">
        <v>2</v>
      </c>
      <c r="AL117" s="68">
        <v>103.344572</v>
      </c>
      <c r="AM117" s="116">
        <v>85.561336999999995</v>
      </c>
      <c r="AN117" s="47">
        <v>101.93723900000001</v>
      </c>
      <c r="AO117" s="36">
        <v>103.33</v>
      </c>
      <c r="AP117" s="36">
        <v>105.39</v>
      </c>
      <c r="AQ117" s="113">
        <f ca="1">Table7[[#This Row],[cpuchunk=1]]/Table7[[#This Row],[GPU_chunk10_ratio]]</f>
        <v>0.81185441692760218</v>
      </c>
      <c r="AR117" s="2">
        <v>169.211938</v>
      </c>
      <c r="AS117" s="120" t="s">
        <v>3971</v>
      </c>
    </row>
    <row r="118" spans="2:45" ht="29" hidden="1" x14ac:dyDescent="0.35">
      <c r="B118" s="87"/>
      <c r="C118" s="84" t="s">
        <v>1436</v>
      </c>
      <c r="D118" s="87">
        <v>5</v>
      </c>
      <c r="E118" s="125" t="s">
        <v>3971</v>
      </c>
      <c r="F118" s="125" t="s">
        <v>3971</v>
      </c>
      <c r="G118" s="125"/>
      <c r="H118" s="125" t="s">
        <v>3971</v>
      </c>
      <c r="I118" s="123" t="s">
        <v>3971</v>
      </c>
      <c r="J118" s="125" t="s">
        <v>3971</v>
      </c>
      <c r="K118" s="125" t="e">
        <f>Table711[[#This Row],[G2AIMD (pingpong)]]/Table711[[#This Row],[gpu-hybrid-copy]]</f>
        <v>#VALUE!</v>
      </c>
      <c r="L118" s="125" t="e">
        <f>Table711[[#This Row],[G2AIMD (pingpong)]]/Table711[[#This Row],[gpu-layered]]</f>
        <v>#VALUE!</v>
      </c>
      <c r="M118" s="125" t="e">
        <f>Table711[[#This Row],[gpu-layered]]/Table711[[#This Row],[CPU+GPU]]</f>
        <v>#VALUE!</v>
      </c>
      <c r="N118" s="149" t="e">
        <f>Table711[[#This Row],[CPU Only (X &gt; 30m)]]/Table711[[#This Row],[CPU+GPU]]</f>
        <v>#VALUE!</v>
      </c>
      <c r="AI118">
        <v>1</v>
      </c>
      <c r="AJ118" s="68" t="s">
        <v>1434</v>
      </c>
      <c r="AK118">
        <v>8</v>
      </c>
      <c r="AL118" s="68" t="s">
        <v>3971</v>
      </c>
      <c r="AM118" s="116">
        <v>91.497511000000003</v>
      </c>
      <c r="AN118" s="47">
        <v>89.48</v>
      </c>
      <c r="AO118" s="36">
        <v>87.05</v>
      </c>
      <c r="AP118" s="36">
        <v>91.47</v>
      </c>
      <c r="AQ118" s="113">
        <f ca="1">Table7[[#This Row],[cpuchunk=1]]/Table7[[#This Row],[GPU_chunk10_ratio]]</f>
        <v>1.0003007652782334</v>
      </c>
      <c r="AR118" s="2">
        <v>89.974523000000005</v>
      </c>
      <c r="AS118" s="120" t="s">
        <v>3971</v>
      </c>
    </row>
    <row r="119" spans="2:45" ht="29" hidden="1" x14ac:dyDescent="0.35">
      <c r="B119" s="87"/>
      <c r="C119" s="84" t="s">
        <v>1436</v>
      </c>
      <c r="D119" s="87">
        <v>6</v>
      </c>
      <c r="E119" s="125" t="s">
        <v>3971</v>
      </c>
      <c r="F119" s="125" t="s">
        <v>3971</v>
      </c>
      <c r="G119" s="125"/>
      <c r="H119" s="125" t="s">
        <v>3971</v>
      </c>
      <c r="I119" s="123" t="s">
        <v>3971</v>
      </c>
      <c r="J119" s="125" t="s">
        <v>3971</v>
      </c>
      <c r="K119" s="125" t="e">
        <f>Table711[[#This Row],[G2AIMD (pingpong)]]/Table711[[#This Row],[gpu-hybrid-copy]]</f>
        <v>#VALUE!</v>
      </c>
      <c r="L119" s="125" t="e">
        <f>Table711[[#This Row],[G2AIMD (pingpong)]]/Table711[[#This Row],[gpu-layered]]</f>
        <v>#VALUE!</v>
      </c>
      <c r="M119" s="125" t="e">
        <f>Table711[[#This Row],[gpu-layered]]/Table711[[#This Row],[CPU+GPU]]</f>
        <v>#VALUE!</v>
      </c>
      <c r="N119" s="149" t="e">
        <f>Table711[[#This Row],[CPU Only (X &gt; 30m)]]/Table711[[#This Row],[CPU+GPU]]</f>
        <v>#VALUE!</v>
      </c>
      <c r="AI119">
        <v>1</v>
      </c>
      <c r="AJ119" s="68" t="s">
        <v>1409</v>
      </c>
      <c r="AK119">
        <v>2</v>
      </c>
      <c r="AL119" s="68">
        <v>113.499054</v>
      </c>
      <c r="AM119" s="116">
        <v>94.717786000000004</v>
      </c>
      <c r="AN119" s="47">
        <v>115.15</v>
      </c>
      <c r="AO119" s="36">
        <v>114.11</v>
      </c>
      <c r="AP119" s="36">
        <v>112.06</v>
      </c>
      <c r="AQ119" s="113">
        <f ca="1">Table7[[#This Row],[cpuchunk=1]]/Table7[[#This Row],[GPU_chunk10_ratio]]</f>
        <v>0.84524170979832236</v>
      </c>
      <c r="AR119" s="2">
        <v>373.59</v>
      </c>
      <c r="AS119" s="120" t="s">
        <v>3971</v>
      </c>
    </row>
    <row r="120" spans="2:45" ht="29" hidden="1" x14ac:dyDescent="0.35">
      <c r="B120" s="87"/>
      <c r="C120" s="84" t="s">
        <v>1436</v>
      </c>
      <c r="D120" s="87">
        <v>7</v>
      </c>
      <c r="E120" s="125" t="s">
        <v>3971</v>
      </c>
      <c r="F120" s="125" t="s">
        <v>3971</v>
      </c>
      <c r="G120" s="125"/>
      <c r="H120" s="125" t="s">
        <v>3971</v>
      </c>
      <c r="I120" s="123" t="s">
        <v>3971</v>
      </c>
      <c r="J120" s="125" t="s">
        <v>3971</v>
      </c>
      <c r="K120" s="125" t="e">
        <f>Table711[[#This Row],[G2AIMD (pingpong)]]/Table711[[#This Row],[gpu-hybrid-copy]]</f>
        <v>#VALUE!</v>
      </c>
      <c r="L120" s="125" t="e">
        <f>Table711[[#This Row],[G2AIMD (pingpong)]]/Table711[[#This Row],[gpu-layered]]</f>
        <v>#VALUE!</v>
      </c>
      <c r="M120" s="125" t="e">
        <f>Table711[[#This Row],[gpu-layered]]/Table711[[#This Row],[CPU+GPU]]</f>
        <v>#VALUE!</v>
      </c>
      <c r="N120" s="149" t="e">
        <f>Table711[[#This Row],[CPU Only (X &gt; 30m)]]/Table711[[#This Row],[CPU+GPU]]</f>
        <v>#VALUE!</v>
      </c>
      <c r="AI120">
        <v>1</v>
      </c>
      <c r="AJ120" s="68" t="s">
        <v>1425</v>
      </c>
      <c r="AK120">
        <v>5</v>
      </c>
      <c r="AL120" s="68">
        <v>107.200653</v>
      </c>
      <c r="AM120" s="116">
        <v>100.607213</v>
      </c>
      <c r="AN120" s="47">
        <v>107.16</v>
      </c>
      <c r="AO120" s="36">
        <v>107.55</v>
      </c>
      <c r="AP120" s="36">
        <v>107.62</v>
      </c>
      <c r="AQ120" s="113">
        <f ca="1">Table7[[#This Row],[cpuchunk=1]]/Table7[[#This Row],[GPU_chunk10_ratio]]</f>
        <v>0.93483751161494144</v>
      </c>
      <c r="AR120" s="2">
        <v>106.86</v>
      </c>
      <c r="AS120" s="120" t="s">
        <v>3971</v>
      </c>
    </row>
    <row r="121" spans="2:45" ht="29" hidden="1" x14ac:dyDescent="0.35">
      <c r="B121" s="87"/>
      <c r="C121" s="84" t="s">
        <v>1436</v>
      </c>
      <c r="D121" s="87">
        <v>8</v>
      </c>
      <c r="E121" s="125" t="s">
        <v>3971</v>
      </c>
      <c r="F121" s="125" t="s">
        <v>3971</v>
      </c>
      <c r="G121" s="125"/>
      <c r="H121" s="125" t="s">
        <v>3971</v>
      </c>
      <c r="I121" s="123" t="s">
        <v>3971</v>
      </c>
      <c r="J121" s="125" t="s">
        <v>3971</v>
      </c>
      <c r="K121" s="125" t="e">
        <f>Table711[[#This Row],[G2AIMD (pingpong)]]/Table711[[#This Row],[gpu-hybrid-copy]]</f>
        <v>#VALUE!</v>
      </c>
      <c r="L121" s="125" t="e">
        <f>Table711[[#This Row],[G2AIMD (pingpong)]]/Table711[[#This Row],[gpu-layered]]</f>
        <v>#VALUE!</v>
      </c>
      <c r="M121" s="125" t="e">
        <f>Table711[[#This Row],[gpu-layered]]/Table711[[#This Row],[CPU+GPU]]</f>
        <v>#VALUE!</v>
      </c>
      <c r="N121" s="149" t="e">
        <f>Table711[[#This Row],[CPU Only (X &gt; 30m)]]/Table711[[#This Row],[CPU+GPU]]</f>
        <v>#VALUE!</v>
      </c>
      <c r="AI121">
        <v>1</v>
      </c>
      <c r="AJ121" s="107" t="s">
        <v>1440</v>
      </c>
      <c r="AK121" s="108">
        <v>9</v>
      </c>
      <c r="AL121" s="68">
        <v>143.057703</v>
      </c>
      <c r="AM121" s="117">
        <v>121.78675800000001</v>
      </c>
      <c r="AN121" s="47" t="s">
        <v>3971</v>
      </c>
      <c r="AO121" s="36">
        <v>147.19999999999999</v>
      </c>
      <c r="AP121" s="36">
        <v>141.01</v>
      </c>
      <c r="AQ121" s="113">
        <f ca="1">Table7[[#This Row],[cpuchunk=1]]/Table7[[#This Row],[GPU_chunk10_ratio]]</f>
        <v>0.86367461882136032</v>
      </c>
      <c r="AR121" s="109" t="s">
        <v>3971</v>
      </c>
      <c r="AS121" s="120" t="s">
        <v>3971</v>
      </c>
    </row>
    <row r="122" spans="2:45" ht="29" hidden="1" x14ac:dyDescent="0.35">
      <c r="B122" s="87"/>
      <c r="C122" s="84" t="s">
        <v>1433</v>
      </c>
      <c r="D122" s="87">
        <v>5</v>
      </c>
      <c r="E122" s="125" t="s">
        <v>3971</v>
      </c>
      <c r="F122" s="125" t="s">
        <v>3988</v>
      </c>
      <c r="G122" s="125"/>
      <c r="H122" s="125" t="s">
        <v>3971</v>
      </c>
      <c r="I122" s="123" t="s">
        <v>3971</v>
      </c>
      <c r="J122" s="125" t="s">
        <v>3971</v>
      </c>
      <c r="K122" s="125" t="e">
        <f>Table711[[#This Row],[G2AIMD (pingpong)]]/Table711[[#This Row],[gpu-hybrid-copy]]</f>
        <v>#VALUE!</v>
      </c>
      <c r="L122" s="125" t="e">
        <f>Table711[[#This Row],[G2AIMD (pingpong)]]/Table711[[#This Row],[gpu-layered]]</f>
        <v>#VALUE!</v>
      </c>
      <c r="M122" s="125" t="e">
        <f>Table711[[#This Row],[gpu-layered]]/Table711[[#This Row],[CPU+GPU]]</f>
        <v>#VALUE!</v>
      </c>
      <c r="N122" s="149" t="e">
        <f>Table711[[#This Row],[CPU Only (X &gt; 30m)]]/Table711[[#This Row],[CPU+GPU]]</f>
        <v>#VALUE!</v>
      </c>
      <c r="AI122">
        <v>1</v>
      </c>
      <c r="AJ122" s="68" t="s">
        <v>3919</v>
      </c>
      <c r="AK122">
        <v>18</v>
      </c>
      <c r="AL122" s="68">
        <v>117.70626300000001</v>
      </c>
      <c r="AM122" s="116">
        <v>129.07867100000001</v>
      </c>
      <c r="AN122" s="47">
        <v>127.01958</v>
      </c>
      <c r="AO122" s="36">
        <v>126.24</v>
      </c>
      <c r="AP122" s="36">
        <v>126.33</v>
      </c>
      <c r="AQ122" s="113">
        <f ca="1">Table7[[#This Row],[cpuchunk=1]]/Table7[[#This Row],[GPU_chunk10_ratio]]</f>
        <v>1.0217578643235972</v>
      </c>
      <c r="AR122" s="2">
        <v>128.053923</v>
      </c>
      <c r="AS122" s="120" t="s">
        <v>3971</v>
      </c>
    </row>
    <row r="123" spans="2:45" ht="29" hidden="1" x14ac:dyDescent="0.35">
      <c r="B123" s="87"/>
      <c r="C123" s="84" t="s">
        <v>1433</v>
      </c>
      <c r="D123" s="87">
        <v>6</v>
      </c>
      <c r="E123" s="125" t="s">
        <v>3971</v>
      </c>
      <c r="F123" s="125" t="s">
        <v>3971</v>
      </c>
      <c r="G123" s="125"/>
      <c r="H123" s="125" t="s">
        <v>3971</v>
      </c>
      <c r="I123" s="123" t="s">
        <v>3971</v>
      </c>
      <c r="J123" s="125" t="s">
        <v>3971</v>
      </c>
      <c r="K123" s="125" t="e">
        <f>Table711[[#This Row],[G2AIMD (pingpong)]]/Table711[[#This Row],[gpu-hybrid-copy]]</f>
        <v>#VALUE!</v>
      </c>
      <c r="L123" s="125" t="e">
        <f>Table711[[#This Row],[G2AIMD (pingpong)]]/Table711[[#This Row],[gpu-layered]]</f>
        <v>#VALUE!</v>
      </c>
      <c r="M123" s="125" t="e">
        <f>Table711[[#This Row],[gpu-layered]]/Table711[[#This Row],[CPU+GPU]]</f>
        <v>#VALUE!</v>
      </c>
      <c r="N123" s="149" t="e">
        <f>Table711[[#This Row],[CPU Only (X &gt; 30m)]]/Table711[[#This Row],[CPU+GPU]]</f>
        <v>#VALUE!</v>
      </c>
      <c r="AI123">
        <v>1</v>
      </c>
      <c r="AJ123" s="68" t="s">
        <v>1461</v>
      </c>
      <c r="AK123">
        <v>5</v>
      </c>
      <c r="AL123" s="68">
        <v>140.261855</v>
      </c>
      <c r="AM123" s="116">
        <v>132.62251599999999</v>
      </c>
      <c r="AN123" s="47">
        <v>134.26</v>
      </c>
      <c r="AO123" s="36">
        <v>135.83000000000001</v>
      </c>
      <c r="AP123" s="36">
        <v>136.24</v>
      </c>
      <c r="AQ123" s="113">
        <f ca="1">Table7[[#This Row],[cpuchunk=1]]/Table7[[#This Row],[GPU_chunk10_ratio]]</f>
        <v>0.97344770992366403</v>
      </c>
      <c r="AR123" s="2">
        <v>154.84</v>
      </c>
      <c r="AS123" s="120" t="s">
        <v>3971</v>
      </c>
    </row>
    <row r="124" spans="2:45" ht="29" hidden="1" x14ac:dyDescent="0.35">
      <c r="B124" s="87"/>
      <c r="C124" s="84" t="s">
        <v>1433</v>
      </c>
      <c r="D124" s="87">
        <v>7</v>
      </c>
      <c r="E124" s="125" t="s">
        <v>3971</v>
      </c>
      <c r="F124" s="125" t="s">
        <v>3971</v>
      </c>
      <c r="G124" s="125"/>
      <c r="H124" s="125" t="s">
        <v>3971</v>
      </c>
      <c r="I124" s="123" t="s">
        <v>3971</v>
      </c>
      <c r="J124" s="125" t="s">
        <v>3971</v>
      </c>
      <c r="K124" s="125" t="e">
        <f>Table711[[#This Row],[G2AIMD (pingpong)]]/Table711[[#This Row],[gpu-hybrid-copy]]</f>
        <v>#VALUE!</v>
      </c>
      <c r="L124" s="125" t="e">
        <f>Table711[[#This Row],[G2AIMD (pingpong)]]/Table711[[#This Row],[gpu-layered]]</f>
        <v>#VALUE!</v>
      </c>
      <c r="M124" s="125" t="e">
        <f>Table711[[#This Row],[gpu-layered]]/Table711[[#This Row],[CPU+GPU]]</f>
        <v>#VALUE!</v>
      </c>
      <c r="N124" s="149" t="e">
        <f>Table711[[#This Row],[CPU Only (X &gt; 30m)]]/Table711[[#This Row],[CPU+GPU]]</f>
        <v>#VALUE!</v>
      </c>
      <c r="AI124">
        <v>1</v>
      </c>
      <c r="AJ124" s="68" t="s">
        <v>1423</v>
      </c>
      <c r="AK124">
        <v>5</v>
      </c>
      <c r="AL124" s="68">
        <v>170.47756100000001</v>
      </c>
      <c r="AM124" s="116">
        <v>154.899764</v>
      </c>
      <c r="AN124" s="47">
        <v>167.78</v>
      </c>
      <c r="AO124" s="36">
        <v>172.19</v>
      </c>
      <c r="AP124" s="36">
        <v>168.85</v>
      </c>
      <c r="AQ124" s="113">
        <f ca="1">Table7[[#This Row],[cpuchunk=1]]/Table7[[#This Row],[GPU_chunk10_ratio]]</f>
        <v>0.91738089428486824</v>
      </c>
      <c r="AR124" s="2">
        <v>157.596372</v>
      </c>
      <c r="AS124" s="120" t="s">
        <v>3971</v>
      </c>
    </row>
    <row r="125" spans="2:45" ht="29" hidden="1" x14ac:dyDescent="0.35">
      <c r="B125" s="87"/>
      <c r="C125" s="84" t="s">
        <v>1433</v>
      </c>
      <c r="D125" s="87">
        <v>8</v>
      </c>
      <c r="E125" s="125" t="s">
        <v>3971</v>
      </c>
      <c r="F125" s="125" t="s">
        <v>3971</v>
      </c>
      <c r="G125" s="125"/>
      <c r="H125" s="125" t="s">
        <v>3971</v>
      </c>
      <c r="I125" s="123" t="s">
        <v>3971</v>
      </c>
      <c r="J125" s="125" t="s">
        <v>3971</v>
      </c>
      <c r="K125" s="125" t="e">
        <f>Table711[[#This Row],[G2AIMD (pingpong)]]/Table711[[#This Row],[gpu-hybrid-copy]]</f>
        <v>#VALUE!</v>
      </c>
      <c r="L125" s="125" t="e">
        <f>Table711[[#This Row],[G2AIMD (pingpong)]]/Table711[[#This Row],[gpu-layered]]</f>
        <v>#VALUE!</v>
      </c>
      <c r="M125" s="125" t="e">
        <f>Table711[[#This Row],[gpu-layered]]/Table711[[#This Row],[CPU+GPU]]</f>
        <v>#VALUE!</v>
      </c>
      <c r="N125" s="149" t="e">
        <f>Table711[[#This Row],[CPU Only (X &gt; 30m)]]/Table711[[#This Row],[CPU+GPU]]</f>
        <v>#VALUE!</v>
      </c>
      <c r="AI125">
        <v>1</v>
      </c>
      <c r="AJ125" s="68" t="s">
        <v>1440</v>
      </c>
      <c r="AK125">
        <v>2</v>
      </c>
      <c r="AL125" s="68">
        <v>257.65440699999999</v>
      </c>
      <c r="AM125" s="116">
        <v>216.72742199999999</v>
      </c>
      <c r="AN125" s="47">
        <v>258.93</v>
      </c>
      <c r="AO125" s="36">
        <v>257.16000000000003</v>
      </c>
      <c r="AP125" s="36">
        <v>255.51</v>
      </c>
      <c r="AQ125" s="113">
        <f ca="1">Table7[[#This Row],[cpuchunk=1]]/Table7[[#This Row],[GPU_chunk10_ratio]]</f>
        <v>0.84821502876599741</v>
      </c>
      <c r="AR125" s="2" t="s">
        <v>3971</v>
      </c>
      <c r="AS125" s="120" t="s">
        <v>3971</v>
      </c>
    </row>
    <row r="126" spans="2:45" ht="29" hidden="1" x14ac:dyDescent="0.35">
      <c r="B126" s="87"/>
      <c r="C126" s="84" t="s">
        <v>1433</v>
      </c>
      <c r="D126" s="87">
        <v>9</v>
      </c>
      <c r="E126" s="125" t="s">
        <v>3971</v>
      </c>
      <c r="F126" s="125" t="s">
        <v>3971</v>
      </c>
      <c r="G126" s="125"/>
      <c r="H126" s="125" t="s">
        <v>3971</v>
      </c>
      <c r="I126" s="123" t="s">
        <v>3971</v>
      </c>
      <c r="J126" s="125" t="s">
        <v>3971</v>
      </c>
      <c r="K126" s="125" t="e">
        <f>Table711[[#This Row],[G2AIMD (pingpong)]]/Table711[[#This Row],[gpu-hybrid-copy]]</f>
        <v>#VALUE!</v>
      </c>
      <c r="L126" s="125" t="e">
        <f>Table711[[#This Row],[G2AIMD (pingpong)]]/Table711[[#This Row],[gpu-layered]]</f>
        <v>#VALUE!</v>
      </c>
      <c r="M126" s="125" t="e">
        <f>Table711[[#This Row],[gpu-layered]]/Table711[[#This Row],[CPU+GPU]]</f>
        <v>#VALUE!</v>
      </c>
      <c r="N126" s="149" t="e">
        <f>Table711[[#This Row],[CPU Only (X &gt; 30m)]]/Table711[[#This Row],[CPU+GPU]]</f>
        <v>#VALUE!</v>
      </c>
      <c r="AI126">
        <v>1</v>
      </c>
      <c r="AJ126" s="68" t="s">
        <v>1411</v>
      </c>
      <c r="AK126">
        <v>5</v>
      </c>
      <c r="AL126" s="68">
        <v>241.00033300000001</v>
      </c>
      <c r="AM126" s="116">
        <v>228.41716700000001</v>
      </c>
      <c r="AN126" s="47">
        <v>232.44</v>
      </c>
      <c r="AO126" s="36">
        <v>236.29</v>
      </c>
      <c r="AP126" s="36">
        <v>237.26</v>
      </c>
      <c r="AQ126" s="113">
        <f ca="1">Table7[[#This Row],[cpuchunk=1]]/Table7[[#This Row],[GPU_chunk10_ratio]]</f>
        <v>0.96272935598078069</v>
      </c>
      <c r="AR126" s="2">
        <v>401.68</v>
      </c>
      <c r="AS126" s="120" t="s">
        <v>3971</v>
      </c>
    </row>
    <row r="127" spans="2:45" ht="29" hidden="1" x14ac:dyDescent="0.35">
      <c r="B127" s="87"/>
      <c r="C127" s="84" t="s">
        <v>1448</v>
      </c>
      <c r="D127" s="87">
        <v>6</v>
      </c>
      <c r="E127" s="125" t="s">
        <v>3971</v>
      </c>
      <c r="F127" s="125" t="s">
        <v>3971</v>
      </c>
      <c r="G127" s="125"/>
      <c r="H127" s="125" t="s">
        <v>3971</v>
      </c>
      <c r="I127" s="123" t="s">
        <v>3971</v>
      </c>
      <c r="J127" s="125" t="s">
        <v>3971</v>
      </c>
      <c r="K127" s="125" t="e">
        <f>Table711[[#This Row],[G2AIMD (pingpong)]]/Table711[[#This Row],[gpu-hybrid-copy]]</f>
        <v>#VALUE!</v>
      </c>
      <c r="L127" s="125" t="e">
        <f>Table711[[#This Row],[G2AIMD (pingpong)]]/Table711[[#This Row],[gpu-layered]]</f>
        <v>#VALUE!</v>
      </c>
      <c r="M127" s="125" t="e">
        <f>Table711[[#This Row],[gpu-layered]]/Table711[[#This Row],[CPU+GPU]]</f>
        <v>#VALUE!</v>
      </c>
      <c r="N127" s="149" t="e">
        <f>Table711[[#This Row],[CPU Only (X &gt; 30m)]]/Table711[[#This Row],[CPU+GPU]]</f>
        <v>#VALUE!</v>
      </c>
      <c r="AI127">
        <v>1</v>
      </c>
      <c r="AJ127" s="68" t="s">
        <v>1</v>
      </c>
      <c r="AK127">
        <v>8</v>
      </c>
      <c r="AL127" s="68">
        <v>208.09928300000001</v>
      </c>
      <c r="AM127" s="116">
        <v>245.38578000000001</v>
      </c>
      <c r="AN127" s="47">
        <v>218.27</v>
      </c>
      <c r="AO127" s="36">
        <v>216.17</v>
      </c>
      <c r="AP127" s="36">
        <v>221.86</v>
      </c>
      <c r="AQ127" s="113">
        <f ca="1">Table7[[#This Row],[cpuchunk=1]]/Table7[[#This Row],[GPU_chunk10_ratio]]</f>
        <v>1.1060388533309293</v>
      </c>
      <c r="AR127" s="2">
        <v>248.285864</v>
      </c>
      <c r="AS127" s="120" t="s">
        <v>3971</v>
      </c>
    </row>
    <row r="128" spans="2:45" ht="29" hidden="1" x14ac:dyDescent="0.35">
      <c r="B128" s="87"/>
      <c r="C128" s="84" t="s">
        <v>1448</v>
      </c>
      <c r="D128" s="87">
        <v>7</v>
      </c>
      <c r="E128" s="125" t="s">
        <v>3971</v>
      </c>
      <c r="F128" s="125" t="s">
        <v>3971</v>
      </c>
      <c r="G128" s="125"/>
      <c r="H128" s="125" t="s">
        <v>3971</v>
      </c>
      <c r="I128" s="123" t="s">
        <v>3971</v>
      </c>
      <c r="J128" s="125" t="s">
        <v>3971</v>
      </c>
      <c r="K128" s="125" t="e">
        <f>Table711[[#This Row],[G2AIMD (pingpong)]]/Table711[[#This Row],[gpu-hybrid-copy]]</f>
        <v>#VALUE!</v>
      </c>
      <c r="L128" s="125" t="e">
        <f>Table711[[#This Row],[G2AIMD (pingpong)]]/Table711[[#This Row],[gpu-layered]]</f>
        <v>#VALUE!</v>
      </c>
      <c r="M128" s="125" t="e">
        <f>Table711[[#This Row],[gpu-layered]]/Table711[[#This Row],[CPU+GPU]]</f>
        <v>#VALUE!</v>
      </c>
      <c r="N128" s="149" t="e">
        <f>Table711[[#This Row],[CPU Only (X &gt; 30m)]]/Table711[[#This Row],[CPU+GPU]]</f>
        <v>#VALUE!</v>
      </c>
      <c r="AI128">
        <v>1</v>
      </c>
      <c r="AJ128" s="68" t="s">
        <v>1448</v>
      </c>
      <c r="AK128">
        <v>5</v>
      </c>
      <c r="AL128" s="68">
        <v>317.764993</v>
      </c>
      <c r="AM128" s="116">
        <v>291.89822400000003</v>
      </c>
      <c r="AN128" s="47">
        <v>314.57</v>
      </c>
      <c r="AO128" s="36">
        <v>315.8</v>
      </c>
      <c r="AP128" s="36">
        <v>314.29000000000002</v>
      </c>
      <c r="AQ128" s="113">
        <f ca="1">Table7[[#This Row],[cpuchunk=1]]/Table7[[#This Row],[GPU_chunk10_ratio]]</f>
        <v>0.92875441153075189</v>
      </c>
      <c r="AR128" s="2">
        <v>323.17</v>
      </c>
      <c r="AS128" s="120" t="s">
        <v>3971</v>
      </c>
    </row>
    <row r="129" spans="2:45" ht="29" hidden="1" x14ac:dyDescent="0.35">
      <c r="B129" s="87"/>
      <c r="C129" s="84" t="s">
        <v>1448</v>
      </c>
      <c r="D129" s="87">
        <v>8</v>
      </c>
      <c r="E129" s="125" t="s">
        <v>3971</v>
      </c>
      <c r="F129" s="125" t="s">
        <v>3971</v>
      </c>
      <c r="G129" s="125"/>
      <c r="H129" s="125" t="s">
        <v>3971</v>
      </c>
      <c r="I129" s="123" t="s">
        <v>3971</v>
      </c>
      <c r="J129" s="125" t="s">
        <v>3971</v>
      </c>
      <c r="K129" s="125" t="e">
        <f>Table711[[#This Row],[G2AIMD (pingpong)]]/Table711[[#This Row],[gpu-hybrid-copy]]</f>
        <v>#VALUE!</v>
      </c>
      <c r="L129" s="125" t="e">
        <f>Table711[[#This Row],[G2AIMD (pingpong)]]/Table711[[#This Row],[gpu-layered]]</f>
        <v>#VALUE!</v>
      </c>
      <c r="M129" s="125" t="e">
        <f>Table711[[#This Row],[gpu-layered]]/Table711[[#This Row],[CPU+GPU]]</f>
        <v>#VALUE!</v>
      </c>
      <c r="N129" s="149" t="e">
        <f>Table711[[#This Row],[CPU Only (X &gt; 30m)]]/Table711[[#This Row],[CPU+GPU]]</f>
        <v>#VALUE!</v>
      </c>
      <c r="AI129">
        <v>1</v>
      </c>
      <c r="AJ129" s="68" t="s">
        <v>1425</v>
      </c>
      <c r="AK129">
        <v>7</v>
      </c>
      <c r="AL129" s="68">
        <v>426.04929700000002</v>
      </c>
      <c r="AM129" s="116">
        <v>397.48090999999999</v>
      </c>
      <c r="AN129" s="47">
        <v>454.62</v>
      </c>
      <c r="AO129" s="36">
        <v>460.08</v>
      </c>
      <c r="AP129" s="36">
        <v>476.79</v>
      </c>
      <c r="AQ129" s="113">
        <f ca="1">Table7[[#This Row],[cpuchunk=1]]/Table7[[#This Row],[GPU_chunk10_ratio]]</f>
        <v>0.83366033264120465</v>
      </c>
      <c r="AR129" s="2">
        <v>439.04</v>
      </c>
      <c r="AS129" s="120" t="s">
        <v>3971</v>
      </c>
    </row>
    <row r="130" spans="2:45" ht="29" hidden="1" x14ac:dyDescent="0.35">
      <c r="B130" s="87"/>
      <c r="C130" s="84" t="s">
        <v>1431</v>
      </c>
      <c r="D130" s="87">
        <v>6</v>
      </c>
      <c r="E130" s="125" t="s">
        <v>3971</v>
      </c>
      <c r="F130" s="125" t="s">
        <v>3971</v>
      </c>
      <c r="G130" s="125"/>
      <c r="H130" s="125" t="s">
        <v>3971</v>
      </c>
      <c r="I130" s="123" t="s">
        <v>3971</v>
      </c>
      <c r="J130" s="125" t="s">
        <v>3971</v>
      </c>
      <c r="K130" s="125" t="e">
        <f>Table711[[#This Row],[G2AIMD (pingpong)]]/Table711[[#This Row],[gpu-hybrid-copy]]</f>
        <v>#VALUE!</v>
      </c>
      <c r="L130" s="125" t="e">
        <f>Table711[[#This Row],[G2AIMD (pingpong)]]/Table711[[#This Row],[gpu-layered]]</f>
        <v>#VALUE!</v>
      </c>
      <c r="M130" s="125" t="e">
        <f>Table711[[#This Row],[gpu-layered]]/Table711[[#This Row],[CPU+GPU]]</f>
        <v>#VALUE!</v>
      </c>
      <c r="N130" s="149" t="e">
        <f>Table711[[#This Row],[CPU Only (X &gt; 30m)]]/Table711[[#This Row],[CPU+GPU]]</f>
        <v>#VALUE!</v>
      </c>
      <c r="AI130">
        <v>1</v>
      </c>
      <c r="AJ130" s="68" t="s">
        <v>1425</v>
      </c>
      <c r="AK130">
        <v>8</v>
      </c>
      <c r="AL130" s="68" t="s">
        <v>3971</v>
      </c>
      <c r="AM130" s="116">
        <v>422.13027799999998</v>
      </c>
      <c r="AN130" s="47">
        <v>411.4</v>
      </c>
      <c r="AO130" s="36">
        <v>392.57</v>
      </c>
      <c r="AP130" s="36">
        <v>399.4</v>
      </c>
      <c r="AQ130" s="113">
        <f ca="1">Table7[[#This Row],[cpuchunk=1]]/Table7[[#This Row],[GPU_chunk10_ratio]]</f>
        <v>1.0569110615923887</v>
      </c>
      <c r="AR130" s="2">
        <v>423.83</v>
      </c>
      <c r="AS130" s="120" t="s">
        <v>3971</v>
      </c>
    </row>
    <row r="131" spans="2:45" ht="29" hidden="1" x14ac:dyDescent="0.35">
      <c r="B131" s="87"/>
      <c r="C131" s="84" t="s">
        <v>1423</v>
      </c>
      <c r="D131" s="87">
        <v>6</v>
      </c>
      <c r="E131" s="125" t="s">
        <v>3971</v>
      </c>
      <c r="F131" s="125" t="s">
        <v>3971</v>
      </c>
      <c r="G131" s="125"/>
      <c r="H131" s="125" t="s">
        <v>3971</v>
      </c>
      <c r="I131" s="123" t="s">
        <v>3971</v>
      </c>
      <c r="J131" s="125" t="s">
        <v>3971</v>
      </c>
      <c r="K131" s="125" t="e">
        <f>Table711[[#This Row],[G2AIMD (pingpong)]]/Table711[[#This Row],[gpu-hybrid-copy]]</f>
        <v>#VALUE!</v>
      </c>
      <c r="L131" s="125" t="e">
        <f>Table711[[#This Row],[G2AIMD (pingpong)]]/Table711[[#This Row],[gpu-layered]]</f>
        <v>#VALUE!</v>
      </c>
      <c r="M131" s="125" t="e">
        <f>Table711[[#This Row],[gpu-layered]]/Table711[[#This Row],[CPU+GPU]]</f>
        <v>#VALUE!</v>
      </c>
      <c r="N131" s="149" t="e">
        <f>Table711[[#This Row],[CPU Only (X &gt; 30m)]]/Table711[[#This Row],[CPU+GPU]]</f>
        <v>#VALUE!</v>
      </c>
      <c r="AI131">
        <v>1</v>
      </c>
      <c r="AJ131" s="68" t="s">
        <v>1461</v>
      </c>
      <c r="AK131">
        <v>7</v>
      </c>
      <c r="AL131" s="68">
        <v>478.88740799999999</v>
      </c>
      <c r="AM131" s="116">
        <v>457.514028</v>
      </c>
      <c r="AN131" s="47">
        <v>488.46</v>
      </c>
      <c r="AO131" s="36">
        <v>497.43</v>
      </c>
      <c r="AP131" s="36">
        <v>527.86</v>
      </c>
      <c r="AQ131" s="113">
        <f ca="1">Table7[[#This Row],[cpuchunk=1]]/Table7[[#This Row],[GPU_chunk10_ratio]]</f>
        <v>0.8667336566513848</v>
      </c>
      <c r="AR131" s="2">
        <v>456.93</v>
      </c>
      <c r="AS131" s="120" t="s">
        <v>3971</v>
      </c>
    </row>
    <row r="132" spans="2:45" ht="29" hidden="1" x14ac:dyDescent="0.35">
      <c r="B132" s="87"/>
      <c r="C132" s="84" t="s">
        <v>1423</v>
      </c>
      <c r="D132" s="87">
        <v>7</v>
      </c>
      <c r="E132" s="125" t="s">
        <v>3971</v>
      </c>
      <c r="F132" s="125" t="s">
        <v>3971</v>
      </c>
      <c r="G132" s="125"/>
      <c r="H132" s="125" t="s">
        <v>3971</v>
      </c>
      <c r="I132" s="123" t="s">
        <v>3971</v>
      </c>
      <c r="J132" s="125" t="s">
        <v>3971</v>
      </c>
      <c r="K132" s="125" t="e">
        <f>Table711[[#This Row],[G2AIMD (pingpong)]]/Table711[[#This Row],[gpu-hybrid-copy]]</f>
        <v>#VALUE!</v>
      </c>
      <c r="L132" s="125" t="e">
        <f>Table711[[#This Row],[G2AIMD (pingpong)]]/Table711[[#This Row],[gpu-layered]]</f>
        <v>#VALUE!</v>
      </c>
      <c r="M132" s="125" t="e">
        <f>Table711[[#This Row],[gpu-layered]]/Table711[[#This Row],[CPU+GPU]]</f>
        <v>#VALUE!</v>
      </c>
      <c r="N132" s="149" t="e">
        <f>Table711[[#This Row],[CPU Only (X &gt; 30m)]]/Table711[[#This Row],[CPU+GPU]]</f>
        <v>#VALUE!</v>
      </c>
      <c r="AI132">
        <v>1</v>
      </c>
      <c r="AJ132" s="68" t="s">
        <v>18</v>
      </c>
      <c r="AK132">
        <v>5</v>
      </c>
      <c r="AL132" s="68">
        <v>547.90130299999998</v>
      </c>
      <c r="AM132" s="116">
        <v>512.48145</v>
      </c>
      <c r="AN132" s="47">
        <v>516.69000000000005</v>
      </c>
      <c r="AO132" s="36">
        <v>520.49</v>
      </c>
      <c r="AP132" s="36" t="s">
        <v>3971</v>
      </c>
      <c r="AQ132" s="113" t="e">
        <f ca="1">Table7[[#This Row],[cpuchunk=1]]/Table7[[#This Row],[GPU_chunk10_ratio]]</f>
        <v>#VALUE!</v>
      </c>
      <c r="AR132" s="2">
        <v>508.402221</v>
      </c>
      <c r="AS132" s="120" t="s">
        <v>3971</v>
      </c>
    </row>
    <row r="133" spans="2:45" ht="29" hidden="1" x14ac:dyDescent="0.35">
      <c r="B133" s="87"/>
      <c r="C133" s="84" t="s">
        <v>1423</v>
      </c>
      <c r="D133" s="87">
        <v>8</v>
      </c>
      <c r="E133" s="125" t="s">
        <v>3971</v>
      </c>
      <c r="F133" s="125" t="s">
        <v>3971</v>
      </c>
      <c r="G133" s="125"/>
      <c r="H133" s="125" t="s">
        <v>3971</v>
      </c>
      <c r="I133" s="123" t="s">
        <v>3971</v>
      </c>
      <c r="J133" s="125" t="s">
        <v>3971</v>
      </c>
      <c r="K133" s="125" t="e">
        <f>Table711[[#This Row],[G2AIMD (pingpong)]]/Table711[[#This Row],[gpu-hybrid-copy]]</f>
        <v>#VALUE!</v>
      </c>
      <c r="L133" s="125" t="e">
        <f>Table711[[#This Row],[G2AIMD (pingpong)]]/Table711[[#This Row],[gpu-layered]]</f>
        <v>#VALUE!</v>
      </c>
      <c r="M133" s="125" t="e">
        <f>Table711[[#This Row],[gpu-layered]]/Table711[[#This Row],[CPU+GPU]]</f>
        <v>#VALUE!</v>
      </c>
      <c r="N133" s="149" t="e">
        <f>Table711[[#This Row],[CPU Only (X &gt; 30m)]]/Table711[[#This Row],[CPU+GPU]]</f>
        <v>#VALUE!</v>
      </c>
      <c r="AI133">
        <v>1</v>
      </c>
      <c r="AJ133" s="68" t="s">
        <v>1450</v>
      </c>
      <c r="AK133">
        <v>5</v>
      </c>
      <c r="AL133" s="68">
        <v>582.60663599999998</v>
      </c>
      <c r="AM133" s="116">
        <v>544.28210000000001</v>
      </c>
      <c r="AN133" s="47">
        <v>560.45000000000005</v>
      </c>
      <c r="AO133" s="36">
        <v>563.86</v>
      </c>
      <c r="AP133" s="36">
        <v>559.66999999999996</v>
      </c>
      <c r="AQ133" s="113">
        <f ca="1">Table7[[#This Row],[cpuchunk=1]]/Table7[[#This Row],[GPU_chunk10_ratio]]</f>
        <v>0.97250540497078641</v>
      </c>
      <c r="AR133" s="2">
        <v>520.41054799999995</v>
      </c>
      <c r="AS133" s="120" t="s">
        <v>3971</v>
      </c>
    </row>
    <row r="134" spans="2:45" ht="26" hidden="1" x14ac:dyDescent="0.35">
      <c r="B134" s="87"/>
      <c r="C134" s="84" t="s">
        <v>1411</v>
      </c>
      <c r="D134" s="87">
        <v>6</v>
      </c>
      <c r="E134" s="125" t="s">
        <v>3971</v>
      </c>
      <c r="F134" s="125" t="s">
        <v>3971</v>
      </c>
      <c r="G134" s="125"/>
      <c r="H134" s="125" t="s">
        <v>3971</v>
      </c>
      <c r="I134" s="123" t="s">
        <v>3971</v>
      </c>
      <c r="J134" s="125" t="s">
        <v>3971</v>
      </c>
      <c r="K134" s="125" t="e">
        <f>Table711[[#This Row],[G2AIMD (pingpong)]]/Table711[[#This Row],[gpu-hybrid-copy]]</f>
        <v>#VALUE!</v>
      </c>
      <c r="L134" s="125" t="e">
        <f>Table711[[#This Row],[G2AIMD (pingpong)]]/Table711[[#This Row],[gpu-layered]]</f>
        <v>#VALUE!</v>
      </c>
      <c r="M134" s="125" t="e">
        <f>Table711[[#This Row],[gpu-layered]]/Table711[[#This Row],[CPU+GPU]]</f>
        <v>#VALUE!</v>
      </c>
      <c r="N134" s="149" t="e">
        <f>Table711[[#This Row],[CPU Only (X &gt; 30m)]]/Table711[[#This Row],[CPU+GPU]]</f>
        <v>#VALUE!</v>
      </c>
      <c r="AJ134" s="68" t="s">
        <v>1433</v>
      </c>
      <c r="AK134">
        <v>5</v>
      </c>
      <c r="AM134" s="2">
        <v>567.19409700000006</v>
      </c>
      <c r="AN134" s="94" t="e">
        <f ca="1">Table7[[#This Row],[cpuchunk=1]]/Table7[[#This Row],[CPU Only (30m X)]]</f>
        <v>#VALUE!</v>
      </c>
      <c r="AQ134" s="94" t="e">
        <f ca="1">Table7[[#This Row],[cpuchunk=1]]/Table7[[#This Row],[GPU_chunk10_ratio]]</f>
        <v>#DIV/0!</v>
      </c>
      <c r="AR134" s="2" t="s">
        <v>3971</v>
      </c>
    </row>
    <row r="135" spans="2:45" ht="26" hidden="1" x14ac:dyDescent="0.35">
      <c r="B135" s="87"/>
      <c r="C135" s="84" t="s">
        <v>1411</v>
      </c>
      <c r="D135" s="87">
        <v>7</v>
      </c>
      <c r="E135" s="125" t="s">
        <v>3971</v>
      </c>
      <c r="F135" s="125" t="s">
        <v>3971</v>
      </c>
      <c r="G135" s="125"/>
      <c r="H135" s="125" t="s">
        <v>3971</v>
      </c>
      <c r="I135" s="123" t="s">
        <v>3971</v>
      </c>
      <c r="J135" s="125" t="s">
        <v>3971</v>
      </c>
      <c r="K135" s="125" t="e">
        <f>Table711[[#This Row],[G2AIMD (pingpong)]]/Table711[[#This Row],[gpu-hybrid-copy]]</f>
        <v>#VALUE!</v>
      </c>
      <c r="L135" s="125" t="e">
        <f>Table711[[#This Row],[G2AIMD (pingpong)]]/Table711[[#This Row],[gpu-layered]]</f>
        <v>#VALUE!</v>
      </c>
      <c r="M135" s="125" t="e">
        <f>Table711[[#This Row],[gpu-layered]]/Table711[[#This Row],[CPU+GPU]]</f>
        <v>#VALUE!</v>
      </c>
      <c r="N135" s="149" t="e">
        <f>Table711[[#This Row],[CPU Only (X &gt; 30m)]]/Table711[[#This Row],[CPU+GPU]]</f>
        <v>#VALUE!</v>
      </c>
      <c r="AJ135" s="68" t="s">
        <v>1346</v>
      </c>
      <c r="AK135">
        <v>6</v>
      </c>
      <c r="AM135" s="2" t="s">
        <v>3971</v>
      </c>
      <c r="AN135" s="94" t="e">
        <f ca="1">Table7[[#This Row],[cpuchunk=1]]/Table7[[#This Row],[CPU Only (30m X)]]</f>
        <v>#VALUE!</v>
      </c>
      <c r="AQ135" s="94" t="e">
        <f ca="1">Table7[[#This Row],[cpuchunk=1]]/Table7[[#This Row],[GPU_chunk10_ratio]]</f>
        <v>#VALUE!</v>
      </c>
      <c r="AR135" s="2" t="s">
        <v>3971</v>
      </c>
    </row>
    <row r="136" spans="2:45" ht="26" hidden="1" x14ac:dyDescent="0.35">
      <c r="B136" s="87"/>
      <c r="C136" s="84" t="s">
        <v>1411</v>
      </c>
      <c r="D136" s="87">
        <v>8</v>
      </c>
      <c r="E136" s="125" t="s">
        <v>3971</v>
      </c>
      <c r="F136" s="125" t="s">
        <v>3971</v>
      </c>
      <c r="G136" s="125"/>
      <c r="H136" s="125" t="s">
        <v>3971</v>
      </c>
      <c r="I136" s="123" t="s">
        <v>3971</v>
      </c>
      <c r="J136" s="125" t="s">
        <v>3971</v>
      </c>
      <c r="K136" s="125" t="e">
        <f>Table711[[#This Row],[G2AIMD (pingpong)]]/Table711[[#This Row],[gpu-hybrid-copy]]</f>
        <v>#VALUE!</v>
      </c>
      <c r="L136" s="125" t="e">
        <f>Table711[[#This Row],[G2AIMD (pingpong)]]/Table711[[#This Row],[gpu-layered]]</f>
        <v>#VALUE!</v>
      </c>
      <c r="M136" s="125" t="e">
        <f>Table711[[#This Row],[gpu-layered]]/Table711[[#This Row],[CPU+GPU]]</f>
        <v>#VALUE!</v>
      </c>
      <c r="N136" s="149" t="e">
        <f>Table711[[#This Row],[CPU Only (X &gt; 30m)]]/Table711[[#This Row],[CPU+GPU]]</f>
        <v>#VALUE!</v>
      </c>
      <c r="AJ136" s="68" t="s">
        <v>1346</v>
      </c>
      <c r="AK136">
        <v>18</v>
      </c>
      <c r="AM136" s="2" t="s">
        <v>3971</v>
      </c>
      <c r="AN136" s="94" t="e">
        <f ca="1">Table7[[#This Row],[cpuchunk=1]]/Table7[[#This Row],[CPU Only (30m X)]]</f>
        <v>#VALUE!</v>
      </c>
      <c r="AQ136" s="94" t="e">
        <f ca="1">Table7[[#This Row],[cpuchunk=1]]/Table7[[#This Row],[GPU_chunk10_ratio]]</f>
        <v>#VALUE!</v>
      </c>
      <c r="AR136" s="2" t="s">
        <v>3971</v>
      </c>
    </row>
    <row r="137" spans="2:45" ht="26" hidden="1" x14ac:dyDescent="0.35">
      <c r="B137" s="87"/>
      <c r="C137" s="84" t="s">
        <v>1425</v>
      </c>
      <c r="D137" s="87">
        <v>6</v>
      </c>
      <c r="E137" s="125" t="s">
        <v>3971</v>
      </c>
      <c r="F137" s="125" t="s">
        <v>3971</v>
      </c>
      <c r="G137" s="125"/>
      <c r="H137" s="125" t="s">
        <v>3971</v>
      </c>
      <c r="I137" s="123" t="s">
        <v>3971</v>
      </c>
      <c r="J137" s="125" t="s">
        <v>3971</v>
      </c>
      <c r="K137" s="125" t="e">
        <f>Table711[[#This Row],[G2AIMD (pingpong)]]/Table711[[#This Row],[gpu-hybrid-copy]]</f>
        <v>#VALUE!</v>
      </c>
      <c r="L137" s="125" t="e">
        <f>Table711[[#This Row],[G2AIMD (pingpong)]]/Table711[[#This Row],[gpu-layered]]</f>
        <v>#VALUE!</v>
      </c>
      <c r="M137" s="125" t="e">
        <f>Table711[[#This Row],[gpu-layered]]/Table711[[#This Row],[CPU+GPU]]</f>
        <v>#VALUE!</v>
      </c>
      <c r="N137" s="149" t="e">
        <f>Table711[[#This Row],[CPU Only (X &gt; 30m)]]/Table711[[#This Row],[CPU+GPU]]</f>
        <v>#VALUE!</v>
      </c>
      <c r="AJ137" s="68" t="s">
        <v>1</v>
      </c>
      <c r="AK137">
        <v>6</v>
      </c>
      <c r="AM137" s="2" t="s">
        <v>3971</v>
      </c>
      <c r="AN137" s="94" t="e">
        <f ca="1">Table7[[#This Row],[cpuchunk=1]]/Table7[[#This Row],[CPU Only (30m X)]]</f>
        <v>#VALUE!</v>
      </c>
      <c r="AQ137" s="94" t="e">
        <f ca="1">Table7[[#This Row],[cpuchunk=1]]/Table7[[#This Row],[GPU_chunk10_ratio]]</f>
        <v>#VALUE!</v>
      </c>
      <c r="AR137" s="2" t="s">
        <v>3971</v>
      </c>
    </row>
    <row r="138" spans="2:45" ht="26" hidden="1" x14ac:dyDescent="0.35">
      <c r="B138" s="87"/>
      <c r="C138" s="84" t="s">
        <v>18</v>
      </c>
      <c r="D138" s="87">
        <v>6</v>
      </c>
      <c r="E138" s="125" t="s">
        <v>3971</v>
      </c>
      <c r="F138" s="125" t="s">
        <v>3971</v>
      </c>
      <c r="G138" s="125"/>
      <c r="H138" s="125" t="s">
        <v>3971</v>
      </c>
      <c r="I138" s="123" t="s">
        <v>3971</v>
      </c>
      <c r="J138" s="125" t="s">
        <v>3971</v>
      </c>
      <c r="K138" s="125" t="e">
        <f>Table711[[#This Row],[G2AIMD (pingpong)]]/Table711[[#This Row],[gpu-hybrid-copy]]</f>
        <v>#VALUE!</v>
      </c>
      <c r="L138" s="125" t="e">
        <f>Table711[[#This Row],[G2AIMD (pingpong)]]/Table711[[#This Row],[gpu-layered]]</f>
        <v>#VALUE!</v>
      </c>
      <c r="M138" s="125" t="e">
        <f>Table711[[#This Row],[gpu-layered]]/Table711[[#This Row],[CPU+GPU]]</f>
        <v>#VALUE!</v>
      </c>
      <c r="N138" s="149" t="e">
        <f>Table711[[#This Row],[CPU Only (X &gt; 30m)]]/Table711[[#This Row],[CPU+GPU]]</f>
        <v>#VALUE!</v>
      </c>
      <c r="AJ138" s="68" t="s">
        <v>1</v>
      </c>
      <c r="AK138">
        <v>7</v>
      </c>
      <c r="AM138" s="2" t="s">
        <v>3971</v>
      </c>
      <c r="AN138" s="94" t="e">
        <f ca="1">Table7[[#This Row],[cpuchunk=1]]/Table7[[#This Row],[CPU Only (30m X)]]</f>
        <v>#VALUE!</v>
      </c>
      <c r="AQ138" s="94" t="e">
        <f ca="1">Table7[[#This Row],[cpuchunk=1]]/Table7[[#This Row],[GPU_chunk10_ratio]]</f>
        <v>#VALUE!</v>
      </c>
      <c r="AR138" s="2" t="s">
        <v>3971</v>
      </c>
    </row>
    <row r="139" spans="2:45" ht="26" hidden="1" x14ac:dyDescent="0.35">
      <c r="B139" s="87"/>
      <c r="C139" s="84" t="s">
        <v>18</v>
      </c>
      <c r="D139" s="87">
        <v>7</v>
      </c>
      <c r="E139" s="125" t="s">
        <v>3971</v>
      </c>
      <c r="F139" s="125" t="s">
        <v>3971</v>
      </c>
      <c r="G139" s="125"/>
      <c r="H139" s="125" t="s">
        <v>3971</v>
      </c>
      <c r="I139" s="123" t="s">
        <v>3971</v>
      </c>
      <c r="J139" s="125" t="s">
        <v>3971</v>
      </c>
      <c r="K139" s="125" t="e">
        <f>Table711[[#This Row],[G2AIMD (pingpong)]]/Table711[[#This Row],[gpu-hybrid-copy]]</f>
        <v>#VALUE!</v>
      </c>
      <c r="L139" s="125" t="e">
        <f>Table711[[#This Row],[G2AIMD (pingpong)]]/Table711[[#This Row],[gpu-layered]]</f>
        <v>#VALUE!</v>
      </c>
      <c r="M139" s="125" t="e">
        <f>Table711[[#This Row],[gpu-layered]]/Table711[[#This Row],[CPU+GPU]]</f>
        <v>#VALUE!</v>
      </c>
      <c r="N139" s="149" t="e">
        <f>Table711[[#This Row],[CPU Only (X &gt; 30m)]]/Table711[[#This Row],[CPU+GPU]]</f>
        <v>#VALUE!</v>
      </c>
      <c r="AJ139" s="68" t="s">
        <v>1</v>
      </c>
      <c r="AK139">
        <v>9</v>
      </c>
      <c r="AM139" s="2" t="s">
        <v>3971</v>
      </c>
      <c r="AN139" s="94" t="e">
        <f ca="1">Table7[[#This Row],[cpuchunk=1]]/Table7[[#This Row],[CPU Only (30m X)]]</f>
        <v>#VALUE!</v>
      </c>
      <c r="AQ139" s="94" t="e">
        <f ca="1">Table7[[#This Row],[cpuchunk=1]]/Table7[[#This Row],[GPU_chunk10_ratio]]</f>
        <v>#VALUE!</v>
      </c>
      <c r="AR139" s="2" t="s">
        <v>3971</v>
      </c>
    </row>
    <row r="140" spans="2:45" ht="26" hidden="1" x14ac:dyDescent="0.35">
      <c r="B140" s="87"/>
      <c r="C140" s="84" t="s">
        <v>18</v>
      </c>
      <c r="D140" s="87">
        <v>8</v>
      </c>
      <c r="E140" s="125" t="s">
        <v>3971</v>
      </c>
      <c r="F140" s="125" t="s">
        <v>3971</v>
      </c>
      <c r="G140" s="125"/>
      <c r="H140" s="125" t="s">
        <v>3971</v>
      </c>
      <c r="I140" s="123" t="s">
        <v>3971</v>
      </c>
      <c r="J140" s="125" t="s">
        <v>3971</v>
      </c>
      <c r="K140" s="125" t="e">
        <f>Table711[[#This Row],[G2AIMD (pingpong)]]/Table711[[#This Row],[gpu-hybrid-copy]]</f>
        <v>#VALUE!</v>
      </c>
      <c r="L140" s="125" t="e">
        <f>Table711[[#This Row],[G2AIMD (pingpong)]]/Table711[[#This Row],[gpu-layered]]</f>
        <v>#VALUE!</v>
      </c>
      <c r="M140" s="125" t="e">
        <f>Table711[[#This Row],[gpu-layered]]/Table711[[#This Row],[CPU+GPU]]</f>
        <v>#VALUE!</v>
      </c>
      <c r="N140" s="149" t="e">
        <f>Table711[[#This Row],[CPU Only (X &gt; 30m)]]/Table711[[#This Row],[CPU+GPU]]</f>
        <v>#VALUE!</v>
      </c>
      <c r="AJ140" s="68" t="s">
        <v>1</v>
      </c>
      <c r="AK140">
        <v>18</v>
      </c>
      <c r="AM140" s="2" t="s">
        <v>3971</v>
      </c>
      <c r="AN140" s="94" t="e">
        <f ca="1">Table7[[#This Row],[cpuchunk=1]]/Table7[[#This Row],[CPU Only (30m X)]]</f>
        <v>#VALUE!</v>
      </c>
      <c r="AQ140" s="94" t="e">
        <f ca="1">Table7[[#This Row],[cpuchunk=1]]/Table7[[#This Row],[GPU_chunk10_ratio]]</f>
        <v>#VALUE!</v>
      </c>
      <c r="AR140" s="2" t="s">
        <v>3971</v>
      </c>
    </row>
    <row r="141" spans="2:45" ht="26" hidden="1" x14ac:dyDescent="0.35">
      <c r="B141" s="87"/>
      <c r="C141" s="84" t="s">
        <v>1438</v>
      </c>
      <c r="D141" s="87">
        <v>5</v>
      </c>
      <c r="E141" s="125" t="s">
        <v>3971</v>
      </c>
      <c r="F141" s="125" t="s">
        <v>3971</v>
      </c>
      <c r="G141" s="125"/>
      <c r="H141" s="125" t="s">
        <v>3971</v>
      </c>
      <c r="I141" s="123" t="s">
        <v>3971</v>
      </c>
      <c r="J141" s="125" t="s">
        <v>3971</v>
      </c>
      <c r="K141" s="125" t="e">
        <f>Table711[[#This Row],[G2AIMD (pingpong)]]/Table711[[#This Row],[gpu-hybrid-copy]]</f>
        <v>#VALUE!</v>
      </c>
      <c r="L141" s="125" t="e">
        <f>Table711[[#This Row],[G2AIMD (pingpong)]]/Table711[[#This Row],[gpu-layered]]</f>
        <v>#VALUE!</v>
      </c>
      <c r="M141" s="125" t="e">
        <f>Table711[[#This Row],[gpu-layered]]/Table711[[#This Row],[CPU+GPU]]</f>
        <v>#VALUE!</v>
      </c>
      <c r="N141" s="149" t="e">
        <f>Table711[[#This Row],[CPU Only (X &gt; 30m)]]/Table711[[#This Row],[CPU+GPU]]</f>
        <v>#VALUE!</v>
      </c>
      <c r="AJ141" s="68" t="s">
        <v>1461</v>
      </c>
      <c r="AK141">
        <v>6</v>
      </c>
      <c r="AM141" s="2" t="s">
        <v>3971</v>
      </c>
      <c r="AN141" s="94" t="e">
        <f ca="1">Table7[[#This Row],[cpuchunk=1]]/Table7[[#This Row],[CPU Only (30m X)]]</f>
        <v>#VALUE!</v>
      </c>
      <c r="AQ141" s="94" t="e">
        <f ca="1">Table7[[#This Row],[cpuchunk=1]]/Table7[[#This Row],[GPU_chunk10_ratio]]</f>
        <v>#VALUE!</v>
      </c>
      <c r="AR141" s="2" t="s">
        <v>3971</v>
      </c>
    </row>
    <row r="142" spans="2:45" ht="26" hidden="1" x14ac:dyDescent="0.35">
      <c r="B142" s="87"/>
      <c r="C142" s="84" t="s">
        <v>1438</v>
      </c>
      <c r="D142" s="87">
        <v>6</v>
      </c>
      <c r="E142" s="125" t="s">
        <v>3971</v>
      </c>
      <c r="F142" s="125" t="s">
        <v>3971</v>
      </c>
      <c r="G142" s="125"/>
      <c r="H142" s="125" t="s">
        <v>3971</v>
      </c>
      <c r="I142" s="123" t="s">
        <v>3971</v>
      </c>
      <c r="J142" s="125" t="s">
        <v>3971</v>
      </c>
      <c r="K142" s="125" t="e">
        <f>Table711[[#This Row],[G2AIMD (pingpong)]]/Table711[[#This Row],[gpu-hybrid-copy]]</f>
        <v>#VALUE!</v>
      </c>
      <c r="L142" s="125" t="e">
        <f>Table711[[#This Row],[G2AIMD (pingpong)]]/Table711[[#This Row],[gpu-layered]]</f>
        <v>#VALUE!</v>
      </c>
      <c r="M142" s="125" t="e">
        <f>Table711[[#This Row],[gpu-layered]]/Table711[[#This Row],[CPU+GPU]]</f>
        <v>#VALUE!</v>
      </c>
      <c r="N142" s="149" t="e">
        <f>Table711[[#This Row],[CPU Only (X &gt; 30m)]]/Table711[[#This Row],[CPU+GPU]]</f>
        <v>#VALUE!</v>
      </c>
      <c r="AJ142" s="99" t="s">
        <v>1461</v>
      </c>
      <c r="AK142" s="100">
        <v>8</v>
      </c>
      <c r="AM142" s="101" t="s">
        <v>3971</v>
      </c>
      <c r="AN142" s="102" t="e">
        <f ca="1">Table7[[#This Row],[cpuchunk=1]]/Table7[[#This Row],[CPU Only (30m X)]]</f>
        <v>#VALUE!</v>
      </c>
      <c r="AQ142" s="94" t="e">
        <f ca="1">Table7[[#This Row],[cpuchunk=1]]/Table7[[#This Row],[GPU_chunk10_ratio]]</f>
        <v>#VALUE!</v>
      </c>
      <c r="AR142" s="101">
        <v>463.53</v>
      </c>
    </row>
    <row r="143" spans="2:45" ht="26" hidden="1" x14ac:dyDescent="0.35">
      <c r="B143" s="87"/>
      <c r="C143" s="84" t="s">
        <v>1438</v>
      </c>
      <c r="D143" s="87">
        <v>7</v>
      </c>
      <c r="E143" s="125" t="s">
        <v>3971</v>
      </c>
      <c r="F143" s="125" t="s">
        <v>3971</v>
      </c>
      <c r="G143" s="125"/>
      <c r="H143" s="125" t="s">
        <v>3971</v>
      </c>
      <c r="I143" s="123" t="s">
        <v>3971</v>
      </c>
      <c r="J143" s="125" t="s">
        <v>3971</v>
      </c>
      <c r="K143" s="125" t="e">
        <f>Table711[[#This Row],[G2AIMD (pingpong)]]/Table711[[#This Row],[gpu-hybrid-copy]]</f>
        <v>#VALUE!</v>
      </c>
      <c r="L143" s="125" t="e">
        <f>Table711[[#This Row],[G2AIMD (pingpong)]]/Table711[[#This Row],[gpu-layered]]</f>
        <v>#VALUE!</v>
      </c>
      <c r="M143" s="125" t="e">
        <f>Table711[[#This Row],[gpu-layered]]/Table711[[#This Row],[CPU+GPU]]</f>
        <v>#VALUE!</v>
      </c>
      <c r="N143" s="149" t="e">
        <f>Table711[[#This Row],[CPU Only (X &gt; 30m)]]/Table711[[#This Row],[CPU+GPU]]</f>
        <v>#VALUE!</v>
      </c>
      <c r="AJ143" s="68" t="s">
        <v>1461</v>
      </c>
      <c r="AK143">
        <v>18</v>
      </c>
      <c r="AM143" s="2" t="s">
        <v>3971</v>
      </c>
      <c r="AN143" s="94" t="e">
        <f ca="1">Table7[[#This Row],[cpuchunk=1]]/Table7[[#This Row],[CPU Only (30m X)]]</f>
        <v>#VALUE!</v>
      </c>
      <c r="AQ143" s="94" t="e">
        <f ca="1">Table7[[#This Row],[cpuchunk=1]]/Table7[[#This Row],[GPU_chunk10_ratio]]</f>
        <v>#VALUE!</v>
      </c>
      <c r="AR143" s="2" t="s">
        <v>3971</v>
      </c>
    </row>
    <row r="144" spans="2:45" ht="26" hidden="1" x14ac:dyDescent="0.35">
      <c r="B144" s="87"/>
      <c r="C144" s="84" t="s">
        <v>1438</v>
      </c>
      <c r="D144" s="87">
        <v>8</v>
      </c>
      <c r="E144" s="125" t="s">
        <v>3971</v>
      </c>
      <c r="F144" s="125" t="s">
        <v>3971</v>
      </c>
      <c r="G144" s="125"/>
      <c r="H144" s="125" t="s">
        <v>3971</v>
      </c>
      <c r="I144" s="123" t="s">
        <v>3971</v>
      </c>
      <c r="J144" s="125" t="s">
        <v>3971</v>
      </c>
      <c r="K144" s="125" t="e">
        <f>Table711[[#This Row],[G2AIMD (pingpong)]]/Table711[[#This Row],[gpu-hybrid-copy]]</f>
        <v>#VALUE!</v>
      </c>
      <c r="L144" s="125" t="e">
        <f>Table711[[#This Row],[G2AIMD (pingpong)]]/Table711[[#This Row],[gpu-layered]]</f>
        <v>#VALUE!</v>
      </c>
      <c r="M144" s="125" t="e">
        <f>Table711[[#This Row],[gpu-layered]]/Table711[[#This Row],[CPU+GPU]]</f>
        <v>#VALUE!</v>
      </c>
      <c r="N144" s="149" t="e">
        <f>Table711[[#This Row],[CPU Only (X &gt; 30m)]]/Table711[[#This Row],[CPU+GPU]]</f>
        <v>#VALUE!</v>
      </c>
      <c r="AJ144" s="99" t="s">
        <v>1391</v>
      </c>
      <c r="AK144" s="100">
        <v>6</v>
      </c>
      <c r="AM144" s="101" t="s">
        <v>3971</v>
      </c>
      <c r="AN144" s="102" t="e">
        <f ca="1">Table7[[#This Row],[cpuchunk=1]]/Table7[[#This Row],[CPU Only (30m X)]]</f>
        <v>#VALUE!</v>
      </c>
      <c r="AQ144" s="94" t="e">
        <f ca="1">Table7[[#This Row],[cpuchunk=1]]/Table7[[#This Row],[GPU_chunk10_ratio]]</f>
        <v>#VALUE!</v>
      </c>
      <c r="AR144" s="101">
        <v>55.96</v>
      </c>
    </row>
    <row r="145" spans="2:45" ht="26" hidden="1" x14ac:dyDescent="0.35">
      <c r="B145" s="87"/>
      <c r="C145" s="84" t="s">
        <v>1438</v>
      </c>
      <c r="D145" s="87">
        <v>9</v>
      </c>
      <c r="E145" s="125" t="s">
        <v>3971</v>
      </c>
      <c r="F145" s="125" t="s">
        <v>3971</v>
      </c>
      <c r="G145" s="125"/>
      <c r="H145" s="125" t="s">
        <v>3971</v>
      </c>
      <c r="I145" s="123" t="s">
        <v>3971</v>
      </c>
      <c r="J145" s="125" t="s">
        <v>3971</v>
      </c>
      <c r="K145" s="125" t="e">
        <f>Table711[[#This Row],[G2AIMD (pingpong)]]/Table711[[#This Row],[gpu-hybrid-copy]]</f>
        <v>#VALUE!</v>
      </c>
      <c r="L145" s="125" t="e">
        <f>Table711[[#This Row],[G2AIMD (pingpong)]]/Table711[[#This Row],[gpu-layered]]</f>
        <v>#VALUE!</v>
      </c>
      <c r="M145" s="125" t="e">
        <f>Table711[[#This Row],[gpu-layered]]/Table711[[#This Row],[CPU+GPU]]</f>
        <v>#VALUE!</v>
      </c>
      <c r="N145" s="149" t="e">
        <f>Table711[[#This Row],[CPU Only (X &gt; 30m)]]/Table711[[#This Row],[CPU+GPU]]</f>
        <v>#VALUE!</v>
      </c>
      <c r="AJ145" s="68" t="s">
        <v>1391</v>
      </c>
      <c r="AK145">
        <v>18</v>
      </c>
      <c r="AM145" s="2" t="s">
        <v>3971</v>
      </c>
      <c r="AN145" s="94" t="e">
        <f ca="1">Table7[[#This Row],[cpuchunk=1]]/Table7[[#This Row],[CPU Only (30m X)]]</f>
        <v>#VALUE!</v>
      </c>
      <c r="AQ145" s="94" t="e">
        <f ca="1">Table7[[#This Row],[cpuchunk=1]]/Table7[[#This Row],[GPU_chunk10_ratio]]</f>
        <v>#VALUE!</v>
      </c>
      <c r="AR145" s="2" t="s">
        <v>3971</v>
      </c>
    </row>
    <row r="146" spans="2:45" ht="26" hidden="1" x14ac:dyDescent="0.35">
      <c r="B146" s="87"/>
      <c r="C146" s="84" t="s">
        <v>1434</v>
      </c>
      <c r="D146" s="87">
        <v>6</v>
      </c>
      <c r="E146" s="125" t="s">
        <v>3971</v>
      </c>
      <c r="F146" s="125" t="s">
        <v>3971</v>
      </c>
      <c r="G146" s="125"/>
      <c r="H146" s="125" t="s">
        <v>3971</v>
      </c>
      <c r="I146" s="123" t="s">
        <v>3971</v>
      </c>
      <c r="J146" s="125" t="s">
        <v>3971</v>
      </c>
      <c r="K146" s="125" t="e">
        <f>Table711[[#This Row],[G2AIMD (pingpong)]]/Table711[[#This Row],[gpu-hybrid-copy]]</f>
        <v>#VALUE!</v>
      </c>
      <c r="L146" s="125" t="e">
        <f>Table711[[#This Row],[G2AIMD (pingpong)]]/Table711[[#This Row],[gpu-layered]]</f>
        <v>#VALUE!</v>
      </c>
      <c r="M146" s="125" t="e">
        <f>Table711[[#This Row],[gpu-layered]]/Table711[[#This Row],[CPU+GPU]]</f>
        <v>#VALUE!</v>
      </c>
      <c r="N146" s="149" t="e">
        <f>Table711[[#This Row],[CPU Only (X &gt; 30m)]]/Table711[[#This Row],[CPU+GPU]]</f>
        <v>#VALUE!</v>
      </c>
      <c r="AJ146" s="68" t="s">
        <v>1440</v>
      </c>
      <c r="AK146">
        <v>5</v>
      </c>
      <c r="AM146" s="2" t="s">
        <v>3971</v>
      </c>
      <c r="AN146" s="94" t="e">
        <f ca="1">Table7[[#This Row],[cpuchunk=1]]/Table7[[#This Row],[CPU Only (30m X)]]</f>
        <v>#VALUE!</v>
      </c>
      <c r="AQ146" s="94" t="e">
        <f ca="1">Table7[[#This Row],[cpuchunk=1]]/Table7[[#This Row],[GPU_chunk10_ratio]]</f>
        <v>#VALUE!</v>
      </c>
      <c r="AR146" s="2" t="s">
        <v>3971</v>
      </c>
    </row>
    <row r="147" spans="2:45" ht="22" x14ac:dyDescent="0.25">
      <c r="C147" s="68"/>
      <c r="F147" s="2"/>
      <c r="G147" s="2"/>
      <c r="AK147" s="68"/>
      <c r="AN147" s="2"/>
      <c r="AO147" s="94"/>
      <c r="AR147" s="94"/>
      <c r="AS147" s="2"/>
    </row>
    <row r="148" spans="2:45" ht="29" x14ac:dyDescent="0.35">
      <c r="C148" s="68"/>
      <c r="E148" s="69"/>
      <c r="F148" s="116"/>
      <c r="G148" s="116"/>
      <c r="H148" s="123"/>
      <c r="I148" s="120"/>
      <c r="N148" s="36"/>
      <c r="AK148" s="68"/>
      <c r="AN148" s="2"/>
      <c r="AO148" s="94"/>
      <c r="AR148" s="94"/>
      <c r="AS148" s="2"/>
    </row>
    <row r="149" spans="2:45" ht="22" x14ac:dyDescent="0.25">
      <c r="C149" s="68"/>
      <c r="F149" s="2"/>
      <c r="G149" s="2"/>
      <c r="AK149" s="68"/>
      <c r="AN149" s="2"/>
      <c r="AO149" s="94"/>
      <c r="AR149" s="94"/>
      <c r="AS149" s="2"/>
    </row>
    <row r="150" spans="2:45" ht="22" x14ac:dyDescent="0.25">
      <c r="C150" s="68"/>
      <c r="F150" s="2" t="s">
        <v>4000</v>
      </c>
      <c r="G150" s="2"/>
      <c r="AK150" s="68"/>
      <c r="AN150" s="2"/>
      <c r="AO150" s="94"/>
      <c r="AR150" s="94"/>
      <c r="AS150" s="2"/>
    </row>
    <row r="151" spans="2:45" ht="22" x14ac:dyDescent="0.25">
      <c r="C151" s="68"/>
      <c r="F151" s="2"/>
      <c r="G151" s="2"/>
      <c r="AK151" s="68"/>
      <c r="AN151" s="2"/>
      <c r="AO151" s="94"/>
      <c r="AR151" s="94"/>
      <c r="AS151" s="2"/>
    </row>
    <row r="152" spans="2:45" ht="22" x14ac:dyDescent="0.25">
      <c r="C152" s="68"/>
      <c r="F152" s="2"/>
      <c r="G152" s="2"/>
      <c r="AK152" s="68"/>
      <c r="AN152" s="2"/>
      <c r="AO152" s="94"/>
      <c r="AR152" s="94"/>
      <c r="AS152" s="2"/>
    </row>
    <row r="153" spans="2:45" ht="22" x14ac:dyDescent="0.25">
      <c r="C153" s="68"/>
      <c r="D153" s="122"/>
      <c r="F153" s="2"/>
      <c r="G153" s="2"/>
      <c r="AK153" s="68"/>
      <c r="AN153" s="2"/>
      <c r="AO153" s="94"/>
      <c r="AR153" s="94"/>
      <c r="AS153" s="2"/>
    </row>
    <row r="154" spans="2:45" ht="22" x14ac:dyDescent="0.25">
      <c r="C154" s="68"/>
      <c r="D154" s="122"/>
      <c r="F154" s="2"/>
      <c r="G154" s="2"/>
      <c r="AK154" s="68"/>
      <c r="AN154" s="2"/>
      <c r="AO154" s="94"/>
      <c r="AR154" s="94"/>
      <c r="AS154" s="2"/>
    </row>
    <row r="155" spans="2:45" ht="22" x14ac:dyDescent="0.25">
      <c r="C155" s="68"/>
      <c r="D155" s="122"/>
      <c r="F155" s="2"/>
      <c r="G155" s="2"/>
      <c r="AK155" s="68"/>
      <c r="AN155" s="2"/>
      <c r="AO155" s="94"/>
      <c r="AR155" s="94"/>
      <c r="AS155" s="2"/>
    </row>
    <row r="156" spans="2:45" ht="22" x14ac:dyDescent="0.25">
      <c r="C156" s="68"/>
      <c r="D156" s="122"/>
      <c r="F156" s="2"/>
      <c r="G156" s="2"/>
      <c r="AK156" s="68"/>
      <c r="AN156" s="2"/>
      <c r="AO156" s="94"/>
      <c r="AR156" s="94"/>
      <c r="AS156" s="2"/>
    </row>
    <row r="157" spans="2:45" ht="22" x14ac:dyDescent="0.25">
      <c r="C157" s="68"/>
      <c r="D157" s="122"/>
      <c r="F157" s="2"/>
      <c r="G157" s="2"/>
      <c r="AK157" s="68"/>
      <c r="AN157" s="2"/>
      <c r="AO157" s="94"/>
      <c r="AR157" s="94"/>
      <c r="AS157" s="2"/>
    </row>
    <row r="158" spans="2:45" ht="22" x14ac:dyDescent="0.25">
      <c r="C158" s="68"/>
      <c r="D158" s="122"/>
      <c r="F158" s="2"/>
      <c r="G158" s="2"/>
      <c r="AK158" s="68"/>
      <c r="AN158" s="2"/>
      <c r="AO158" s="94"/>
      <c r="AR158" s="94"/>
      <c r="AS158" s="2"/>
    </row>
    <row r="159" spans="2:45" ht="22" x14ac:dyDescent="0.25">
      <c r="C159" s="68"/>
      <c r="D159" s="122"/>
      <c r="F159" s="2"/>
      <c r="G159" s="2"/>
      <c r="AK159" s="68"/>
      <c r="AN159" s="2"/>
      <c r="AO159" s="94"/>
      <c r="AR159" s="94"/>
      <c r="AS159" s="2"/>
    </row>
    <row r="160" spans="2:45" ht="22" x14ac:dyDescent="0.25">
      <c r="C160" s="68"/>
      <c r="D160" s="122"/>
      <c r="F160" s="2"/>
      <c r="G160" s="2"/>
      <c r="AK160" s="68"/>
      <c r="AN160" s="2"/>
      <c r="AO160" s="94"/>
      <c r="AR160" s="94"/>
      <c r="AS160" s="2"/>
    </row>
    <row r="161" spans="3:45" ht="22" x14ac:dyDescent="0.25">
      <c r="C161" s="68"/>
      <c r="D161" s="122"/>
      <c r="F161" s="2"/>
      <c r="G161" s="2"/>
      <c r="AK161" s="68"/>
      <c r="AN161" s="2"/>
      <c r="AO161" s="94"/>
      <c r="AR161" s="94"/>
      <c r="AS161" s="2"/>
    </row>
    <row r="162" spans="3:45" ht="22" x14ac:dyDescent="0.25">
      <c r="C162" s="68"/>
      <c r="D162" s="122"/>
      <c r="F162" s="2"/>
      <c r="G162" s="2"/>
      <c r="AK162" s="68"/>
      <c r="AN162" s="2"/>
      <c r="AO162" s="94"/>
      <c r="AR162" s="94"/>
      <c r="AS162" s="2"/>
    </row>
    <row r="163" spans="3:45" ht="22" x14ac:dyDescent="0.25">
      <c r="C163" s="68"/>
      <c r="D163" s="122"/>
      <c r="F163" s="2"/>
      <c r="G163" s="2"/>
      <c r="AK163" s="68"/>
      <c r="AN163" s="2"/>
      <c r="AO163" s="94"/>
      <c r="AR163" s="94"/>
      <c r="AS163" s="2"/>
    </row>
    <row r="164" spans="3:45" ht="22" x14ac:dyDescent="0.25">
      <c r="C164" s="68"/>
      <c r="D164" s="122"/>
      <c r="F164" s="2"/>
      <c r="G164" s="2"/>
      <c r="AK164" s="68"/>
      <c r="AN164" s="2"/>
      <c r="AO164" s="94"/>
      <c r="AR164" s="94"/>
      <c r="AS164" s="2"/>
    </row>
    <row r="165" spans="3:45" ht="22" x14ac:dyDescent="0.25">
      <c r="C165" s="68"/>
      <c r="D165" s="122"/>
      <c r="F165" s="2"/>
      <c r="G165" s="2"/>
      <c r="AK165" s="68"/>
      <c r="AN165" s="2"/>
      <c r="AO165" s="94"/>
      <c r="AR165" s="94"/>
      <c r="AS165" s="2"/>
    </row>
    <row r="166" spans="3:45" ht="22" x14ac:dyDescent="0.25">
      <c r="C166" s="68"/>
      <c r="D166" s="122"/>
      <c r="F166" s="2"/>
      <c r="G166" s="2"/>
      <c r="AK166" s="68"/>
      <c r="AN166" s="2"/>
      <c r="AO166" s="94"/>
      <c r="AR166" s="94"/>
      <c r="AS166" s="2"/>
    </row>
    <row r="167" spans="3:45" ht="22" x14ac:dyDescent="0.25">
      <c r="C167" s="68"/>
      <c r="D167" s="122"/>
      <c r="F167" s="2"/>
      <c r="G167" s="2"/>
      <c r="AK167" s="68"/>
      <c r="AN167" s="2"/>
      <c r="AO167" s="94"/>
      <c r="AR167" s="94"/>
      <c r="AS167" s="2"/>
    </row>
    <row r="168" spans="3:45" ht="22" x14ac:dyDescent="0.25">
      <c r="C168" s="68"/>
      <c r="D168" s="122"/>
      <c r="F168" s="2"/>
      <c r="G168" s="2"/>
      <c r="AK168" s="68"/>
      <c r="AN168" s="2"/>
      <c r="AO168" s="94"/>
      <c r="AR168" s="94"/>
      <c r="AS168" s="2"/>
    </row>
    <row r="169" spans="3:45" ht="22" x14ac:dyDescent="0.25">
      <c r="C169" s="68"/>
      <c r="D169" s="122"/>
      <c r="F169" s="2"/>
      <c r="G169" s="2"/>
      <c r="AK169" s="68"/>
      <c r="AN169" s="2"/>
      <c r="AO169" s="94"/>
      <c r="AR169" s="94"/>
      <c r="AS169" s="2"/>
    </row>
    <row r="170" spans="3:45" ht="22" x14ac:dyDescent="0.25">
      <c r="C170" s="68"/>
      <c r="D170" s="122"/>
      <c r="F170" s="2"/>
      <c r="G170" s="2"/>
      <c r="AK170" s="68"/>
      <c r="AN170" s="2"/>
      <c r="AO170" s="94"/>
      <c r="AR170" s="94"/>
      <c r="AS170" s="2"/>
    </row>
    <row r="171" spans="3:45" ht="22" x14ac:dyDescent="0.25">
      <c r="C171" s="68"/>
      <c r="D171" s="122"/>
      <c r="F171" s="2"/>
      <c r="G171" s="2"/>
      <c r="AK171" s="68"/>
      <c r="AN171" s="2"/>
      <c r="AO171" s="94"/>
      <c r="AR171" s="94"/>
      <c r="AS171" s="2"/>
    </row>
    <row r="172" spans="3:45" ht="22" x14ac:dyDescent="0.25">
      <c r="C172" s="68"/>
      <c r="D172" s="122"/>
      <c r="F172" s="2"/>
      <c r="G172" s="2"/>
      <c r="AK172" s="68"/>
      <c r="AN172" s="2"/>
      <c r="AO172" s="94"/>
      <c r="AR172" s="94"/>
      <c r="AS172" s="2"/>
    </row>
    <row r="173" spans="3:45" ht="22" x14ac:dyDescent="0.25">
      <c r="C173" s="68"/>
      <c r="D173" s="122"/>
      <c r="F173" s="2"/>
      <c r="G173" s="2"/>
      <c r="AK173" s="68"/>
      <c r="AN173" s="2"/>
      <c r="AO173" s="94"/>
      <c r="AR173" s="94"/>
      <c r="AS173" s="2"/>
    </row>
    <row r="174" spans="3:45" ht="22" x14ac:dyDescent="0.25">
      <c r="C174" s="68"/>
      <c r="D174" s="122"/>
      <c r="F174" s="2"/>
      <c r="G174" s="2"/>
      <c r="AK174" s="68"/>
      <c r="AN174" s="2"/>
      <c r="AO174" s="94"/>
      <c r="AR174" s="94"/>
      <c r="AS174" s="2"/>
    </row>
    <row r="175" spans="3:45" ht="22" x14ac:dyDescent="0.25">
      <c r="C175" s="68"/>
      <c r="D175" s="122"/>
      <c r="F175" s="2"/>
      <c r="G175" s="2"/>
      <c r="AK175" s="68"/>
      <c r="AN175" s="2"/>
      <c r="AO175" s="94"/>
      <c r="AR175" s="94"/>
      <c r="AS175" s="2"/>
    </row>
    <row r="176" spans="3:45" ht="22" x14ac:dyDescent="0.25">
      <c r="C176" s="68"/>
      <c r="D176" s="122"/>
      <c r="F176" s="2"/>
      <c r="G176" s="2"/>
      <c r="AK176" s="68"/>
      <c r="AN176" s="2"/>
      <c r="AO176" s="94"/>
      <c r="AR176" s="94"/>
      <c r="AS176" s="2"/>
    </row>
    <row r="177" spans="3:45" ht="22" x14ac:dyDescent="0.25">
      <c r="C177" s="68"/>
      <c r="D177" s="122"/>
      <c r="F177" s="2"/>
      <c r="G177" s="2"/>
      <c r="AK177" s="68"/>
      <c r="AN177" s="2"/>
      <c r="AO177" s="94"/>
      <c r="AR177" s="94"/>
      <c r="AS177" s="2"/>
    </row>
    <row r="178" spans="3:45" ht="22" x14ac:dyDescent="0.25">
      <c r="C178" s="68"/>
      <c r="D178" s="122"/>
      <c r="F178" s="2"/>
      <c r="G178" s="2"/>
      <c r="AK178" s="68"/>
      <c r="AN178" s="2"/>
      <c r="AO178" s="94"/>
      <c r="AR178" s="94"/>
      <c r="AS178" s="2"/>
    </row>
    <row r="179" spans="3:45" ht="22" x14ac:dyDescent="0.25">
      <c r="C179" s="68"/>
      <c r="D179" s="122"/>
      <c r="F179" s="2"/>
      <c r="G179" s="2"/>
      <c r="AK179" s="68"/>
      <c r="AN179" s="2"/>
      <c r="AO179" s="94"/>
      <c r="AR179" s="94"/>
      <c r="AS179" s="2"/>
    </row>
    <row r="180" spans="3:45" ht="22" x14ac:dyDescent="0.25">
      <c r="C180" s="68"/>
      <c r="D180" s="122"/>
      <c r="F180" s="2"/>
      <c r="G180" s="2"/>
      <c r="AK180" s="68"/>
      <c r="AN180" s="2"/>
      <c r="AO180" s="94"/>
      <c r="AR180" s="94"/>
      <c r="AS180" s="2"/>
    </row>
    <row r="181" spans="3:45" ht="22" x14ac:dyDescent="0.25">
      <c r="C181" s="68"/>
      <c r="D181" s="122"/>
      <c r="F181" s="2"/>
      <c r="G181" s="2"/>
      <c r="AK181" s="68"/>
      <c r="AN181" s="2"/>
      <c r="AO181" s="94"/>
      <c r="AR181" s="94"/>
      <c r="AS181" s="2"/>
    </row>
    <row r="182" spans="3:45" ht="22" x14ac:dyDescent="0.25">
      <c r="C182" s="68"/>
      <c r="D182" s="122"/>
      <c r="F182" s="2"/>
      <c r="G182" s="2"/>
      <c r="AK182" s="68"/>
      <c r="AN182" s="2"/>
      <c r="AO182" s="94"/>
      <c r="AR182" s="94"/>
      <c r="AS182" s="2"/>
    </row>
    <row r="183" spans="3:45" ht="22" x14ac:dyDescent="0.25">
      <c r="C183" s="68"/>
      <c r="D183" s="122"/>
      <c r="F183" s="2"/>
      <c r="G183" s="2"/>
      <c r="AK183" s="68"/>
      <c r="AN183" s="2"/>
      <c r="AO183" s="94"/>
      <c r="AR183" s="94"/>
      <c r="AS183" s="2"/>
    </row>
    <row r="184" spans="3:45" ht="22" x14ac:dyDescent="0.25">
      <c r="C184" s="68"/>
      <c r="D184" s="122"/>
      <c r="F184" s="2"/>
      <c r="G184" s="2"/>
      <c r="AK184" s="68"/>
      <c r="AN184" s="2"/>
      <c r="AO184" s="94"/>
      <c r="AR184" s="94"/>
      <c r="AS184" s="2"/>
    </row>
    <row r="185" spans="3:45" ht="22" x14ac:dyDescent="0.25">
      <c r="C185" s="68"/>
      <c r="D185" s="122"/>
      <c r="F185" s="2"/>
      <c r="G185" s="2"/>
      <c r="AK185" s="68"/>
      <c r="AN185" s="2"/>
      <c r="AO185" s="94"/>
      <c r="AR185" s="94"/>
      <c r="AS185" s="2"/>
    </row>
    <row r="186" spans="3:45" ht="22" x14ac:dyDescent="0.25">
      <c r="C186" s="68"/>
      <c r="D186" s="122"/>
      <c r="F186" s="2"/>
      <c r="G186" s="2"/>
      <c r="AK186" s="68"/>
      <c r="AN186" s="2"/>
      <c r="AO186" s="94"/>
      <c r="AR186" s="94"/>
      <c r="AS186" s="2"/>
    </row>
    <row r="187" spans="3:45" ht="22" x14ac:dyDescent="0.25">
      <c r="C187" s="68"/>
      <c r="D187" s="122"/>
      <c r="F187" s="2"/>
      <c r="G187" s="2"/>
      <c r="AK187" s="68"/>
      <c r="AN187" s="2"/>
      <c r="AO187" s="94"/>
      <c r="AR187" s="94"/>
      <c r="AS187" s="2"/>
    </row>
    <row r="188" spans="3:45" ht="22" x14ac:dyDescent="0.25">
      <c r="C188" s="68"/>
      <c r="D188" s="122"/>
      <c r="F188" s="2"/>
      <c r="G188" s="2"/>
      <c r="AK188" s="68"/>
      <c r="AN188" s="2"/>
      <c r="AO188" s="94"/>
      <c r="AR188" s="94"/>
      <c r="AS188" s="2"/>
    </row>
    <row r="189" spans="3:45" ht="22" x14ac:dyDescent="0.25">
      <c r="C189" s="68"/>
      <c r="D189" s="122"/>
      <c r="F189" s="2"/>
      <c r="G189" s="2"/>
      <c r="AK189" s="68"/>
      <c r="AN189" s="2"/>
      <c r="AO189" s="94"/>
      <c r="AR189" s="94"/>
      <c r="AS189" s="2"/>
    </row>
    <row r="190" spans="3:45" ht="22" x14ac:dyDescent="0.25">
      <c r="C190" s="68"/>
      <c r="D190" s="122"/>
      <c r="F190" s="2"/>
      <c r="G190" s="2"/>
      <c r="AK190" s="68"/>
      <c r="AN190" s="2"/>
      <c r="AO190" s="94"/>
      <c r="AR190" s="94"/>
      <c r="AS190" s="2"/>
    </row>
    <row r="191" spans="3:45" ht="22" x14ac:dyDescent="0.25">
      <c r="C191" s="68"/>
      <c r="D191" s="122"/>
      <c r="F191" s="2"/>
      <c r="G191" s="2"/>
      <c r="AK191" s="68"/>
      <c r="AN191" s="2"/>
      <c r="AO191" s="94"/>
      <c r="AR191" s="94"/>
      <c r="AS191" s="2"/>
    </row>
    <row r="192" spans="3:45" ht="22" x14ac:dyDescent="0.25">
      <c r="C192" s="68"/>
      <c r="D192" s="122"/>
      <c r="F192" s="2"/>
      <c r="G192" s="2"/>
      <c r="AK192" s="68"/>
      <c r="AN192" s="2"/>
      <c r="AO192" s="94"/>
      <c r="AR192" s="94"/>
      <c r="AS192" s="2"/>
    </row>
    <row r="193" spans="3:45" ht="22" x14ac:dyDescent="0.25">
      <c r="C193" s="68"/>
      <c r="D193" s="122"/>
      <c r="F193" s="2"/>
      <c r="G193" s="2"/>
      <c r="AK193" s="68"/>
      <c r="AN193" s="2"/>
      <c r="AO193" s="94"/>
      <c r="AR193" s="94"/>
      <c r="AS193" s="2"/>
    </row>
    <row r="194" spans="3:45" ht="22" x14ac:dyDescent="0.25">
      <c r="C194" s="68"/>
      <c r="D194" s="122"/>
      <c r="F194" s="2"/>
      <c r="G194" s="2"/>
      <c r="AK194" s="68"/>
      <c r="AN194" s="2"/>
      <c r="AO194" s="94"/>
      <c r="AR194" s="94"/>
      <c r="AS194" s="2"/>
    </row>
    <row r="195" spans="3:45" ht="22" x14ac:dyDescent="0.25">
      <c r="C195" s="68"/>
      <c r="F195" s="2"/>
      <c r="G195" s="2"/>
      <c r="AK195" s="68"/>
      <c r="AN195" s="2"/>
      <c r="AO195" s="94"/>
      <c r="AR195" s="94"/>
      <c r="AS195" s="2"/>
    </row>
    <row r="196" spans="3:45" ht="22" x14ac:dyDescent="0.25">
      <c r="C196" s="68"/>
      <c r="F196" s="2"/>
      <c r="G196" s="2"/>
      <c r="AK196" s="68"/>
      <c r="AN196" s="2"/>
      <c r="AO196" s="94"/>
      <c r="AR196" s="94"/>
      <c r="AS196" s="2"/>
    </row>
    <row r="197" spans="3:45" ht="22" x14ac:dyDescent="0.25">
      <c r="C197" s="68"/>
      <c r="F197" s="2"/>
      <c r="G197" s="2"/>
      <c r="AK197" s="68"/>
      <c r="AN197" s="2"/>
      <c r="AO197" s="94"/>
      <c r="AR197" s="94"/>
      <c r="AS197" s="2"/>
    </row>
    <row r="198" spans="3:45" ht="22" x14ac:dyDescent="0.25">
      <c r="C198" s="68"/>
      <c r="F198" s="2"/>
      <c r="G198" s="2"/>
      <c r="AK198" s="68"/>
      <c r="AN198" s="2"/>
      <c r="AO198" s="94"/>
      <c r="AR198" s="94"/>
      <c r="AS198" s="2"/>
    </row>
    <row r="199" spans="3:45" ht="22" x14ac:dyDescent="0.25">
      <c r="C199" s="68"/>
      <c r="F199" s="2"/>
      <c r="G199" s="2"/>
      <c r="AK199" s="68"/>
      <c r="AN199" s="2"/>
      <c r="AO199" s="94"/>
      <c r="AR199" s="94"/>
      <c r="AS199" s="2"/>
    </row>
    <row r="200" spans="3:45" ht="22" x14ac:dyDescent="0.25">
      <c r="C200" s="68"/>
      <c r="F200" s="2"/>
      <c r="G200" s="2"/>
      <c r="AK200" s="68"/>
      <c r="AN200" s="2"/>
      <c r="AO200" s="94"/>
      <c r="AR200" s="94"/>
      <c r="AS200" s="2"/>
    </row>
    <row r="201" spans="3:45" ht="22" x14ac:dyDescent="0.25">
      <c r="C201" s="68"/>
      <c r="F201" s="2"/>
      <c r="G201" s="2"/>
      <c r="AK201" s="68"/>
      <c r="AN201" s="2"/>
      <c r="AO201" s="94"/>
      <c r="AR201" s="94"/>
      <c r="AS201" s="2"/>
    </row>
    <row r="202" spans="3:45" ht="22" x14ac:dyDescent="0.25">
      <c r="C202" s="68"/>
      <c r="F202" s="2"/>
      <c r="G202" s="2"/>
      <c r="AK202" s="68"/>
      <c r="AN202" s="2"/>
      <c r="AO202" s="94"/>
      <c r="AR202" s="94"/>
      <c r="AS202" s="2"/>
    </row>
    <row r="203" spans="3:45" ht="22" x14ac:dyDescent="0.25">
      <c r="C203" s="68"/>
      <c r="F203" s="2"/>
      <c r="G203" s="2"/>
      <c r="AK203" s="68"/>
      <c r="AN203" s="2"/>
      <c r="AO203" s="94"/>
      <c r="AR203" s="94"/>
      <c r="AS203" s="2"/>
    </row>
    <row r="204" spans="3:45" ht="22" x14ac:dyDescent="0.25">
      <c r="C204" s="68"/>
      <c r="F204" s="2"/>
      <c r="G204" s="2"/>
      <c r="AK204" s="68"/>
      <c r="AN204" s="2"/>
      <c r="AO204" s="94"/>
      <c r="AR204" s="94"/>
      <c r="AS204" s="2"/>
    </row>
    <row r="205" spans="3:45" ht="22" x14ac:dyDescent="0.25">
      <c r="C205" s="68"/>
      <c r="F205" s="2"/>
      <c r="G205" s="2"/>
      <c r="AK205" s="68"/>
      <c r="AN205" s="2"/>
      <c r="AO205" s="94"/>
      <c r="AR205" s="94"/>
      <c r="AS205" s="2"/>
    </row>
    <row r="206" spans="3:45" ht="22" x14ac:dyDescent="0.25">
      <c r="C206" s="68"/>
      <c r="F206" s="2"/>
      <c r="G206" s="2"/>
      <c r="AK206" s="68"/>
      <c r="AN206" s="2"/>
      <c r="AO206" s="94"/>
      <c r="AR206" s="94"/>
      <c r="AS206" s="2"/>
    </row>
    <row r="207" spans="3:45" ht="22" x14ac:dyDescent="0.25">
      <c r="C207" s="68"/>
      <c r="F207" s="2"/>
      <c r="G207" s="2"/>
      <c r="AK207" s="68"/>
      <c r="AN207" s="2"/>
      <c r="AO207" s="94"/>
      <c r="AR207" s="94"/>
      <c r="AS207" s="2"/>
    </row>
    <row r="208" spans="3:45" ht="22" x14ac:dyDescent="0.25">
      <c r="C208" s="68"/>
      <c r="F208" s="2"/>
      <c r="G208" s="2"/>
      <c r="AK208" s="68"/>
      <c r="AN208" s="2"/>
      <c r="AO208" s="94"/>
      <c r="AR208" s="94"/>
      <c r="AS208" s="2"/>
    </row>
    <row r="209" spans="3:45" ht="22" x14ac:dyDescent="0.25">
      <c r="C209" s="68"/>
      <c r="F209" s="2"/>
      <c r="G209" s="2"/>
      <c r="AK209" s="68"/>
      <c r="AN209" s="2"/>
      <c r="AO209" s="94"/>
      <c r="AR209" s="94"/>
      <c r="AS209" s="2"/>
    </row>
    <row r="210" spans="3:45" ht="22" x14ac:dyDescent="0.25">
      <c r="C210" s="68"/>
      <c r="F210" s="2"/>
      <c r="G210" s="2"/>
      <c r="AK210" s="68"/>
      <c r="AN210" s="2"/>
      <c r="AO210" s="94"/>
      <c r="AR210" s="94"/>
      <c r="AS210" s="2"/>
    </row>
    <row r="211" spans="3:45" ht="22" x14ac:dyDescent="0.25">
      <c r="C211" s="68"/>
      <c r="F211" s="2"/>
      <c r="G211" s="2"/>
      <c r="AK211" s="68"/>
      <c r="AN211" s="2"/>
      <c r="AO211" s="94"/>
      <c r="AR211" s="94"/>
      <c r="AS211" s="2"/>
    </row>
    <row r="212" spans="3:45" ht="22" x14ac:dyDescent="0.25">
      <c r="C212" s="68"/>
      <c r="F212" s="2"/>
      <c r="G212" s="2"/>
      <c r="AK212" s="68"/>
      <c r="AN212" s="2"/>
      <c r="AO212" s="94"/>
      <c r="AR212" s="94"/>
      <c r="AS212" s="2"/>
    </row>
    <row r="213" spans="3:45" ht="22" x14ac:dyDescent="0.25">
      <c r="C213" s="68"/>
      <c r="F213" s="2"/>
      <c r="G213" s="2"/>
      <c r="AK213" s="68"/>
      <c r="AN213" s="2"/>
      <c r="AO213" s="94"/>
      <c r="AR213" s="94"/>
      <c r="AS213" s="2"/>
    </row>
    <row r="214" spans="3:45" ht="22" x14ac:dyDescent="0.25">
      <c r="C214" s="68"/>
      <c r="F214" s="2"/>
      <c r="G214" s="2"/>
      <c r="AK214" s="68"/>
      <c r="AN214" s="2"/>
      <c r="AO214" s="94"/>
      <c r="AR214" s="94"/>
      <c r="AS214" s="2"/>
    </row>
    <row r="215" spans="3:45" ht="22" x14ac:dyDescent="0.25">
      <c r="C215" s="68"/>
      <c r="F215" s="2"/>
      <c r="G215" s="2"/>
      <c r="AK215" s="68"/>
      <c r="AN215" s="2"/>
      <c r="AO215" s="94"/>
      <c r="AR215" s="94"/>
      <c r="AS215" s="2"/>
    </row>
    <row r="216" spans="3:45" ht="22" x14ac:dyDescent="0.25">
      <c r="C216" s="68"/>
      <c r="F216" s="2"/>
      <c r="G216" s="2"/>
      <c r="AK216" s="68"/>
      <c r="AN216" s="2"/>
      <c r="AO216" s="94"/>
      <c r="AR216" s="94"/>
      <c r="AS216" s="2"/>
    </row>
    <row r="217" spans="3:45" ht="22" x14ac:dyDescent="0.25">
      <c r="C217" s="68"/>
      <c r="F217" s="2"/>
      <c r="G217" s="2"/>
      <c r="AK217" s="68"/>
      <c r="AN217" s="2"/>
      <c r="AO217" s="94"/>
      <c r="AR217" s="94"/>
      <c r="AS217" s="2"/>
    </row>
    <row r="218" spans="3:45" ht="22" x14ac:dyDescent="0.25">
      <c r="C218" s="68"/>
      <c r="F218" s="2"/>
      <c r="G218" s="2"/>
      <c r="AK218" s="68"/>
      <c r="AN218" s="2"/>
      <c r="AO218" s="94"/>
      <c r="AR218" s="94"/>
      <c r="AS218" s="2"/>
    </row>
  </sheetData>
  <phoneticPr fontId="5" type="noConversion"/>
  <pageMargins left="0.7" right="0.7" top="0.75" bottom="0.75" header="0.3" footer="0.3"/>
  <pageSetup orientation="portrait" horizontalDpi="0" verticalDpi="0"/>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C68D6-5776-DD46-B9CA-038548219860}">
  <dimension ref="B1:AK126"/>
  <sheetViews>
    <sheetView zoomScale="85" workbookViewId="0">
      <selection activeCell="E6" sqref="E6:E55"/>
    </sheetView>
  </sheetViews>
  <sheetFormatPr baseColWidth="10" defaultRowHeight="22" x14ac:dyDescent="0.3"/>
  <cols>
    <col min="4" max="4" width="13.83203125" style="9" customWidth="1"/>
    <col min="5" max="5" width="34.83203125" style="9" customWidth="1"/>
    <col min="6" max="6" width="16.83203125" style="9" customWidth="1"/>
    <col min="7" max="7" width="16.6640625" style="9" bestFit="1" customWidth="1"/>
    <col min="8" max="8" width="16.6640625" style="9" customWidth="1"/>
    <col min="9" max="9" width="13.1640625" style="9" customWidth="1"/>
    <col min="10" max="10" width="13.5" style="9" customWidth="1"/>
    <col min="11" max="11" width="26.6640625" customWidth="1"/>
    <col min="12" max="12" width="19.5" customWidth="1"/>
    <col min="13" max="13" width="22.5" customWidth="1"/>
    <col min="14" max="14" width="26.6640625" customWidth="1"/>
    <col min="15" max="15" width="18" customWidth="1"/>
    <col min="16" max="17" width="20.83203125" style="9" customWidth="1"/>
    <col min="18" max="18" width="17.33203125" style="9" customWidth="1"/>
    <col min="19" max="19" width="24.5" bestFit="1" customWidth="1"/>
    <col min="20" max="20" width="18.83203125" style="9" bestFit="1" customWidth="1"/>
    <col min="21" max="21" width="19.1640625" bestFit="1" customWidth="1"/>
    <col min="22" max="22" width="14.6640625" style="43" bestFit="1" customWidth="1"/>
    <col min="23" max="23" width="13.83203125" customWidth="1"/>
    <col min="24" max="24" width="25" bestFit="1" customWidth="1"/>
    <col min="25" max="26" width="25" customWidth="1"/>
    <col min="28" max="28" width="15.1640625" bestFit="1" customWidth="1"/>
    <col min="32" max="32" width="18.33203125" bestFit="1" customWidth="1"/>
    <col min="34" max="34" width="12.6640625" bestFit="1" customWidth="1"/>
  </cols>
  <sheetData>
    <row r="1" spans="2:31" ht="24" x14ac:dyDescent="0.3">
      <c r="D1" s="9" t="s">
        <v>3933</v>
      </c>
      <c r="L1" s="9"/>
      <c r="M1" s="9"/>
      <c r="N1" s="9"/>
      <c r="P1" s="43"/>
      <c r="Q1" s="167"/>
      <c r="R1" s="167"/>
      <c r="S1" s="88"/>
      <c r="T1" s="88"/>
      <c r="V1"/>
    </row>
    <row r="2" spans="2:31" ht="24" x14ac:dyDescent="0.3">
      <c r="L2" s="9"/>
      <c r="M2" s="9"/>
      <c r="N2" s="9"/>
      <c r="P2" s="43"/>
      <c r="Q2" s="168" t="s">
        <v>4014</v>
      </c>
      <c r="R2" s="167" t="s">
        <v>4015</v>
      </c>
      <c r="S2" s="71" t="s">
        <v>4017</v>
      </c>
      <c r="T2" s="88" t="s">
        <v>4018</v>
      </c>
      <c r="U2" s="167" t="s">
        <v>4016</v>
      </c>
      <c r="V2" s="71" t="s">
        <v>4019</v>
      </c>
    </row>
    <row r="3" spans="2:31" x14ac:dyDescent="0.3">
      <c r="L3" s="9"/>
      <c r="M3" s="9"/>
      <c r="N3" s="9"/>
      <c r="P3" s="43"/>
      <c r="Q3" s="43"/>
      <c r="R3" s="43"/>
      <c r="T3"/>
      <c r="V3"/>
    </row>
    <row r="4" spans="2:31" ht="27" x14ac:dyDescent="0.35">
      <c r="K4" s="157"/>
      <c r="L4" s="157"/>
      <c r="M4" s="157"/>
      <c r="N4" s="157"/>
      <c r="O4" s="37"/>
      <c r="P4" s="61"/>
      <c r="Q4" s="61"/>
      <c r="R4" s="61"/>
      <c r="S4" s="119"/>
      <c r="T4" s="119"/>
      <c r="U4" s="119"/>
      <c r="V4" s="119"/>
    </row>
    <row r="5" spans="2:31" ht="23" thickBot="1" x14ac:dyDescent="0.35">
      <c r="D5" s="13" t="s">
        <v>4031</v>
      </c>
      <c r="E5" s="13" t="s">
        <v>22</v>
      </c>
      <c r="F5" s="12" t="s">
        <v>13</v>
      </c>
      <c r="G5" s="12" t="s">
        <v>14</v>
      </c>
      <c r="H5" s="13" t="s">
        <v>3975</v>
      </c>
      <c r="I5" s="12" t="s">
        <v>15</v>
      </c>
      <c r="J5" s="13" t="s">
        <v>3932</v>
      </c>
      <c r="K5" s="13" t="s">
        <v>3959</v>
      </c>
      <c r="L5" s="154" t="s">
        <v>3960</v>
      </c>
      <c r="M5" s="155" t="s">
        <v>3987</v>
      </c>
      <c r="N5" s="156" t="s">
        <v>3986</v>
      </c>
      <c r="O5" s="13" t="s">
        <v>3929</v>
      </c>
      <c r="P5" s="44" t="s">
        <v>3935</v>
      </c>
      <c r="Q5" s="13" t="s">
        <v>3999</v>
      </c>
      <c r="R5" s="71" t="s">
        <v>3997</v>
      </c>
      <c r="S5" s="13" t="s">
        <v>4013</v>
      </c>
      <c r="T5" s="13" t="s">
        <v>4020</v>
      </c>
      <c r="U5" s="13" t="s">
        <v>19</v>
      </c>
      <c r="V5" s="13" t="s">
        <v>20</v>
      </c>
      <c r="W5" s="12" t="s">
        <v>21</v>
      </c>
    </row>
    <row r="6" spans="2:31" ht="24" x14ac:dyDescent="0.3">
      <c r="B6">
        <v>1</v>
      </c>
      <c r="D6" s="9">
        <v>1</v>
      </c>
      <c r="E6" s="9" t="s">
        <v>1443</v>
      </c>
      <c r="F6" s="38">
        <v>3924218</v>
      </c>
      <c r="G6" s="38">
        <v>152878772</v>
      </c>
      <c r="H6" s="38">
        <f>Table2123242526[[#This Row],[E]]/Table2123242526[[#This Row],[V]]</f>
        <v>38.957767381934438</v>
      </c>
      <c r="I6" s="38">
        <v>254555</v>
      </c>
      <c r="J6" s="39">
        <v>36008128</v>
      </c>
      <c r="K6" s="41">
        <v>486.47726599999999</v>
      </c>
      <c r="L6" s="177">
        <v>484.93</v>
      </c>
      <c r="M6" s="158">
        <v>482.00630699999999</v>
      </c>
      <c r="N6" s="178">
        <v>481.75678499999998</v>
      </c>
      <c r="O6" s="63">
        <v>450.831255</v>
      </c>
      <c r="P6" s="62">
        <v>220.903085</v>
      </c>
      <c r="Q6" s="169">
        <f>Table2123242526[[#This Row],[G2AIMD (pingpong)]]/Table2123242526[[#This Row],[gpu-hybrid-copy]]</f>
        <v>1.0097984733105523</v>
      </c>
      <c r="R6" s="169">
        <f>Table2123242526[[#This Row],[G2AIMD (pingpong)]]/Table2123242526[[#This Row],[gpu-layered]]</f>
        <v>1.0031906996886149</v>
      </c>
      <c r="S6" s="170">
        <f>Table2123242526[[#This Row],[gpu-hybrid-copy]]/Table2123242526[[#This Row],[CPU+GPU]]</f>
        <v>2.1808513221986012</v>
      </c>
      <c r="T6" s="170">
        <f>Table2123242526[[#This Row],[CPU Only]]/Table2123242526[[#This Row],[CPU+GPU]]</f>
        <v>2.040855404984498</v>
      </c>
      <c r="U6" s="95"/>
      <c r="V6" s="95"/>
      <c r="W6" s="34"/>
      <c r="AA6" s="35"/>
      <c r="AC6" s="2"/>
      <c r="AE6" s="2"/>
    </row>
    <row r="7" spans="2:31" ht="24" x14ac:dyDescent="0.3">
      <c r="D7" s="9">
        <v>2</v>
      </c>
      <c r="E7" s="9" t="s">
        <v>1452</v>
      </c>
      <c r="F7" s="38">
        <v>3175009</v>
      </c>
      <c r="G7" s="38">
        <v>206621674</v>
      </c>
      <c r="H7" s="38">
        <f>Table2123242526[[#This Row],[E]]/Table2123242526[[#This Row],[V]]</f>
        <v>65.077508126748612</v>
      </c>
      <c r="I7" s="38">
        <v>369566</v>
      </c>
      <c r="J7" s="39">
        <v>67547002</v>
      </c>
      <c r="K7" s="40">
        <v>433.71</v>
      </c>
      <c r="L7" s="159">
        <v>492.73</v>
      </c>
      <c r="M7" s="77">
        <v>408.37694099999999</v>
      </c>
      <c r="N7" s="153">
        <v>408.18284899999998</v>
      </c>
      <c r="O7" s="63">
        <v>346.19295299999999</v>
      </c>
      <c r="P7" s="62">
        <v>102.65375299999999</v>
      </c>
      <c r="Q7" s="169">
        <f>Table2123242526[[#This Row],[G2AIMD (pingpong)]]/Table2123242526[[#This Row],[gpu-hybrid-copy]]</f>
        <v>1.0625385193487147</v>
      </c>
      <c r="R7" s="169">
        <f>Table2123242526[[#This Row],[G2AIMD (pingpong)]]/Table2123242526[[#This Row],[gpu-layered]]</f>
        <v>0.88021837517504509</v>
      </c>
      <c r="S7" s="170">
        <f>Table2123242526[[#This Row],[gpu-hybrid-copy]]/Table2123242526[[#This Row],[CPU+GPU]]</f>
        <v>3.9763071205005041</v>
      </c>
      <c r="T7" s="170">
        <f>Table2123242526[[#This Row],[CPU Only]]/Table2123242526[[#This Row],[CPU+GPU]]</f>
        <v>3.3724334754716665</v>
      </c>
      <c r="U7" s="95"/>
      <c r="V7" s="95"/>
      <c r="W7" s="34"/>
      <c r="AA7" s="35"/>
      <c r="AC7" s="2"/>
      <c r="AE7" s="2"/>
    </row>
    <row r="8" spans="2:31" ht="24" x14ac:dyDescent="0.3">
      <c r="D8" s="9">
        <v>3</v>
      </c>
      <c r="E8" s="9" t="s">
        <v>1451</v>
      </c>
      <c r="F8" s="38">
        <v>3333397</v>
      </c>
      <c r="G8" s="38">
        <v>200923810</v>
      </c>
      <c r="H8" s="38">
        <f>Table2123242526[[#This Row],[E]]/Table2123242526[[#This Row],[V]]</f>
        <v>60.275991728557983</v>
      </c>
      <c r="I8" s="38">
        <v>399358</v>
      </c>
      <c r="J8" s="39">
        <v>1902943357</v>
      </c>
      <c r="K8" s="41">
        <v>224.11627300000001</v>
      </c>
      <c r="L8" s="164">
        <v>234.64</v>
      </c>
      <c r="M8" s="77">
        <v>289.92</v>
      </c>
      <c r="N8" s="161">
        <v>234.91</v>
      </c>
      <c r="O8" s="62">
        <v>834.23</v>
      </c>
      <c r="P8" s="62">
        <v>179.01</v>
      </c>
      <c r="Q8" s="169">
        <f>Table2123242526[[#This Row],[G2AIMD (pingpong)]]/Table2123242526[[#This Row],[gpu-hybrid-copy]]</f>
        <v>0.95405164956791966</v>
      </c>
      <c r="R8" s="169">
        <f>Table2123242526[[#This Row],[G2AIMD (pingpong)]]/Table2123242526[[#This Row],[gpu-layered]]</f>
        <v>0.95514947579270382</v>
      </c>
      <c r="S8" s="170">
        <f>Table2123242526[[#This Row],[gpu-hybrid-copy]]/Table2123242526[[#This Row],[CPU+GPU]]</f>
        <v>1.3122730573710966</v>
      </c>
      <c r="T8" s="170">
        <f>Table2123242526[[#This Row],[CPU Only]]/Table2123242526[[#This Row],[CPU+GPU]]</f>
        <v>4.6602424445561708</v>
      </c>
      <c r="U8" s="95"/>
      <c r="V8" s="95"/>
      <c r="W8" s="34"/>
      <c r="AA8" s="35"/>
      <c r="AC8" s="2"/>
      <c r="AE8" s="2"/>
    </row>
    <row r="9" spans="2:31" ht="24" x14ac:dyDescent="0.3">
      <c r="D9" s="9">
        <v>4</v>
      </c>
      <c r="E9" s="9" t="s">
        <v>3915</v>
      </c>
      <c r="F9" s="38">
        <v>25921548</v>
      </c>
      <c r="G9" s="38">
        <v>1086367222</v>
      </c>
      <c r="H9" s="38">
        <f>Table2123242526[[#This Row],[E]]/Table2123242526[[#This Row],[V]]</f>
        <v>41.909812716431901</v>
      </c>
      <c r="I9" s="38">
        <v>4271341</v>
      </c>
      <c r="J9" s="39">
        <v>568730123</v>
      </c>
      <c r="K9" s="41">
        <v>150.722433</v>
      </c>
      <c r="L9" s="159">
        <v>225.29803999999999</v>
      </c>
      <c r="M9" s="77">
        <v>147.85674399999999</v>
      </c>
      <c r="N9" s="153">
        <v>147.34859499999999</v>
      </c>
      <c r="O9" s="62">
        <v>227.71192199999999</v>
      </c>
      <c r="P9" s="62">
        <v>99.896929</v>
      </c>
      <c r="Q9" s="169">
        <f>Table2123242526[[#This Row],[G2AIMD (pingpong)]]/Table2123242526[[#This Row],[gpu-hybrid-copy]]</f>
        <v>1.0228969811351103</v>
      </c>
      <c r="R9" s="169">
        <f>Table2123242526[[#This Row],[G2AIMD (pingpong)]]/Table2123242526[[#This Row],[gpu-layered]]</f>
        <v>0.66899131923207145</v>
      </c>
      <c r="S9" s="170">
        <f>Table2123242526[[#This Row],[gpu-hybrid-copy]]/Table2123242526[[#This Row],[CPU+GPU]]</f>
        <v>1.4750062536957467</v>
      </c>
      <c r="T9" s="170">
        <f>Table2123242526[[#This Row],[CPU Only]]/Table2123242526[[#This Row],[CPU+GPU]]</f>
        <v>2.2794686911746807</v>
      </c>
      <c r="U9" s="95"/>
      <c r="V9" s="95"/>
      <c r="W9" s="34"/>
      <c r="AA9" s="35"/>
      <c r="AC9" s="2"/>
      <c r="AE9" s="2"/>
    </row>
    <row r="10" spans="2:31" ht="24" x14ac:dyDescent="0.3">
      <c r="D10" s="9">
        <v>5</v>
      </c>
      <c r="E10" s="9" t="s">
        <v>10</v>
      </c>
      <c r="F10" s="38">
        <v>3603726</v>
      </c>
      <c r="G10" s="38">
        <v>155093964</v>
      </c>
      <c r="H10" s="38">
        <f>Table2123242526[[#This Row],[E]]/Table2123242526[[#This Row],[V]]</f>
        <v>43.037113254448315</v>
      </c>
      <c r="I10" s="38">
        <v>434234</v>
      </c>
      <c r="J10" s="39">
        <v>1237624958</v>
      </c>
      <c r="K10" s="41">
        <v>107.39003200000001</v>
      </c>
      <c r="L10" s="164">
        <v>94.19</v>
      </c>
      <c r="M10" s="77">
        <v>181.27</v>
      </c>
      <c r="N10" s="161">
        <v>98.4</v>
      </c>
      <c r="O10" s="63">
        <v>196.60153800000001</v>
      </c>
      <c r="P10" s="62">
        <v>68.88</v>
      </c>
      <c r="Q10" s="169">
        <f>Table2123242526[[#This Row],[G2AIMD (pingpong)]]/Table2123242526[[#This Row],[gpu-hybrid-copy]]</f>
        <v>1.0913621138211382</v>
      </c>
      <c r="R10" s="169">
        <f>Table2123242526[[#This Row],[G2AIMD (pingpong)]]/Table2123242526[[#This Row],[gpu-layered]]</f>
        <v>1.1401426053721202</v>
      </c>
      <c r="S10" s="170">
        <f>Table2123242526[[#This Row],[gpu-hybrid-copy]]/Table2123242526[[#This Row],[CPU+GPU]]</f>
        <v>1.4285714285714288</v>
      </c>
      <c r="T10" s="170">
        <f>Table2123242526[[#This Row],[CPU Only]]/Table2123242526[[#This Row],[CPU+GPU]]</f>
        <v>2.8542615853658537</v>
      </c>
      <c r="U10" s="95"/>
      <c r="V10" s="95"/>
      <c r="W10" s="34"/>
      <c r="AA10" s="35"/>
      <c r="AC10" s="2"/>
      <c r="AE10" s="2"/>
    </row>
    <row r="11" spans="2:31" ht="24" x14ac:dyDescent="0.3">
      <c r="D11" s="9">
        <v>6</v>
      </c>
      <c r="E11" s="11" t="s">
        <v>1455</v>
      </c>
      <c r="F11" s="38">
        <v>8833229</v>
      </c>
      <c r="G11" s="38">
        <v>105882456</v>
      </c>
      <c r="H11" s="38">
        <f>Table2123242526[[#This Row],[E]]/Table2123242526[[#This Row],[V]]</f>
        <v>11.986834712425093</v>
      </c>
      <c r="I11" s="38">
        <v>2126384</v>
      </c>
      <c r="J11" s="39">
        <v>2115046340</v>
      </c>
      <c r="K11" s="41">
        <v>105.59741699999999</v>
      </c>
      <c r="L11" s="159">
        <v>87.072643999999997</v>
      </c>
      <c r="M11" s="165">
        <v>80.489999999999995</v>
      </c>
      <c r="N11" s="161">
        <v>87.62</v>
      </c>
      <c r="O11" s="63">
        <v>306.40025200000002</v>
      </c>
      <c r="P11" s="62">
        <v>46.755004999999997</v>
      </c>
      <c r="Q11" s="169">
        <f>Table2123242526[[#This Row],[G2AIMD (pingpong)]]/Table2123242526[[#This Row],[gpu-hybrid-copy]]</f>
        <v>1.2051748116868293</v>
      </c>
      <c r="R11" s="169">
        <f>Table2123242526[[#This Row],[G2AIMD (pingpong)]]/Table2123242526[[#This Row],[gpu-layered]]</f>
        <v>1.2127507808307738</v>
      </c>
      <c r="S11" s="170">
        <f>Table2123242526[[#This Row],[gpu-hybrid-copy]]/Table2123242526[[#This Row],[CPU+GPU]]</f>
        <v>1.8740239681291877</v>
      </c>
      <c r="T11" s="170">
        <f>Table2123242526[[#This Row],[CPU Only]]/Table2123242526[[#This Row],[CPU+GPU]]</f>
        <v>6.5533144954214002</v>
      </c>
      <c r="U11" s="95"/>
      <c r="V11" s="95"/>
      <c r="W11" s="34"/>
      <c r="AA11" s="35"/>
      <c r="AC11" s="2"/>
      <c r="AE11" s="2"/>
    </row>
    <row r="12" spans="2:31" ht="24" x14ac:dyDescent="0.3">
      <c r="D12" s="9">
        <v>7</v>
      </c>
      <c r="E12" s="11" t="s">
        <v>6</v>
      </c>
      <c r="F12" s="38">
        <v>3072441</v>
      </c>
      <c r="G12" s="38">
        <v>234369798</v>
      </c>
      <c r="H12" s="38">
        <f>Table2123242526[[#This Row],[E]]/Table2123242526[[#This Row],[V]]</f>
        <v>76.281301414738309</v>
      </c>
      <c r="I12" s="38">
        <v>33313</v>
      </c>
      <c r="J12" s="39">
        <v>2270456447</v>
      </c>
      <c r="K12" s="41">
        <v>85.151685000000001</v>
      </c>
      <c r="L12" s="159">
        <v>84.17</v>
      </c>
      <c r="M12" s="77">
        <v>97.4</v>
      </c>
      <c r="N12" s="153">
        <v>73.239999999999995</v>
      </c>
      <c r="O12" s="62">
        <v>281.76346699999999</v>
      </c>
      <c r="P12" s="62">
        <v>51.644970999999998</v>
      </c>
      <c r="Q12" s="169">
        <f>Table2123242526[[#This Row],[G2AIMD (pingpong)]]/Table2123242526[[#This Row],[gpu-hybrid-copy]]</f>
        <v>1.162639063353359</v>
      </c>
      <c r="R12" s="169">
        <f>Table2123242526[[#This Row],[G2AIMD (pingpong)]]/Table2123242526[[#This Row],[gpu-layered]]</f>
        <v>1.011663122252584</v>
      </c>
      <c r="S12" s="170">
        <f>Table2123242526[[#This Row],[gpu-hybrid-copy]]/Table2123242526[[#This Row],[CPU+GPU]]</f>
        <v>1.4181438885888811</v>
      </c>
      <c r="T12" s="170">
        <f>Table2123242526[[#This Row],[CPU Only]]/Table2123242526[[#This Row],[CPU+GPU]]</f>
        <v>5.4557774270025243</v>
      </c>
      <c r="U12" s="95"/>
      <c r="V12" s="95"/>
      <c r="W12" s="34"/>
      <c r="AA12" s="35"/>
      <c r="AC12" s="2"/>
      <c r="AE12" s="2"/>
    </row>
    <row r="13" spans="2:31" ht="24" x14ac:dyDescent="0.3">
      <c r="D13" s="9">
        <v>8</v>
      </c>
      <c r="E13" s="9" t="s">
        <v>1442</v>
      </c>
      <c r="F13" s="38">
        <v>3370462</v>
      </c>
      <c r="G13" s="38">
        <v>143901836</v>
      </c>
      <c r="H13" s="38">
        <f>Table2123242526[[#This Row],[E]]/Table2123242526[[#This Row],[V]]</f>
        <v>42.694988402183441</v>
      </c>
      <c r="I13" s="38">
        <v>282591</v>
      </c>
      <c r="J13" s="39">
        <v>563203047</v>
      </c>
      <c r="K13" s="41">
        <v>127.82051300000001</v>
      </c>
      <c r="L13" s="159">
        <v>80.39</v>
      </c>
      <c r="M13" s="77">
        <v>118.97</v>
      </c>
      <c r="N13" s="153">
        <v>68.150000000000006</v>
      </c>
      <c r="O13" s="64">
        <v>200.62130099999999</v>
      </c>
      <c r="P13" s="62">
        <v>47.39</v>
      </c>
      <c r="Q13" s="169">
        <f>Table2123242526[[#This Row],[G2AIMD (pingpong)]]/Table2123242526[[#This Row],[gpu-hybrid-copy]]</f>
        <v>1.875576126192223</v>
      </c>
      <c r="R13" s="169">
        <f>Table2123242526[[#This Row],[G2AIMD (pingpong)]]/Table2123242526[[#This Row],[gpu-layered]]</f>
        <v>1.5900051374549073</v>
      </c>
      <c r="S13" s="170">
        <f>Table2123242526[[#This Row],[gpu-hybrid-copy]]/Table2123242526[[#This Row],[CPU+GPU]]</f>
        <v>1.4380671027642964</v>
      </c>
      <c r="T13" s="170">
        <f>Table2123242526[[#This Row],[CPU Only]]/Table2123242526[[#This Row],[CPU+GPU]]</f>
        <v>4.2334100232116478</v>
      </c>
      <c r="U13" s="95"/>
      <c r="V13" s="95"/>
      <c r="W13" s="34"/>
      <c r="AA13" s="35"/>
      <c r="AC13" s="2"/>
      <c r="AE13" s="2"/>
    </row>
    <row r="14" spans="2:31" ht="24" x14ac:dyDescent="0.3">
      <c r="D14" s="9">
        <v>9</v>
      </c>
      <c r="E14" s="11" t="s">
        <v>3</v>
      </c>
      <c r="F14" s="38">
        <v>2212663</v>
      </c>
      <c r="G14" s="38">
        <v>58330960</v>
      </c>
      <c r="H14" s="38">
        <f>Table2123242526[[#This Row],[E]]/Table2123242526[[#This Row],[V]]</f>
        <v>26.362333532038093</v>
      </c>
      <c r="I14" s="38">
        <v>137021</v>
      </c>
      <c r="J14" s="39">
        <v>1569924556</v>
      </c>
      <c r="K14" s="41">
        <v>68.285578000000001</v>
      </c>
      <c r="L14" s="159">
        <v>67.303210000000007</v>
      </c>
      <c r="M14" s="77">
        <v>75.48</v>
      </c>
      <c r="N14" s="153">
        <v>65.23</v>
      </c>
      <c r="O14" s="62">
        <v>223.255968</v>
      </c>
      <c r="P14" s="62">
        <v>33.600096000000001</v>
      </c>
      <c r="Q14" s="169">
        <f>Table2123242526[[#This Row],[G2AIMD (pingpong)]]/Table2123242526[[#This Row],[gpu-hybrid-copy]]</f>
        <v>1.0468431396596658</v>
      </c>
      <c r="R14" s="169">
        <f>Table2123242526[[#This Row],[G2AIMD (pingpong)]]/Table2123242526[[#This Row],[gpu-layered]]</f>
        <v>1.0145961537347177</v>
      </c>
      <c r="S14" s="170">
        <f>Table2123242526[[#This Row],[gpu-hybrid-copy]]/Table2123242526[[#This Row],[CPU+GPU]]</f>
        <v>1.941363500866188</v>
      </c>
      <c r="T14" s="170">
        <f>Table2123242526[[#This Row],[CPU Only]]/Table2123242526[[#This Row],[CPU+GPU]]</f>
        <v>6.6445038728460775</v>
      </c>
      <c r="U14" s="95"/>
      <c r="V14" s="95"/>
      <c r="W14" s="34"/>
      <c r="AA14" s="35"/>
      <c r="AC14" s="2"/>
      <c r="AE14" s="2"/>
    </row>
    <row r="15" spans="2:31" ht="24" x14ac:dyDescent="0.3">
      <c r="D15" s="9">
        <v>10</v>
      </c>
      <c r="E15" s="9" t="s">
        <v>18</v>
      </c>
      <c r="F15" s="38">
        <v>27665730</v>
      </c>
      <c r="G15" s="38">
        <v>281227494</v>
      </c>
      <c r="H15" s="38">
        <f>Table2123242526[[#This Row],[E]]/Table2123242526[[#This Row],[V]]</f>
        <v>10.165193327629526</v>
      </c>
      <c r="I15" s="38">
        <v>11571953</v>
      </c>
      <c r="J15" s="39">
        <v>134221196</v>
      </c>
      <c r="K15" s="41">
        <v>64.861952000000002</v>
      </c>
      <c r="L15" s="159">
        <v>62.440403000000003</v>
      </c>
      <c r="M15" s="165">
        <v>61.752085000000001</v>
      </c>
      <c r="N15" s="161">
        <v>62.276108000000001</v>
      </c>
      <c r="O15" s="62">
        <v>23.307552999999999</v>
      </c>
      <c r="P15" s="62">
        <v>23.874721000000001</v>
      </c>
      <c r="Q15" s="169">
        <f>Table2123242526[[#This Row],[G2AIMD (pingpong)]]/Table2123242526[[#This Row],[gpu-hybrid-copy]]</f>
        <v>1.0415222479863386</v>
      </c>
      <c r="R15" s="169">
        <f>Table2123242526[[#This Row],[G2AIMD (pingpong)]]/Table2123242526[[#This Row],[gpu-layered]]</f>
        <v>1.0387817644290349</v>
      </c>
      <c r="S15" s="170">
        <f>Table2123242526[[#This Row],[gpu-hybrid-copy]]/Table2123242526[[#This Row],[CPU+GPU]]</f>
        <v>2.6084538537644062</v>
      </c>
      <c r="T15" s="170">
        <f>Table2123242526[[#This Row],[CPU Only]]/Table2123242526[[#This Row],[CPU+GPU]]</f>
        <v>0.97624399464186395</v>
      </c>
      <c r="U15" s="95"/>
      <c r="V15" s="95"/>
      <c r="W15" s="34"/>
      <c r="AA15" s="35"/>
      <c r="AC15" s="2"/>
      <c r="AE15" s="2"/>
    </row>
    <row r="16" spans="2:31" ht="24" x14ac:dyDescent="0.3">
      <c r="D16" s="9">
        <v>11</v>
      </c>
      <c r="E16" s="9" t="s">
        <v>1446</v>
      </c>
      <c r="F16" s="38">
        <v>6100692</v>
      </c>
      <c r="G16" s="38">
        <v>199729748</v>
      </c>
      <c r="H16" s="38">
        <f>Table2123242526[[#This Row],[E]]/Table2123242526[[#This Row],[V]]</f>
        <v>32.738867656324892</v>
      </c>
      <c r="I16" s="38">
        <v>2732817</v>
      </c>
      <c r="J16" s="39">
        <v>97362094</v>
      </c>
      <c r="K16" s="41">
        <v>59.816648000000001</v>
      </c>
      <c r="L16" s="159">
        <v>61.136302999999998</v>
      </c>
      <c r="M16" s="77">
        <v>58.869190000000003</v>
      </c>
      <c r="N16" s="153">
        <v>58.558579999999999</v>
      </c>
      <c r="O16" s="62">
        <v>32.213045000000001</v>
      </c>
      <c r="P16" s="62">
        <v>53.737893</v>
      </c>
      <c r="Q16" s="169">
        <f>Table2123242526[[#This Row],[G2AIMD (pingpong)]]/Table2123242526[[#This Row],[gpu-hybrid-copy]]</f>
        <v>1.0214839225951176</v>
      </c>
      <c r="R16" s="169">
        <f>Table2123242526[[#This Row],[G2AIMD (pingpong)]]/Table2123242526[[#This Row],[gpu-layered]]</f>
        <v>0.97841454364684111</v>
      </c>
      <c r="S16" s="170">
        <f>Table2123242526[[#This Row],[gpu-hybrid-copy]]/Table2123242526[[#This Row],[CPU+GPU]]</f>
        <v>1.0897074062803318</v>
      </c>
      <c r="T16" s="170">
        <f>Table2123242526[[#This Row],[CPU Only]]/Table2123242526[[#This Row],[CPU+GPU]]</f>
        <v>0.59944748857198404</v>
      </c>
      <c r="U16" s="95"/>
      <c r="V16" s="95"/>
      <c r="W16" s="34"/>
      <c r="AA16" s="35"/>
      <c r="AC16" s="2"/>
      <c r="AE16" s="2"/>
    </row>
    <row r="17" spans="4:37" ht="24" x14ac:dyDescent="0.3">
      <c r="D17" s="9">
        <v>12</v>
      </c>
      <c r="E17" s="11" t="s">
        <v>1456</v>
      </c>
      <c r="F17" s="38">
        <v>5829441</v>
      </c>
      <c r="G17" s="38">
        <v>110439216</v>
      </c>
      <c r="H17" s="38">
        <f>Table2123242526[[#This Row],[E]]/Table2123242526[[#This Row],[V]]</f>
        <v>18.945078267367318</v>
      </c>
      <c r="I17" s="38">
        <v>818185</v>
      </c>
      <c r="J17" s="39">
        <v>1508704249</v>
      </c>
      <c r="K17" s="41">
        <v>84.078997999999999</v>
      </c>
      <c r="L17" s="164">
        <v>51.512694000000003</v>
      </c>
      <c r="M17" s="77">
        <v>73.75</v>
      </c>
      <c r="N17" s="161">
        <v>52.7</v>
      </c>
      <c r="O17" s="62">
        <v>245.51799</v>
      </c>
      <c r="P17" s="62">
        <v>37.410254999999999</v>
      </c>
      <c r="Q17" s="169">
        <f>Table2123242526[[#This Row],[G2AIMD (pingpong)]]/Table2123242526[[#This Row],[gpu-hybrid-copy]]</f>
        <v>1.5954269070208726</v>
      </c>
      <c r="R17" s="169">
        <f>Table2123242526[[#This Row],[G2AIMD (pingpong)]]/Table2123242526[[#This Row],[gpu-layered]]</f>
        <v>1.6321995894837105</v>
      </c>
      <c r="S17" s="170">
        <f>Table2123242526[[#This Row],[gpu-hybrid-copy]]/Table2123242526[[#This Row],[CPU+GPU]]</f>
        <v>1.4087046452904426</v>
      </c>
      <c r="T17" s="170">
        <f>Table2123242526[[#This Row],[CPU Only]]/Table2123242526[[#This Row],[CPU+GPU]]</f>
        <v>6.562852618887522</v>
      </c>
      <c r="U17" s="95"/>
      <c r="V17" s="95"/>
      <c r="W17" s="34"/>
      <c r="AA17" s="35"/>
      <c r="AC17" s="2"/>
      <c r="AE17" s="2"/>
    </row>
    <row r="18" spans="4:37" ht="24" x14ac:dyDescent="0.3">
      <c r="D18" s="9">
        <v>13</v>
      </c>
      <c r="E18" s="11" t="s">
        <v>1450</v>
      </c>
      <c r="F18" s="38">
        <v>5867547</v>
      </c>
      <c r="G18" s="38">
        <v>61171040</v>
      </c>
      <c r="H18" s="38">
        <f>Table2123242526[[#This Row],[E]]/Table2123242526[[#This Row],[V]]</f>
        <v>10.425317428220003</v>
      </c>
      <c r="I18" s="38">
        <v>959344</v>
      </c>
      <c r="J18" s="39">
        <v>994503898</v>
      </c>
      <c r="K18" s="41">
        <v>57.130594000000002</v>
      </c>
      <c r="L18" s="164">
        <v>34.142220000000002</v>
      </c>
      <c r="M18" s="77">
        <v>36.26</v>
      </c>
      <c r="N18" s="161">
        <v>35</v>
      </c>
      <c r="O18" s="62">
        <v>123.493318</v>
      </c>
      <c r="P18" s="62">
        <v>20.122519</v>
      </c>
      <c r="Q18" s="169">
        <f>Table2123242526[[#This Row],[G2AIMD (pingpong)]]/Table2123242526[[#This Row],[gpu-hybrid-copy]]</f>
        <v>1.6323026857142857</v>
      </c>
      <c r="R18" s="169">
        <f>Table2123242526[[#This Row],[G2AIMD (pingpong)]]/Table2123242526[[#This Row],[gpu-layered]]</f>
        <v>1.6733122216422951</v>
      </c>
      <c r="S18" s="170">
        <f>Table2123242526[[#This Row],[gpu-hybrid-copy]]/Table2123242526[[#This Row],[CPU+GPU]]</f>
        <v>1.7393448603527222</v>
      </c>
      <c r="T18" s="170">
        <f>Table2123242526[[#This Row],[CPU Only]]/Table2123242526[[#This Row],[CPU+GPU]]</f>
        <v>6.1370705128915519</v>
      </c>
      <c r="U18" s="95"/>
      <c r="V18" s="95"/>
      <c r="W18" s="34"/>
      <c r="AA18" s="35"/>
      <c r="AC18" s="2"/>
      <c r="AE18" s="2"/>
    </row>
    <row r="19" spans="4:37" ht="24" x14ac:dyDescent="0.3">
      <c r="D19" s="9">
        <v>14</v>
      </c>
      <c r="E19" s="9" t="s">
        <v>1445</v>
      </c>
      <c r="F19" s="38">
        <v>2148791</v>
      </c>
      <c r="G19" s="38">
        <v>155750262</v>
      </c>
      <c r="H19" s="38">
        <f>Table2123242526[[#This Row],[E]]/Table2123242526[[#This Row],[V]]</f>
        <v>72.482741225181968</v>
      </c>
      <c r="I19" s="38">
        <v>286585</v>
      </c>
      <c r="J19" s="39">
        <v>147929073</v>
      </c>
      <c r="K19" s="41">
        <v>33.766888999999999</v>
      </c>
      <c r="L19" s="159">
        <v>38.719047000000003</v>
      </c>
      <c r="M19" s="77">
        <v>32.214925999999998</v>
      </c>
      <c r="N19" s="153">
        <v>31.719238000000001</v>
      </c>
      <c r="O19" s="62">
        <v>110.60061399999999</v>
      </c>
      <c r="P19" s="62">
        <v>23.840702</v>
      </c>
      <c r="Q19" s="169">
        <f>Table2123242526[[#This Row],[G2AIMD (pingpong)]]/Table2123242526[[#This Row],[gpu-hybrid-copy]]</f>
        <v>1.0645554915285165</v>
      </c>
      <c r="R19" s="169">
        <f>Table2123242526[[#This Row],[G2AIMD (pingpong)]]/Table2123242526[[#This Row],[gpu-layered]]</f>
        <v>0.8721002094912097</v>
      </c>
      <c r="S19" s="170">
        <f>Table2123242526[[#This Row],[gpu-hybrid-copy]]/Table2123242526[[#This Row],[CPU+GPU]]</f>
        <v>1.3304657723585489</v>
      </c>
      <c r="T19" s="170">
        <f>Table2123242526[[#This Row],[CPU Only]]/Table2123242526[[#This Row],[CPU+GPU]]</f>
        <v>4.6391508941305499</v>
      </c>
      <c r="U19" s="95"/>
      <c r="V19" s="95"/>
      <c r="W19" s="34"/>
      <c r="AA19" s="35"/>
      <c r="AC19" s="2"/>
      <c r="AE19" s="2"/>
    </row>
    <row r="20" spans="4:37" ht="24" x14ac:dyDescent="0.3">
      <c r="D20" s="9">
        <v>15</v>
      </c>
      <c r="E20" s="9" t="s">
        <v>3913</v>
      </c>
      <c r="F20" s="38">
        <v>58655849</v>
      </c>
      <c r="G20" s="38">
        <v>522642066</v>
      </c>
      <c r="H20" s="38">
        <f>Table2123242526[[#This Row],[E]]/Table2123242526[[#This Row],[V]]</f>
        <v>8.9103145706747853</v>
      </c>
      <c r="I20" s="38">
        <v>278489</v>
      </c>
      <c r="J20" s="39">
        <v>1117416174</v>
      </c>
      <c r="K20" s="41">
        <v>60.576824999999999</v>
      </c>
      <c r="L20" s="159">
        <v>32.021475000000002</v>
      </c>
      <c r="M20" s="77">
        <v>48.09</v>
      </c>
      <c r="N20" s="153">
        <v>31.56</v>
      </c>
      <c r="O20" s="62">
        <v>144.30504400000001</v>
      </c>
      <c r="P20" s="62">
        <v>30.88738</v>
      </c>
      <c r="Q20" s="169">
        <f>Table2123242526[[#This Row],[G2AIMD (pingpong)]]/Table2123242526[[#This Row],[gpu-hybrid-copy]]</f>
        <v>1.9194177756653994</v>
      </c>
      <c r="R20" s="169">
        <f>Table2123242526[[#This Row],[G2AIMD (pingpong)]]/Table2123242526[[#This Row],[gpu-layered]]</f>
        <v>1.8917562354638566</v>
      </c>
      <c r="S20" s="170">
        <f>Table2123242526[[#This Row],[gpu-hybrid-copy]]/Table2123242526[[#This Row],[CPU+GPU]]</f>
        <v>1.0217765313859575</v>
      </c>
      <c r="T20" s="170">
        <f>Table2123242526[[#This Row],[CPU Only]]/Table2123242526[[#This Row],[CPU+GPU]]</f>
        <v>4.6719742496773762</v>
      </c>
      <c r="U20" s="95"/>
      <c r="V20" s="95"/>
      <c r="W20" s="34"/>
      <c r="AA20" s="35"/>
      <c r="AC20" s="2"/>
      <c r="AE20" s="2"/>
    </row>
    <row r="21" spans="4:37" ht="24" x14ac:dyDescent="0.3">
      <c r="D21" s="9">
        <v>16</v>
      </c>
      <c r="E21" s="11" t="s">
        <v>7</v>
      </c>
      <c r="F21" s="38">
        <v>2584164</v>
      </c>
      <c r="G21" s="38">
        <v>56367036</v>
      </c>
      <c r="H21" s="38">
        <f>Table2123242526[[#This Row],[E]]/Table2123242526[[#This Row],[V]]</f>
        <v>21.812484037390817</v>
      </c>
      <c r="I21" s="38">
        <v>44065</v>
      </c>
      <c r="J21" s="39">
        <v>918563917</v>
      </c>
      <c r="K21" s="41">
        <v>71.662347999999994</v>
      </c>
      <c r="L21" s="159">
        <v>33.369999999999997</v>
      </c>
      <c r="M21" s="77">
        <v>47.26</v>
      </c>
      <c r="N21" s="153">
        <v>28.33</v>
      </c>
      <c r="O21" s="62">
        <v>129.14542800000001</v>
      </c>
      <c r="P21" s="62">
        <v>21.417175</v>
      </c>
      <c r="Q21" s="169">
        <f>Table2123242526[[#This Row],[G2AIMD (pingpong)]]/Table2123242526[[#This Row],[gpu-hybrid-copy]]</f>
        <v>2.5295569361101307</v>
      </c>
      <c r="R21" s="169">
        <f>Table2123242526[[#This Row],[G2AIMD (pingpong)]]/Table2123242526[[#This Row],[gpu-layered]]</f>
        <v>2.1475081810008989</v>
      </c>
      <c r="S21" s="170">
        <f>Table2123242526[[#This Row],[gpu-hybrid-copy]]/Table2123242526[[#This Row],[CPU+GPU]]</f>
        <v>1.3227701599300561</v>
      </c>
      <c r="T21" s="170">
        <f>Table2123242526[[#This Row],[CPU Only]]/Table2123242526[[#This Row],[CPU+GPU]]</f>
        <v>6.0299935915917953</v>
      </c>
      <c r="U21" s="95"/>
      <c r="V21" s="95"/>
      <c r="W21" s="34"/>
      <c r="AA21" s="35"/>
      <c r="AC21" s="2"/>
      <c r="AE21" s="2"/>
    </row>
    <row r="22" spans="4:37" ht="24" x14ac:dyDescent="0.3">
      <c r="D22" s="9">
        <v>17</v>
      </c>
      <c r="E22" s="9" t="s">
        <v>1422</v>
      </c>
      <c r="F22" s="38">
        <v>2622756</v>
      </c>
      <c r="G22" s="38">
        <v>94934908</v>
      </c>
      <c r="H22" s="38">
        <f>Table2123242526[[#This Row],[E]]/Table2123242526[[#This Row],[V]]</f>
        <v>36.196622179112353</v>
      </c>
      <c r="I22" s="38">
        <v>900354</v>
      </c>
      <c r="J22" s="39">
        <v>104704438</v>
      </c>
      <c r="K22" s="41">
        <v>23.738012000000001</v>
      </c>
      <c r="L22" s="159">
        <v>27.719543999999999</v>
      </c>
      <c r="M22" s="77">
        <v>23.892412</v>
      </c>
      <c r="N22" s="153">
        <v>23.200935000000001</v>
      </c>
      <c r="O22" s="62">
        <v>31.811346</v>
      </c>
      <c r="P22" s="62">
        <v>17.874461</v>
      </c>
      <c r="Q22" s="169">
        <f>Table2123242526[[#This Row],[G2AIMD (pingpong)]]/Table2123242526[[#This Row],[gpu-hybrid-copy]]</f>
        <v>1.023148937747552</v>
      </c>
      <c r="R22" s="169">
        <f>Table2123242526[[#This Row],[G2AIMD (pingpong)]]/Table2123242526[[#This Row],[gpu-layered]]</f>
        <v>0.85636372661830229</v>
      </c>
      <c r="S22" s="170">
        <f>Table2123242526[[#This Row],[gpu-hybrid-copy]]/Table2123242526[[#This Row],[CPU+GPU]]</f>
        <v>1.297993545092073</v>
      </c>
      <c r="T22" s="170">
        <f>Table2123242526[[#This Row],[CPU Only]]/Table2123242526[[#This Row],[CPU+GPU]]</f>
        <v>1.779709385362725</v>
      </c>
      <c r="U22" s="95"/>
      <c r="V22" s="95"/>
      <c r="W22" s="34"/>
      <c r="AA22" s="35"/>
      <c r="AC22" s="2"/>
      <c r="AE22" s="2"/>
    </row>
    <row r="23" spans="4:37" ht="24" x14ac:dyDescent="0.3">
      <c r="D23" s="9">
        <v>18</v>
      </c>
      <c r="E23" s="11" t="s">
        <v>5</v>
      </c>
      <c r="F23" s="38">
        <v>8730857</v>
      </c>
      <c r="G23" s="38">
        <v>654072972</v>
      </c>
      <c r="H23" s="38">
        <f>Table2123242526[[#This Row],[E]]/Table2123242526[[#This Row],[V]]</f>
        <v>74.915093902007555</v>
      </c>
      <c r="I23" s="38">
        <v>318268</v>
      </c>
      <c r="J23" s="39">
        <v>417032363</v>
      </c>
      <c r="K23" s="41">
        <v>14.054064</v>
      </c>
      <c r="L23" s="159">
        <v>24.522736999999999</v>
      </c>
      <c r="M23" s="165">
        <v>13.929805</v>
      </c>
      <c r="N23" s="161">
        <v>18.855840000000001</v>
      </c>
      <c r="O23" s="62">
        <v>249.501497</v>
      </c>
      <c r="P23" s="62">
        <v>19.519027000000001</v>
      </c>
      <c r="Q23" s="169">
        <f>Table2123242526[[#This Row],[G2AIMD (pingpong)]]/Table2123242526[[#This Row],[gpu-hybrid-copy]]</f>
        <v>0.74534276913677666</v>
      </c>
      <c r="R23" s="169">
        <f>Table2123242526[[#This Row],[G2AIMD (pingpong)]]/Table2123242526[[#This Row],[gpu-layered]]</f>
        <v>0.57310340195713072</v>
      </c>
      <c r="S23" s="170">
        <f>Table2123242526[[#This Row],[gpu-hybrid-copy]]/Table2123242526[[#This Row],[CPU+GPU]]</f>
        <v>0.96602356254745692</v>
      </c>
      <c r="T23" s="170">
        <f>Table2123242526[[#This Row],[CPU Only]]/Table2123242526[[#This Row],[CPU+GPU]]</f>
        <v>12.782476144943084</v>
      </c>
      <c r="U23" s="95"/>
      <c r="V23" s="95"/>
      <c r="W23" s="34"/>
      <c r="AA23" s="35"/>
      <c r="AC23" s="2"/>
      <c r="AE23" s="2"/>
    </row>
    <row r="24" spans="4:37" ht="24" x14ac:dyDescent="0.3">
      <c r="D24" s="9">
        <v>19</v>
      </c>
      <c r="E24" s="9" t="s">
        <v>1405</v>
      </c>
      <c r="F24" s="38">
        <v>2093449</v>
      </c>
      <c r="G24" s="38">
        <v>52098498</v>
      </c>
      <c r="H24" s="38">
        <f>Table2123242526[[#This Row],[E]]/Table2123242526[[#This Row],[V]]</f>
        <v>24.886442421095524</v>
      </c>
      <c r="I24" s="38">
        <v>1140084</v>
      </c>
      <c r="J24" s="39">
        <v>7254227</v>
      </c>
      <c r="K24" s="41">
        <v>17.421547</v>
      </c>
      <c r="L24" s="164">
        <v>17.122154999999999</v>
      </c>
      <c r="M24" s="77">
        <v>17.917183000000001</v>
      </c>
      <c r="N24" s="161">
        <v>17.204273000000001</v>
      </c>
      <c r="O24" s="62">
        <v>23.765003</v>
      </c>
      <c r="P24" s="62">
        <v>14.029244</v>
      </c>
      <c r="Q24" s="169">
        <f>Table2123242526[[#This Row],[G2AIMD (pingpong)]]/Table2123242526[[#This Row],[gpu-hybrid-copy]]</f>
        <v>1.0126290718590667</v>
      </c>
      <c r="R24" s="169">
        <f>Table2123242526[[#This Row],[G2AIMD (pingpong)]]/Table2123242526[[#This Row],[gpu-layered]]</f>
        <v>1.0174856494407392</v>
      </c>
      <c r="S24" s="170">
        <f>Table2123242526[[#This Row],[gpu-hybrid-copy]]/Table2123242526[[#This Row],[CPU+GPU]]</f>
        <v>1.2263150459140921</v>
      </c>
      <c r="T24" s="170">
        <f>Table2123242526[[#This Row],[CPU Only]]/Table2123242526[[#This Row],[CPU+GPU]]</f>
        <v>1.6939617701424252</v>
      </c>
      <c r="U24" s="95"/>
      <c r="V24" s="95"/>
      <c r="W24" s="34"/>
      <c r="AA24" s="35"/>
      <c r="AC24" s="2"/>
      <c r="AE24" s="2"/>
    </row>
    <row r="25" spans="4:37" ht="24" x14ac:dyDescent="0.3">
      <c r="D25" s="9">
        <v>20</v>
      </c>
      <c r="E25" s="11" t="s">
        <v>1423</v>
      </c>
      <c r="F25" s="38">
        <v>7570051</v>
      </c>
      <c r="G25" s="38">
        <v>43881980</v>
      </c>
      <c r="H25" s="38">
        <f>Table2123242526[[#This Row],[E]]/Table2123242526[[#This Row],[V]]</f>
        <v>5.7967878948239582</v>
      </c>
      <c r="I25" s="38">
        <v>5669991</v>
      </c>
      <c r="J25" s="39">
        <v>41148109</v>
      </c>
      <c r="K25" s="41">
        <v>12.697224</v>
      </c>
      <c r="L25" s="159">
        <v>12.580476000000001</v>
      </c>
      <c r="M25" s="77">
        <v>12.918736000000001</v>
      </c>
      <c r="N25" s="153">
        <v>12.267455</v>
      </c>
      <c r="O25" s="62">
        <v>4.7210000000000001</v>
      </c>
      <c r="P25" s="62">
        <v>2.3150789999999999</v>
      </c>
      <c r="Q25" s="169">
        <f>Table2123242526[[#This Row],[G2AIMD (pingpong)]]/Table2123242526[[#This Row],[gpu-hybrid-copy]]</f>
        <v>1.0350332648458869</v>
      </c>
      <c r="R25" s="169">
        <f>Table2123242526[[#This Row],[G2AIMD (pingpong)]]/Table2123242526[[#This Row],[gpu-layered]]</f>
        <v>1.009280094012341</v>
      </c>
      <c r="S25" s="170">
        <f>Table2123242526[[#This Row],[gpu-hybrid-copy]]/Table2123242526[[#This Row],[CPU+GPU]]</f>
        <v>5.2989358030546692</v>
      </c>
      <c r="T25" s="170">
        <f>Table2123242526[[#This Row],[CPU Only]]/Table2123242526[[#This Row],[CPU+GPU]]</f>
        <v>2.039239265701084</v>
      </c>
      <c r="U25" s="95"/>
      <c r="V25" s="95"/>
      <c r="W25" s="34"/>
      <c r="AA25" s="35"/>
      <c r="AC25" s="2"/>
      <c r="AE25" s="2"/>
    </row>
    <row r="26" spans="4:37" ht="24" x14ac:dyDescent="0.3">
      <c r="D26" s="9">
        <v>21</v>
      </c>
      <c r="E26" s="11" t="s">
        <v>1436</v>
      </c>
      <c r="F26" s="38">
        <v>3790750</v>
      </c>
      <c r="G26" s="38">
        <v>44273578</v>
      </c>
      <c r="H26" s="38">
        <f>Table2123242526[[#This Row],[E]]/Table2123242526[[#This Row],[V]]</f>
        <v>11.679371628305745</v>
      </c>
      <c r="I26" s="38">
        <v>866662</v>
      </c>
      <c r="J26" s="39">
        <v>489911259</v>
      </c>
      <c r="K26" s="41">
        <v>11.255535999999999</v>
      </c>
      <c r="L26" s="159">
        <v>20.010489</v>
      </c>
      <c r="M26" s="165">
        <v>11.006907</v>
      </c>
      <c r="N26" s="161">
        <v>11.012378999999999</v>
      </c>
      <c r="O26" s="62">
        <v>72.252588000000003</v>
      </c>
      <c r="P26" s="62">
        <v>12.491521000000001</v>
      </c>
      <c r="Q26" s="169">
        <f>Table2123242526[[#This Row],[G2AIMD (pingpong)]]/Table2123242526[[#This Row],[gpu-hybrid-copy]]</f>
        <v>1.022080333413879</v>
      </c>
      <c r="R26" s="169">
        <f>Table2123242526[[#This Row],[G2AIMD (pingpong)]]/Table2123242526[[#This Row],[gpu-layered]]</f>
        <v>0.56248180641662482</v>
      </c>
      <c r="S26" s="170">
        <f>Table2123242526[[#This Row],[gpu-hybrid-copy]]/Table2123242526[[#This Row],[CPU+GPU]]</f>
        <v>0.88158831898853618</v>
      </c>
      <c r="T26" s="170">
        <f>Table2123242526[[#This Row],[CPU Only]]/Table2123242526[[#This Row],[CPU+GPU]]</f>
        <v>5.7841305314220746</v>
      </c>
      <c r="U26" s="95"/>
      <c r="V26" s="95"/>
      <c r="W26" s="34"/>
      <c r="AA26" s="35"/>
      <c r="AC26" s="2"/>
      <c r="AE26" s="2"/>
    </row>
    <row r="27" spans="4:37" ht="24" x14ac:dyDescent="0.3">
      <c r="D27" s="9">
        <v>22</v>
      </c>
      <c r="E27" s="9" t="s">
        <v>1438</v>
      </c>
      <c r="F27" s="38">
        <v>7891015</v>
      </c>
      <c r="G27" s="38">
        <v>127830770</v>
      </c>
      <c r="H27" s="38">
        <f>Table2123242526[[#This Row],[E]]/Table2123242526[[#This Row],[V]]</f>
        <v>16.199534533897097</v>
      </c>
      <c r="I27" s="38">
        <v>3636005</v>
      </c>
      <c r="J27" s="39">
        <v>52252646</v>
      </c>
      <c r="K27" s="41">
        <v>11.282028</v>
      </c>
      <c r="L27" s="159">
        <v>11.195107</v>
      </c>
      <c r="M27" s="77">
        <v>11.34853</v>
      </c>
      <c r="N27" s="153">
        <v>10.717722999999999</v>
      </c>
      <c r="O27" s="62">
        <v>2.9514300000000002</v>
      </c>
      <c r="P27" s="62">
        <v>2.0402999999999998</v>
      </c>
      <c r="Q27" s="169">
        <f>Table2123242526[[#This Row],[G2AIMD (pingpong)]]/Table2123242526[[#This Row],[gpu-hybrid-copy]]</f>
        <v>1.0526515753392769</v>
      </c>
      <c r="R27" s="169">
        <f>Table2123242526[[#This Row],[G2AIMD (pingpong)]]/Table2123242526[[#This Row],[gpu-layered]]</f>
        <v>1.0077641955543615</v>
      </c>
      <c r="S27" s="170">
        <f>Table2123242526[[#This Row],[gpu-hybrid-copy]]/Table2123242526[[#This Row],[CPU+GPU]]</f>
        <v>5.2530132823604374</v>
      </c>
      <c r="T27" s="170">
        <f>Table2123242526[[#This Row],[CPU Only]]/Table2123242526[[#This Row],[CPU+GPU]]</f>
        <v>1.446566681370387</v>
      </c>
      <c r="U27" s="95"/>
      <c r="V27" s="95"/>
      <c r="W27" s="34"/>
      <c r="AA27" s="35"/>
      <c r="AC27" s="2"/>
      <c r="AE27" s="2"/>
    </row>
    <row r="28" spans="4:37" ht="24" x14ac:dyDescent="0.3">
      <c r="D28" s="9">
        <v>23</v>
      </c>
      <c r="E28" s="9" t="s">
        <v>1414</v>
      </c>
      <c r="F28" s="38">
        <v>3033373</v>
      </c>
      <c r="G28" s="38">
        <v>87691916</v>
      </c>
      <c r="H28" s="38">
        <f>Table2123242526[[#This Row],[E]]/Table2123242526[[#This Row],[V]]</f>
        <v>28.909044815787574</v>
      </c>
      <c r="I28" s="38">
        <v>275166</v>
      </c>
      <c r="J28" s="39">
        <v>118034566</v>
      </c>
      <c r="K28" s="41">
        <v>8.8155560000000008</v>
      </c>
      <c r="L28" s="159">
        <v>11.389962000000001</v>
      </c>
      <c r="M28" s="77">
        <v>8.9545709999999996</v>
      </c>
      <c r="N28" s="153">
        <v>8.328792</v>
      </c>
      <c r="O28" s="62">
        <v>24.346118000000001</v>
      </c>
      <c r="P28" s="62">
        <v>9.3502709999999993</v>
      </c>
      <c r="Q28" s="169">
        <f>Table2123242526[[#This Row],[G2AIMD (pingpong)]]/Table2123242526[[#This Row],[gpu-hybrid-copy]]</f>
        <v>1.0584435293857741</v>
      </c>
      <c r="R28" s="169">
        <f>Table2123242526[[#This Row],[G2AIMD (pingpong)]]/Table2123242526[[#This Row],[gpu-layered]]</f>
        <v>0.77397589210569806</v>
      </c>
      <c r="S28" s="170">
        <f>Table2123242526[[#This Row],[gpu-hybrid-copy]]/Table2123242526[[#This Row],[CPU+GPU]]</f>
        <v>0.89075407547011209</v>
      </c>
      <c r="T28" s="170">
        <f>Table2123242526[[#This Row],[CPU Only]]/Table2123242526[[#This Row],[CPU+GPU]]</f>
        <v>2.603787419637356</v>
      </c>
      <c r="U28" s="95"/>
      <c r="V28" s="95"/>
      <c r="W28" s="34"/>
      <c r="AA28" s="35"/>
      <c r="AC28" s="2"/>
      <c r="AE28" s="2"/>
    </row>
    <row r="29" spans="4:37" ht="24" x14ac:dyDescent="0.3">
      <c r="D29" s="9">
        <v>24</v>
      </c>
      <c r="E29" s="11" t="s">
        <v>2</v>
      </c>
      <c r="F29" s="38">
        <v>4382070</v>
      </c>
      <c r="G29" s="38">
        <v>38996662</v>
      </c>
      <c r="H29" s="38">
        <f>Table2123242526[[#This Row],[E]]/Table2123242526[[#This Row],[V]]</f>
        <v>8.8991417298217517</v>
      </c>
      <c r="I29" s="38">
        <v>699764</v>
      </c>
      <c r="J29" s="39">
        <v>287608260</v>
      </c>
      <c r="K29" s="41">
        <v>7.5799459999999996</v>
      </c>
      <c r="L29" s="159">
        <v>10.682527</v>
      </c>
      <c r="M29" s="77">
        <v>8.1162390000000002</v>
      </c>
      <c r="N29" s="153">
        <v>7.4260539999999997</v>
      </c>
      <c r="O29" s="62">
        <v>38.782924999999999</v>
      </c>
      <c r="P29" s="62">
        <v>8.0992370000000005</v>
      </c>
      <c r="Q29" s="169">
        <f>Table2123242526[[#This Row],[G2AIMD (pingpong)]]/Table2123242526[[#This Row],[gpu-hybrid-copy]]</f>
        <v>1.0207232535610433</v>
      </c>
      <c r="R29" s="169">
        <f>Table2123242526[[#This Row],[G2AIMD (pingpong)]]/Table2123242526[[#This Row],[gpu-layered]]</f>
        <v>0.70956488104359572</v>
      </c>
      <c r="S29" s="170">
        <f>Table2123242526[[#This Row],[gpu-hybrid-copy]]/Table2123242526[[#This Row],[CPU+GPU]]</f>
        <v>0.91688315825305511</v>
      </c>
      <c r="T29" s="170">
        <f>Table2123242526[[#This Row],[CPU Only]]/Table2123242526[[#This Row],[CPU+GPU]]</f>
        <v>4.7884664938191088</v>
      </c>
      <c r="U29" s="95"/>
      <c r="V29" s="95"/>
      <c r="W29" s="34"/>
      <c r="AA29" s="35"/>
      <c r="AC29" s="2"/>
      <c r="AE29" s="2"/>
      <c r="AI29" s="2"/>
      <c r="AK29" s="2"/>
    </row>
    <row r="30" spans="4:37" ht="24" x14ac:dyDescent="0.3">
      <c r="D30" s="9">
        <v>25</v>
      </c>
      <c r="E30" s="11" t="s">
        <v>1391</v>
      </c>
      <c r="F30" s="38">
        <v>8482737</v>
      </c>
      <c r="G30" s="38">
        <v>23585644</v>
      </c>
      <c r="H30" s="38">
        <f>Table2123242526[[#This Row],[E]]/Table2123242526[[#This Row],[V]]</f>
        <v>2.7804285338564663</v>
      </c>
      <c r="I30" s="38">
        <v>8421430</v>
      </c>
      <c r="J30" s="39">
        <v>12043741</v>
      </c>
      <c r="K30" s="41">
        <v>7.652196</v>
      </c>
      <c r="L30" s="164">
        <v>7.3640220000000003</v>
      </c>
      <c r="M30" s="77">
        <v>7.9706739999999998</v>
      </c>
      <c r="N30" s="160">
        <v>7.3661770000000004</v>
      </c>
      <c r="O30" s="62">
        <v>0.89532500000000004</v>
      </c>
      <c r="P30" s="62">
        <v>0.873803</v>
      </c>
      <c r="Q30" s="169">
        <f>Table2123242526[[#This Row],[G2AIMD (pingpong)]]/Table2123242526[[#This Row],[gpu-hybrid-copy]]</f>
        <v>1.0388286895631207</v>
      </c>
      <c r="R30" s="169">
        <f>Table2123242526[[#This Row],[G2AIMD (pingpong)]]/Table2123242526[[#This Row],[gpu-layered]]</f>
        <v>1.0391326913472012</v>
      </c>
      <c r="S30" s="170">
        <f>Table2123242526[[#This Row],[gpu-hybrid-copy]]/Table2123242526[[#This Row],[CPU+GPU]]</f>
        <v>8.4300202677262508</v>
      </c>
      <c r="T30" s="170">
        <f>Table2123242526[[#This Row],[CPU Only]]/Table2123242526[[#This Row],[CPU+GPU]]</f>
        <v>1.0246302656319559</v>
      </c>
      <c r="U30" s="95"/>
      <c r="V30" s="95"/>
      <c r="W30" s="34"/>
      <c r="AA30" s="35"/>
      <c r="AC30" s="2"/>
      <c r="AE30" s="2"/>
      <c r="AI30" s="2"/>
      <c r="AK30" s="2"/>
    </row>
    <row r="31" spans="4:37" ht="24" x14ac:dyDescent="0.3">
      <c r="D31" s="9">
        <v>26</v>
      </c>
      <c r="E31" s="11" t="s">
        <v>1</v>
      </c>
      <c r="F31" s="38">
        <v>18268991</v>
      </c>
      <c r="G31" s="38">
        <v>253780418</v>
      </c>
      <c r="H31" s="38">
        <f>Table2123242526[[#This Row],[E]]/Table2123242526[[#This Row],[V]]</f>
        <v>13.891320982094742</v>
      </c>
      <c r="I31" s="38">
        <v>612308</v>
      </c>
      <c r="J31" s="39">
        <v>240680701</v>
      </c>
      <c r="K31" s="41">
        <v>6.968604</v>
      </c>
      <c r="L31" s="159">
        <v>10.877093</v>
      </c>
      <c r="M31" s="77">
        <v>7.1944559999999997</v>
      </c>
      <c r="N31" s="153">
        <v>6.9283619999999999</v>
      </c>
      <c r="O31" s="62">
        <v>45.206122000000001</v>
      </c>
      <c r="P31" s="62">
        <v>10.693218999999999</v>
      </c>
      <c r="Q31" s="169">
        <f>Table2123242526[[#This Row],[G2AIMD (pingpong)]]/Table2123242526[[#This Row],[gpu-hybrid-copy]]</f>
        <v>1.0058082992776647</v>
      </c>
      <c r="R31" s="169">
        <f>Table2123242526[[#This Row],[G2AIMD (pingpong)]]/Table2123242526[[#This Row],[gpu-layered]]</f>
        <v>0.64066786962288547</v>
      </c>
      <c r="S31" s="170">
        <f>Table2123242526[[#This Row],[gpu-hybrid-copy]]/Table2123242526[[#This Row],[CPU+GPU]]</f>
        <v>0.64792107970481105</v>
      </c>
      <c r="T31" s="170">
        <f>Table2123242526[[#This Row],[CPU Only]]/Table2123242526[[#This Row],[CPU+GPU]]</f>
        <v>4.2275503756165476</v>
      </c>
      <c r="U31" s="95"/>
      <c r="V31" s="95"/>
      <c r="W31" s="34"/>
      <c r="AA31" s="35"/>
      <c r="AC31" s="2"/>
      <c r="AE31" s="2"/>
      <c r="AI31" s="2"/>
      <c r="AK31" s="2"/>
    </row>
    <row r="32" spans="4:37" ht="24" x14ac:dyDescent="0.3">
      <c r="D32" s="9">
        <v>27</v>
      </c>
      <c r="E32" s="11" t="s">
        <v>1431</v>
      </c>
      <c r="F32" s="38">
        <v>4579069</v>
      </c>
      <c r="G32" s="38">
        <v>12530086</v>
      </c>
      <c r="H32" s="38">
        <f>Table2123242526[[#This Row],[E]]/Table2123242526[[#This Row],[V]]</f>
        <v>2.7363828760824527</v>
      </c>
      <c r="I32" s="38">
        <v>4043326</v>
      </c>
      <c r="J32" s="39">
        <v>6015927</v>
      </c>
      <c r="K32" s="41">
        <v>7.7896460000000003</v>
      </c>
      <c r="L32" s="159">
        <v>7.0005249999999997</v>
      </c>
      <c r="M32" s="77">
        <v>7.7192499999999997</v>
      </c>
      <c r="N32" s="152">
        <v>6.9008060000000002</v>
      </c>
      <c r="O32" s="62">
        <v>0.93807399999999996</v>
      </c>
      <c r="P32" s="62">
        <v>0.93605400000000005</v>
      </c>
      <c r="Q32" s="169">
        <f>Table2123242526[[#This Row],[G2AIMD (pingpong)]]/Table2123242526[[#This Row],[gpu-hybrid-copy]]</f>
        <v>1.12880234569701</v>
      </c>
      <c r="R32" s="169">
        <f>Table2123242526[[#This Row],[G2AIMD (pingpong)]]/Table2123242526[[#This Row],[gpu-layered]]</f>
        <v>1.112723117194782</v>
      </c>
      <c r="S32" s="170">
        <f>Table2123242526[[#This Row],[gpu-hybrid-copy]]/Table2123242526[[#This Row],[CPU+GPU]]</f>
        <v>7.372230661906257</v>
      </c>
      <c r="T32" s="170">
        <f>Table2123242526[[#This Row],[CPU Only]]/Table2123242526[[#This Row],[CPU+GPU]]</f>
        <v>1.002157995158399</v>
      </c>
      <c r="U32" s="95"/>
      <c r="V32" s="95"/>
      <c r="W32" s="34"/>
      <c r="AA32" s="35"/>
      <c r="AC32" s="2"/>
      <c r="AE32" s="2"/>
      <c r="AI32" s="2"/>
      <c r="AK32" s="2"/>
    </row>
    <row r="33" spans="4:37" ht="24" x14ac:dyDescent="0.3">
      <c r="D33" s="9">
        <v>28</v>
      </c>
      <c r="E33" s="11" t="s">
        <v>1449</v>
      </c>
      <c r="F33" s="38">
        <v>4799646</v>
      </c>
      <c r="G33" s="38">
        <v>63844012</v>
      </c>
      <c r="H33" s="38">
        <f>Table2123242526[[#This Row],[E]]/Table2123242526[[#This Row],[V]]</f>
        <v>13.301816842325454</v>
      </c>
      <c r="I33" s="38">
        <v>1076572</v>
      </c>
      <c r="J33" s="39">
        <v>157475935</v>
      </c>
      <c r="K33" s="41">
        <v>6.8452809999999999</v>
      </c>
      <c r="L33" s="159">
        <v>7.4556459999999998</v>
      </c>
      <c r="M33" s="77">
        <v>5.80077</v>
      </c>
      <c r="N33" s="153">
        <v>5.0708260000000003</v>
      </c>
      <c r="O33" s="62">
        <v>23.708839000000001</v>
      </c>
      <c r="P33" s="62">
        <v>7.6292460000000002</v>
      </c>
      <c r="Q33" s="169">
        <f>Table2123242526[[#This Row],[G2AIMD (pingpong)]]/Table2123242526[[#This Row],[gpu-hybrid-copy]]</f>
        <v>1.3499341132983067</v>
      </c>
      <c r="R33" s="169">
        <f>Table2123242526[[#This Row],[G2AIMD (pingpong)]]/Table2123242526[[#This Row],[gpu-layered]]</f>
        <v>0.91813385453118346</v>
      </c>
      <c r="S33" s="170">
        <f>Table2123242526[[#This Row],[gpu-hybrid-copy]]/Table2123242526[[#This Row],[CPU+GPU]]</f>
        <v>0.66465624519120237</v>
      </c>
      <c r="T33" s="170">
        <f>Table2123242526[[#This Row],[CPU Only]]/Table2123242526[[#This Row],[CPU+GPU]]</f>
        <v>3.1076254455551702</v>
      </c>
      <c r="U33" s="95"/>
      <c r="V33" s="95"/>
      <c r="W33" s="34"/>
      <c r="AA33" s="35"/>
      <c r="AC33" s="2"/>
      <c r="AE33" s="2"/>
      <c r="AI33" s="2"/>
      <c r="AK33" s="2"/>
    </row>
    <row r="34" spans="4:37" ht="24" x14ac:dyDescent="0.3">
      <c r="D34" s="9">
        <v>29</v>
      </c>
      <c r="E34" s="11" t="s">
        <v>1440</v>
      </c>
      <c r="F34" s="38">
        <v>5812931</v>
      </c>
      <c r="G34" s="38">
        <v>54238524</v>
      </c>
      <c r="H34" s="38">
        <f>Table2123242526[[#This Row],[E]]/Table2123242526[[#This Row],[V]]</f>
        <v>9.3306670937604448</v>
      </c>
      <c r="I34" s="38">
        <v>3504033</v>
      </c>
      <c r="J34" s="39">
        <v>72022415</v>
      </c>
      <c r="K34" s="41">
        <v>5.1042110000000003</v>
      </c>
      <c r="L34" s="159">
        <v>5.3348269999999998</v>
      </c>
      <c r="M34" s="77">
        <v>5.4931109999999999</v>
      </c>
      <c r="N34" s="153">
        <v>4.8326019999999996</v>
      </c>
      <c r="O34" s="62">
        <v>9.5797369999999997</v>
      </c>
      <c r="P34" s="62">
        <v>3.0204589999999998</v>
      </c>
      <c r="Q34" s="169">
        <f>Table2123242526[[#This Row],[G2AIMD (pingpong)]]/Table2123242526[[#This Row],[gpu-hybrid-copy]]</f>
        <v>1.0562034696836198</v>
      </c>
      <c r="R34" s="169">
        <f>Table2123242526[[#This Row],[G2AIMD (pingpong)]]/Table2123242526[[#This Row],[gpu-layered]]</f>
        <v>0.95677160665191219</v>
      </c>
      <c r="S34" s="170">
        <f>Table2123242526[[#This Row],[gpu-hybrid-copy]]/Table2123242526[[#This Row],[CPU+GPU]]</f>
        <v>1.5999561656026451</v>
      </c>
      <c r="T34" s="170">
        <f>Table2123242526[[#This Row],[CPU Only]]/Table2123242526[[#This Row],[CPU+GPU]]</f>
        <v>3.1716163007013174</v>
      </c>
      <c r="U34" s="95"/>
      <c r="V34" s="95"/>
      <c r="W34" s="34"/>
      <c r="AA34" s="35"/>
      <c r="AC34" s="2"/>
      <c r="AE34" s="2"/>
      <c r="AI34" s="2"/>
      <c r="AK34" s="2"/>
    </row>
    <row r="35" spans="4:37" ht="24" x14ac:dyDescent="0.3">
      <c r="D35" s="9">
        <v>30</v>
      </c>
      <c r="E35" s="11" t="s">
        <v>1447</v>
      </c>
      <c r="F35" s="38">
        <v>7489073</v>
      </c>
      <c r="G35" s="38">
        <v>224610814</v>
      </c>
      <c r="H35" s="38">
        <f>Table2123242526[[#This Row],[E]]/Table2123242526[[#This Row],[V]]</f>
        <v>29.991804593171945</v>
      </c>
      <c r="I35" s="38">
        <v>1053720</v>
      </c>
      <c r="J35" s="39">
        <v>148627058</v>
      </c>
      <c r="K35" s="41">
        <v>4.1408459999999998</v>
      </c>
      <c r="L35" s="159">
        <v>5.4947679999999997</v>
      </c>
      <c r="M35" s="77">
        <v>4.434202</v>
      </c>
      <c r="N35" s="153">
        <v>3.9712429999999999</v>
      </c>
      <c r="O35" s="62">
        <v>37.416477</v>
      </c>
      <c r="P35" s="62">
        <v>5.235112</v>
      </c>
      <c r="Q35" s="169">
        <f>Table2123242526[[#This Row],[G2AIMD (pingpong)]]/Table2123242526[[#This Row],[gpu-hybrid-copy]]</f>
        <v>1.0427077869573833</v>
      </c>
      <c r="R35" s="169">
        <f>Table2123242526[[#This Row],[G2AIMD (pingpong)]]/Table2123242526[[#This Row],[gpu-layered]]</f>
        <v>0.7535979681034759</v>
      </c>
      <c r="S35" s="170">
        <f>Table2123242526[[#This Row],[gpu-hybrid-copy]]/Table2123242526[[#This Row],[CPU+GPU]]</f>
        <v>0.75857842200892733</v>
      </c>
      <c r="T35" s="170">
        <f>Table2123242526[[#This Row],[CPU Only]]/Table2123242526[[#This Row],[CPU+GPU]]</f>
        <v>7.1472161436087713</v>
      </c>
      <c r="U35" s="95"/>
      <c r="V35" s="95"/>
      <c r="W35" s="34"/>
      <c r="AA35" s="35"/>
      <c r="AC35" s="2"/>
      <c r="AE35" s="2"/>
      <c r="AI35" s="2"/>
      <c r="AK35" s="2"/>
    </row>
    <row r="36" spans="4:37" ht="24" x14ac:dyDescent="0.3">
      <c r="D36" s="9">
        <v>31</v>
      </c>
      <c r="E36" s="11" t="s">
        <v>4</v>
      </c>
      <c r="F36" s="38">
        <v>1203995</v>
      </c>
      <c r="G36" s="38">
        <v>40033816</v>
      </c>
      <c r="H36" s="38">
        <f>Table2123242526[[#This Row],[E]]/Table2123242526[[#This Row],[V]]</f>
        <v>33.250815825647116</v>
      </c>
      <c r="I36" s="38">
        <v>81090</v>
      </c>
      <c r="J36" s="39">
        <v>148294115</v>
      </c>
      <c r="K36" s="41">
        <v>3.9173870000000002</v>
      </c>
      <c r="L36" s="159">
        <v>5.7804260000000003</v>
      </c>
      <c r="M36" s="77">
        <v>4.4764730000000004</v>
      </c>
      <c r="N36" s="153">
        <v>3.7129669999999999</v>
      </c>
      <c r="O36" s="62">
        <v>28.647296999999998</v>
      </c>
      <c r="P36" s="62">
        <v>7.8326770000000003</v>
      </c>
      <c r="Q36" s="169">
        <f>Table2123242526[[#This Row],[G2AIMD (pingpong)]]/Table2123242526[[#This Row],[gpu-hybrid-copy]]</f>
        <v>1.0550557007374426</v>
      </c>
      <c r="R36" s="169">
        <f>Table2123242526[[#This Row],[G2AIMD (pingpong)]]/Table2123242526[[#This Row],[gpu-layered]]</f>
        <v>0.6776986678836473</v>
      </c>
      <c r="S36" s="170">
        <f>Table2123242526[[#This Row],[gpu-hybrid-copy]]/Table2123242526[[#This Row],[CPU+GPU]]</f>
        <v>0.47403550535787442</v>
      </c>
      <c r="T36" s="170">
        <f>Table2123242526[[#This Row],[CPU Only]]/Table2123242526[[#This Row],[CPU+GPU]]</f>
        <v>3.6574081887967544</v>
      </c>
      <c r="U36" s="95"/>
      <c r="V36" s="95"/>
      <c r="W36" s="34"/>
      <c r="AA36" s="35"/>
      <c r="AC36" s="2"/>
      <c r="AE36" s="2"/>
      <c r="AI36" s="2"/>
      <c r="AK36" s="2"/>
    </row>
    <row r="37" spans="4:37" ht="24" x14ac:dyDescent="0.3">
      <c r="D37" s="9">
        <v>32</v>
      </c>
      <c r="E37" s="11" t="s">
        <v>1433</v>
      </c>
      <c r="F37" s="38">
        <v>2646291</v>
      </c>
      <c r="G37" s="38">
        <v>42433496</v>
      </c>
      <c r="H37" s="38">
        <f>Table2123242526[[#This Row],[E]]/Table2123242526[[#This Row],[V]]</f>
        <v>16.035083065316702</v>
      </c>
      <c r="I37" s="38">
        <v>850681</v>
      </c>
      <c r="J37" s="39">
        <v>110149144</v>
      </c>
      <c r="K37" s="41">
        <v>3.8337750000000002</v>
      </c>
      <c r="L37" s="159">
        <v>4.6146729999999998</v>
      </c>
      <c r="M37" s="77">
        <v>4.476839</v>
      </c>
      <c r="N37" s="152">
        <v>3.679964</v>
      </c>
      <c r="O37" s="62">
        <v>15.348898999999999</v>
      </c>
      <c r="P37" s="62">
        <v>4.8238430000000001</v>
      </c>
      <c r="Q37" s="169">
        <f>Table2123242526[[#This Row],[G2AIMD (pingpong)]]/Table2123242526[[#This Row],[gpu-hybrid-copy]]</f>
        <v>1.0417968762737897</v>
      </c>
      <c r="R37" s="169">
        <f>Table2123242526[[#This Row],[G2AIMD (pingpong)]]/Table2123242526[[#This Row],[gpu-layered]]</f>
        <v>0.83077934232826467</v>
      </c>
      <c r="S37" s="170">
        <f>Table2123242526[[#This Row],[gpu-hybrid-copy]]/Table2123242526[[#This Row],[CPU+GPU]]</f>
        <v>0.76286977001531764</v>
      </c>
      <c r="T37" s="170">
        <f>Table2123242526[[#This Row],[CPU Only]]/Table2123242526[[#This Row],[CPU+GPU]]</f>
        <v>3.1818819559425959</v>
      </c>
      <c r="U37" s="95"/>
      <c r="V37" s="95"/>
      <c r="W37" s="34"/>
      <c r="AA37" s="35"/>
      <c r="AC37" s="2"/>
      <c r="AE37" s="2"/>
      <c r="AI37" s="2"/>
      <c r="AK37" s="2"/>
    </row>
    <row r="38" spans="4:37" ht="24" x14ac:dyDescent="0.3">
      <c r="D38" s="9">
        <v>33</v>
      </c>
      <c r="E38" s="11" t="s">
        <v>1404</v>
      </c>
      <c r="F38" s="38">
        <v>2939627</v>
      </c>
      <c r="G38" s="38">
        <v>20974994</v>
      </c>
      <c r="H38" s="38">
        <f>Table2123242526[[#This Row],[E]]/Table2123242526[[#This Row],[V]]</f>
        <v>7.1352569560695969</v>
      </c>
      <c r="I38" s="38">
        <v>916719</v>
      </c>
      <c r="J38" s="39">
        <v>49558992</v>
      </c>
      <c r="K38" s="41">
        <v>3.7311160000000001</v>
      </c>
      <c r="L38" s="159">
        <v>3.5483899999999999</v>
      </c>
      <c r="M38" s="77">
        <v>4.0436699999999997</v>
      </c>
      <c r="N38" s="152">
        <v>3.2534559999999999</v>
      </c>
      <c r="O38" s="62">
        <v>5.7104470000000003</v>
      </c>
      <c r="P38" s="62">
        <v>2.0374910000000002</v>
      </c>
      <c r="Q38" s="169">
        <f>Table2123242526[[#This Row],[G2AIMD (pingpong)]]/Table2123242526[[#This Row],[gpu-hybrid-copy]]</f>
        <v>1.1468161856192307</v>
      </c>
      <c r="R38" s="169">
        <f>Table2123242526[[#This Row],[G2AIMD (pingpong)]]/Table2123242526[[#This Row],[gpu-layered]]</f>
        <v>1.0514954669582544</v>
      </c>
      <c r="S38" s="170">
        <f>Table2123242526[[#This Row],[gpu-hybrid-copy]]/Table2123242526[[#This Row],[CPU+GPU]]</f>
        <v>1.5967952741877141</v>
      </c>
      <c r="T38" s="170">
        <f>Table2123242526[[#This Row],[CPU Only]]/Table2123242526[[#This Row],[CPU+GPU]]</f>
        <v>2.8026857541947425</v>
      </c>
      <c r="U38" s="95"/>
      <c r="V38" s="95"/>
      <c r="W38" s="34"/>
      <c r="AA38" s="35"/>
      <c r="AC38" s="2"/>
      <c r="AE38" s="2"/>
      <c r="AI38" s="2"/>
      <c r="AK38" s="2"/>
    </row>
    <row r="39" spans="4:37" ht="24" x14ac:dyDescent="0.3">
      <c r="D39" s="9">
        <v>34</v>
      </c>
      <c r="E39" s="11" t="s">
        <v>1461</v>
      </c>
      <c r="F39" s="38">
        <v>33777768</v>
      </c>
      <c r="G39" s="38">
        <v>274478882</v>
      </c>
      <c r="H39" s="38">
        <f>Table2123242526[[#This Row],[E]]/Table2123242526[[#This Row],[V]]</f>
        <v>8.1260218851642296</v>
      </c>
      <c r="I39" s="38">
        <v>1057783</v>
      </c>
      <c r="J39" s="39">
        <v>152479402</v>
      </c>
      <c r="K39" s="41">
        <v>3.8363990000000001</v>
      </c>
      <c r="L39" s="159">
        <v>4.7929389999999996</v>
      </c>
      <c r="M39" s="77">
        <v>4.2029290000000001</v>
      </c>
      <c r="N39" s="152">
        <v>3.2303030000000001</v>
      </c>
      <c r="O39" s="62">
        <v>18.665141999999999</v>
      </c>
      <c r="P39" s="62">
        <v>7.6161149999999997</v>
      </c>
      <c r="Q39" s="169">
        <f>Table2123242526[[#This Row],[G2AIMD (pingpong)]]/Table2123242526[[#This Row],[gpu-hybrid-copy]]</f>
        <v>1.1876282193961372</v>
      </c>
      <c r="R39" s="169">
        <f>Table2123242526[[#This Row],[G2AIMD (pingpong)]]/Table2123242526[[#This Row],[gpu-layered]]</f>
        <v>0.80042725350771216</v>
      </c>
      <c r="S39" s="170">
        <f>Table2123242526[[#This Row],[gpu-hybrid-copy]]/Table2123242526[[#This Row],[CPU+GPU]]</f>
        <v>0.42414052308821498</v>
      </c>
      <c r="T39" s="170">
        <f>Table2123242526[[#This Row],[CPU Only]]/Table2123242526[[#This Row],[CPU+GPU]]</f>
        <v>2.4507431938724666</v>
      </c>
      <c r="U39" s="95"/>
      <c r="V39" s="95"/>
      <c r="W39" s="34"/>
      <c r="AA39" s="35"/>
      <c r="AC39" s="2"/>
      <c r="AE39" s="2"/>
      <c r="AI39" s="2"/>
      <c r="AK39" s="2"/>
    </row>
    <row r="40" spans="4:37" ht="24" x14ac:dyDescent="0.3">
      <c r="D40" s="9">
        <v>35</v>
      </c>
      <c r="E40" s="11" t="s">
        <v>1448</v>
      </c>
      <c r="F40" s="38">
        <v>5267977</v>
      </c>
      <c r="G40" s="38">
        <v>55363430</v>
      </c>
      <c r="H40" s="38">
        <f>Table2123242526[[#This Row],[E]]/Table2123242526[[#This Row],[V]]</f>
        <v>10.509428951569074</v>
      </c>
      <c r="I40" s="38">
        <v>590528</v>
      </c>
      <c r="J40" s="39">
        <v>99655585</v>
      </c>
      <c r="K40" s="41">
        <v>3.4353509999999998</v>
      </c>
      <c r="L40" s="159">
        <v>3.8903150000000002</v>
      </c>
      <c r="M40" s="77">
        <v>3.8480089999999998</v>
      </c>
      <c r="N40" s="152">
        <v>3.20539</v>
      </c>
      <c r="O40" s="62">
        <v>16.841013</v>
      </c>
      <c r="P40" s="62">
        <v>5.4122669999999999</v>
      </c>
      <c r="Q40" s="169">
        <f>Table2123242526[[#This Row],[G2AIMD (pingpong)]]/Table2123242526[[#This Row],[gpu-hybrid-copy]]</f>
        <v>1.0717419721157175</v>
      </c>
      <c r="R40" s="169">
        <f>Table2123242526[[#This Row],[G2AIMD (pingpong)]]/Table2123242526[[#This Row],[gpu-layered]]</f>
        <v>0.88305214359248541</v>
      </c>
      <c r="S40" s="170">
        <f>Table2123242526[[#This Row],[gpu-hybrid-copy]]/Table2123242526[[#This Row],[CPU+GPU]]</f>
        <v>0.59224535670542489</v>
      </c>
      <c r="T40" s="170">
        <f>Table2123242526[[#This Row],[CPU Only]]/Table2123242526[[#This Row],[CPU+GPU]]</f>
        <v>3.1116375079056522</v>
      </c>
      <c r="U40" s="95"/>
      <c r="V40" s="95"/>
      <c r="W40" s="34"/>
      <c r="AA40" s="35"/>
      <c r="AC40" s="2"/>
      <c r="AE40" s="2"/>
      <c r="AI40" s="2"/>
      <c r="AK40" s="2"/>
    </row>
    <row r="41" spans="4:37" ht="24" x14ac:dyDescent="0.3">
      <c r="D41" s="9">
        <v>36</v>
      </c>
      <c r="E41" s="11" t="s">
        <v>1425</v>
      </c>
      <c r="F41" s="38">
        <v>5005932</v>
      </c>
      <c r="G41" s="38">
        <v>33083838</v>
      </c>
      <c r="H41" s="38">
        <f>Table2123242526[[#This Row],[E]]/Table2123242526[[#This Row],[V]]</f>
        <v>6.6089267692809255</v>
      </c>
      <c r="I41" s="38">
        <v>1208022</v>
      </c>
      <c r="J41" s="39">
        <v>48080344</v>
      </c>
      <c r="K41" s="41">
        <v>3.2148729999999999</v>
      </c>
      <c r="L41" s="159">
        <v>3.403111</v>
      </c>
      <c r="M41" s="77">
        <v>3.6741229999999998</v>
      </c>
      <c r="N41" s="152">
        <v>2.9715720000000001</v>
      </c>
      <c r="O41" s="62">
        <v>5.9442469999999998</v>
      </c>
      <c r="P41" s="62">
        <v>2.8253370000000002</v>
      </c>
      <c r="Q41" s="169">
        <f>Table2123242526[[#This Row],[G2AIMD (pingpong)]]/Table2123242526[[#This Row],[gpu-hybrid-copy]]</f>
        <v>1.0818761921299567</v>
      </c>
      <c r="R41" s="169">
        <f>Table2123242526[[#This Row],[G2AIMD (pingpong)]]/Table2123242526[[#This Row],[gpu-layered]]</f>
        <v>0.94468649421073836</v>
      </c>
      <c r="S41" s="170">
        <f>Table2123242526[[#This Row],[gpu-hybrid-copy]]/Table2123242526[[#This Row],[CPU+GPU]]</f>
        <v>1.0517584274017577</v>
      </c>
      <c r="T41" s="170">
        <f>Table2123242526[[#This Row],[CPU Only]]/Table2123242526[[#This Row],[CPU+GPU]]</f>
        <v>2.103907250710269</v>
      </c>
      <c r="U41" s="95"/>
      <c r="V41" s="95"/>
      <c r="W41" s="34"/>
      <c r="AA41" s="35"/>
      <c r="AC41" s="2"/>
      <c r="AE41" s="2"/>
      <c r="AI41" s="2"/>
      <c r="AK41" s="2"/>
    </row>
    <row r="42" spans="4:37" ht="24" x14ac:dyDescent="0.3">
      <c r="D42" s="9">
        <v>37</v>
      </c>
      <c r="E42" s="11" t="s">
        <v>1409</v>
      </c>
      <c r="F42" s="38">
        <v>3411795</v>
      </c>
      <c r="G42" s="38">
        <v>26854686</v>
      </c>
      <c r="H42" s="38">
        <f>Table2123242526[[#This Row],[E]]/Table2123242526[[#This Row],[V]]</f>
        <v>7.8711311787490166</v>
      </c>
      <c r="I42" s="38">
        <v>2487058</v>
      </c>
      <c r="J42" s="39">
        <v>8209611</v>
      </c>
      <c r="K42" s="41">
        <v>4.5660360000000004</v>
      </c>
      <c r="L42" s="159">
        <v>2.5640559999999999</v>
      </c>
      <c r="M42" s="77">
        <v>3.286502</v>
      </c>
      <c r="N42" s="152">
        <v>2.5636969999999999</v>
      </c>
      <c r="O42" s="62">
        <v>0.94574000000000003</v>
      </c>
      <c r="P42" s="62">
        <v>0.85847099999999998</v>
      </c>
      <c r="Q42" s="169">
        <f>Table2123242526[[#This Row],[G2AIMD (pingpong)]]/Table2123242526[[#This Row],[gpu-hybrid-copy]]</f>
        <v>1.7810357464240121</v>
      </c>
      <c r="R42" s="169">
        <f>Table2123242526[[#This Row],[G2AIMD (pingpong)]]/Table2123242526[[#This Row],[gpu-layered]]</f>
        <v>1.7807863790806444</v>
      </c>
      <c r="S42" s="170">
        <f>Table2123242526[[#This Row],[gpu-hybrid-copy]]/Table2123242526[[#This Row],[CPU+GPU]]</f>
        <v>2.986352480165317</v>
      </c>
      <c r="T42" s="170">
        <f>Table2123242526[[#This Row],[CPU Only]]/Table2123242526[[#This Row],[CPU+GPU]]</f>
        <v>1.1016563168703428</v>
      </c>
      <c r="U42" s="95"/>
      <c r="V42" s="95"/>
      <c r="W42" s="34"/>
      <c r="AA42" s="35"/>
      <c r="AC42" s="2"/>
      <c r="AE42" s="2"/>
      <c r="AI42" s="2"/>
      <c r="AK42" s="2"/>
    </row>
    <row r="43" spans="4:37" ht="24" x14ac:dyDescent="0.3">
      <c r="D43" s="9">
        <v>38</v>
      </c>
      <c r="E43" s="9" t="s">
        <v>1434</v>
      </c>
      <c r="F43" s="38">
        <v>7825669</v>
      </c>
      <c r="G43" s="38">
        <v>124492028</v>
      </c>
      <c r="H43" s="38">
        <f>Table2123242526[[#This Row],[E]]/Table2123242526[[#This Row],[V]]</f>
        <v>15.90816427323977</v>
      </c>
      <c r="I43" s="38">
        <v>204282</v>
      </c>
      <c r="J43" s="39">
        <v>74995873</v>
      </c>
      <c r="K43" s="41">
        <v>2.4138410000000001</v>
      </c>
      <c r="L43" s="159">
        <v>3.702521</v>
      </c>
      <c r="M43" s="77">
        <v>2.9659520000000001</v>
      </c>
      <c r="N43" s="152">
        <v>2.4274909999999998</v>
      </c>
      <c r="O43" s="62">
        <v>11.794521</v>
      </c>
      <c r="P43" s="62">
        <v>4.758845</v>
      </c>
      <c r="Q43" s="169">
        <f>Table2123242526[[#This Row],[G2AIMD (pingpong)]]/Table2123242526[[#This Row],[gpu-hybrid-copy]]</f>
        <v>0.99437691015126328</v>
      </c>
      <c r="R43" s="169">
        <f>Table2123242526[[#This Row],[G2AIMD (pingpong)]]/Table2123242526[[#This Row],[gpu-layered]]</f>
        <v>0.65194525567849582</v>
      </c>
      <c r="S43" s="170">
        <f>Table2123242526[[#This Row],[gpu-hybrid-copy]]/Table2123242526[[#This Row],[CPU+GPU]]</f>
        <v>0.5101008753174352</v>
      </c>
      <c r="T43" s="170">
        <f>Table2123242526[[#This Row],[CPU Only]]/Table2123242526[[#This Row],[CPU+GPU]]</f>
        <v>2.4784419328639617</v>
      </c>
      <c r="U43" s="95"/>
      <c r="V43" s="95"/>
      <c r="W43" s="34"/>
      <c r="AA43" s="35"/>
      <c r="AC43" s="2"/>
      <c r="AE43" s="2"/>
      <c r="AI43" s="2"/>
      <c r="AK43" s="2"/>
    </row>
    <row r="44" spans="4:37" ht="24" x14ac:dyDescent="0.3">
      <c r="D44" s="9">
        <v>39</v>
      </c>
      <c r="E44" s="11" t="s">
        <v>1411</v>
      </c>
      <c r="F44" s="38">
        <v>3496954</v>
      </c>
      <c r="G44" s="38">
        <v>27305086</v>
      </c>
      <c r="H44" s="38">
        <f>Table2123242526[[#This Row],[E]]/Table2123242526[[#This Row],[V]]</f>
        <v>7.808248550023821</v>
      </c>
      <c r="I44" s="38">
        <v>2187803</v>
      </c>
      <c r="J44" s="39">
        <v>12230903</v>
      </c>
      <c r="K44" s="41">
        <v>1.9853620000000001</v>
      </c>
      <c r="L44" s="159">
        <v>1.8377460000000001</v>
      </c>
      <c r="M44" s="77">
        <v>2.5170659999999998</v>
      </c>
      <c r="N44" s="152">
        <v>1.808211</v>
      </c>
      <c r="O44" s="62">
        <v>0.65300999999999998</v>
      </c>
      <c r="P44" s="62">
        <v>0.72130399999999995</v>
      </c>
      <c r="Q44" s="169">
        <f>Table2123242526[[#This Row],[G2AIMD (pingpong)]]/Table2123242526[[#This Row],[gpu-hybrid-copy]]</f>
        <v>1.0979703143051336</v>
      </c>
      <c r="R44" s="169">
        <f>Table2123242526[[#This Row],[G2AIMD (pingpong)]]/Table2123242526[[#This Row],[gpu-layered]]</f>
        <v>1.0803244844499729</v>
      </c>
      <c r="S44" s="170">
        <f>Table2123242526[[#This Row],[gpu-hybrid-copy]]/Table2123242526[[#This Row],[CPU+GPU]]</f>
        <v>2.506863957499196</v>
      </c>
      <c r="T44" s="170">
        <f>Table2123242526[[#This Row],[CPU Only]]/Table2123242526[[#This Row],[CPU+GPU]]</f>
        <v>0.90531870057562414</v>
      </c>
      <c r="U44" s="95"/>
      <c r="V44" s="95"/>
      <c r="W44" s="34"/>
      <c r="AA44" s="35"/>
      <c r="AC44" s="2"/>
      <c r="AE44" s="2"/>
      <c r="AI44" s="2"/>
      <c r="AK44" s="2"/>
    </row>
    <row r="45" spans="4:37" ht="24" x14ac:dyDescent="0.3">
      <c r="D45" s="9">
        <v>40</v>
      </c>
      <c r="E45" s="9" t="s">
        <v>11</v>
      </c>
      <c r="F45" s="38">
        <v>2394385</v>
      </c>
      <c r="G45" s="38">
        <v>9319130</v>
      </c>
      <c r="H45" s="38">
        <f>Table2123242526[[#This Row],[E]]/Table2123242526[[#This Row],[V]]</f>
        <v>3.8920766710449657</v>
      </c>
      <c r="I45" s="38">
        <v>100029</v>
      </c>
      <c r="J45" s="39">
        <v>86333306</v>
      </c>
      <c r="K45" s="41">
        <v>3.3782510000000001</v>
      </c>
      <c r="L45" s="159">
        <v>2.6237210000000002</v>
      </c>
      <c r="M45" s="77">
        <v>2.555885</v>
      </c>
      <c r="N45" s="152">
        <v>1.765601</v>
      </c>
      <c r="O45" s="62">
        <v>11.48353</v>
      </c>
      <c r="P45" s="62">
        <v>2.5116809999999998</v>
      </c>
      <c r="Q45" s="169">
        <f>Table2123242526[[#This Row],[G2AIMD (pingpong)]]/Table2123242526[[#This Row],[gpu-hybrid-copy]]</f>
        <v>1.9133717074242709</v>
      </c>
      <c r="R45" s="169">
        <f>Table2123242526[[#This Row],[G2AIMD (pingpong)]]/Table2123242526[[#This Row],[gpu-layered]]</f>
        <v>1.2875801199898922</v>
      </c>
      <c r="S45" s="170">
        <f>Table2123242526[[#This Row],[gpu-hybrid-copy]]/Table2123242526[[#This Row],[CPU+GPU]]</f>
        <v>0.70295590881166836</v>
      </c>
      <c r="T45" s="170">
        <f>Table2123242526[[#This Row],[CPU Only]]/Table2123242526[[#This Row],[CPU+GPU]]</f>
        <v>4.5720495556561529</v>
      </c>
      <c r="U45" s="95"/>
      <c r="V45" s="95"/>
      <c r="W45" s="34"/>
      <c r="AA45" s="35"/>
      <c r="AC45" s="2"/>
      <c r="AE45" s="2"/>
      <c r="AI45" s="2"/>
      <c r="AK45" s="2"/>
    </row>
    <row r="46" spans="4:37" ht="24" x14ac:dyDescent="0.3">
      <c r="D46" s="9">
        <v>41</v>
      </c>
      <c r="E46" s="11" t="s">
        <v>1408</v>
      </c>
      <c r="F46" s="38">
        <v>4063587</v>
      </c>
      <c r="G46" s="38">
        <v>17652554</v>
      </c>
      <c r="H46" s="38">
        <f>Table2123242526[[#This Row],[E]]/Table2123242526[[#This Row],[V]]</f>
        <v>4.344081718934528</v>
      </c>
      <c r="I46" s="38">
        <v>4059644</v>
      </c>
      <c r="J46" s="39">
        <v>8823479</v>
      </c>
      <c r="K46" s="41">
        <v>1.682345</v>
      </c>
      <c r="L46" s="164">
        <v>1.511938</v>
      </c>
      <c r="M46" s="77">
        <v>2.263528</v>
      </c>
      <c r="N46" s="160">
        <v>1.5356030000000001</v>
      </c>
      <c r="O46" s="62">
        <v>0.16831399999999999</v>
      </c>
      <c r="P46" s="62">
        <v>0.108086</v>
      </c>
      <c r="Q46" s="169">
        <f>Table2123242526[[#This Row],[G2AIMD (pingpong)]]/Table2123242526[[#This Row],[gpu-hybrid-copy]]</f>
        <v>1.0955598549885615</v>
      </c>
      <c r="R46" s="169">
        <f>Table2123242526[[#This Row],[G2AIMD (pingpong)]]/Table2123242526[[#This Row],[gpu-layered]]</f>
        <v>1.1127076639386007</v>
      </c>
      <c r="S46" s="170">
        <f>Table2123242526[[#This Row],[gpu-hybrid-copy]]/Table2123242526[[#This Row],[CPU+GPU]]</f>
        <v>14.207233129174917</v>
      </c>
      <c r="T46" s="170">
        <f>Table2123242526[[#This Row],[CPU Only]]/Table2123242526[[#This Row],[CPU+GPU]]</f>
        <v>1.5572229520937031</v>
      </c>
      <c r="U46" s="95"/>
      <c r="V46" s="95"/>
      <c r="W46" s="34"/>
      <c r="AA46" s="35"/>
      <c r="AC46" s="2"/>
      <c r="AE46" s="2"/>
      <c r="AI46" s="2"/>
      <c r="AK46" s="2"/>
    </row>
    <row r="47" spans="4:37" ht="24" x14ac:dyDescent="0.3">
      <c r="D47" s="9">
        <v>42</v>
      </c>
      <c r="E47" s="22" t="s">
        <v>3912</v>
      </c>
      <c r="F47" s="38">
        <v>4033138</v>
      </c>
      <c r="G47" s="38">
        <v>55866126</v>
      </c>
      <c r="H47" s="38">
        <f>Table2123242526[[#This Row],[E]]/Table2123242526[[#This Row],[V]]</f>
        <v>13.851776457934244</v>
      </c>
      <c r="I47" s="38">
        <v>2651</v>
      </c>
      <c r="J47" s="39">
        <v>38413666</v>
      </c>
      <c r="K47" s="41">
        <v>1.571016</v>
      </c>
      <c r="L47" s="159">
        <v>2.039167</v>
      </c>
      <c r="M47" s="77">
        <v>2.1893090000000002</v>
      </c>
      <c r="N47" s="152">
        <v>1.4397960000000001</v>
      </c>
      <c r="O47" s="62">
        <v>6.711659</v>
      </c>
      <c r="P47" s="62">
        <v>4.0897119999999996</v>
      </c>
      <c r="Q47" s="169">
        <f>Table2123242526[[#This Row],[G2AIMD (pingpong)]]/Table2123242526[[#This Row],[gpu-hybrid-copy]]</f>
        <v>1.0911379112040871</v>
      </c>
      <c r="R47" s="169">
        <f>Table2123242526[[#This Row],[G2AIMD (pingpong)]]/Table2123242526[[#This Row],[gpu-layered]]</f>
        <v>0.77042047071181519</v>
      </c>
      <c r="S47" s="170">
        <f>Table2123242526[[#This Row],[gpu-hybrid-copy]]/Table2123242526[[#This Row],[CPU+GPU]]</f>
        <v>0.35205315190898534</v>
      </c>
      <c r="T47" s="170">
        <f>Table2123242526[[#This Row],[CPU Only]]/Table2123242526[[#This Row],[CPU+GPU]]</f>
        <v>1.6411079802196342</v>
      </c>
      <c r="U47" s="95"/>
      <c r="V47" s="95"/>
      <c r="W47" s="34"/>
      <c r="AA47" s="35"/>
      <c r="AC47" s="2"/>
      <c r="AE47" s="2"/>
      <c r="AI47" s="2"/>
      <c r="AK47" s="2"/>
    </row>
    <row r="48" spans="4:37" ht="21" customHeight="1" x14ac:dyDescent="0.3">
      <c r="D48" s="9">
        <v>43</v>
      </c>
      <c r="E48" s="11" t="s">
        <v>1462</v>
      </c>
      <c r="F48" s="38">
        <v>33778221</v>
      </c>
      <c r="G48" s="38">
        <v>203595714</v>
      </c>
      <c r="H48" s="38">
        <f>Table2123242526[[#This Row],[E]]/Table2123242526[[#This Row],[V]]</f>
        <v>6.0274256006555227</v>
      </c>
      <c r="I48" s="38">
        <v>29319</v>
      </c>
      <c r="J48" s="39">
        <v>103359042</v>
      </c>
      <c r="K48" s="41">
        <v>1.6937089999999999</v>
      </c>
      <c r="L48" s="159">
        <v>2.5703559999999999</v>
      </c>
      <c r="M48" s="77">
        <v>2.2523140000000001</v>
      </c>
      <c r="N48" s="152">
        <v>1.310222</v>
      </c>
      <c r="O48" s="62">
        <v>25.699197000000002</v>
      </c>
      <c r="P48" s="62">
        <v>7.0814329999999996</v>
      </c>
      <c r="Q48" s="169">
        <f>Table2123242526[[#This Row],[G2AIMD (pingpong)]]/Table2123242526[[#This Row],[gpu-hybrid-copy]]</f>
        <v>1.2926885672809645</v>
      </c>
      <c r="R48" s="169">
        <f>Table2123242526[[#This Row],[G2AIMD (pingpong)]]/Table2123242526[[#This Row],[gpu-layered]]</f>
        <v>0.65893946208229526</v>
      </c>
      <c r="S48" s="170">
        <f>Table2123242526[[#This Row],[gpu-hybrid-copy]]/Table2123242526[[#This Row],[CPU+GPU]]</f>
        <v>0.18502215582637019</v>
      </c>
      <c r="T48" s="170">
        <f>Table2123242526[[#This Row],[CPU Only]]/Table2123242526[[#This Row],[CPU+GPU]]</f>
        <v>3.6290955517054249</v>
      </c>
      <c r="U48" s="95"/>
      <c r="V48" s="95"/>
      <c r="W48" s="34"/>
      <c r="AA48" s="35"/>
      <c r="AC48" s="2"/>
      <c r="AE48" s="2"/>
      <c r="AI48" s="2"/>
      <c r="AK48" s="2"/>
    </row>
    <row r="49" spans="4:37" ht="24" x14ac:dyDescent="0.3">
      <c r="D49" s="9">
        <v>44</v>
      </c>
      <c r="E49" s="11" t="s">
        <v>1437</v>
      </c>
      <c r="F49" s="38">
        <v>2981204</v>
      </c>
      <c r="G49" s="38">
        <v>42832752</v>
      </c>
      <c r="H49" s="38">
        <f>Table2123242526[[#This Row],[E]]/Table2123242526[[#This Row],[V]]</f>
        <v>14.367601814568879</v>
      </c>
      <c r="I49" s="38">
        <v>385104</v>
      </c>
      <c r="J49" s="39">
        <v>35290880</v>
      </c>
      <c r="K49" s="41">
        <v>1.446725</v>
      </c>
      <c r="L49" s="159">
        <v>1.4544539999999999</v>
      </c>
      <c r="M49" s="77">
        <v>2.0601349999999998</v>
      </c>
      <c r="N49" s="152">
        <v>1.308095</v>
      </c>
      <c r="O49" s="62">
        <v>5.6263290000000001</v>
      </c>
      <c r="P49" s="62">
        <v>2.3065820000000001</v>
      </c>
      <c r="Q49" s="169">
        <f>Table2123242526[[#This Row],[G2AIMD (pingpong)]]/Table2123242526[[#This Row],[gpu-hybrid-copy]]</f>
        <v>1.1059785413138954</v>
      </c>
      <c r="R49" s="169">
        <f>Table2123242526[[#This Row],[G2AIMD (pingpong)]]/Table2123242526[[#This Row],[gpu-layered]]</f>
        <v>0.99468597838089079</v>
      </c>
      <c r="S49" s="170">
        <f>Table2123242526[[#This Row],[gpu-hybrid-copy]]/Table2123242526[[#This Row],[CPU+GPU]]</f>
        <v>0.56711402412747514</v>
      </c>
      <c r="T49" s="170">
        <f>Table2123242526[[#This Row],[CPU Only]]/Table2123242526[[#This Row],[CPU+GPU]]</f>
        <v>2.4392495042448088</v>
      </c>
      <c r="U49" s="95"/>
      <c r="V49" s="95"/>
      <c r="W49" s="34"/>
      <c r="AA49" s="35"/>
      <c r="AC49" s="2"/>
      <c r="AE49" s="2"/>
      <c r="AI49" s="2"/>
      <c r="AK49" s="2"/>
    </row>
    <row r="50" spans="4:37" ht="24" x14ac:dyDescent="0.3">
      <c r="D50" s="9">
        <v>45</v>
      </c>
      <c r="E50" s="9" t="s">
        <v>3917</v>
      </c>
      <c r="F50" s="38">
        <v>1791489</v>
      </c>
      <c r="G50" s="38">
        <v>50888414</v>
      </c>
      <c r="H50" s="38">
        <f>Table2123242526[[#This Row],[E]]/Table2123242526[[#This Row],[V]]</f>
        <v>28.405652504704186</v>
      </c>
      <c r="I50" s="38">
        <v>238342</v>
      </c>
      <c r="J50" s="39">
        <v>27229873</v>
      </c>
      <c r="K50" s="41">
        <v>1.3038989999999999</v>
      </c>
      <c r="L50" s="159">
        <v>1.4571909999999999</v>
      </c>
      <c r="M50" s="77">
        <v>1.8473649999999999</v>
      </c>
      <c r="N50" s="152">
        <v>1.1079509999999999</v>
      </c>
      <c r="O50" s="62">
        <v>4.5417589999999999</v>
      </c>
      <c r="P50" s="62">
        <v>1.3929849999999999</v>
      </c>
      <c r="Q50" s="169">
        <f>Table2123242526[[#This Row],[G2AIMD (pingpong)]]/Table2123242526[[#This Row],[gpu-hybrid-copy]]</f>
        <v>1.1768561967090603</v>
      </c>
      <c r="R50" s="169">
        <f>Table2123242526[[#This Row],[G2AIMD (pingpong)]]/Table2123242526[[#This Row],[gpu-layered]]</f>
        <v>0.89480308346675208</v>
      </c>
      <c r="S50" s="170">
        <f>Table2123242526[[#This Row],[gpu-hybrid-copy]]/Table2123242526[[#This Row],[CPU+GPU]]</f>
        <v>0.79537898828774178</v>
      </c>
      <c r="T50" s="170">
        <f>Table2123242526[[#This Row],[CPU Only]]/Table2123242526[[#This Row],[CPU+GPU]]</f>
        <v>3.2604507586226701</v>
      </c>
      <c r="U50" s="95"/>
      <c r="V50" s="95"/>
      <c r="W50" s="34"/>
      <c r="AA50" s="35"/>
      <c r="AC50" s="2"/>
      <c r="AE50" s="2"/>
      <c r="AI50" s="2"/>
      <c r="AK50" s="2"/>
    </row>
    <row r="51" spans="4:37" ht="24" x14ac:dyDescent="0.3">
      <c r="D51" s="9">
        <v>46</v>
      </c>
      <c r="E51" s="11" t="s">
        <v>1346</v>
      </c>
      <c r="F51" s="38">
        <v>1696415</v>
      </c>
      <c r="G51" s="38">
        <v>22190596</v>
      </c>
      <c r="H51" s="38">
        <f>Table2123242526[[#This Row],[E]]/Table2123242526[[#This Row],[V]]</f>
        <v>13.080877025963575</v>
      </c>
      <c r="I51" s="38">
        <v>35455</v>
      </c>
      <c r="J51" s="39">
        <v>37322355</v>
      </c>
      <c r="K51" s="41">
        <v>1.300643</v>
      </c>
      <c r="L51" s="159">
        <v>1.6876949999999999</v>
      </c>
      <c r="M51" s="77">
        <v>1.8380110000000001</v>
      </c>
      <c r="N51" s="152">
        <v>1.085415</v>
      </c>
      <c r="O51" s="62">
        <v>7.0529869999999999</v>
      </c>
      <c r="P51" s="62">
        <v>2.076346</v>
      </c>
      <c r="Q51" s="169">
        <f>Table2123242526[[#This Row],[G2AIMD (pingpong)]]/Table2123242526[[#This Row],[gpu-hybrid-copy]]</f>
        <v>1.1982909762625356</v>
      </c>
      <c r="R51" s="169">
        <f>Table2123242526[[#This Row],[G2AIMD (pingpong)]]/Table2123242526[[#This Row],[gpu-layered]]</f>
        <v>0.77066235309105025</v>
      </c>
      <c r="S51" s="170">
        <f>Table2123242526[[#This Row],[gpu-hybrid-copy]]/Table2123242526[[#This Row],[CPU+GPU]]</f>
        <v>0.52275246996406188</v>
      </c>
      <c r="T51" s="170">
        <f>Table2123242526[[#This Row],[CPU Only]]/Table2123242526[[#This Row],[CPU+GPU]]</f>
        <v>3.3968264441475551</v>
      </c>
      <c r="U51" s="95"/>
      <c r="V51" s="95"/>
      <c r="W51" s="34"/>
      <c r="AA51" s="35"/>
      <c r="AC51" s="2"/>
      <c r="AE51" s="2"/>
      <c r="AI51" s="2"/>
      <c r="AK51" s="2"/>
    </row>
    <row r="52" spans="4:37" ht="24" x14ac:dyDescent="0.3">
      <c r="D52" s="9">
        <v>47</v>
      </c>
      <c r="E52" s="9" t="s">
        <v>1402</v>
      </c>
      <c r="F52" s="38">
        <v>2132864</v>
      </c>
      <c r="G52" s="38">
        <v>17441248</v>
      </c>
      <c r="H52" s="38">
        <f>Table2123242526[[#This Row],[E]]/Table2123242526[[#This Row],[V]]</f>
        <v>8.1773840244853861</v>
      </c>
      <c r="I52" s="38">
        <v>306136</v>
      </c>
      <c r="J52" s="39">
        <v>11329220</v>
      </c>
      <c r="K52" s="41">
        <v>0.99414100000000005</v>
      </c>
      <c r="L52" s="159">
        <v>0.85337799999999997</v>
      </c>
      <c r="M52" s="77">
        <v>1.5811599999999999</v>
      </c>
      <c r="N52" s="152">
        <v>0.791018</v>
      </c>
      <c r="O52" s="62">
        <v>1.8110040000000001</v>
      </c>
      <c r="P52" s="62">
        <v>1.1210039999999999</v>
      </c>
      <c r="Q52" s="169">
        <f>Table2123242526[[#This Row],[G2AIMD (pingpong)]]/Table2123242526[[#This Row],[gpu-hybrid-copy]]</f>
        <v>1.2567868240672146</v>
      </c>
      <c r="R52" s="169">
        <f>Table2123242526[[#This Row],[G2AIMD (pingpong)]]/Table2123242526[[#This Row],[gpu-layered]]</f>
        <v>1.1649480066277782</v>
      </c>
      <c r="S52" s="170">
        <f>Table2123242526[[#This Row],[gpu-hybrid-copy]]/Table2123242526[[#This Row],[CPU+GPU]]</f>
        <v>0.70563352137904956</v>
      </c>
      <c r="T52" s="170">
        <f>Table2123242526[[#This Row],[CPU Only]]/Table2123242526[[#This Row],[CPU+GPU]]</f>
        <v>1.6155196591626795</v>
      </c>
      <c r="U52" s="95"/>
      <c r="V52" s="95"/>
      <c r="W52" s="34"/>
      <c r="AA52" s="35"/>
      <c r="AC52" s="2"/>
      <c r="AE52" s="2"/>
      <c r="AI52" s="2"/>
      <c r="AK52" s="2"/>
    </row>
    <row r="53" spans="4:37" ht="24" x14ac:dyDescent="0.3">
      <c r="D53" s="9">
        <v>48</v>
      </c>
      <c r="E53" s="9" t="s">
        <v>1371</v>
      </c>
      <c r="F53" s="38">
        <v>2140198</v>
      </c>
      <c r="G53" s="38">
        <v>34029892</v>
      </c>
      <c r="H53" s="38">
        <f>Table2123242526[[#This Row],[E]]/Table2123242526[[#This Row],[V]]</f>
        <v>15.900347537938078</v>
      </c>
      <c r="I53" s="38">
        <v>97848</v>
      </c>
      <c r="J53" s="39">
        <v>19365288</v>
      </c>
      <c r="K53" s="41">
        <v>0.85894899999999996</v>
      </c>
      <c r="L53" s="159">
        <v>0.85916800000000004</v>
      </c>
      <c r="M53" s="77">
        <v>1.517344</v>
      </c>
      <c r="N53" s="152">
        <v>0.71303899999999998</v>
      </c>
      <c r="O53" s="62">
        <v>3.3648449999999999</v>
      </c>
      <c r="P53" s="62">
        <v>1.127974</v>
      </c>
      <c r="Q53" s="169">
        <f>Table2123242526[[#This Row],[G2AIMD (pingpong)]]/Table2123242526[[#This Row],[gpu-hybrid-copy]]</f>
        <v>1.2046311632323057</v>
      </c>
      <c r="R53" s="169">
        <f>Table2123242526[[#This Row],[G2AIMD (pingpong)]]/Table2123242526[[#This Row],[gpu-layered]]</f>
        <v>0.99974510223844459</v>
      </c>
      <c r="S53" s="170">
        <f>Table2123242526[[#This Row],[gpu-hybrid-copy]]/Table2123242526[[#This Row],[CPU+GPU]]</f>
        <v>0.63214134368345365</v>
      </c>
      <c r="T53" s="170">
        <f>Table2123242526[[#This Row],[CPU Only]]/Table2123242526[[#This Row],[CPU+GPU]]</f>
        <v>2.9830873761274637</v>
      </c>
      <c r="U53" s="95"/>
      <c r="V53" s="95"/>
      <c r="W53" s="34"/>
      <c r="AA53" s="35"/>
      <c r="AC53" s="2"/>
      <c r="AE53" s="2"/>
      <c r="AI53" s="2"/>
      <c r="AK53" s="2"/>
    </row>
    <row r="54" spans="4:37" ht="24" x14ac:dyDescent="0.3">
      <c r="D54" s="9">
        <v>49</v>
      </c>
      <c r="E54" s="22" t="s">
        <v>3919</v>
      </c>
      <c r="F54" s="38">
        <v>2937612</v>
      </c>
      <c r="G54" s="38">
        <v>41919708</v>
      </c>
      <c r="H54" s="38">
        <f>Table2123242526[[#This Row],[E]]/Table2123242526[[#This Row],[V]]</f>
        <v>14.269994812112696</v>
      </c>
      <c r="I54" s="38">
        <v>4356</v>
      </c>
      <c r="J54" s="39">
        <v>27593398</v>
      </c>
      <c r="K54" s="41">
        <v>0.62366100000000002</v>
      </c>
      <c r="L54" s="159">
        <v>0.63905199999999995</v>
      </c>
      <c r="M54" s="77">
        <v>1.176353</v>
      </c>
      <c r="N54" s="152">
        <v>0.48078500000000002</v>
      </c>
      <c r="O54" s="62">
        <v>3.6801520000000001</v>
      </c>
      <c r="P54" s="62">
        <v>1.075196</v>
      </c>
      <c r="Q54" s="169">
        <f>Table2123242526[[#This Row],[G2AIMD (pingpong)]]/Table2123242526[[#This Row],[gpu-hybrid-copy]]</f>
        <v>1.2971723327474858</v>
      </c>
      <c r="R54" s="169">
        <f>Table2123242526[[#This Row],[G2AIMD (pingpong)]]/Table2123242526[[#This Row],[gpu-layered]]</f>
        <v>0.97591588790896522</v>
      </c>
      <c r="S54" s="170">
        <f>Table2123242526[[#This Row],[gpu-hybrid-copy]]/Table2123242526[[#This Row],[CPU+GPU]]</f>
        <v>0.44716033169766256</v>
      </c>
      <c r="T54" s="170">
        <f>Table2123242526[[#This Row],[CPU Only]]/Table2123242526[[#This Row],[CPU+GPU]]</f>
        <v>3.4227731501977314</v>
      </c>
      <c r="U54" s="95"/>
      <c r="V54" s="95"/>
      <c r="W54" s="34"/>
      <c r="AA54" s="35"/>
      <c r="AC54" s="2"/>
      <c r="AE54" s="2"/>
      <c r="AI54" s="2"/>
      <c r="AK54" s="2"/>
    </row>
    <row r="55" spans="4:37" ht="25" thickBot="1" x14ac:dyDescent="0.35">
      <c r="D55" s="9">
        <v>50</v>
      </c>
      <c r="E55" s="22" t="s">
        <v>3920</v>
      </c>
      <c r="F55" s="38">
        <v>1632803</v>
      </c>
      <c r="G55" s="38">
        <v>44603928</v>
      </c>
      <c r="H55" s="38">
        <f>Table2123242526[[#This Row],[E]]/Table2123242526[[#This Row],[V]]</f>
        <v>27.31739713854029</v>
      </c>
      <c r="I55" s="38">
        <v>14854</v>
      </c>
      <c r="J55" s="39">
        <v>19376873</v>
      </c>
      <c r="K55" s="41">
        <v>2.154563</v>
      </c>
      <c r="L55" s="162">
        <v>0.43253999999999998</v>
      </c>
      <c r="M55" s="163">
        <v>1.138009</v>
      </c>
      <c r="N55" s="166">
        <v>0.34845199999999998</v>
      </c>
      <c r="O55" s="62">
        <v>2.2659929999999999</v>
      </c>
      <c r="P55" s="62">
        <v>0.96733800000000003</v>
      </c>
      <c r="Q55" s="169">
        <f>Table2123242526[[#This Row],[G2AIMD (pingpong)]]/Table2123242526[[#This Row],[gpu-hybrid-copy]]</f>
        <v>6.1832418812347187</v>
      </c>
      <c r="R55" s="169">
        <f>Table2123242526[[#This Row],[G2AIMD (pingpong)]]/Table2123242526[[#This Row],[gpu-layered]]</f>
        <v>4.9811878670180798</v>
      </c>
      <c r="S55" s="170">
        <f>Table2123242526[[#This Row],[gpu-hybrid-copy]]/Table2123242526[[#This Row],[CPU+GPU]]</f>
        <v>0.36021742141836666</v>
      </c>
      <c r="T55" s="170">
        <f>Table2123242526[[#This Row],[CPU Only]]/Table2123242526[[#This Row],[CPU+GPU]]</f>
        <v>2.342503861111628</v>
      </c>
      <c r="U55" s="95"/>
      <c r="V55" s="95"/>
      <c r="W55" s="34"/>
      <c r="AA55" s="35"/>
      <c r="AC55" s="2"/>
      <c r="AE55" s="2"/>
      <c r="AI55" s="2"/>
      <c r="AK55" s="2"/>
    </row>
    <row r="56" spans="4:37" x14ac:dyDescent="0.3">
      <c r="F56" s="11"/>
      <c r="G56" s="11"/>
      <c r="H56" s="11"/>
      <c r="I56" s="11"/>
      <c r="J56" s="10"/>
      <c r="K56" s="19"/>
      <c r="P56" s="10"/>
      <c r="Q56" s="10"/>
      <c r="R56" s="10"/>
      <c r="T56" s="10"/>
      <c r="W56" s="9"/>
      <c r="X56" s="9"/>
      <c r="Y56" s="9"/>
      <c r="Z56" s="9"/>
      <c r="AB56" s="15"/>
      <c r="AC56" s="9"/>
    </row>
    <row r="57" spans="4:37" x14ac:dyDescent="0.3">
      <c r="F57" s="11"/>
      <c r="G57" s="11"/>
      <c r="H57" s="11"/>
      <c r="I57" s="11"/>
      <c r="J57" s="10"/>
      <c r="K57" s="19"/>
      <c r="P57" s="10"/>
      <c r="Q57" s="10"/>
      <c r="R57" s="10"/>
      <c r="T57" s="10"/>
      <c r="W57" s="9"/>
      <c r="X57" s="9"/>
      <c r="Y57" s="9"/>
      <c r="Z57" s="9"/>
      <c r="AB57" s="15"/>
      <c r="AC57" s="9"/>
    </row>
    <row r="58" spans="4:37" x14ac:dyDescent="0.3">
      <c r="F58" s="11"/>
      <c r="G58" s="11"/>
      <c r="H58" s="11"/>
      <c r="I58" s="11"/>
      <c r="J58" s="10"/>
      <c r="K58" s="19"/>
      <c r="P58" s="10"/>
      <c r="Q58" s="10"/>
      <c r="R58" s="10"/>
      <c r="T58" s="10"/>
      <c r="W58" s="9"/>
      <c r="X58" s="9"/>
      <c r="Y58" s="9"/>
      <c r="Z58" s="9"/>
      <c r="AB58" s="15"/>
      <c r="AC58" s="9"/>
    </row>
    <row r="59" spans="4:37" x14ac:dyDescent="0.3">
      <c r="D59" s="11"/>
      <c r="E59" s="11"/>
      <c r="F59" s="11"/>
      <c r="G59" s="11"/>
      <c r="H59" s="11"/>
      <c r="I59" s="10"/>
      <c r="J59" s="20"/>
      <c r="K59" s="9"/>
      <c r="P59" s="20"/>
      <c r="Q59" s="20"/>
      <c r="R59" s="20"/>
      <c r="T59" s="20"/>
      <c r="W59" s="19"/>
      <c r="X59" s="19"/>
      <c r="Y59" s="19"/>
      <c r="Z59" s="19"/>
      <c r="AB59" s="9"/>
    </row>
    <row r="60" spans="4:37" x14ac:dyDescent="0.3">
      <c r="D60" s="11"/>
      <c r="E60" s="11"/>
      <c r="F60" s="11"/>
      <c r="G60" s="11"/>
      <c r="H60" s="11"/>
      <c r="I60" s="10"/>
      <c r="J60" s="20"/>
      <c r="K60" s="9"/>
      <c r="P60" s="20"/>
      <c r="Q60" s="20"/>
      <c r="R60" s="20"/>
      <c r="T60" s="20"/>
      <c r="W60" s="19"/>
      <c r="X60" s="19"/>
      <c r="Y60" s="19"/>
      <c r="Z60" s="19"/>
      <c r="AB60" s="9"/>
    </row>
    <row r="61" spans="4:37" x14ac:dyDescent="0.3">
      <c r="D61" s="11"/>
      <c r="E61" s="11"/>
      <c r="F61" s="11"/>
      <c r="G61" s="11"/>
      <c r="H61" s="11"/>
      <c r="I61" s="10"/>
      <c r="J61" s="20"/>
      <c r="K61" s="9"/>
      <c r="P61" s="20"/>
      <c r="Q61" s="20"/>
      <c r="R61" s="20"/>
      <c r="T61" s="20"/>
      <c r="W61" s="19"/>
      <c r="X61" s="19"/>
      <c r="Y61" s="19"/>
      <c r="Z61" s="19"/>
      <c r="AB61" s="9"/>
    </row>
    <row r="62" spans="4:37" x14ac:dyDescent="0.3">
      <c r="D62" s="11"/>
      <c r="E62" s="11"/>
      <c r="F62" s="11"/>
      <c r="G62" s="11"/>
      <c r="H62" s="11"/>
      <c r="I62" s="10"/>
      <c r="J62" s="20"/>
      <c r="K62" s="9"/>
      <c r="P62" s="20"/>
      <c r="Q62" s="20"/>
      <c r="R62" s="20"/>
      <c r="T62" s="20"/>
      <c r="W62" s="19"/>
      <c r="X62" s="19"/>
      <c r="Y62" s="19"/>
      <c r="Z62" s="19"/>
      <c r="AB62" s="9"/>
    </row>
    <row r="63" spans="4:37" x14ac:dyDescent="0.3">
      <c r="D63" s="11"/>
      <c r="E63" s="11"/>
      <c r="F63" s="11"/>
      <c r="G63" s="11"/>
      <c r="H63" s="11"/>
      <c r="I63" s="10"/>
      <c r="J63" s="20"/>
      <c r="K63" s="9"/>
      <c r="P63" s="20"/>
      <c r="Q63" s="20"/>
      <c r="R63" s="20"/>
      <c r="T63" s="20"/>
      <c r="W63" s="19"/>
      <c r="X63" s="19"/>
      <c r="Y63" s="19"/>
      <c r="Z63" s="19"/>
      <c r="AB63" s="9"/>
    </row>
    <row r="64" spans="4:37" x14ac:dyDescent="0.3">
      <c r="D64" s="11"/>
      <c r="E64" s="11"/>
      <c r="F64" s="11"/>
      <c r="G64" s="11"/>
      <c r="H64" s="11"/>
      <c r="I64" s="10"/>
      <c r="J64" s="10"/>
      <c r="K64" s="9"/>
      <c r="P64" s="10"/>
      <c r="Q64" s="10"/>
      <c r="R64" s="10"/>
      <c r="T64" s="10"/>
      <c r="W64" s="9"/>
      <c r="X64" s="9"/>
      <c r="Y64" s="9"/>
      <c r="Z64" s="9"/>
      <c r="AB64" s="9"/>
    </row>
    <row r="65" spans="4:28" x14ac:dyDescent="0.3">
      <c r="D65" s="11"/>
      <c r="E65" s="11"/>
      <c r="F65" s="11"/>
      <c r="G65" s="11"/>
      <c r="H65" s="11"/>
      <c r="I65" s="10"/>
      <c r="J65" s="10"/>
      <c r="K65" s="9"/>
      <c r="P65" s="10"/>
      <c r="Q65" s="10"/>
      <c r="R65" s="10"/>
      <c r="T65" s="10"/>
      <c r="W65" s="9"/>
      <c r="X65" s="9"/>
      <c r="Y65" s="9"/>
      <c r="Z65" s="9"/>
      <c r="AB65" s="9"/>
    </row>
    <row r="66" spans="4:28" x14ac:dyDescent="0.3">
      <c r="D66" s="11"/>
      <c r="E66" s="11"/>
      <c r="F66" s="11"/>
      <c r="G66" s="11"/>
      <c r="H66" s="11"/>
      <c r="I66" s="10"/>
      <c r="J66" s="10"/>
      <c r="K66" s="9"/>
      <c r="P66" s="10"/>
      <c r="Q66" s="10"/>
      <c r="R66" s="10"/>
      <c r="T66" s="10"/>
      <c r="W66" s="9"/>
      <c r="X66" s="9"/>
      <c r="Y66" s="9"/>
      <c r="Z66" s="9"/>
      <c r="AB66" s="9"/>
    </row>
    <row r="67" spans="4:28" x14ac:dyDescent="0.3">
      <c r="D67" s="11"/>
      <c r="E67" s="11"/>
      <c r="F67" s="11"/>
      <c r="G67" s="11"/>
      <c r="H67" s="11"/>
      <c r="I67" s="10"/>
      <c r="J67" s="10"/>
      <c r="K67" s="9"/>
      <c r="P67" s="10"/>
      <c r="Q67" s="10"/>
      <c r="R67" s="10"/>
      <c r="T67" s="10"/>
      <c r="W67" s="9"/>
      <c r="X67" s="9"/>
      <c r="Y67" s="9"/>
      <c r="Z67" s="9"/>
      <c r="AB67" s="9"/>
    </row>
    <row r="68" spans="4:28" x14ac:dyDescent="0.3">
      <c r="D68" s="11"/>
      <c r="E68" s="11"/>
      <c r="F68" s="11"/>
      <c r="G68" s="11"/>
      <c r="H68" s="11"/>
      <c r="I68" s="10"/>
      <c r="J68" s="10"/>
      <c r="K68" s="9"/>
      <c r="P68" s="10"/>
      <c r="Q68" s="10"/>
      <c r="R68" s="10"/>
      <c r="T68" s="10"/>
      <c r="W68" s="9"/>
      <c r="X68" s="9"/>
      <c r="Y68" s="9"/>
      <c r="Z68" s="9"/>
      <c r="AB68" s="9"/>
    </row>
    <row r="69" spans="4:28" x14ac:dyDescent="0.3">
      <c r="D69" s="11"/>
      <c r="E69" s="11"/>
      <c r="F69" s="11"/>
      <c r="G69" s="11"/>
      <c r="H69" s="11"/>
      <c r="I69" s="10"/>
      <c r="J69" s="10"/>
      <c r="K69" s="9"/>
      <c r="P69" s="10"/>
      <c r="Q69" s="10"/>
      <c r="R69" s="10"/>
      <c r="T69" s="10"/>
      <c r="W69" s="9"/>
      <c r="X69" s="9"/>
      <c r="Y69" s="9"/>
      <c r="Z69" s="9"/>
      <c r="AB69" s="9"/>
    </row>
    <row r="70" spans="4:28" x14ac:dyDescent="0.3">
      <c r="D70" s="11"/>
      <c r="E70" s="11"/>
      <c r="F70" s="11"/>
      <c r="G70" s="11"/>
      <c r="H70" s="11"/>
      <c r="I70" s="10"/>
      <c r="J70" s="10"/>
      <c r="K70" s="9"/>
      <c r="P70" s="10"/>
      <c r="Q70" s="10"/>
      <c r="R70" s="10"/>
      <c r="T70" s="10"/>
      <c r="W70" s="9"/>
      <c r="X70" s="9"/>
      <c r="Y70" s="9"/>
      <c r="Z70" s="9"/>
      <c r="AB70" s="9"/>
    </row>
    <row r="71" spans="4:28" x14ac:dyDescent="0.3">
      <c r="D71" s="11"/>
      <c r="E71" s="11"/>
      <c r="F71" s="11"/>
      <c r="G71" s="11"/>
      <c r="H71" s="11"/>
      <c r="I71" s="10"/>
      <c r="J71" s="10"/>
      <c r="K71" s="9"/>
      <c r="P71" s="10"/>
      <c r="Q71" s="10"/>
      <c r="R71" s="10"/>
      <c r="T71" s="10"/>
      <c r="W71" s="9"/>
      <c r="X71" s="9"/>
      <c r="Y71" s="9"/>
      <c r="Z71" s="9"/>
      <c r="AB71" s="9"/>
    </row>
    <row r="72" spans="4:28" x14ac:dyDescent="0.3">
      <c r="D72" s="11"/>
      <c r="E72" s="11"/>
      <c r="F72" s="11"/>
      <c r="G72" s="11"/>
      <c r="H72" s="11"/>
      <c r="I72" s="10"/>
      <c r="J72" s="10"/>
      <c r="K72" s="9"/>
      <c r="P72" s="10"/>
      <c r="Q72" s="10"/>
      <c r="R72" s="10"/>
      <c r="T72" s="10"/>
      <c r="W72" s="9"/>
      <c r="X72" s="9"/>
      <c r="Y72" s="9"/>
      <c r="Z72" s="9"/>
      <c r="AB72" s="9"/>
    </row>
    <row r="73" spans="4:28" x14ac:dyDescent="0.3">
      <c r="D73" s="11"/>
      <c r="E73" s="11"/>
      <c r="F73" s="11"/>
      <c r="G73" s="11"/>
      <c r="H73" s="11"/>
      <c r="I73" s="10"/>
      <c r="J73" s="10"/>
      <c r="K73" s="9"/>
      <c r="P73" s="10"/>
      <c r="Q73" s="10"/>
      <c r="R73" s="10"/>
      <c r="T73" s="10"/>
      <c r="W73" s="9"/>
      <c r="X73" s="9"/>
      <c r="Y73" s="9"/>
      <c r="Z73" s="9"/>
      <c r="AB73" s="9"/>
    </row>
    <row r="74" spans="4:28" x14ac:dyDescent="0.3">
      <c r="D74" s="11"/>
      <c r="E74" s="11"/>
      <c r="F74" s="11"/>
      <c r="G74" s="11"/>
      <c r="H74" s="11"/>
      <c r="I74" s="10"/>
      <c r="J74" s="10"/>
      <c r="K74" s="9"/>
      <c r="P74" s="10"/>
      <c r="Q74" s="10"/>
      <c r="R74" s="10"/>
      <c r="T74" s="10"/>
      <c r="W74" s="9"/>
      <c r="X74" s="9"/>
      <c r="Y74" s="9"/>
      <c r="Z74" s="9"/>
      <c r="AB74" s="9"/>
    </row>
    <row r="75" spans="4:28" x14ac:dyDescent="0.3">
      <c r="D75" s="11"/>
      <c r="E75" s="11"/>
      <c r="F75" s="11"/>
      <c r="G75" s="11"/>
      <c r="H75" s="11"/>
      <c r="I75" s="10"/>
      <c r="J75" s="10"/>
      <c r="K75" s="9"/>
      <c r="P75" s="10"/>
      <c r="Q75" s="10"/>
      <c r="R75" s="10"/>
      <c r="T75" s="10"/>
      <c r="W75" s="9"/>
      <c r="X75" s="9"/>
      <c r="Y75" s="9"/>
      <c r="Z75" s="9"/>
      <c r="AB75" s="9"/>
    </row>
    <row r="76" spans="4:28" x14ac:dyDescent="0.3">
      <c r="D76" s="11"/>
      <c r="E76" s="11"/>
      <c r="F76" s="11"/>
      <c r="G76" s="11"/>
      <c r="H76" s="11"/>
      <c r="I76" s="10"/>
      <c r="J76" s="10"/>
      <c r="K76" s="9"/>
      <c r="P76" s="10"/>
      <c r="Q76" s="10"/>
      <c r="R76" s="10"/>
      <c r="T76" s="10"/>
      <c r="W76" s="9"/>
      <c r="X76" s="9"/>
      <c r="Y76" s="9"/>
      <c r="Z76" s="9"/>
      <c r="AB76" s="9"/>
    </row>
    <row r="77" spans="4:28" x14ac:dyDescent="0.3">
      <c r="D77" s="11"/>
      <c r="E77" s="11"/>
      <c r="F77" s="11"/>
      <c r="G77" s="11"/>
      <c r="H77" s="11"/>
      <c r="I77" s="10"/>
      <c r="J77" s="10"/>
      <c r="K77" s="9"/>
      <c r="P77" s="10"/>
      <c r="Q77" s="10"/>
      <c r="R77" s="10"/>
      <c r="T77" s="10"/>
      <c r="W77" s="9"/>
      <c r="X77" s="9"/>
      <c r="Y77" s="9"/>
      <c r="Z77" s="9"/>
      <c r="AB77" s="9"/>
    </row>
    <row r="78" spans="4:28" x14ac:dyDescent="0.3">
      <c r="D78" s="11"/>
      <c r="E78" s="11"/>
      <c r="F78" s="11"/>
      <c r="G78" s="11"/>
      <c r="H78" s="11"/>
      <c r="I78" s="10"/>
      <c r="J78" s="10"/>
      <c r="K78" s="9"/>
      <c r="P78" s="10"/>
      <c r="Q78" s="10"/>
      <c r="R78" s="10"/>
      <c r="T78" s="10"/>
      <c r="W78" s="9"/>
      <c r="X78" s="9"/>
      <c r="Y78" s="9"/>
      <c r="Z78" s="9"/>
      <c r="AB78" s="9"/>
    </row>
    <row r="80" spans="4:28" x14ac:dyDescent="0.3">
      <c r="G80" s="3"/>
      <c r="H80" s="3"/>
    </row>
    <row r="81" spans="7:8" x14ac:dyDescent="0.3">
      <c r="G81" s="3"/>
      <c r="H81" s="3"/>
    </row>
    <row r="82" spans="7:8" x14ac:dyDescent="0.3">
      <c r="G82" s="3"/>
      <c r="H82" s="3"/>
    </row>
    <row r="83" spans="7:8" x14ac:dyDescent="0.3">
      <c r="G83" s="3"/>
      <c r="H83" s="3"/>
    </row>
    <row r="84" spans="7:8" x14ac:dyDescent="0.3">
      <c r="G84" s="3"/>
      <c r="H84" s="3"/>
    </row>
    <row r="85" spans="7:8" x14ac:dyDescent="0.3">
      <c r="G85" s="3"/>
      <c r="H85" s="3"/>
    </row>
    <row r="86" spans="7:8" x14ac:dyDescent="0.3">
      <c r="G86" s="3"/>
      <c r="H86" s="3"/>
    </row>
    <row r="87" spans="7:8" x14ac:dyDescent="0.3">
      <c r="G87" s="3"/>
      <c r="H87" s="3"/>
    </row>
    <row r="88" spans="7:8" x14ac:dyDescent="0.3">
      <c r="G88" s="3"/>
      <c r="H88" s="3"/>
    </row>
    <row r="89" spans="7:8" x14ac:dyDescent="0.3">
      <c r="G89" s="3"/>
      <c r="H89" s="3"/>
    </row>
    <row r="90" spans="7:8" x14ac:dyDescent="0.3">
      <c r="G90" s="3"/>
      <c r="H90" s="3"/>
    </row>
    <row r="91" spans="7:8" x14ac:dyDescent="0.3">
      <c r="G91" s="3"/>
      <c r="H91" s="3"/>
    </row>
    <row r="92" spans="7:8" x14ac:dyDescent="0.3">
      <c r="G92" s="3"/>
      <c r="H92" s="3"/>
    </row>
    <row r="93" spans="7:8" x14ac:dyDescent="0.3">
      <c r="G93" s="3"/>
      <c r="H93" s="3"/>
    </row>
    <row r="94" spans="7:8" x14ac:dyDescent="0.3">
      <c r="G94" s="3"/>
      <c r="H94" s="3"/>
    </row>
    <row r="95" spans="7:8" x14ac:dyDescent="0.3">
      <c r="G95" s="3"/>
      <c r="H95" s="3"/>
    </row>
    <row r="96" spans="7:8" x14ac:dyDescent="0.3">
      <c r="G96" s="3"/>
      <c r="H96" s="3"/>
    </row>
    <row r="97" spans="7:8" x14ac:dyDescent="0.3">
      <c r="G97" s="3"/>
      <c r="H97" s="3"/>
    </row>
    <row r="98" spans="7:8" x14ac:dyDescent="0.3">
      <c r="G98" s="3"/>
      <c r="H98" s="3"/>
    </row>
    <row r="99" spans="7:8" x14ac:dyDescent="0.3">
      <c r="G99" s="3"/>
      <c r="H99" s="3"/>
    </row>
    <row r="100" spans="7:8" x14ac:dyDescent="0.3">
      <c r="G100" s="3"/>
      <c r="H100" s="3"/>
    </row>
    <row r="101" spans="7:8" x14ac:dyDescent="0.3">
      <c r="G101" s="3"/>
      <c r="H101" s="3"/>
    </row>
    <row r="102" spans="7:8" x14ac:dyDescent="0.3">
      <c r="G102" s="3"/>
      <c r="H102" s="3"/>
    </row>
    <row r="103" spans="7:8" x14ac:dyDescent="0.3">
      <c r="G103" s="3"/>
      <c r="H103" s="3"/>
    </row>
    <row r="104" spans="7:8" x14ac:dyDescent="0.3">
      <c r="G104" s="3"/>
      <c r="H104" s="3"/>
    </row>
    <row r="105" spans="7:8" x14ac:dyDescent="0.3">
      <c r="G105" s="3"/>
      <c r="H105" s="3"/>
    </row>
    <row r="106" spans="7:8" x14ac:dyDescent="0.3">
      <c r="G106" s="3"/>
      <c r="H106" s="3"/>
    </row>
    <row r="107" spans="7:8" x14ac:dyDescent="0.3">
      <c r="G107" s="3"/>
      <c r="H107" s="3"/>
    </row>
    <row r="108" spans="7:8" x14ac:dyDescent="0.3">
      <c r="G108" s="3"/>
      <c r="H108" s="3"/>
    </row>
    <row r="109" spans="7:8" x14ac:dyDescent="0.3">
      <c r="G109" s="3"/>
      <c r="H109" s="3"/>
    </row>
    <row r="110" spans="7:8" x14ac:dyDescent="0.3">
      <c r="G110" s="3"/>
      <c r="H110" s="3"/>
    </row>
    <row r="111" spans="7:8" x14ac:dyDescent="0.3">
      <c r="G111" s="3"/>
      <c r="H111" s="3"/>
    </row>
    <row r="112" spans="7:8" x14ac:dyDescent="0.3">
      <c r="G112" s="3"/>
      <c r="H112" s="3"/>
    </row>
    <row r="113" spans="7:8" x14ac:dyDescent="0.3">
      <c r="G113" s="3"/>
      <c r="H113" s="3"/>
    </row>
    <row r="114" spans="7:8" x14ac:dyDescent="0.3">
      <c r="G114" s="3"/>
      <c r="H114" s="3"/>
    </row>
    <row r="115" spans="7:8" x14ac:dyDescent="0.3">
      <c r="G115" s="3"/>
      <c r="H115" s="3"/>
    </row>
    <row r="116" spans="7:8" x14ac:dyDescent="0.3">
      <c r="G116" s="3"/>
      <c r="H116" s="3"/>
    </row>
    <row r="117" spans="7:8" x14ac:dyDescent="0.3">
      <c r="G117" s="3"/>
      <c r="H117" s="3"/>
    </row>
    <row r="118" spans="7:8" x14ac:dyDescent="0.3">
      <c r="G118" s="3"/>
      <c r="H118" s="3"/>
    </row>
    <row r="119" spans="7:8" x14ac:dyDescent="0.3">
      <c r="G119" s="3"/>
      <c r="H119" s="3"/>
    </row>
    <row r="120" spans="7:8" x14ac:dyDescent="0.3">
      <c r="G120" s="3"/>
      <c r="H120" s="3"/>
    </row>
    <row r="121" spans="7:8" x14ac:dyDescent="0.3">
      <c r="G121" s="3"/>
      <c r="H121" s="3"/>
    </row>
    <row r="122" spans="7:8" x14ac:dyDescent="0.3">
      <c r="G122" s="3"/>
      <c r="H122" s="3"/>
    </row>
    <row r="123" spans="7:8" x14ac:dyDescent="0.3">
      <c r="G123" s="3"/>
      <c r="H123" s="3"/>
    </row>
    <row r="124" spans="7:8" x14ac:dyDescent="0.3">
      <c r="G124" s="3"/>
      <c r="H124" s="3"/>
    </row>
    <row r="125" spans="7:8" x14ac:dyDescent="0.3">
      <c r="G125" s="3"/>
      <c r="H125" s="3"/>
    </row>
    <row r="126" spans="7:8" x14ac:dyDescent="0.3">
      <c r="G126" s="3"/>
      <c r="H126" s="3"/>
    </row>
  </sheetData>
  <phoneticPr fontId="5" type="noConversion"/>
  <pageMargins left="0.7" right="0.7" top="0.75" bottom="0.75" header="0.3" footer="0.3"/>
  <pageSetup orientation="portrait" horizontalDpi="0" verticalDpi="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88F32-C306-9942-B2BF-61C867C9C8AC}">
  <dimension ref="B2:AS87"/>
  <sheetViews>
    <sheetView topLeftCell="A50" zoomScale="88" workbookViewId="0">
      <selection activeCell="H70" sqref="H70"/>
    </sheetView>
  </sheetViews>
  <sheetFormatPr baseColWidth="10" defaultRowHeight="16" x14ac:dyDescent="0.2"/>
  <cols>
    <col min="1" max="1" width="16.83203125" bestFit="1" customWidth="1"/>
    <col min="2" max="2" width="34.5" customWidth="1"/>
    <col min="3" max="3" width="18" bestFit="1" customWidth="1"/>
    <col min="4" max="4" width="23.1640625" bestFit="1" customWidth="1"/>
    <col min="5" max="5" width="13" bestFit="1" customWidth="1"/>
    <col min="6" max="6" width="11.83203125" bestFit="1" customWidth="1"/>
    <col min="7" max="7" width="23.83203125" bestFit="1" customWidth="1"/>
    <col min="8" max="8" width="19" customWidth="1"/>
    <col min="9" max="9" width="18.1640625" bestFit="1" customWidth="1"/>
    <col min="10" max="10" width="24.6640625" bestFit="1" customWidth="1"/>
    <col min="11" max="11" width="24.83203125" bestFit="1" customWidth="1"/>
    <col min="12" max="12" width="16.6640625" customWidth="1"/>
    <col min="13" max="13" width="13.5" bestFit="1" customWidth="1"/>
    <col min="14" max="14" width="15.1640625" bestFit="1" customWidth="1"/>
    <col min="15" max="15" width="14" customWidth="1"/>
    <col min="16" max="16" width="18" customWidth="1"/>
    <col min="17" max="18" width="14.5" bestFit="1" customWidth="1"/>
    <col min="19" max="19" width="12.1640625" customWidth="1"/>
    <col min="20" max="20" width="3.83203125" customWidth="1"/>
    <col min="21" max="21" width="11.1640625" bestFit="1" customWidth="1"/>
    <col min="22" max="22" width="11.6640625" bestFit="1" customWidth="1"/>
    <col min="25" max="25" width="23.83203125" bestFit="1" customWidth="1"/>
    <col min="29" max="29" width="13.1640625" bestFit="1" customWidth="1"/>
    <col min="32" max="32" width="16.5" bestFit="1" customWidth="1"/>
  </cols>
  <sheetData>
    <row r="2" spans="2:45" ht="32" x14ac:dyDescent="0.4">
      <c r="B2" s="146" t="s">
        <v>4011</v>
      </c>
      <c r="AS2" s="35">
        <v>5.7128509999999997</v>
      </c>
    </row>
    <row r="3" spans="2:45" ht="27" x14ac:dyDescent="0.35">
      <c r="H3" s="179" t="s">
        <v>3964</v>
      </c>
      <c r="I3" s="179"/>
      <c r="J3" s="179"/>
      <c r="K3" s="179"/>
      <c r="L3" s="179"/>
      <c r="M3" s="179"/>
      <c r="N3" s="179"/>
      <c r="O3" s="82" t="s">
        <v>3965</v>
      </c>
      <c r="P3" s="82"/>
      <c r="AS3" s="35">
        <v>18.897711999999999</v>
      </c>
    </row>
    <row r="4" spans="2:45" ht="27" x14ac:dyDescent="0.35">
      <c r="B4" s="72" t="s">
        <v>3957</v>
      </c>
      <c r="C4" s="72" t="s">
        <v>4008</v>
      </c>
      <c r="D4" s="72" t="s">
        <v>4009</v>
      </c>
      <c r="E4" s="72" t="s">
        <v>3966</v>
      </c>
      <c r="F4" s="72" t="s">
        <v>3967</v>
      </c>
      <c r="G4" s="72" t="s">
        <v>4007</v>
      </c>
      <c r="H4" s="72" t="s">
        <v>3930</v>
      </c>
      <c r="I4" s="72" t="s">
        <v>3960</v>
      </c>
      <c r="J4" s="72" t="s">
        <v>3987</v>
      </c>
      <c r="K4" s="72" t="s">
        <v>3986</v>
      </c>
      <c r="L4" s="72" t="s">
        <v>3929</v>
      </c>
      <c r="M4" s="72" t="s">
        <v>3935</v>
      </c>
      <c r="O4" s="72" t="s">
        <v>3934</v>
      </c>
      <c r="P4" s="72" t="s">
        <v>3956</v>
      </c>
      <c r="Y4" s="87" t="s">
        <v>3957</v>
      </c>
      <c r="Z4" s="87" t="s">
        <v>3968</v>
      </c>
      <c r="AA4" s="88"/>
      <c r="AB4" s="88"/>
      <c r="AC4" s="89" t="s">
        <v>3942</v>
      </c>
      <c r="AD4" s="90" t="s">
        <v>3970</v>
      </c>
      <c r="AE4" s="88"/>
      <c r="AF4" s="89" t="s">
        <v>3938</v>
      </c>
      <c r="AG4" s="90" t="s">
        <v>3970</v>
      </c>
      <c r="AS4" s="35">
        <v>9.4467379999999999</v>
      </c>
    </row>
    <row r="5" spans="2:45" ht="27" x14ac:dyDescent="0.35">
      <c r="B5" s="130" t="s">
        <v>1531</v>
      </c>
      <c r="C5" s="143">
        <v>2523386</v>
      </c>
      <c r="D5" s="143">
        <v>15837602</v>
      </c>
      <c r="E5" s="79">
        <v>30</v>
      </c>
      <c r="F5" s="79">
        <v>0.95</v>
      </c>
      <c r="G5" s="147">
        <v>36085</v>
      </c>
      <c r="H5" s="47">
        <v>112.85599999999999</v>
      </c>
      <c r="I5" s="47">
        <v>126.065</v>
      </c>
      <c r="J5" s="47">
        <v>125.18131085860148</v>
      </c>
      <c r="K5" s="47">
        <v>129.19073894297208</v>
      </c>
      <c r="L5" s="47" t="s">
        <v>3902</v>
      </c>
      <c r="M5" s="173">
        <v>25.606200000000001</v>
      </c>
      <c r="N5" s="77">
        <v>25.606200000000001</v>
      </c>
      <c r="O5" s="80" t="s">
        <v>3902</v>
      </c>
      <c r="P5" s="80">
        <v>396.8</v>
      </c>
      <c r="Y5" s="87" t="s">
        <v>3966</v>
      </c>
      <c r="Z5" s="87">
        <v>30</v>
      </c>
      <c r="AA5" s="88"/>
      <c r="AB5" s="88"/>
      <c r="AC5" s="91">
        <v>100</v>
      </c>
      <c r="AD5" s="85">
        <v>111.26600000000001</v>
      </c>
      <c r="AE5" s="88"/>
      <c r="AF5" s="91">
        <v>1</v>
      </c>
      <c r="AG5" s="84">
        <v>19.003499999999999</v>
      </c>
      <c r="AS5" s="35">
        <v>22.320332000000001</v>
      </c>
    </row>
    <row r="6" spans="2:45" ht="27" x14ac:dyDescent="0.35">
      <c r="B6" s="130" t="s">
        <v>3962</v>
      </c>
      <c r="C6" s="143">
        <v>50515</v>
      </c>
      <c r="D6" s="143">
        <v>1638180</v>
      </c>
      <c r="E6" s="79">
        <v>23</v>
      </c>
      <c r="F6" s="79">
        <v>0.9</v>
      </c>
      <c r="G6" s="147">
        <v>16009</v>
      </c>
      <c r="H6" s="47" t="s">
        <v>3904</v>
      </c>
      <c r="I6" s="47">
        <v>390.51600000000002</v>
      </c>
      <c r="J6" s="47">
        <v>390.10450995337078</v>
      </c>
      <c r="K6" s="47">
        <v>390.25024172041248</v>
      </c>
      <c r="L6" s="47" t="s">
        <v>3902</v>
      </c>
      <c r="M6" s="173">
        <v>257.43</v>
      </c>
      <c r="N6" s="77">
        <v>257.43</v>
      </c>
      <c r="O6" s="80" t="s">
        <v>3902</v>
      </c>
      <c r="P6" s="80" t="s">
        <v>3902</v>
      </c>
      <c r="Y6" s="87" t="s">
        <v>3967</v>
      </c>
      <c r="Z6" s="87">
        <v>0.95</v>
      </c>
      <c r="AA6" s="88"/>
      <c r="AB6" s="88"/>
      <c r="AC6" s="91">
        <v>1000</v>
      </c>
      <c r="AD6" s="85">
        <v>29.1617</v>
      </c>
      <c r="AE6" s="88"/>
      <c r="AF6" s="91">
        <v>10</v>
      </c>
      <c r="AG6" s="84">
        <v>18.909700000000001</v>
      </c>
      <c r="AH6" s="77"/>
      <c r="AL6" s="35"/>
      <c r="AS6" s="35">
        <v>8.3141999999999994E-2</v>
      </c>
    </row>
    <row r="7" spans="2:45" ht="27" x14ac:dyDescent="0.35">
      <c r="B7" s="130" t="s">
        <v>1514</v>
      </c>
      <c r="C7" s="143">
        <v>146005</v>
      </c>
      <c r="D7" s="143">
        <v>1313998</v>
      </c>
      <c r="E7" s="79">
        <v>5</v>
      </c>
      <c r="F7" s="79">
        <v>0.8</v>
      </c>
      <c r="G7" s="147">
        <v>94500</v>
      </c>
      <c r="H7" s="47">
        <v>48.034700000000001</v>
      </c>
      <c r="I7" s="47">
        <v>50.8005</v>
      </c>
      <c r="J7" s="47">
        <v>49.286268665653402</v>
      </c>
      <c r="K7" s="47">
        <v>48.925929149757124</v>
      </c>
      <c r="L7" s="47">
        <v>50.255800000000001</v>
      </c>
      <c r="M7" s="173">
        <v>8.5703300000000002</v>
      </c>
      <c r="N7" s="77">
        <v>8.5703300000000002</v>
      </c>
      <c r="O7" s="80">
        <v>235.078</v>
      </c>
      <c r="P7" s="80">
        <v>296.74</v>
      </c>
      <c r="Q7" s="179"/>
      <c r="R7" s="179"/>
      <c r="S7" s="179"/>
      <c r="T7" s="82"/>
      <c r="U7" s="180"/>
      <c r="V7" s="180"/>
      <c r="Y7" s="87" t="s">
        <v>3969</v>
      </c>
      <c r="Z7" s="84">
        <v>36085</v>
      </c>
      <c r="AA7" s="88"/>
      <c r="AB7" s="88"/>
      <c r="AC7" s="92">
        <v>10000</v>
      </c>
      <c r="AD7" s="86">
        <v>18.9161</v>
      </c>
      <c r="AE7" s="88"/>
      <c r="AF7" s="91">
        <v>20</v>
      </c>
      <c r="AG7" s="84">
        <v>17.566099999999999</v>
      </c>
      <c r="AH7" s="77"/>
      <c r="AS7" s="35">
        <v>22.697265999999999</v>
      </c>
    </row>
    <row r="8" spans="2:45" ht="27" x14ac:dyDescent="0.35">
      <c r="B8" s="130" t="s">
        <v>1528</v>
      </c>
      <c r="C8" s="143">
        <v>1402673</v>
      </c>
      <c r="D8" s="143">
        <v>5554838</v>
      </c>
      <c r="E8" s="79">
        <v>20</v>
      </c>
      <c r="F8" s="79">
        <v>0.8</v>
      </c>
      <c r="G8" s="147">
        <v>3785</v>
      </c>
      <c r="H8" s="47">
        <v>34.322899999999997</v>
      </c>
      <c r="I8" s="47">
        <v>30.9161</v>
      </c>
      <c r="J8" s="47">
        <v>32.211912020573102</v>
      </c>
      <c r="K8" s="47">
        <v>31.361574010748814</v>
      </c>
      <c r="L8" s="47">
        <v>1264.97</v>
      </c>
      <c r="M8" s="174">
        <v>26.52</v>
      </c>
      <c r="N8" s="77">
        <v>26.52</v>
      </c>
      <c r="O8" s="80" t="s">
        <v>3902</v>
      </c>
      <c r="P8" s="80" t="s">
        <v>3902</v>
      </c>
      <c r="Q8" s="72"/>
      <c r="R8" s="72"/>
      <c r="S8" s="72"/>
      <c r="T8" s="72"/>
      <c r="U8" s="72"/>
      <c r="V8" s="72"/>
      <c r="Y8" s="88"/>
      <c r="Z8" s="88"/>
      <c r="AA8" s="88"/>
      <c r="AB8" s="88"/>
      <c r="AC8" s="91">
        <v>20000</v>
      </c>
      <c r="AD8" s="85">
        <v>28.322800000000001</v>
      </c>
      <c r="AE8" s="88"/>
      <c r="AF8" s="91">
        <v>50</v>
      </c>
      <c r="AG8" s="84">
        <v>20.896999999999998</v>
      </c>
      <c r="AH8" s="77"/>
      <c r="AS8" s="35">
        <v>13.386818999999999</v>
      </c>
    </row>
    <row r="9" spans="2:45" ht="27" x14ac:dyDescent="0.35">
      <c r="B9" s="130" t="s">
        <v>3919</v>
      </c>
      <c r="C9" s="143">
        <v>2937612</v>
      </c>
      <c r="D9" s="143">
        <v>41919708</v>
      </c>
      <c r="E9" s="79">
        <v>20</v>
      </c>
      <c r="F9" s="79">
        <v>0.95</v>
      </c>
      <c r="G9" s="147">
        <v>399864</v>
      </c>
      <c r="H9" s="135">
        <v>1495.9010000000001</v>
      </c>
      <c r="I9" s="135">
        <v>1452.82</v>
      </c>
      <c r="J9" s="135">
        <v>1455.5143837058636</v>
      </c>
      <c r="K9" s="135">
        <v>1447.9560301116103</v>
      </c>
      <c r="L9" s="47">
        <v>1708.14</v>
      </c>
      <c r="M9" s="174">
        <v>606.88300000000004</v>
      </c>
      <c r="N9" s="77">
        <v>606.88300000000004</v>
      </c>
      <c r="O9" s="80" t="s">
        <v>3902</v>
      </c>
      <c r="P9" s="80" t="s">
        <v>3902</v>
      </c>
      <c r="Q9" s="80"/>
      <c r="R9" s="80"/>
      <c r="S9" s="83"/>
      <c r="T9" s="80"/>
      <c r="U9" s="80"/>
      <c r="V9" s="80"/>
      <c r="Y9" s="88"/>
      <c r="Z9" s="88"/>
      <c r="AA9" s="88"/>
      <c r="AB9" s="88"/>
      <c r="AC9" s="88"/>
      <c r="AD9" s="88"/>
      <c r="AE9" s="88"/>
      <c r="AF9" s="88"/>
      <c r="AG9" s="93"/>
      <c r="AH9" s="78"/>
      <c r="AS9" s="35">
        <v>290.598725</v>
      </c>
    </row>
    <row r="10" spans="2:45" ht="27" x14ac:dyDescent="0.35">
      <c r="B10" s="130" t="s">
        <v>3920</v>
      </c>
      <c r="C10" s="143">
        <v>1632803</v>
      </c>
      <c r="D10" s="143">
        <v>44603928</v>
      </c>
      <c r="E10" s="130">
        <v>20</v>
      </c>
      <c r="F10" s="130">
        <v>0.9</v>
      </c>
      <c r="G10" s="147">
        <v>573021</v>
      </c>
      <c r="H10" s="135">
        <v>582.32100000000003</v>
      </c>
      <c r="I10" s="135">
        <v>546.51199999999994</v>
      </c>
      <c r="J10" s="135">
        <v>551.61994410807802</v>
      </c>
      <c r="K10" s="135">
        <v>550.54640957520166</v>
      </c>
      <c r="L10" s="47">
        <v>362.80500000000001</v>
      </c>
      <c r="M10" s="174">
        <v>209.047</v>
      </c>
      <c r="N10" s="77">
        <v>209.047</v>
      </c>
      <c r="O10" s="80" t="s">
        <v>3902</v>
      </c>
      <c r="P10" s="80" t="s">
        <v>3902</v>
      </c>
      <c r="Q10" s="80"/>
      <c r="R10" s="80"/>
      <c r="S10" s="83"/>
      <c r="T10" s="80"/>
      <c r="U10" s="80"/>
      <c r="V10" s="80"/>
      <c r="Y10" s="87" t="s">
        <v>3957</v>
      </c>
      <c r="Z10" s="87" t="s">
        <v>1528</v>
      </c>
      <c r="AA10" s="88"/>
      <c r="AB10" s="88"/>
      <c r="AC10" s="89" t="s">
        <v>3942</v>
      </c>
      <c r="AD10" s="90" t="s">
        <v>3970</v>
      </c>
      <c r="AE10" s="88"/>
      <c r="AF10" s="89" t="s">
        <v>3938</v>
      </c>
      <c r="AG10" s="90" t="s">
        <v>3970</v>
      </c>
      <c r="AS10" s="35">
        <v>433.325399</v>
      </c>
    </row>
    <row r="11" spans="2:45" ht="27" x14ac:dyDescent="0.35">
      <c r="B11" s="130" t="s">
        <v>593</v>
      </c>
      <c r="C11" s="143">
        <v>5111</v>
      </c>
      <c r="D11" s="143">
        <v>53698</v>
      </c>
      <c r="E11" s="130">
        <v>10</v>
      </c>
      <c r="F11" s="130">
        <v>0.72</v>
      </c>
      <c r="G11" s="147">
        <v>1262</v>
      </c>
      <c r="H11" s="47">
        <v>38.341000000000001</v>
      </c>
      <c r="I11" s="69">
        <v>38.271000000000001</v>
      </c>
      <c r="J11" s="69">
        <v>39.500399999999999</v>
      </c>
      <c r="K11" s="69">
        <v>39.559600000000003</v>
      </c>
      <c r="L11" s="69">
        <v>715.40200000000004</v>
      </c>
      <c r="M11" s="173">
        <v>33.93</v>
      </c>
      <c r="N11" s="77">
        <v>33.93</v>
      </c>
      <c r="O11" s="80" t="s">
        <v>3902</v>
      </c>
      <c r="P11" s="80" t="s">
        <v>3902</v>
      </c>
      <c r="Q11" s="80"/>
      <c r="R11" s="80"/>
      <c r="S11" s="80"/>
      <c r="T11" s="80"/>
      <c r="U11" s="80"/>
      <c r="V11" s="83"/>
      <c r="Y11" s="87" t="s">
        <v>3966</v>
      </c>
      <c r="Z11" s="87">
        <v>20</v>
      </c>
      <c r="AA11" s="88"/>
      <c r="AB11" s="88"/>
      <c r="AC11" s="88">
        <v>10</v>
      </c>
      <c r="AD11" s="85">
        <v>112.94799999999999</v>
      </c>
      <c r="AE11" s="88"/>
      <c r="AF11" s="91">
        <v>1</v>
      </c>
      <c r="AG11" s="85">
        <v>23.771899999999999</v>
      </c>
      <c r="AS11" s="35" t="s">
        <v>3971</v>
      </c>
    </row>
    <row r="12" spans="2:45" ht="27" x14ac:dyDescent="0.35">
      <c r="B12" s="130" t="s">
        <v>595</v>
      </c>
      <c r="C12" s="143">
        <v>2022</v>
      </c>
      <c r="D12" s="143">
        <v>22234</v>
      </c>
      <c r="E12" s="130">
        <v>10</v>
      </c>
      <c r="F12" s="130">
        <v>0.7</v>
      </c>
      <c r="G12" s="147">
        <v>490</v>
      </c>
      <c r="H12" s="144" t="s">
        <v>3904</v>
      </c>
      <c r="I12" s="69">
        <v>112.27500000000001</v>
      </c>
      <c r="J12" s="69">
        <v>122.95</v>
      </c>
      <c r="K12" s="69">
        <v>118.2</v>
      </c>
      <c r="L12" s="69">
        <v>1021.56</v>
      </c>
      <c r="M12" s="173">
        <v>106.2</v>
      </c>
      <c r="N12" s="77">
        <v>106.2</v>
      </c>
      <c r="O12" s="80" t="s">
        <v>3902</v>
      </c>
      <c r="P12" s="80" t="s">
        <v>3902</v>
      </c>
      <c r="Y12" s="87" t="s">
        <v>3967</v>
      </c>
      <c r="Z12" s="87">
        <v>0.8</v>
      </c>
      <c r="AA12" s="88"/>
      <c r="AB12" s="88"/>
      <c r="AC12" s="91">
        <v>100</v>
      </c>
      <c r="AD12" s="85">
        <v>34.610700000000001</v>
      </c>
      <c r="AE12" s="88"/>
      <c r="AF12" s="91">
        <v>10</v>
      </c>
      <c r="AG12" s="85">
        <v>23.1478</v>
      </c>
      <c r="AS12" s="35" t="s">
        <v>3971</v>
      </c>
    </row>
    <row r="13" spans="2:45" ht="27" x14ac:dyDescent="0.35">
      <c r="B13" s="130" t="s">
        <v>829</v>
      </c>
      <c r="C13" s="143">
        <v>39884</v>
      </c>
      <c r="D13" s="143">
        <v>152908</v>
      </c>
      <c r="E13" s="130">
        <v>7</v>
      </c>
      <c r="F13" s="130">
        <v>0.6</v>
      </c>
      <c r="G13" s="147">
        <v>5294</v>
      </c>
      <c r="H13" s="144">
        <v>42.377000000000002</v>
      </c>
      <c r="I13" s="69">
        <v>40.567500000000003</v>
      </c>
      <c r="J13" s="69">
        <v>40.563899999999997</v>
      </c>
      <c r="K13" s="69">
        <v>40.704999999999998</v>
      </c>
      <c r="L13" s="69">
        <v>5.4308800000000002</v>
      </c>
      <c r="M13" s="173">
        <v>7.05</v>
      </c>
      <c r="N13" s="77">
        <v>7.05</v>
      </c>
      <c r="O13" s="69">
        <v>143.143</v>
      </c>
      <c r="P13" s="69">
        <v>406.05</v>
      </c>
      <c r="S13" s="81"/>
      <c r="T13" s="81"/>
      <c r="Y13" s="87" t="s">
        <v>3969</v>
      </c>
      <c r="Z13" s="84">
        <v>3785</v>
      </c>
      <c r="AA13" s="88"/>
      <c r="AB13" s="88"/>
      <c r="AC13" s="92">
        <v>1000</v>
      </c>
      <c r="AD13" s="86">
        <v>24.2639</v>
      </c>
      <c r="AE13" s="88"/>
      <c r="AF13" s="91">
        <v>20</v>
      </c>
      <c r="AG13" s="85">
        <v>23.116099999999999</v>
      </c>
      <c r="AS13" s="35" t="s">
        <v>3971</v>
      </c>
    </row>
    <row r="14" spans="2:45" ht="27" x14ac:dyDescent="0.35">
      <c r="B14" s="130" t="s">
        <v>898</v>
      </c>
      <c r="C14" s="143">
        <v>51083</v>
      </c>
      <c r="D14" s="143">
        <v>233146</v>
      </c>
      <c r="E14" s="130">
        <v>6</v>
      </c>
      <c r="F14" s="130">
        <v>0.7</v>
      </c>
      <c r="G14" s="147">
        <v>8421</v>
      </c>
      <c r="H14" s="144">
        <v>30.831440000000001</v>
      </c>
      <c r="I14" s="69">
        <v>28.845099999999999</v>
      </c>
      <c r="J14" s="69">
        <v>29.0578</v>
      </c>
      <c r="K14" s="69">
        <v>28.958400000000001</v>
      </c>
      <c r="L14" s="69">
        <v>2.7285699999999999</v>
      </c>
      <c r="M14" s="173">
        <v>1.37</v>
      </c>
      <c r="N14" s="77">
        <v>3.37</v>
      </c>
      <c r="O14" s="69">
        <v>67.516000000000005</v>
      </c>
      <c r="P14" s="69">
        <v>1.33</v>
      </c>
      <c r="Y14" s="88"/>
      <c r="Z14" s="88"/>
      <c r="AA14" s="88"/>
      <c r="AB14" s="88"/>
      <c r="AC14" s="91">
        <v>10000</v>
      </c>
      <c r="AD14" s="85">
        <v>30.773599999999998</v>
      </c>
      <c r="AE14" s="88"/>
      <c r="AF14" s="91">
        <v>50</v>
      </c>
      <c r="AG14" s="85">
        <v>24.661000000000001</v>
      </c>
      <c r="AS14" s="35" t="s">
        <v>3971</v>
      </c>
    </row>
    <row r="15" spans="2:45" ht="27" x14ac:dyDescent="0.35">
      <c r="B15" s="131" t="s">
        <v>1509</v>
      </c>
      <c r="C15" s="68">
        <v>154908</v>
      </c>
      <c r="D15" s="68">
        <v>654324</v>
      </c>
      <c r="E15" s="131">
        <v>8</v>
      </c>
      <c r="F15" s="131">
        <v>0.5</v>
      </c>
      <c r="G15" s="68">
        <v>20181</v>
      </c>
      <c r="H15" s="6"/>
      <c r="I15" s="69">
        <v>26.390599999999999</v>
      </c>
      <c r="J15" s="69">
        <v>26.387</v>
      </c>
      <c r="K15" s="69">
        <v>26.596</v>
      </c>
      <c r="L15" s="69">
        <v>73.567599999999999</v>
      </c>
      <c r="M15" s="69">
        <v>6.1809500000000002</v>
      </c>
      <c r="AS15" s="35" t="s">
        <v>3971</v>
      </c>
    </row>
    <row r="16" spans="2:45" ht="27" x14ac:dyDescent="0.35">
      <c r="B16" s="130"/>
      <c r="C16" s="143"/>
      <c r="D16" s="143"/>
      <c r="E16" s="130"/>
      <c r="F16" s="130"/>
      <c r="G16" s="130"/>
      <c r="H16" s="130"/>
      <c r="I16" s="130"/>
      <c r="J16" s="130"/>
      <c r="K16" s="130"/>
      <c r="L16" s="130"/>
      <c r="M16" s="130"/>
      <c r="AS16" s="35" t="s">
        <v>3971</v>
      </c>
    </row>
    <row r="17" spans="2:45" ht="27" x14ac:dyDescent="0.35">
      <c r="B17" s="130"/>
      <c r="C17" s="143"/>
      <c r="D17" s="143"/>
      <c r="E17" s="130"/>
      <c r="F17" s="130"/>
      <c r="G17" s="130"/>
      <c r="H17" s="130"/>
      <c r="I17" s="130"/>
      <c r="J17" s="130"/>
      <c r="K17" s="130"/>
      <c r="L17" s="130"/>
      <c r="M17" s="130"/>
      <c r="AS17" s="35"/>
    </row>
    <row r="18" spans="2:45" ht="27" x14ac:dyDescent="0.35">
      <c r="B18" s="130"/>
      <c r="C18" s="143"/>
      <c r="D18" s="143"/>
      <c r="E18" s="130"/>
      <c r="F18" s="130"/>
      <c r="G18" s="130"/>
      <c r="H18" s="130"/>
      <c r="I18" s="130"/>
      <c r="J18" s="130"/>
      <c r="K18" s="130"/>
      <c r="L18" s="130"/>
      <c r="M18" s="130"/>
      <c r="AS18" s="35"/>
    </row>
    <row r="19" spans="2:45" ht="170" customHeight="1" x14ac:dyDescent="0.35">
      <c r="B19" s="130"/>
      <c r="C19" s="143"/>
      <c r="D19" s="143"/>
      <c r="E19" s="130"/>
      <c r="F19" s="130"/>
      <c r="G19" s="130"/>
      <c r="H19" s="130"/>
      <c r="I19" s="130"/>
      <c r="J19" s="130"/>
      <c r="K19" s="130"/>
      <c r="L19" s="130"/>
      <c r="M19" s="130"/>
      <c r="AS19" s="35"/>
    </row>
    <row r="20" spans="2:45" ht="27" x14ac:dyDescent="0.35">
      <c r="B20" s="130"/>
      <c r="C20" s="143"/>
      <c r="D20" s="143"/>
      <c r="E20" s="130"/>
      <c r="F20" s="130"/>
      <c r="G20" s="130"/>
      <c r="H20" s="130"/>
      <c r="I20" s="130"/>
      <c r="J20" s="130"/>
      <c r="K20" s="130"/>
      <c r="L20" s="130"/>
      <c r="M20" s="130"/>
      <c r="AS20" s="35"/>
    </row>
    <row r="21" spans="2:45" ht="27" x14ac:dyDescent="0.35">
      <c r="B21" s="130"/>
      <c r="C21" s="143"/>
      <c r="D21" s="143"/>
      <c r="E21" s="130"/>
      <c r="F21" s="130"/>
      <c r="G21" s="130"/>
      <c r="H21" s="130"/>
      <c r="I21" s="130"/>
      <c r="J21" s="130"/>
      <c r="K21" s="130"/>
      <c r="L21" s="130"/>
      <c r="M21" s="130"/>
      <c r="AS21" s="35"/>
    </row>
    <row r="22" spans="2:45" ht="27" x14ac:dyDescent="0.35">
      <c r="B22" s="130"/>
      <c r="C22" s="143"/>
      <c r="D22" s="143"/>
      <c r="E22" s="130"/>
      <c r="F22" s="130"/>
      <c r="G22" s="130"/>
      <c r="H22" s="130"/>
      <c r="I22" s="130"/>
      <c r="J22" s="130"/>
      <c r="K22" s="130"/>
      <c r="L22" s="130"/>
      <c r="M22" s="130"/>
      <c r="AS22" s="35" t="s">
        <v>3971</v>
      </c>
    </row>
    <row r="23" spans="2:45" ht="27" x14ac:dyDescent="0.35">
      <c r="B23" s="130"/>
      <c r="C23" s="143"/>
      <c r="D23" s="143"/>
      <c r="E23" s="130"/>
      <c r="F23" s="130"/>
      <c r="G23" s="130"/>
      <c r="H23" s="130"/>
      <c r="I23" s="130"/>
      <c r="J23" s="130"/>
      <c r="K23" s="130"/>
      <c r="L23" s="130"/>
      <c r="M23" s="130"/>
      <c r="AS23" s="35" t="s">
        <v>3971</v>
      </c>
    </row>
    <row r="24" spans="2:45" ht="27" x14ac:dyDescent="0.35">
      <c r="B24" s="130"/>
      <c r="C24" s="143"/>
      <c r="D24" s="143"/>
      <c r="E24" s="130"/>
      <c r="F24" s="130"/>
      <c r="G24" s="130"/>
      <c r="H24" s="130"/>
      <c r="I24" s="130"/>
      <c r="J24" s="130"/>
      <c r="K24" s="130"/>
      <c r="L24" s="130"/>
      <c r="M24" s="130"/>
      <c r="O24" s="82"/>
      <c r="Y24" s="72" t="s">
        <v>3957</v>
      </c>
      <c r="Z24" s="72" t="s">
        <v>3966</v>
      </c>
      <c r="AA24" s="72" t="s">
        <v>3967</v>
      </c>
      <c r="AB24" s="72" t="s">
        <v>3963</v>
      </c>
      <c r="AS24" s="35" t="s">
        <v>3971</v>
      </c>
    </row>
    <row r="25" spans="2:45" ht="27" x14ac:dyDescent="0.35">
      <c r="B25" s="130"/>
      <c r="C25" s="143"/>
      <c r="D25" s="143"/>
      <c r="E25" s="130"/>
      <c r="F25" s="130"/>
      <c r="G25" s="130"/>
      <c r="H25" s="130"/>
      <c r="I25" s="130"/>
      <c r="J25" s="130"/>
      <c r="K25" s="130"/>
      <c r="L25" s="130"/>
      <c r="M25" s="130"/>
      <c r="Y25" s="72" t="s">
        <v>1531</v>
      </c>
      <c r="Z25" s="79">
        <v>30</v>
      </c>
      <c r="AA25" s="79">
        <v>0.95</v>
      </c>
      <c r="AB25" s="79">
        <v>36085</v>
      </c>
      <c r="AS25" s="35" t="s">
        <v>3971</v>
      </c>
    </row>
    <row r="26" spans="2:45" ht="27" x14ac:dyDescent="0.35">
      <c r="B26" s="130"/>
      <c r="C26" s="143"/>
      <c r="D26" s="143"/>
      <c r="E26" s="130"/>
      <c r="F26" s="130"/>
      <c r="G26" s="130"/>
      <c r="H26" s="130"/>
      <c r="I26" s="130"/>
      <c r="J26" s="130"/>
      <c r="K26" s="130"/>
      <c r="L26" s="130"/>
      <c r="M26" s="130"/>
      <c r="Y26" s="72" t="s">
        <v>3962</v>
      </c>
      <c r="Z26" s="79">
        <v>23</v>
      </c>
      <c r="AA26" s="79">
        <v>0.9</v>
      </c>
      <c r="AB26" s="79">
        <v>16009</v>
      </c>
      <c r="AS26" s="35" t="s">
        <v>3971</v>
      </c>
    </row>
    <row r="27" spans="2:45" ht="27" x14ac:dyDescent="0.35">
      <c r="B27" s="130"/>
      <c r="C27" s="143"/>
      <c r="D27" s="143"/>
      <c r="E27" s="130"/>
      <c r="F27" s="130"/>
      <c r="G27" s="130"/>
      <c r="H27" s="130"/>
      <c r="I27" s="130"/>
      <c r="J27" s="130"/>
      <c r="K27" s="130"/>
      <c r="L27" s="130"/>
      <c r="M27" s="130"/>
      <c r="Y27" s="72" t="s">
        <v>1514</v>
      </c>
      <c r="Z27" s="79">
        <v>5</v>
      </c>
      <c r="AA27" s="79">
        <v>0.8</v>
      </c>
      <c r="AB27" s="79">
        <v>94500</v>
      </c>
      <c r="AS27" s="35" t="s">
        <v>3971</v>
      </c>
    </row>
    <row r="28" spans="2:45" ht="27" x14ac:dyDescent="0.35">
      <c r="B28" s="130"/>
      <c r="C28" s="143"/>
      <c r="D28" s="143"/>
      <c r="E28" s="130"/>
      <c r="F28" s="130"/>
      <c r="G28" s="130"/>
      <c r="H28" s="130"/>
      <c r="I28" s="130"/>
      <c r="J28" s="130"/>
      <c r="K28" s="130"/>
      <c r="L28" s="130"/>
      <c r="M28" s="130"/>
      <c r="Y28" s="72" t="s">
        <v>1528</v>
      </c>
      <c r="Z28" s="79">
        <v>20</v>
      </c>
      <c r="AA28" s="79">
        <v>0.8</v>
      </c>
      <c r="AB28" s="68">
        <v>3785</v>
      </c>
      <c r="AS28" s="35" t="s">
        <v>3971</v>
      </c>
    </row>
    <row r="29" spans="2:45" ht="32" x14ac:dyDescent="0.4">
      <c r="B29" s="146" t="s">
        <v>4010</v>
      </c>
      <c r="C29" s="143"/>
      <c r="D29" s="143"/>
      <c r="E29" s="130"/>
      <c r="F29" s="130"/>
      <c r="H29" s="130"/>
      <c r="I29" s="130"/>
      <c r="J29" s="130"/>
      <c r="K29" s="130"/>
      <c r="L29" s="130"/>
      <c r="M29" s="130"/>
      <c r="Y29" s="6" t="s">
        <v>3945</v>
      </c>
      <c r="Z29" s="79">
        <v>115</v>
      </c>
      <c r="AA29" s="79">
        <v>0.96</v>
      </c>
      <c r="AS29" s="35">
        <v>5.5105000000000001E-2</v>
      </c>
    </row>
    <row r="30" spans="2:45" ht="27" x14ac:dyDescent="0.35">
      <c r="B30" s="130"/>
      <c r="C30" s="143"/>
      <c r="D30" s="143"/>
      <c r="E30" s="130"/>
      <c r="F30" s="130"/>
      <c r="G30" s="130"/>
      <c r="H30" s="130"/>
      <c r="I30" s="130"/>
      <c r="J30" s="130"/>
      <c r="K30" s="130"/>
      <c r="L30" s="130"/>
      <c r="M30" s="130"/>
      <c r="Y30" s="68" t="s">
        <v>3919</v>
      </c>
      <c r="Z30" s="79">
        <v>20</v>
      </c>
      <c r="AA30" s="79">
        <v>0.95</v>
      </c>
      <c r="AS30" s="35">
        <v>34.506560999999998</v>
      </c>
    </row>
    <row r="31" spans="2:45" ht="27" x14ac:dyDescent="0.35">
      <c r="B31" s="72" t="s">
        <v>3957</v>
      </c>
      <c r="C31" s="72" t="s">
        <v>4008</v>
      </c>
      <c r="D31" s="72" t="s">
        <v>4009</v>
      </c>
      <c r="E31" s="72" t="s">
        <v>3966</v>
      </c>
      <c r="F31" s="72" t="s">
        <v>3967</v>
      </c>
      <c r="G31" s="72" t="s">
        <v>4007</v>
      </c>
      <c r="H31" s="72" t="s">
        <v>3930</v>
      </c>
      <c r="I31" s="72" t="s">
        <v>3960</v>
      </c>
      <c r="J31" s="72" t="s">
        <v>3987</v>
      </c>
      <c r="K31" s="72" t="s">
        <v>3986</v>
      </c>
      <c r="L31" s="72" t="s">
        <v>3929</v>
      </c>
      <c r="M31" s="72" t="s">
        <v>3935</v>
      </c>
      <c r="Y31" s="6" t="s">
        <v>3920</v>
      </c>
      <c r="Z31" s="79">
        <v>20</v>
      </c>
      <c r="AA31" s="79">
        <v>0.9</v>
      </c>
      <c r="AB31" s="68">
        <v>573021</v>
      </c>
      <c r="AS31" s="35">
        <v>5.5830380000000002</v>
      </c>
    </row>
    <row r="32" spans="2:45" ht="27" x14ac:dyDescent="0.35">
      <c r="B32" s="130" t="s">
        <v>1531</v>
      </c>
      <c r="C32" s="143">
        <v>2523386</v>
      </c>
      <c r="D32" s="143">
        <v>15837602</v>
      </c>
      <c r="E32" s="79">
        <v>30</v>
      </c>
      <c r="F32" s="79">
        <v>0.95</v>
      </c>
      <c r="G32" s="79">
        <v>41319</v>
      </c>
      <c r="H32" s="47">
        <v>112.85599999999999</v>
      </c>
      <c r="I32" s="69">
        <v>119.98699999999999</v>
      </c>
      <c r="J32" s="69">
        <v>120.72799999999999</v>
      </c>
      <c r="K32" s="69">
        <v>119.327</v>
      </c>
      <c r="L32" s="47" t="s">
        <v>3902</v>
      </c>
      <c r="M32" s="69">
        <v>120.184</v>
      </c>
      <c r="N32" s="69">
        <v>25.606200000000001</v>
      </c>
      <c r="AS32" s="35">
        <v>117.90758099999999</v>
      </c>
    </row>
    <row r="33" spans="2:45" ht="27" x14ac:dyDescent="0.35">
      <c r="B33" s="130" t="s">
        <v>3962</v>
      </c>
      <c r="C33" s="143">
        <v>50515</v>
      </c>
      <c r="D33" s="143">
        <v>1638180</v>
      </c>
      <c r="E33" s="79">
        <v>23</v>
      </c>
      <c r="F33" s="79">
        <v>0.9</v>
      </c>
      <c r="G33" s="79">
        <v>16009</v>
      </c>
      <c r="H33" s="47" t="s">
        <v>3904</v>
      </c>
      <c r="I33" s="69">
        <v>406.31</v>
      </c>
      <c r="J33" s="69">
        <v>572.83000000000004</v>
      </c>
      <c r="K33" s="69">
        <v>400.46</v>
      </c>
      <c r="L33" s="47" t="s">
        <v>3902</v>
      </c>
      <c r="M33" s="69">
        <v>571.02</v>
      </c>
      <c r="N33" s="69">
        <v>257.43</v>
      </c>
      <c r="AS33" s="35">
        <v>75.350153000000006</v>
      </c>
    </row>
    <row r="34" spans="2:45" ht="27" x14ac:dyDescent="0.35">
      <c r="B34" s="130" t="s">
        <v>1514</v>
      </c>
      <c r="C34" s="143">
        <v>146005</v>
      </c>
      <c r="D34" s="143">
        <v>1313998</v>
      </c>
      <c r="E34" s="79">
        <v>5</v>
      </c>
      <c r="F34" s="79">
        <v>0.8</v>
      </c>
      <c r="G34" s="79">
        <v>94500</v>
      </c>
      <c r="H34" s="47">
        <v>48.034700000000001</v>
      </c>
      <c r="I34" s="69">
        <v>49.295099999999998</v>
      </c>
      <c r="J34" s="69">
        <v>50.829799999999999</v>
      </c>
      <c r="K34" s="69">
        <v>49.511099999999999</v>
      </c>
      <c r="L34" s="47">
        <v>50.255800000000001</v>
      </c>
      <c r="M34" s="69">
        <v>49.611199999999997</v>
      </c>
      <c r="N34" s="69">
        <v>8.5703300000000002</v>
      </c>
      <c r="Y34" s="72" t="s">
        <v>3957</v>
      </c>
      <c r="Z34" s="72" t="s">
        <v>3955</v>
      </c>
      <c r="AA34" s="72"/>
      <c r="AB34" s="72" t="s">
        <v>3958</v>
      </c>
      <c r="AC34" s="72" t="s">
        <v>3934</v>
      </c>
      <c r="AD34" s="72" t="s">
        <v>3956</v>
      </c>
      <c r="AS34" s="35">
        <v>411.32039900000001</v>
      </c>
    </row>
    <row r="35" spans="2:45" ht="27" x14ac:dyDescent="0.35">
      <c r="B35" s="130" t="s">
        <v>1528</v>
      </c>
      <c r="C35" s="143">
        <v>1402673</v>
      </c>
      <c r="D35" s="143">
        <v>5554838</v>
      </c>
      <c r="E35" s="79">
        <v>20</v>
      </c>
      <c r="F35" s="79">
        <v>0.8</v>
      </c>
      <c r="G35" s="68">
        <v>3785</v>
      </c>
      <c r="H35" s="47">
        <v>34.322899999999997</v>
      </c>
      <c r="I35" s="69">
        <v>39.1892</v>
      </c>
      <c r="J35" s="69">
        <v>38.270000000000003</v>
      </c>
      <c r="K35" s="69">
        <v>38.831299999999999</v>
      </c>
      <c r="L35" s="47">
        <v>1264.97</v>
      </c>
      <c r="M35" s="69">
        <v>38.6203</v>
      </c>
      <c r="N35" s="69">
        <v>26.52</v>
      </c>
      <c r="Y35" s="70" t="s">
        <v>3950</v>
      </c>
      <c r="Z35" s="75">
        <v>360</v>
      </c>
      <c r="AA35" s="73"/>
      <c r="AB35" s="74">
        <v>0.115312</v>
      </c>
      <c r="AC35" s="74">
        <v>16</v>
      </c>
      <c r="AD35" s="74">
        <v>0.01</v>
      </c>
      <c r="AS35" s="35">
        <v>516.02195900000004</v>
      </c>
    </row>
    <row r="36" spans="2:45" ht="27" x14ac:dyDescent="0.35">
      <c r="B36" s="130" t="s">
        <v>3919</v>
      </c>
      <c r="C36" s="143">
        <v>2937612</v>
      </c>
      <c r="D36" s="143">
        <v>41919708</v>
      </c>
      <c r="E36" s="79">
        <v>20</v>
      </c>
      <c r="F36" s="79">
        <v>0.95</v>
      </c>
      <c r="G36" s="130">
        <v>399864</v>
      </c>
      <c r="H36" s="135">
        <v>1495.9010000000001</v>
      </c>
      <c r="I36" s="135">
        <v>801.23</v>
      </c>
      <c r="J36" s="135">
        <v>799.76</v>
      </c>
      <c r="K36" s="135">
        <v>802.3</v>
      </c>
      <c r="L36" s="47">
        <v>1708.14</v>
      </c>
      <c r="M36" s="69">
        <v>800.56200000000001</v>
      </c>
      <c r="N36" s="69">
        <v>606.88300000000004</v>
      </c>
      <c r="Y36" s="70" t="s">
        <v>3951</v>
      </c>
      <c r="Z36" s="75">
        <v>28717</v>
      </c>
      <c r="AA36" s="73"/>
      <c r="AB36" s="74">
        <v>60.854799999999997</v>
      </c>
      <c r="AC36" s="74" t="s">
        <v>3902</v>
      </c>
      <c r="AD36" s="74">
        <v>49.23</v>
      </c>
      <c r="AS36" s="35" t="s">
        <v>3971</v>
      </c>
    </row>
    <row r="37" spans="2:45" ht="27" x14ac:dyDescent="0.35">
      <c r="B37" s="130" t="s">
        <v>3920</v>
      </c>
      <c r="C37" s="143">
        <v>1632803</v>
      </c>
      <c r="D37" s="143">
        <v>44603928</v>
      </c>
      <c r="E37" s="130">
        <v>20</v>
      </c>
      <c r="F37" s="130">
        <v>0.9</v>
      </c>
      <c r="G37" s="130">
        <v>573021</v>
      </c>
      <c r="H37" s="135">
        <v>582.32100000000003</v>
      </c>
      <c r="I37" s="145">
        <v>239.16300000000001</v>
      </c>
      <c r="J37" s="145">
        <v>239.18899999999999</v>
      </c>
      <c r="K37" s="145">
        <v>240.10900000000001</v>
      </c>
      <c r="L37" s="47">
        <v>362.80500000000001</v>
      </c>
      <c r="M37" s="69">
        <v>241.98500000000001</v>
      </c>
      <c r="N37" s="69">
        <v>209.047</v>
      </c>
      <c r="Y37" s="70" t="s">
        <v>3952</v>
      </c>
      <c r="Z37" s="75">
        <v>2517</v>
      </c>
      <c r="AA37" s="73"/>
      <c r="AB37" s="74">
        <v>4.77996</v>
      </c>
      <c r="AC37" s="74">
        <v>263</v>
      </c>
      <c r="AD37" s="74">
        <v>0.49</v>
      </c>
      <c r="AS37" s="35" t="s">
        <v>3971</v>
      </c>
    </row>
    <row r="38" spans="2:45" ht="27" x14ac:dyDescent="0.35">
      <c r="B38" s="130" t="s">
        <v>593</v>
      </c>
      <c r="C38" s="143">
        <v>5111</v>
      </c>
      <c r="D38" s="143">
        <v>53698</v>
      </c>
      <c r="E38" s="130">
        <v>10</v>
      </c>
      <c r="F38" s="130">
        <v>0.72</v>
      </c>
      <c r="G38" s="130">
        <v>1262</v>
      </c>
      <c r="H38" s="47">
        <v>38.341000000000001</v>
      </c>
      <c r="I38" s="69">
        <v>38.271000000000001</v>
      </c>
      <c r="J38" s="69">
        <v>39.500399999999999</v>
      </c>
      <c r="K38" s="69">
        <v>39.559600000000003</v>
      </c>
      <c r="L38" s="69">
        <v>715.40200000000004</v>
      </c>
      <c r="M38" s="69">
        <v>39.469299999999997</v>
      </c>
      <c r="N38" s="69">
        <v>33.93</v>
      </c>
      <c r="Y38" s="70" t="s">
        <v>3953</v>
      </c>
      <c r="Z38" s="75">
        <v>24383</v>
      </c>
      <c r="AA38" s="73"/>
      <c r="AB38" s="74">
        <v>1.1475500000000001</v>
      </c>
      <c r="AC38" s="74" t="s">
        <v>3902</v>
      </c>
      <c r="AD38" s="74">
        <v>3.05</v>
      </c>
      <c r="AS38" s="35" t="s">
        <v>3971</v>
      </c>
    </row>
    <row r="39" spans="2:45" ht="27" x14ac:dyDescent="0.35">
      <c r="B39" s="130" t="s">
        <v>595</v>
      </c>
      <c r="C39" s="143">
        <v>2022</v>
      </c>
      <c r="D39" s="143">
        <v>22234</v>
      </c>
      <c r="E39" s="130">
        <v>10</v>
      </c>
      <c r="F39" s="130">
        <v>0.7</v>
      </c>
      <c r="G39" s="130">
        <v>490</v>
      </c>
      <c r="H39" s="144" t="s">
        <v>3904</v>
      </c>
      <c r="I39" s="69">
        <v>112.27500000000001</v>
      </c>
      <c r="J39" s="69">
        <v>122.95</v>
      </c>
      <c r="K39" s="69">
        <v>118.2</v>
      </c>
      <c r="L39" s="69">
        <v>1021.56</v>
      </c>
      <c r="M39" s="69">
        <v>122.74</v>
      </c>
      <c r="N39" s="69">
        <v>106.2</v>
      </c>
      <c r="Y39" s="70" t="s">
        <v>3954</v>
      </c>
      <c r="Z39" s="75">
        <v>8949</v>
      </c>
      <c r="AA39" s="73"/>
      <c r="AB39" s="74">
        <v>5.9763599999999997</v>
      </c>
      <c r="AC39" s="74">
        <v>20.440000000000001</v>
      </c>
      <c r="AD39" s="74">
        <v>0.47</v>
      </c>
      <c r="AS39" s="35" t="s">
        <v>3971</v>
      </c>
    </row>
    <row r="40" spans="2:45" ht="27" x14ac:dyDescent="0.35">
      <c r="B40" s="130" t="s">
        <v>829</v>
      </c>
      <c r="C40" s="143">
        <v>39884</v>
      </c>
      <c r="D40" s="143">
        <v>152908</v>
      </c>
      <c r="E40" s="130">
        <v>7</v>
      </c>
      <c r="F40" s="130">
        <v>0.6</v>
      </c>
      <c r="G40" s="130">
        <v>5294</v>
      </c>
      <c r="H40" s="144">
        <v>42.377000000000002</v>
      </c>
      <c r="I40" s="69">
        <v>40.567500000000003</v>
      </c>
      <c r="J40" s="69">
        <v>40.563899999999997</v>
      </c>
      <c r="K40" s="69">
        <v>40.704999999999998</v>
      </c>
      <c r="L40" s="69">
        <v>5.4308800000000002</v>
      </c>
      <c r="M40" s="69">
        <v>40.5261</v>
      </c>
      <c r="N40" s="69">
        <v>7.05</v>
      </c>
      <c r="AS40" s="35" t="s">
        <v>3971</v>
      </c>
    </row>
    <row r="41" spans="2:45" ht="27" x14ac:dyDescent="0.35">
      <c r="B41" s="130" t="s">
        <v>898</v>
      </c>
      <c r="C41" s="143">
        <v>51083</v>
      </c>
      <c r="D41" s="143">
        <v>233146</v>
      </c>
      <c r="E41" s="130">
        <v>6</v>
      </c>
      <c r="F41" s="130">
        <v>0.7</v>
      </c>
      <c r="G41" s="68">
        <v>8421</v>
      </c>
      <c r="H41" s="144">
        <v>30.831440000000001</v>
      </c>
      <c r="I41" s="69">
        <v>28.845099999999999</v>
      </c>
      <c r="J41" s="69">
        <v>29.0578</v>
      </c>
      <c r="K41" s="69">
        <v>28.958400000000001</v>
      </c>
      <c r="L41" s="69">
        <v>2.7285699999999999</v>
      </c>
      <c r="M41" s="69">
        <v>29.182400000000001</v>
      </c>
      <c r="N41" s="69">
        <v>3.37</v>
      </c>
      <c r="AS41" s="35" t="s">
        <v>3971</v>
      </c>
    </row>
    <row r="42" spans="2:45" ht="27" x14ac:dyDescent="0.35">
      <c r="B42" s="131" t="s">
        <v>1509</v>
      </c>
      <c r="C42" s="68">
        <v>154908</v>
      </c>
      <c r="D42" s="68">
        <v>654324</v>
      </c>
      <c r="E42" s="131">
        <v>8</v>
      </c>
      <c r="F42" s="131">
        <v>0.5</v>
      </c>
      <c r="G42" s="68">
        <v>20181</v>
      </c>
      <c r="H42" s="6"/>
      <c r="I42" s="69">
        <v>26.390599999999999</v>
      </c>
      <c r="J42" s="69">
        <v>26.387</v>
      </c>
      <c r="K42" s="69">
        <v>26.596</v>
      </c>
      <c r="L42" s="69">
        <v>73.567599999999999</v>
      </c>
      <c r="M42" s="69">
        <v>6.1809500000000002</v>
      </c>
      <c r="AS42" s="35" t="s">
        <v>3971</v>
      </c>
    </row>
    <row r="43" spans="2:45" ht="22" x14ac:dyDescent="0.25">
      <c r="I43" s="136"/>
      <c r="AS43" s="35" t="s">
        <v>3971</v>
      </c>
    </row>
    <row r="44" spans="2:45" ht="22" x14ac:dyDescent="0.25">
      <c r="AS44" s="35" t="s">
        <v>3971</v>
      </c>
    </row>
    <row r="45" spans="2:45" ht="23" x14ac:dyDescent="0.3">
      <c r="B45" s="176" t="s">
        <v>4026</v>
      </c>
      <c r="C45" s="176" t="s">
        <v>4027</v>
      </c>
      <c r="AS45" s="35" t="s">
        <v>3971</v>
      </c>
    </row>
    <row r="46" spans="2:45" ht="22" x14ac:dyDescent="0.25">
      <c r="AS46" s="35">
        <v>122.148618</v>
      </c>
    </row>
    <row r="47" spans="2:45" ht="22" x14ac:dyDescent="0.25">
      <c r="AS47" s="35">
        <v>398.639387</v>
      </c>
    </row>
    <row r="48" spans="2:45" ht="28" x14ac:dyDescent="0.35">
      <c r="B48" s="72" t="s">
        <v>3957</v>
      </c>
      <c r="C48" s="72" t="s">
        <v>4008</v>
      </c>
      <c r="D48" s="72" t="s">
        <v>4009</v>
      </c>
      <c r="E48" s="72" t="s">
        <v>3966</v>
      </c>
      <c r="F48" s="72" t="s">
        <v>3967</v>
      </c>
      <c r="G48" s="72"/>
      <c r="H48" s="72" t="s">
        <v>4021</v>
      </c>
      <c r="I48" s="72" t="s">
        <v>4024</v>
      </c>
      <c r="J48" s="72" t="s">
        <v>4025</v>
      </c>
      <c r="K48" s="172" t="s">
        <v>4022</v>
      </c>
      <c r="L48" s="172" t="s">
        <v>4023</v>
      </c>
      <c r="AS48" s="35">
        <v>681.58641899999998</v>
      </c>
    </row>
    <row r="49" spans="2:45" ht="27" x14ac:dyDescent="0.35">
      <c r="B49" s="130" t="s">
        <v>1531</v>
      </c>
      <c r="C49" s="143">
        <v>2523386</v>
      </c>
      <c r="D49" s="143">
        <v>15837602</v>
      </c>
      <c r="E49" s="79">
        <v>30</v>
      </c>
      <c r="F49" s="79">
        <v>0.95</v>
      </c>
      <c r="G49" s="69"/>
      <c r="H49" s="173">
        <v>25.606200000000001</v>
      </c>
      <c r="I49" s="134">
        <v>25.280799999999999</v>
      </c>
      <c r="J49" s="69">
        <v>27.123200000000001</v>
      </c>
      <c r="K49" s="69">
        <v>27.747399999999999</v>
      </c>
      <c r="L49" s="69">
        <v>30.096599999999999</v>
      </c>
      <c r="AS49" s="35" t="s">
        <v>3971</v>
      </c>
    </row>
    <row r="50" spans="2:45" ht="27" x14ac:dyDescent="0.35">
      <c r="B50" s="130" t="s">
        <v>3962</v>
      </c>
      <c r="C50" s="143">
        <v>50515</v>
      </c>
      <c r="D50" s="143">
        <v>1638180</v>
      </c>
      <c r="E50" s="79">
        <v>23</v>
      </c>
      <c r="F50" s="79">
        <v>0.9</v>
      </c>
      <c r="G50" s="69"/>
      <c r="H50" s="173">
        <v>257.43</v>
      </c>
      <c r="I50" s="69">
        <v>256.22000000000003</v>
      </c>
      <c r="J50" s="69">
        <v>250.15</v>
      </c>
      <c r="K50" s="134">
        <v>238.97</v>
      </c>
      <c r="L50" s="69">
        <v>249.01</v>
      </c>
      <c r="AS50" s="35" t="s">
        <v>3971</v>
      </c>
    </row>
    <row r="51" spans="2:45" ht="27" x14ac:dyDescent="0.35">
      <c r="B51" s="130" t="s">
        <v>1514</v>
      </c>
      <c r="C51" s="143">
        <v>146005</v>
      </c>
      <c r="D51" s="143">
        <v>1313998</v>
      </c>
      <c r="E51" s="79">
        <v>5</v>
      </c>
      <c r="F51" s="79">
        <v>0.8</v>
      </c>
      <c r="G51" s="69"/>
      <c r="H51" s="173">
        <v>8.5703300000000002</v>
      </c>
      <c r="I51" s="69">
        <v>7.2461500000000001</v>
      </c>
      <c r="J51" s="134">
        <v>6.96</v>
      </c>
      <c r="K51" s="69">
        <v>9.6504200000000004</v>
      </c>
      <c r="L51" s="69">
        <v>10.9556</v>
      </c>
      <c r="AS51" s="35">
        <v>259.05960099999999</v>
      </c>
    </row>
    <row r="52" spans="2:45" ht="27" x14ac:dyDescent="0.35">
      <c r="B52" s="130" t="s">
        <v>1528</v>
      </c>
      <c r="C52" s="143">
        <v>1402673</v>
      </c>
      <c r="D52" s="143">
        <v>5554838</v>
      </c>
      <c r="E52" s="79">
        <v>20</v>
      </c>
      <c r="F52" s="79">
        <v>0.8</v>
      </c>
      <c r="G52" s="69"/>
      <c r="H52" s="174">
        <v>26.52</v>
      </c>
      <c r="I52" s="69">
        <v>26.64</v>
      </c>
      <c r="J52" s="69">
        <v>27.26</v>
      </c>
      <c r="K52" s="69">
        <v>27.1</v>
      </c>
      <c r="L52" s="69">
        <v>26.83</v>
      </c>
      <c r="AS52" s="35" t="s">
        <v>3971</v>
      </c>
    </row>
    <row r="53" spans="2:45" ht="27" x14ac:dyDescent="0.35">
      <c r="B53" s="130" t="s">
        <v>3919</v>
      </c>
      <c r="C53" s="143">
        <v>2937612</v>
      </c>
      <c r="D53" s="143">
        <v>41919708</v>
      </c>
      <c r="E53" s="79">
        <v>20</v>
      </c>
      <c r="F53" s="79">
        <v>0.95</v>
      </c>
      <c r="G53" s="69"/>
      <c r="H53" s="174">
        <v>606.88300000000004</v>
      </c>
      <c r="I53" s="69">
        <v>678.55200000000002</v>
      </c>
      <c r="J53" s="69">
        <v>629.47400000000005</v>
      </c>
      <c r="K53" s="69">
        <v>656.28200000000004</v>
      </c>
      <c r="L53" s="69">
        <v>683.45600000000002</v>
      </c>
      <c r="AS53" s="35" t="s">
        <v>3971</v>
      </c>
    </row>
    <row r="54" spans="2:45" ht="27" x14ac:dyDescent="0.35">
      <c r="B54" s="130" t="s">
        <v>3920</v>
      </c>
      <c r="C54" s="143">
        <v>1632803</v>
      </c>
      <c r="D54" s="143">
        <v>44603928</v>
      </c>
      <c r="E54" s="130">
        <v>20</v>
      </c>
      <c r="F54" s="130">
        <v>0.9</v>
      </c>
      <c r="G54" s="69"/>
      <c r="H54" s="174">
        <v>209.047</v>
      </c>
      <c r="I54" s="69">
        <v>241.37</v>
      </c>
      <c r="J54" s="69">
        <v>225.59800000000001</v>
      </c>
      <c r="K54" s="69">
        <v>223.739</v>
      </c>
      <c r="L54" s="69">
        <v>231.708</v>
      </c>
      <c r="AS54" s="35" t="s">
        <v>3971</v>
      </c>
    </row>
    <row r="55" spans="2:45" ht="27" x14ac:dyDescent="0.35">
      <c r="B55" s="130" t="s">
        <v>593</v>
      </c>
      <c r="C55" s="143">
        <v>5111</v>
      </c>
      <c r="D55" s="143">
        <v>53698</v>
      </c>
      <c r="E55" s="130">
        <v>10</v>
      </c>
      <c r="F55" s="130">
        <v>0.72</v>
      </c>
      <c r="G55" s="69"/>
      <c r="H55" s="173">
        <v>33.93</v>
      </c>
      <c r="I55" s="134">
        <v>32.020000000000003</v>
      </c>
      <c r="J55" s="69">
        <v>32.18</v>
      </c>
      <c r="K55" s="69">
        <v>33.39</v>
      </c>
      <c r="L55" s="69">
        <v>33.380000000000003</v>
      </c>
      <c r="AS55" s="124">
        <v>2038.237151</v>
      </c>
    </row>
    <row r="56" spans="2:45" ht="27" x14ac:dyDescent="0.35">
      <c r="B56" s="130" t="s">
        <v>595</v>
      </c>
      <c r="C56" s="143">
        <v>2022</v>
      </c>
      <c r="D56" s="143">
        <v>22234</v>
      </c>
      <c r="E56" s="130">
        <v>10</v>
      </c>
      <c r="F56" s="130">
        <v>0.7</v>
      </c>
      <c r="G56" s="69"/>
      <c r="H56" s="173">
        <v>106.2</v>
      </c>
      <c r="I56" s="134">
        <v>104.31</v>
      </c>
      <c r="J56" s="69">
        <v>104.6</v>
      </c>
      <c r="K56" s="69">
        <v>105.81</v>
      </c>
      <c r="L56" s="69">
        <v>106.03</v>
      </c>
      <c r="AS56" s="35" t="s">
        <v>3971</v>
      </c>
    </row>
    <row r="57" spans="2:45" ht="27" x14ac:dyDescent="0.35">
      <c r="B57" s="130" t="s">
        <v>829</v>
      </c>
      <c r="C57" s="143">
        <v>39884</v>
      </c>
      <c r="D57" s="143">
        <v>152908</v>
      </c>
      <c r="E57" s="130">
        <v>7</v>
      </c>
      <c r="F57" s="130">
        <v>0.6</v>
      </c>
      <c r="G57" s="69"/>
      <c r="H57" s="173">
        <v>7.05</v>
      </c>
      <c r="I57" s="69">
        <v>6.66</v>
      </c>
      <c r="J57" s="134">
        <v>4.6100000000000003</v>
      </c>
      <c r="K57" s="69">
        <v>5.43</v>
      </c>
      <c r="L57" s="69">
        <v>12.38</v>
      </c>
      <c r="AS57" s="35" t="s">
        <v>3971</v>
      </c>
    </row>
    <row r="58" spans="2:45" ht="27" x14ac:dyDescent="0.35">
      <c r="B58" s="130" t="s">
        <v>898</v>
      </c>
      <c r="C58" s="143">
        <v>51083</v>
      </c>
      <c r="D58" s="143">
        <v>233146</v>
      </c>
      <c r="E58" s="130">
        <v>6</v>
      </c>
      <c r="F58" s="130">
        <v>0.7</v>
      </c>
      <c r="G58" s="69"/>
      <c r="H58" s="174">
        <v>1.37</v>
      </c>
      <c r="I58" s="69">
        <v>1.78</v>
      </c>
      <c r="J58" s="69">
        <v>1.79</v>
      </c>
      <c r="K58" s="69">
        <v>3.52</v>
      </c>
      <c r="L58" s="69">
        <v>3.57</v>
      </c>
      <c r="AS58" s="35" t="s">
        <v>3971</v>
      </c>
    </row>
    <row r="59" spans="2:45" ht="27" x14ac:dyDescent="0.35">
      <c r="B59" s="131" t="s">
        <v>1509</v>
      </c>
      <c r="C59" s="68">
        <v>154908</v>
      </c>
      <c r="D59" s="68">
        <v>654324</v>
      </c>
      <c r="E59" s="131">
        <v>8</v>
      </c>
      <c r="F59" s="131">
        <v>0.5</v>
      </c>
      <c r="G59" s="69"/>
      <c r="H59" s="174">
        <v>6.27</v>
      </c>
      <c r="I59" s="69">
        <v>6.7788899999999996</v>
      </c>
      <c r="J59" s="69">
        <v>8.0405700000000007</v>
      </c>
      <c r="K59" s="69">
        <v>9.7837099999999992</v>
      </c>
      <c r="L59" s="69">
        <v>12.747199999999999</v>
      </c>
      <c r="AS59" s="35">
        <v>142.51957999999999</v>
      </c>
    </row>
    <row r="60" spans="2:45" ht="27" x14ac:dyDescent="0.35">
      <c r="B60" s="131"/>
      <c r="C60" s="68"/>
      <c r="D60" s="68"/>
      <c r="E60" s="131"/>
      <c r="F60" s="131"/>
      <c r="G60" s="69"/>
      <c r="H60" s="174"/>
      <c r="I60" s="69"/>
      <c r="J60" s="69"/>
      <c r="K60" s="69"/>
      <c r="L60" s="69"/>
      <c r="AS60" s="35"/>
    </row>
    <row r="61" spans="2:45" ht="23" x14ac:dyDescent="0.3">
      <c r="B61" s="176" t="s">
        <v>4028</v>
      </c>
      <c r="C61" s="176" t="s">
        <v>4029</v>
      </c>
      <c r="G61" s="2"/>
      <c r="H61" s="2"/>
      <c r="I61" s="2"/>
      <c r="J61" s="2"/>
      <c r="AS61" s="35">
        <v>126.505053</v>
      </c>
    </row>
    <row r="62" spans="2:45" ht="22" x14ac:dyDescent="0.25">
      <c r="AS62" s="124">
        <v>1844.568945</v>
      </c>
    </row>
    <row r="63" spans="2:45" ht="27" x14ac:dyDescent="0.35">
      <c r="B63" s="72" t="s">
        <v>3957</v>
      </c>
      <c r="C63" s="72" t="s">
        <v>4008</v>
      </c>
      <c r="D63" s="72" t="s">
        <v>4009</v>
      </c>
      <c r="E63" s="72" t="s">
        <v>3966</v>
      </c>
      <c r="F63" s="72" t="s">
        <v>3967</v>
      </c>
      <c r="AS63" s="35" t="s">
        <v>3971</v>
      </c>
    </row>
    <row r="64" spans="2:45" ht="28" x14ac:dyDescent="0.35">
      <c r="B64" s="130" t="s">
        <v>1531</v>
      </c>
      <c r="C64" s="143">
        <v>2523386</v>
      </c>
      <c r="D64" s="143">
        <v>15837602</v>
      </c>
      <c r="E64" s="79">
        <v>30</v>
      </c>
      <c r="F64" s="79">
        <v>0.95</v>
      </c>
      <c r="H64" s="175">
        <v>25.5215</v>
      </c>
      <c r="I64" s="144">
        <v>25.552</v>
      </c>
      <c r="J64" s="144">
        <v>26.8459</v>
      </c>
      <c r="K64" s="144">
        <v>27.9329</v>
      </c>
      <c r="L64" s="144">
        <v>29.8552</v>
      </c>
      <c r="AS64" s="35">
        <v>579.55940199999998</v>
      </c>
    </row>
    <row r="65" spans="2:45" ht="28" x14ac:dyDescent="0.35">
      <c r="B65" s="130" t="s">
        <v>3962</v>
      </c>
      <c r="C65" s="143">
        <v>50515</v>
      </c>
      <c r="D65" s="143">
        <v>1638180</v>
      </c>
      <c r="E65" s="79">
        <v>23</v>
      </c>
      <c r="F65" s="79">
        <v>0.9</v>
      </c>
      <c r="H65" s="175">
        <v>255.51</v>
      </c>
      <c r="I65" s="144">
        <v>256.94</v>
      </c>
      <c r="J65" s="144">
        <v>249.86</v>
      </c>
      <c r="K65" s="144">
        <v>240.99</v>
      </c>
      <c r="L65" s="144">
        <v>246.31</v>
      </c>
      <c r="AS65" s="35" t="s">
        <v>3971</v>
      </c>
    </row>
    <row r="66" spans="2:45" ht="28" x14ac:dyDescent="0.35">
      <c r="B66" s="130" t="s">
        <v>1514</v>
      </c>
      <c r="C66" s="143">
        <v>146005</v>
      </c>
      <c r="D66" s="143">
        <v>1313998</v>
      </c>
      <c r="E66" s="79">
        <v>5</v>
      </c>
      <c r="F66" s="79">
        <v>0.8</v>
      </c>
      <c r="H66" s="175">
        <v>7.3872600000000004</v>
      </c>
      <c r="I66" s="144">
        <v>7.2299100000000003</v>
      </c>
      <c r="J66" s="144">
        <v>6.7700699999999996</v>
      </c>
      <c r="K66" s="144">
        <v>8.1105599999999995</v>
      </c>
      <c r="L66" s="144">
        <v>9.0817399999999999</v>
      </c>
      <c r="AS66" s="35" t="s">
        <v>3971</v>
      </c>
    </row>
    <row r="67" spans="2:45" ht="28" x14ac:dyDescent="0.35">
      <c r="B67" s="130" t="s">
        <v>1528</v>
      </c>
      <c r="C67" s="143">
        <v>1402673</v>
      </c>
      <c r="D67" s="143">
        <v>5554838</v>
      </c>
      <c r="E67" s="79">
        <v>20</v>
      </c>
      <c r="F67" s="79">
        <v>0.8</v>
      </c>
      <c r="H67" s="175">
        <v>26.33</v>
      </c>
      <c r="I67" s="144">
        <v>25.67</v>
      </c>
      <c r="J67" s="144">
        <v>28.17</v>
      </c>
      <c r="K67" s="144">
        <v>27.3</v>
      </c>
      <c r="L67" s="144">
        <v>25.88</v>
      </c>
      <c r="AS67" s="35" t="s">
        <v>3971</v>
      </c>
    </row>
    <row r="68" spans="2:45" ht="28" x14ac:dyDescent="0.35">
      <c r="B68" s="130" t="s">
        <v>3919</v>
      </c>
      <c r="C68" s="143">
        <v>2937612</v>
      </c>
      <c r="D68" s="143">
        <v>41919708</v>
      </c>
      <c r="E68" s="79">
        <v>20</v>
      </c>
      <c r="F68" s="79">
        <v>0.95</v>
      </c>
      <c r="H68" s="175">
        <v>610.38699999999994</v>
      </c>
      <c r="I68" s="144">
        <v>675.476</v>
      </c>
      <c r="J68" s="144">
        <v>627.38199999999995</v>
      </c>
      <c r="K68" s="144">
        <v>656</v>
      </c>
      <c r="L68" s="144">
        <v>682.59400000000005</v>
      </c>
      <c r="AS68" s="35" t="s">
        <v>3971</v>
      </c>
    </row>
    <row r="69" spans="2:45" ht="28" x14ac:dyDescent="0.35">
      <c r="B69" s="130" t="s">
        <v>3920</v>
      </c>
      <c r="C69" s="143">
        <v>1632803</v>
      </c>
      <c r="D69" s="143">
        <v>44603928</v>
      </c>
      <c r="E69" s="130">
        <v>20</v>
      </c>
      <c r="F69" s="130">
        <v>0.9</v>
      </c>
      <c r="H69" s="175">
        <v>219.577</v>
      </c>
      <c r="I69" s="144">
        <v>239.60499999999999</v>
      </c>
      <c r="J69" s="144">
        <v>223.58199999999999</v>
      </c>
      <c r="K69" s="144">
        <v>231.99</v>
      </c>
      <c r="L69" s="144">
        <v>237.648</v>
      </c>
      <c r="AS69" s="35" t="s">
        <v>3971</v>
      </c>
    </row>
    <row r="70" spans="2:45" ht="28" x14ac:dyDescent="0.35">
      <c r="B70" s="130" t="s">
        <v>593</v>
      </c>
      <c r="C70" s="143">
        <v>5111</v>
      </c>
      <c r="D70" s="143">
        <v>53698</v>
      </c>
      <c r="E70" s="130">
        <v>10</v>
      </c>
      <c r="F70" s="130">
        <v>0.72</v>
      </c>
      <c r="H70" s="175">
        <v>31.87</v>
      </c>
      <c r="I70" s="144">
        <v>32</v>
      </c>
      <c r="J70" s="144">
        <v>31.43</v>
      </c>
      <c r="K70" s="144">
        <v>31.91</v>
      </c>
      <c r="L70" s="144">
        <v>32.130000000000003</v>
      </c>
      <c r="AS70" s="35" t="s">
        <v>3971</v>
      </c>
    </row>
    <row r="71" spans="2:45" ht="28" x14ac:dyDescent="0.35">
      <c r="B71" s="130" t="s">
        <v>595</v>
      </c>
      <c r="C71" s="143">
        <v>2022</v>
      </c>
      <c r="D71" s="143">
        <v>22234</v>
      </c>
      <c r="E71" s="130">
        <v>10</v>
      </c>
      <c r="F71" s="130">
        <v>0.7</v>
      </c>
      <c r="H71" s="175">
        <v>106.2</v>
      </c>
      <c r="I71" s="175">
        <v>104.31</v>
      </c>
      <c r="J71" s="175">
        <v>104.6</v>
      </c>
      <c r="K71" s="175">
        <v>105.81</v>
      </c>
      <c r="L71" s="175">
        <v>106.03</v>
      </c>
      <c r="AS71" s="35" t="s">
        <v>3971</v>
      </c>
    </row>
    <row r="72" spans="2:45" ht="28" x14ac:dyDescent="0.35">
      <c r="B72" s="130" t="s">
        <v>829</v>
      </c>
      <c r="C72" s="143">
        <v>39884</v>
      </c>
      <c r="D72" s="143">
        <v>152908</v>
      </c>
      <c r="E72" s="130">
        <v>7</v>
      </c>
      <c r="F72" s="130">
        <v>0.6</v>
      </c>
      <c r="H72" s="175">
        <v>7.05</v>
      </c>
      <c r="I72" s="175">
        <v>6.66</v>
      </c>
      <c r="J72" s="175">
        <v>4.6100000000000003</v>
      </c>
      <c r="K72" s="175">
        <v>5.43</v>
      </c>
      <c r="L72" s="175">
        <v>12.38</v>
      </c>
      <c r="AS72" s="35">
        <v>22.9221</v>
      </c>
    </row>
    <row r="73" spans="2:45" ht="28" x14ac:dyDescent="0.35">
      <c r="B73" s="130" t="s">
        <v>898</v>
      </c>
      <c r="C73" s="143">
        <v>51083</v>
      </c>
      <c r="D73" s="143">
        <v>233146</v>
      </c>
      <c r="E73" s="130">
        <v>6</v>
      </c>
      <c r="F73" s="130">
        <v>0.7</v>
      </c>
      <c r="H73" s="175">
        <v>1.75</v>
      </c>
      <c r="I73" s="144">
        <v>1.77</v>
      </c>
      <c r="J73" s="144">
        <v>1.7</v>
      </c>
      <c r="K73" s="144">
        <v>1.71</v>
      </c>
      <c r="L73" s="144">
        <v>1.61</v>
      </c>
      <c r="AS73" s="35">
        <v>18.058859000000002</v>
      </c>
    </row>
    <row r="74" spans="2:45" ht="28" x14ac:dyDescent="0.35">
      <c r="B74" s="131" t="s">
        <v>1509</v>
      </c>
      <c r="C74" s="68">
        <v>154908</v>
      </c>
      <c r="D74" s="68">
        <v>654324</v>
      </c>
      <c r="E74" s="131">
        <v>8</v>
      </c>
      <c r="F74" s="131">
        <v>0.5</v>
      </c>
      <c r="H74" s="175">
        <v>6.3066500000000003</v>
      </c>
      <c r="I74" s="144">
        <v>7.1625300000000003</v>
      </c>
      <c r="J74" s="144">
        <v>7.90381</v>
      </c>
      <c r="K74" s="144">
        <v>8.1948100000000004</v>
      </c>
      <c r="L74" s="144">
        <v>10.58</v>
      </c>
      <c r="AS74" s="35" t="s">
        <v>3971</v>
      </c>
    </row>
    <row r="75" spans="2:45" ht="22" x14ac:dyDescent="0.25">
      <c r="AS75" s="35">
        <v>131.51616200000001</v>
      </c>
    </row>
    <row r="76" spans="2:45" ht="22" x14ac:dyDescent="0.25">
      <c r="AS76" s="35" t="s">
        <v>3971</v>
      </c>
    </row>
    <row r="77" spans="2:45" ht="22" x14ac:dyDescent="0.25">
      <c r="AS77" s="35" t="s">
        <v>3971</v>
      </c>
    </row>
    <row r="78" spans="2:45" ht="22" x14ac:dyDescent="0.25">
      <c r="AS78" s="35">
        <v>267.42445199999997</v>
      </c>
    </row>
    <row r="79" spans="2:45" ht="22" x14ac:dyDescent="0.25">
      <c r="AS79" s="35" t="s">
        <v>3971</v>
      </c>
    </row>
    <row r="80" spans="2:45" ht="22" x14ac:dyDescent="0.25">
      <c r="AS80" s="35" t="s">
        <v>3971</v>
      </c>
    </row>
    <row r="81" spans="45:45" ht="22" x14ac:dyDescent="0.25">
      <c r="AS81" s="35" t="s">
        <v>3971</v>
      </c>
    </row>
    <row r="82" spans="45:45" ht="22" x14ac:dyDescent="0.25">
      <c r="AS82" s="35">
        <v>784.80277100000001</v>
      </c>
    </row>
    <row r="83" spans="45:45" ht="22" x14ac:dyDescent="0.25">
      <c r="AS83" s="35" t="s">
        <v>3971</v>
      </c>
    </row>
    <row r="84" spans="45:45" ht="22" x14ac:dyDescent="0.25">
      <c r="AS84" s="35" t="s">
        <v>3971</v>
      </c>
    </row>
    <row r="85" spans="45:45" ht="22" x14ac:dyDescent="0.25">
      <c r="AS85" s="35" t="s">
        <v>3971</v>
      </c>
    </row>
    <row r="86" spans="45:45" ht="22" x14ac:dyDescent="0.25">
      <c r="AS86" s="35" t="s">
        <v>3971</v>
      </c>
    </row>
    <row r="87" spans="45:45" ht="22" x14ac:dyDescent="0.25">
      <c r="AS87" s="35" t="s">
        <v>3971</v>
      </c>
    </row>
  </sheetData>
  <mergeCells count="3">
    <mergeCell ref="Q7:S7"/>
    <mergeCell ref="U7:V7"/>
    <mergeCell ref="H3:N3"/>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4250F-AACF-B448-BDDB-6BA7ECE73748}">
  <dimension ref="D2:L288"/>
  <sheetViews>
    <sheetView zoomScale="91" workbookViewId="0">
      <selection activeCell="H5" sqref="H5"/>
    </sheetView>
  </sheetViews>
  <sheetFormatPr baseColWidth="10" defaultRowHeight="16" x14ac:dyDescent="0.2"/>
  <cols>
    <col min="4" max="4" width="48.5" bestFit="1" customWidth="1"/>
    <col min="6" max="6" width="12.6640625" customWidth="1"/>
    <col min="7" max="7" width="23.1640625" customWidth="1"/>
    <col min="8" max="8" width="14.6640625" customWidth="1"/>
    <col min="9" max="9" width="14.1640625" customWidth="1"/>
    <col min="10" max="10" width="28" bestFit="1" customWidth="1"/>
    <col min="11" max="11" width="16.83203125" bestFit="1" customWidth="1"/>
    <col min="12" max="12" width="13.1640625" bestFit="1" customWidth="1"/>
    <col min="14" max="14" width="16.33203125" customWidth="1"/>
    <col min="15" max="15" width="21" bestFit="1" customWidth="1"/>
    <col min="16" max="17" width="16.6640625" bestFit="1" customWidth="1"/>
    <col min="18" max="19" width="12.33203125" bestFit="1" customWidth="1"/>
    <col min="20" max="20" width="13" bestFit="1" customWidth="1"/>
  </cols>
  <sheetData>
    <row r="2" spans="4:11" ht="27" x14ac:dyDescent="0.35">
      <c r="D2" s="37" t="s">
        <v>4030</v>
      </c>
      <c r="G2" s="37">
        <v>1</v>
      </c>
      <c r="H2" s="37">
        <v>5</v>
      </c>
      <c r="I2" s="37">
        <v>10</v>
      </c>
      <c r="J2" s="37">
        <v>20</v>
      </c>
      <c r="K2" s="37">
        <v>50</v>
      </c>
    </row>
    <row r="3" spans="4:11" ht="22" x14ac:dyDescent="0.3">
      <c r="G3" s="49">
        <v>1</v>
      </c>
      <c r="H3" s="36">
        <v>5</v>
      </c>
      <c r="I3" s="36">
        <v>10</v>
      </c>
      <c r="J3" s="36">
        <v>20</v>
      </c>
      <c r="K3" s="36">
        <v>50</v>
      </c>
    </row>
    <row r="4" spans="4:11" ht="26" x14ac:dyDescent="0.35">
      <c r="D4" s="126" t="s">
        <v>1434</v>
      </c>
      <c r="E4" s="137">
        <v>8</v>
      </c>
      <c r="G4" s="142">
        <v>77.040000000000006</v>
      </c>
      <c r="H4" s="36">
        <v>78.7</v>
      </c>
      <c r="I4" s="47">
        <v>80.73</v>
      </c>
      <c r="J4" s="36">
        <v>83.74</v>
      </c>
      <c r="K4" s="36">
        <v>84.15</v>
      </c>
    </row>
    <row r="5" spans="4:11" ht="26" x14ac:dyDescent="0.35">
      <c r="D5" s="126" t="s">
        <v>1425</v>
      </c>
      <c r="E5" s="137">
        <v>8</v>
      </c>
      <c r="G5" s="142">
        <v>314.91000000000003</v>
      </c>
      <c r="H5" s="36">
        <v>346.79</v>
      </c>
      <c r="I5" s="47">
        <v>361.58</v>
      </c>
      <c r="J5" s="36">
        <v>373.56</v>
      </c>
      <c r="K5" s="36">
        <v>459.74</v>
      </c>
    </row>
    <row r="6" spans="4:11" ht="26" x14ac:dyDescent="0.35">
      <c r="D6" s="126" t="s">
        <v>1371</v>
      </c>
      <c r="E6" s="137">
        <v>8</v>
      </c>
      <c r="G6" s="142">
        <v>8.24</v>
      </c>
      <c r="H6" s="36">
        <v>10.68</v>
      </c>
      <c r="I6" s="47">
        <v>9.3800000000000008</v>
      </c>
      <c r="J6" s="36">
        <v>13.4</v>
      </c>
      <c r="K6" s="36">
        <v>16.28</v>
      </c>
    </row>
    <row r="7" spans="4:11" ht="26" x14ac:dyDescent="0.35">
      <c r="D7" s="126" t="s">
        <v>1391</v>
      </c>
      <c r="E7" s="137">
        <v>8</v>
      </c>
      <c r="G7" s="47">
        <v>18.805613999999998</v>
      </c>
      <c r="H7" s="36">
        <v>18.904789999999998</v>
      </c>
      <c r="I7" s="142">
        <v>18.391950999999999</v>
      </c>
      <c r="J7" s="36">
        <v>18.900238000000002</v>
      </c>
      <c r="K7" s="36">
        <v>18.893045999999998</v>
      </c>
    </row>
    <row r="8" spans="4:11" ht="26" x14ac:dyDescent="0.35">
      <c r="D8" s="126" t="s">
        <v>3919</v>
      </c>
      <c r="E8" s="137">
        <v>6</v>
      </c>
      <c r="G8" s="142">
        <v>14.428466999999999</v>
      </c>
      <c r="H8" s="36">
        <v>15.304182000000001</v>
      </c>
      <c r="I8" s="47">
        <v>16.322202000000001</v>
      </c>
      <c r="J8" s="36">
        <v>16.401510999999999</v>
      </c>
      <c r="K8" s="36">
        <v>18.420000000000002</v>
      </c>
    </row>
    <row r="9" spans="4:11" ht="26" x14ac:dyDescent="0.35">
      <c r="D9" s="126" t="s">
        <v>1346</v>
      </c>
      <c r="E9" s="137">
        <v>8</v>
      </c>
      <c r="G9" s="142">
        <v>30.21</v>
      </c>
      <c r="H9" s="36">
        <v>35.42</v>
      </c>
      <c r="I9" s="47">
        <v>31.91</v>
      </c>
      <c r="J9" s="36">
        <v>39.119999999999997</v>
      </c>
      <c r="K9" s="36">
        <v>36.229999999999997</v>
      </c>
    </row>
    <row r="10" spans="4:11" ht="26" x14ac:dyDescent="0.35">
      <c r="D10" s="126" t="s">
        <v>3912</v>
      </c>
      <c r="E10" s="137">
        <v>8</v>
      </c>
      <c r="G10" s="142">
        <v>19.72</v>
      </c>
      <c r="H10" s="36">
        <v>21.48</v>
      </c>
      <c r="I10" s="47">
        <v>22.56</v>
      </c>
      <c r="J10" s="36">
        <v>22.32</v>
      </c>
      <c r="K10" s="36">
        <v>23.6</v>
      </c>
    </row>
    <row r="11" spans="4:11" ht="26" x14ac:dyDescent="0.35">
      <c r="D11" s="126" t="s">
        <v>1434</v>
      </c>
      <c r="E11" s="137">
        <v>5</v>
      </c>
      <c r="G11" s="142">
        <v>26.810158999999999</v>
      </c>
      <c r="H11" s="36">
        <v>27.03</v>
      </c>
      <c r="I11" s="47">
        <v>28.97</v>
      </c>
      <c r="J11" s="36">
        <v>30.15</v>
      </c>
      <c r="K11" s="36">
        <v>31.55</v>
      </c>
    </row>
    <row r="12" spans="4:11" ht="26" x14ac:dyDescent="0.35">
      <c r="D12" s="126" t="s">
        <v>1450</v>
      </c>
      <c r="E12" s="137">
        <v>9</v>
      </c>
      <c r="G12" s="47">
        <v>31.71</v>
      </c>
      <c r="H12" s="36">
        <v>32.32</v>
      </c>
      <c r="I12" s="142">
        <v>31.33</v>
      </c>
      <c r="J12" s="36">
        <v>31.89</v>
      </c>
      <c r="K12" s="36">
        <v>31.44</v>
      </c>
    </row>
    <row r="13" spans="4:11" ht="26" x14ac:dyDescent="0.35">
      <c r="D13" s="126" t="s">
        <v>1</v>
      </c>
      <c r="E13" s="137">
        <v>8</v>
      </c>
      <c r="G13" s="142">
        <v>178.12</v>
      </c>
      <c r="H13" s="36">
        <v>183.51</v>
      </c>
      <c r="I13" s="47">
        <v>185.28</v>
      </c>
      <c r="J13" s="36">
        <v>188.54</v>
      </c>
      <c r="K13" s="36">
        <v>201.56</v>
      </c>
    </row>
    <row r="14" spans="4:11" ht="26" x14ac:dyDescent="0.35">
      <c r="D14" s="126" t="s">
        <v>1371</v>
      </c>
      <c r="E14" s="137">
        <v>6</v>
      </c>
      <c r="G14" s="142">
        <v>35.24</v>
      </c>
      <c r="H14" s="36">
        <v>35.92</v>
      </c>
      <c r="I14" s="47">
        <v>36.520000000000003</v>
      </c>
      <c r="J14" s="36">
        <v>36.67</v>
      </c>
      <c r="K14" s="36">
        <v>37.9</v>
      </c>
    </row>
    <row r="15" spans="4:11" ht="26" x14ac:dyDescent="0.35">
      <c r="D15" s="126" t="s">
        <v>3912</v>
      </c>
      <c r="E15" s="137">
        <v>6</v>
      </c>
      <c r="G15" s="142">
        <v>56.564124</v>
      </c>
      <c r="H15" s="36">
        <v>57.61</v>
      </c>
      <c r="I15" s="47">
        <v>59.59</v>
      </c>
      <c r="J15" s="36">
        <v>60.99</v>
      </c>
      <c r="K15" s="36">
        <v>66.08</v>
      </c>
    </row>
    <row r="16" spans="4:11" ht="26" x14ac:dyDescent="0.35">
      <c r="D16" s="126" t="s">
        <v>1</v>
      </c>
      <c r="E16" s="137">
        <v>5</v>
      </c>
      <c r="G16" s="142">
        <v>52</v>
      </c>
      <c r="H16" s="36">
        <v>53.05</v>
      </c>
      <c r="I16" s="47">
        <v>52.94</v>
      </c>
      <c r="J16" s="36">
        <v>55.14</v>
      </c>
      <c r="K16" s="36">
        <v>58.28</v>
      </c>
    </row>
    <row r="17" spans="4:11" ht="26" x14ac:dyDescent="0.35">
      <c r="D17" s="126" t="s">
        <v>1450</v>
      </c>
      <c r="E17" s="137">
        <v>2</v>
      </c>
      <c r="G17" s="142">
        <v>19.39</v>
      </c>
      <c r="H17" s="36">
        <v>20.83</v>
      </c>
      <c r="I17" s="47">
        <v>23.54</v>
      </c>
      <c r="J17" s="36">
        <v>25.4</v>
      </c>
      <c r="K17" s="36">
        <v>26.61</v>
      </c>
    </row>
    <row r="18" spans="4:11" ht="26" x14ac:dyDescent="0.35">
      <c r="D18" s="126" t="s">
        <v>3912</v>
      </c>
      <c r="E18" s="137">
        <v>7</v>
      </c>
      <c r="G18" s="142">
        <v>18.91</v>
      </c>
      <c r="H18" s="36">
        <v>20.28</v>
      </c>
      <c r="I18" s="47">
        <v>21.88</v>
      </c>
      <c r="J18" s="36">
        <v>21.96</v>
      </c>
      <c r="K18" s="36">
        <v>24.24</v>
      </c>
    </row>
    <row r="19" spans="4:11" ht="26" x14ac:dyDescent="0.35">
      <c r="D19" s="126" t="s">
        <v>1436</v>
      </c>
      <c r="E19" s="137">
        <v>9</v>
      </c>
      <c r="G19" s="47">
        <v>57.78</v>
      </c>
      <c r="H19" s="36">
        <v>57.24</v>
      </c>
      <c r="I19" s="142">
        <v>52.12</v>
      </c>
      <c r="J19" s="36">
        <v>53.31</v>
      </c>
      <c r="K19" s="36">
        <v>52.71</v>
      </c>
    </row>
    <row r="20" spans="4:11" ht="26" x14ac:dyDescent="0.35">
      <c r="D20" s="126" t="s">
        <v>1433</v>
      </c>
      <c r="E20" s="137">
        <v>2</v>
      </c>
      <c r="G20" s="142">
        <v>26.82</v>
      </c>
      <c r="H20" s="36">
        <v>29.14</v>
      </c>
      <c r="I20" s="47">
        <v>31.46</v>
      </c>
      <c r="J20" s="36">
        <v>32.18</v>
      </c>
      <c r="K20" s="36">
        <v>35.75</v>
      </c>
    </row>
    <row r="21" spans="4:11" ht="26" x14ac:dyDescent="0.35">
      <c r="D21" s="126" t="s">
        <v>1434</v>
      </c>
      <c r="E21" s="137">
        <v>7</v>
      </c>
      <c r="G21" s="142">
        <v>71.010000000000005</v>
      </c>
      <c r="H21" s="36">
        <v>72.44</v>
      </c>
      <c r="I21" s="47">
        <v>72.67</v>
      </c>
      <c r="J21" s="36">
        <v>76.510000000000005</v>
      </c>
      <c r="K21" s="36">
        <v>77.94</v>
      </c>
    </row>
    <row r="22" spans="4:11" ht="26" x14ac:dyDescent="0.35">
      <c r="D22" s="126" t="s">
        <v>1450</v>
      </c>
      <c r="E22" s="137">
        <v>5</v>
      </c>
      <c r="G22" s="142">
        <v>537.62</v>
      </c>
      <c r="H22" s="36">
        <v>539.77</v>
      </c>
      <c r="I22" s="47">
        <v>540.20000000000005</v>
      </c>
      <c r="J22" s="36">
        <v>541.47</v>
      </c>
      <c r="K22" s="36">
        <v>540.38</v>
      </c>
    </row>
    <row r="23" spans="4:11" ht="26" x14ac:dyDescent="0.35">
      <c r="D23" s="126" t="s">
        <v>1461</v>
      </c>
      <c r="E23" s="137">
        <v>5</v>
      </c>
      <c r="G23" s="142">
        <v>131.59</v>
      </c>
      <c r="H23" s="36">
        <v>135.06</v>
      </c>
      <c r="I23" s="47">
        <v>136.94999999999999</v>
      </c>
      <c r="J23" s="36">
        <v>146.65</v>
      </c>
      <c r="K23" s="36">
        <v>143.77000000000001</v>
      </c>
    </row>
    <row r="24" spans="4:11" ht="26" x14ac:dyDescent="0.35">
      <c r="D24" s="126" t="s">
        <v>1436</v>
      </c>
      <c r="E24" s="137">
        <v>2</v>
      </c>
      <c r="G24" s="142">
        <v>27.73</v>
      </c>
      <c r="H24" s="36">
        <v>28.95</v>
      </c>
      <c r="I24" s="47">
        <v>30.63</v>
      </c>
      <c r="J24" s="36">
        <v>32.92</v>
      </c>
      <c r="K24" s="36">
        <v>33.979999999999997</v>
      </c>
    </row>
    <row r="25" spans="4:11" ht="26" x14ac:dyDescent="0.35">
      <c r="D25" s="126" t="s">
        <v>1461</v>
      </c>
      <c r="E25" s="137">
        <v>7</v>
      </c>
      <c r="G25" s="47">
        <v>452.29</v>
      </c>
      <c r="H25" s="49">
        <v>447.6</v>
      </c>
      <c r="I25" s="47">
        <v>451.24</v>
      </c>
      <c r="J25" s="36">
        <v>468.62</v>
      </c>
      <c r="K25" s="36">
        <v>463.81</v>
      </c>
    </row>
    <row r="26" spans="4:11" ht="26" x14ac:dyDescent="0.35">
      <c r="D26" s="126" t="s">
        <v>18</v>
      </c>
      <c r="E26" s="137">
        <v>5</v>
      </c>
      <c r="G26" s="142">
        <v>515.07000000000005</v>
      </c>
      <c r="H26" s="36">
        <v>515.6</v>
      </c>
      <c r="I26" s="47">
        <v>521.21</v>
      </c>
      <c r="J26" s="36">
        <v>518.69000000000005</v>
      </c>
      <c r="K26" s="36">
        <v>538.4</v>
      </c>
    </row>
    <row r="27" spans="4:11" ht="26" x14ac:dyDescent="0.35">
      <c r="D27" s="126" t="s">
        <v>1346</v>
      </c>
      <c r="E27" s="137">
        <v>7</v>
      </c>
      <c r="G27" s="142">
        <v>27.19</v>
      </c>
      <c r="H27" s="36">
        <v>27.64</v>
      </c>
      <c r="I27" s="47">
        <v>28.47</v>
      </c>
      <c r="J27" s="36">
        <v>29.34</v>
      </c>
      <c r="K27" s="36">
        <v>36.049999999999997</v>
      </c>
    </row>
    <row r="28" spans="4:11" ht="26" x14ac:dyDescent="0.35">
      <c r="D28" s="126" t="s">
        <v>1448</v>
      </c>
      <c r="E28" s="137">
        <v>9</v>
      </c>
      <c r="G28" s="47">
        <v>21.84</v>
      </c>
      <c r="H28" s="36">
        <v>20.059999999999999</v>
      </c>
      <c r="I28" s="142">
        <v>17.82</v>
      </c>
      <c r="J28" s="36">
        <v>18.41</v>
      </c>
      <c r="K28" s="36">
        <v>23.48</v>
      </c>
    </row>
    <row r="29" spans="4:11" ht="26" x14ac:dyDescent="0.35">
      <c r="D29" s="126" t="s">
        <v>1423</v>
      </c>
      <c r="E29" s="137">
        <v>5</v>
      </c>
      <c r="G29" s="142">
        <v>161.06</v>
      </c>
      <c r="H29" s="36">
        <v>161.63</v>
      </c>
      <c r="I29" s="47">
        <v>162.01</v>
      </c>
      <c r="J29" s="36">
        <v>162.51</v>
      </c>
      <c r="K29" s="36">
        <v>165.66</v>
      </c>
    </row>
    <row r="30" spans="4:11" ht="26" x14ac:dyDescent="0.35">
      <c r="D30" s="126" t="s">
        <v>1449</v>
      </c>
      <c r="E30" s="137">
        <v>2</v>
      </c>
      <c r="G30" s="142">
        <v>45.59</v>
      </c>
      <c r="H30" s="36">
        <v>46.55</v>
      </c>
      <c r="I30" s="47">
        <v>49.88</v>
      </c>
      <c r="J30" s="36">
        <v>52.08</v>
      </c>
      <c r="K30" s="36">
        <v>54.8</v>
      </c>
    </row>
    <row r="31" spans="4:11" ht="26" x14ac:dyDescent="0.35">
      <c r="D31" s="126" t="s">
        <v>1409</v>
      </c>
      <c r="E31" s="137">
        <v>9</v>
      </c>
      <c r="G31" s="142">
        <v>56.48</v>
      </c>
      <c r="H31" s="36">
        <v>59.64</v>
      </c>
      <c r="I31" s="47">
        <v>59.11</v>
      </c>
      <c r="J31" s="36">
        <v>64.290000000000006</v>
      </c>
      <c r="K31" s="36">
        <v>91.03</v>
      </c>
    </row>
    <row r="32" spans="4:11" ht="26" x14ac:dyDescent="0.35">
      <c r="D32" s="126" t="s">
        <v>1448</v>
      </c>
      <c r="E32" s="137">
        <v>5</v>
      </c>
      <c r="G32" s="142">
        <v>301.58999999999997</v>
      </c>
      <c r="H32" s="36">
        <v>301.73</v>
      </c>
      <c r="I32" s="47">
        <v>303.41000000000003</v>
      </c>
      <c r="J32" s="36">
        <v>303.2</v>
      </c>
      <c r="K32" s="36">
        <v>303.60000000000002</v>
      </c>
    </row>
    <row r="33" spans="4:11" ht="26" x14ac:dyDescent="0.35">
      <c r="D33" s="126" t="s">
        <v>1425</v>
      </c>
      <c r="E33" s="137">
        <v>5</v>
      </c>
      <c r="G33" s="142">
        <v>102.59</v>
      </c>
      <c r="H33" s="36">
        <v>103.73</v>
      </c>
      <c r="I33" s="47">
        <v>104.32</v>
      </c>
      <c r="J33" s="36">
        <v>105.16</v>
      </c>
      <c r="K33" s="36">
        <v>105.92</v>
      </c>
    </row>
    <row r="34" spans="4:11" ht="26" x14ac:dyDescent="0.35">
      <c r="D34" s="126" t="s">
        <v>1425</v>
      </c>
      <c r="E34" s="137">
        <v>7</v>
      </c>
      <c r="G34" s="47">
        <v>415.7</v>
      </c>
      <c r="H34" s="49">
        <v>411.76</v>
      </c>
      <c r="I34" s="47">
        <v>416.15</v>
      </c>
      <c r="J34" s="36">
        <v>421.95</v>
      </c>
      <c r="K34" s="36">
        <v>425.89</v>
      </c>
    </row>
    <row r="35" spans="4:11" ht="26" x14ac:dyDescent="0.35">
      <c r="D35" s="126" t="s">
        <v>1440</v>
      </c>
      <c r="E35" s="137">
        <v>9</v>
      </c>
      <c r="G35" s="47">
        <v>145.9</v>
      </c>
      <c r="H35" s="49">
        <v>145.84</v>
      </c>
      <c r="I35" s="47">
        <v>152.09</v>
      </c>
      <c r="J35" s="36">
        <v>153.85</v>
      </c>
      <c r="K35" s="36">
        <v>163.38999999999999</v>
      </c>
    </row>
    <row r="36" spans="4:11" ht="26" x14ac:dyDescent="0.35">
      <c r="D36" s="126" t="s">
        <v>1455</v>
      </c>
      <c r="E36" s="137">
        <v>2</v>
      </c>
      <c r="G36" s="142">
        <v>65.63</v>
      </c>
      <c r="H36" s="36">
        <v>67.53</v>
      </c>
      <c r="I36" s="47">
        <v>69.94</v>
      </c>
      <c r="J36" s="36">
        <v>69.790000000000006</v>
      </c>
      <c r="K36" s="36">
        <v>72.069999999999993</v>
      </c>
    </row>
    <row r="37" spans="4:11" ht="26" x14ac:dyDescent="0.35">
      <c r="D37" s="126" t="s">
        <v>1411</v>
      </c>
      <c r="E37" s="137">
        <v>5</v>
      </c>
      <c r="G37" s="47">
        <v>228.49</v>
      </c>
      <c r="H37" s="36">
        <v>232.63</v>
      </c>
      <c r="I37" s="142">
        <v>227.77</v>
      </c>
      <c r="J37" s="36">
        <v>233.07</v>
      </c>
      <c r="K37" s="36">
        <v>231.76</v>
      </c>
    </row>
    <row r="38" spans="4:11" ht="26" x14ac:dyDescent="0.35">
      <c r="D38" s="126" t="s">
        <v>1448</v>
      </c>
      <c r="E38" s="137">
        <v>2</v>
      </c>
      <c r="G38" s="142">
        <v>12.28</v>
      </c>
      <c r="H38" s="36">
        <v>15.06</v>
      </c>
      <c r="I38" s="47">
        <v>17.86</v>
      </c>
      <c r="J38" s="36">
        <v>15.42</v>
      </c>
      <c r="K38" s="36">
        <v>23.71</v>
      </c>
    </row>
    <row r="39" spans="4:11" ht="26" x14ac:dyDescent="0.35">
      <c r="D39" s="126" t="s">
        <v>1409</v>
      </c>
      <c r="E39" s="137">
        <v>2</v>
      </c>
      <c r="G39" s="47">
        <v>114.07</v>
      </c>
      <c r="H39" s="36">
        <v>114.54</v>
      </c>
      <c r="I39" s="142">
        <v>113.24</v>
      </c>
      <c r="J39" s="36">
        <v>123.68</v>
      </c>
      <c r="K39" s="36">
        <v>130.86000000000001</v>
      </c>
    </row>
    <row r="40" spans="4:11" ht="26" x14ac:dyDescent="0.35">
      <c r="D40" s="126" t="s">
        <v>1438</v>
      </c>
      <c r="E40" s="137">
        <v>2</v>
      </c>
      <c r="G40" s="142">
        <v>103.5</v>
      </c>
      <c r="H40" s="36">
        <v>104.32</v>
      </c>
      <c r="I40" s="47">
        <v>105.03</v>
      </c>
      <c r="J40" s="36">
        <v>108.89</v>
      </c>
      <c r="K40" s="36">
        <v>118.8</v>
      </c>
    </row>
    <row r="41" spans="4:11" ht="26" x14ac:dyDescent="0.35">
      <c r="D41" s="126" t="s">
        <v>1440</v>
      </c>
      <c r="E41" s="137">
        <v>2</v>
      </c>
      <c r="G41" s="142">
        <v>258.51</v>
      </c>
      <c r="H41" s="36">
        <v>261.52</v>
      </c>
      <c r="I41" s="47">
        <v>262.32</v>
      </c>
      <c r="J41" s="36">
        <v>267.82</v>
      </c>
      <c r="K41" s="36">
        <v>271.25</v>
      </c>
    </row>
    <row r="42" spans="4:11" ht="26" x14ac:dyDescent="0.35">
      <c r="D42" s="126" t="s">
        <v>18</v>
      </c>
      <c r="E42" s="137">
        <v>2</v>
      </c>
      <c r="G42" s="142">
        <v>67.16</v>
      </c>
      <c r="H42" s="36">
        <v>74.41</v>
      </c>
      <c r="I42" s="47">
        <v>72.069999999999993</v>
      </c>
      <c r="J42" s="36">
        <v>77.709999999999994</v>
      </c>
      <c r="K42" s="36">
        <v>82.07</v>
      </c>
    </row>
    <row r="43" spans="4:11" ht="26" x14ac:dyDescent="0.35">
      <c r="D43" s="126" t="s">
        <v>1411</v>
      </c>
      <c r="E43" s="137">
        <v>2</v>
      </c>
      <c r="G43" s="142">
        <v>43.25</v>
      </c>
      <c r="H43" s="36">
        <v>46.87</v>
      </c>
      <c r="I43" s="47">
        <v>49.96</v>
      </c>
      <c r="J43" s="36">
        <v>51.95</v>
      </c>
      <c r="K43" s="36">
        <v>52.7</v>
      </c>
    </row>
    <row r="166" spans="4:12" ht="22" x14ac:dyDescent="0.25">
      <c r="D166" s="68"/>
      <c r="F166" s="69"/>
      <c r="G166" s="138">
        <v>200</v>
      </c>
      <c r="H166" s="138">
        <v>500</v>
      </c>
      <c r="I166" s="69"/>
      <c r="J166" s="139">
        <v>1000</v>
      </c>
      <c r="K166" s="138">
        <v>2000</v>
      </c>
      <c r="L166" s="138">
        <v>5000</v>
      </c>
    </row>
    <row r="167" spans="4:12" ht="26" x14ac:dyDescent="0.35">
      <c r="D167" s="126" t="s">
        <v>1371</v>
      </c>
      <c r="E167" s="137">
        <v>8</v>
      </c>
      <c r="F167" s="69"/>
      <c r="G167" s="47">
        <v>13.54364</v>
      </c>
      <c r="H167" s="47">
        <v>11.058916</v>
      </c>
      <c r="I167" s="69"/>
      <c r="J167" s="140">
        <v>10.54932</v>
      </c>
      <c r="K167" s="140">
        <v>9.5753540000000008</v>
      </c>
      <c r="L167" s="141">
        <v>9.3826490000000007</v>
      </c>
    </row>
    <row r="168" spans="4:12" ht="26" x14ac:dyDescent="0.35">
      <c r="D168" s="126" t="s">
        <v>1448</v>
      </c>
      <c r="E168" s="137">
        <v>2</v>
      </c>
      <c r="F168" s="69"/>
      <c r="G168" s="47">
        <v>12.788163000000001</v>
      </c>
      <c r="H168" s="47">
        <v>12.079632</v>
      </c>
      <c r="I168" s="69"/>
      <c r="J168" s="140">
        <v>12.000914</v>
      </c>
      <c r="K168" s="141">
        <v>11.897131999999999</v>
      </c>
      <c r="L168" s="140">
        <v>11.965807</v>
      </c>
    </row>
    <row r="169" spans="4:12" ht="26" x14ac:dyDescent="0.35">
      <c r="D169" s="126" t="s">
        <v>1434</v>
      </c>
      <c r="E169" s="137">
        <v>9</v>
      </c>
      <c r="F169" s="69"/>
      <c r="G169" s="47">
        <v>12.858482</v>
      </c>
      <c r="H169" s="47">
        <v>11.344144</v>
      </c>
      <c r="I169" s="69"/>
      <c r="J169" s="140">
        <v>11.346026999999999</v>
      </c>
      <c r="K169" s="140">
        <v>10.822958</v>
      </c>
      <c r="L169" s="141">
        <v>10.63264</v>
      </c>
    </row>
    <row r="170" spans="4:12" ht="26" x14ac:dyDescent="0.35">
      <c r="D170" s="126" t="s">
        <v>1448</v>
      </c>
      <c r="E170" s="137">
        <v>9</v>
      </c>
      <c r="F170" s="69"/>
      <c r="G170" s="47">
        <v>16.193763000000001</v>
      </c>
      <c r="H170" s="47">
        <v>15.150978</v>
      </c>
      <c r="I170" s="69"/>
      <c r="J170" s="140">
        <v>14.904210000000001</v>
      </c>
      <c r="K170" s="140">
        <v>14.751607</v>
      </c>
      <c r="L170" s="141">
        <v>14.47226</v>
      </c>
    </row>
    <row r="171" spans="4:12" ht="26" x14ac:dyDescent="0.35">
      <c r="D171" s="126" t="s">
        <v>3919</v>
      </c>
      <c r="E171" s="137">
        <v>6</v>
      </c>
      <c r="F171" s="69"/>
      <c r="G171" s="47">
        <v>15.882463</v>
      </c>
      <c r="H171" s="47">
        <v>14.860891000000001</v>
      </c>
      <c r="I171" s="69"/>
      <c r="J171" s="140">
        <v>14.487270000000001</v>
      </c>
      <c r="K171" s="140">
        <v>14.476464999999999</v>
      </c>
      <c r="L171" s="141">
        <v>14.203853000000001</v>
      </c>
    </row>
    <row r="172" spans="4:12" ht="26" x14ac:dyDescent="0.35">
      <c r="D172" s="126" t="s">
        <v>1450</v>
      </c>
      <c r="E172" s="137">
        <v>2</v>
      </c>
      <c r="F172" s="69"/>
      <c r="G172" s="47">
        <v>20.029174000000001</v>
      </c>
      <c r="H172" s="47">
        <v>19.578617999999999</v>
      </c>
      <c r="I172" s="69"/>
      <c r="J172" s="140">
        <v>19.384395000000001</v>
      </c>
      <c r="K172" s="140">
        <v>19.237888000000002</v>
      </c>
      <c r="L172" s="141">
        <v>19.073582999999999</v>
      </c>
    </row>
    <row r="173" spans="4:12" ht="26" x14ac:dyDescent="0.35">
      <c r="D173" s="126" t="s">
        <v>3912</v>
      </c>
      <c r="E173" s="137">
        <v>7</v>
      </c>
      <c r="F173" s="69"/>
      <c r="G173" s="47">
        <v>34.568080000000002</v>
      </c>
      <c r="H173" s="47">
        <v>24.588723000000002</v>
      </c>
      <c r="I173" s="69"/>
      <c r="J173" s="140">
        <v>20.152498000000001</v>
      </c>
      <c r="K173" s="140">
        <v>19.448477</v>
      </c>
      <c r="L173" s="141">
        <v>19.217057</v>
      </c>
    </row>
    <row r="174" spans="4:12" ht="26" x14ac:dyDescent="0.35">
      <c r="D174" s="126" t="s">
        <v>1391</v>
      </c>
      <c r="E174" s="137">
        <v>8</v>
      </c>
      <c r="F174" s="69"/>
      <c r="G174" s="47">
        <v>21.110434000000001</v>
      </c>
      <c r="H174" s="47">
        <v>21.207367000000001</v>
      </c>
      <c r="I174" s="69"/>
      <c r="J174" s="140">
        <v>21.139455000000002</v>
      </c>
      <c r="K174" s="140">
        <v>20.869388000000001</v>
      </c>
      <c r="L174" s="141">
        <v>20.502189000000001</v>
      </c>
    </row>
    <row r="175" spans="4:12" ht="26" x14ac:dyDescent="0.35">
      <c r="D175" s="126" t="s">
        <v>3912</v>
      </c>
      <c r="E175" s="137">
        <v>8</v>
      </c>
      <c r="F175" s="69"/>
      <c r="G175" s="47">
        <v>75.953047999999995</v>
      </c>
      <c r="H175" s="47">
        <v>43.493969</v>
      </c>
      <c r="I175" s="69"/>
      <c r="J175" s="140">
        <v>31.078979</v>
      </c>
      <c r="K175" s="140">
        <v>21.583165000000001</v>
      </c>
      <c r="L175" s="141">
        <v>20.553267000000002</v>
      </c>
    </row>
    <row r="176" spans="4:12" ht="26" x14ac:dyDescent="0.35">
      <c r="D176" s="126" t="s">
        <v>1433</v>
      </c>
      <c r="E176" s="137">
        <v>2</v>
      </c>
      <c r="F176" s="69"/>
      <c r="G176" s="47">
        <v>27.189132000000001</v>
      </c>
      <c r="H176" s="47">
        <v>26.578852999999999</v>
      </c>
      <c r="I176" s="69"/>
      <c r="J176" s="140">
        <v>26.350819999999999</v>
      </c>
      <c r="K176" s="140">
        <v>26.263749000000001</v>
      </c>
      <c r="L176" s="141">
        <v>26.237069999999999</v>
      </c>
    </row>
    <row r="177" spans="4:12" ht="26" x14ac:dyDescent="0.35">
      <c r="D177" s="126" t="s">
        <v>1436</v>
      </c>
      <c r="E177" s="137">
        <v>2</v>
      </c>
      <c r="F177" s="69"/>
      <c r="G177" s="47">
        <v>28.438599</v>
      </c>
      <c r="H177" s="47">
        <v>27.813835999999998</v>
      </c>
      <c r="I177" s="69"/>
      <c r="J177" s="140">
        <v>27.514925000000002</v>
      </c>
      <c r="K177" s="140">
        <v>27.423697000000001</v>
      </c>
      <c r="L177" s="141">
        <v>27.150742000000001</v>
      </c>
    </row>
    <row r="178" spans="4:12" ht="26" x14ac:dyDescent="0.35">
      <c r="D178" s="126" t="s">
        <v>1346</v>
      </c>
      <c r="E178" s="137">
        <v>7</v>
      </c>
      <c r="F178" s="69"/>
      <c r="G178" s="47">
        <v>33.335923000000001</v>
      </c>
      <c r="H178" s="47">
        <v>30.186503999999999</v>
      </c>
      <c r="I178" s="69"/>
      <c r="J178" s="140">
        <v>29.310683999999998</v>
      </c>
      <c r="K178" s="140">
        <v>28.614498999999999</v>
      </c>
      <c r="L178" s="141">
        <v>27.933095999999999</v>
      </c>
    </row>
    <row r="179" spans="4:12" ht="26" x14ac:dyDescent="0.35">
      <c r="D179" s="126" t="s">
        <v>1434</v>
      </c>
      <c r="E179" s="137">
        <v>5</v>
      </c>
      <c r="F179" s="69"/>
      <c r="G179" s="47">
        <v>30.512947</v>
      </c>
      <c r="H179" s="47">
        <v>28.925176</v>
      </c>
      <c r="I179" s="69"/>
      <c r="J179" s="140">
        <v>27.991232</v>
      </c>
      <c r="K179" s="140">
        <v>27.713788999999998</v>
      </c>
      <c r="L179" s="141">
        <v>27.702086999999999</v>
      </c>
    </row>
    <row r="180" spans="4:12" ht="26" x14ac:dyDescent="0.35">
      <c r="D180" s="126" t="s">
        <v>1450</v>
      </c>
      <c r="E180" s="137">
        <v>9</v>
      </c>
      <c r="F180" s="69"/>
      <c r="G180" s="47">
        <v>31.849429000000001</v>
      </c>
      <c r="H180" s="47">
        <v>30.483691</v>
      </c>
      <c r="I180" s="69"/>
      <c r="J180" s="140">
        <v>30.275549000000002</v>
      </c>
      <c r="K180" s="140">
        <v>29.833859</v>
      </c>
      <c r="L180" s="141">
        <v>29.272964999999999</v>
      </c>
    </row>
    <row r="181" spans="4:12" ht="26" x14ac:dyDescent="0.35">
      <c r="D181" s="126" t="s">
        <v>1346</v>
      </c>
      <c r="E181" s="137">
        <v>8</v>
      </c>
      <c r="F181" s="69"/>
      <c r="G181" s="47">
        <v>46.730649</v>
      </c>
      <c r="H181" s="47">
        <v>36.440928999999997</v>
      </c>
      <c r="I181" s="69"/>
      <c r="J181" s="140">
        <v>35.511445000000002</v>
      </c>
      <c r="K181" s="140">
        <v>34.324876000000003</v>
      </c>
      <c r="L181" s="141">
        <v>33.138596</v>
      </c>
    </row>
    <row r="182" spans="4:12" ht="26" x14ac:dyDescent="0.35">
      <c r="D182" s="126" t="s">
        <v>1411</v>
      </c>
      <c r="E182" s="137">
        <v>2</v>
      </c>
      <c r="F182" s="69"/>
      <c r="G182" s="47">
        <v>43.553358000000003</v>
      </c>
      <c r="H182" s="47">
        <v>43.348028999999997</v>
      </c>
      <c r="I182" s="69"/>
      <c r="J182" s="141">
        <v>43.087567</v>
      </c>
      <c r="K182" s="140">
        <v>43.217061000000001</v>
      </c>
      <c r="L182" s="140">
        <v>43.196444</v>
      </c>
    </row>
    <row r="183" spans="4:12" ht="26" x14ac:dyDescent="0.35">
      <c r="D183" s="126" t="s">
        <v>1449</v>
      </c>
      <c r="E183" s="137">
        <v>2</v>
      </c>
      <c r="F183" s="69"/>
      <c r="G183" s="47">
        <v>45.849173999999998</v>
      </c>
      <c r="H183" s="47">
        <v>45.076729</v>
      </c>
      <c r="I183" s="69"/>
      <c r="J183" s="140">
        <v>44.855058999999997</v>
      </c>
      <c r="K183" s="140">
        <v>44.669365999999997</v>
      </c>
      <c r="L183" s="141">
        <v>44.600904</v>
      </c>
    </row>
    <row r="184" spans="4:12" ht="26" x14ac:dyDescent="0.35">
      <c r="D184" s="126" t="s">
        <v>1371</v>
      </c>
      <c r="E184" s="137">
        <v>6</v>
      </c>
      <c r="F184" s="69"/>
      <c r="G184" s="47">
        <v>182.14</v>
      </c>
      <c r="H184" s="47">
        <v>323.20999999999998</v>
      </c>
      <c r="I184" s="69"/>
      <c r="J184" s="141">
        <v>37.100543999999999</v>
      </c>
      <c r="K184" s="140">
        <v>414.23</v>
      </c>
      <c r="L184" s="140">
        <v>252.63</v>
      </c>
    </row>
    <row r="185" spans="4:12" ht="26" x14ac:dyDescent="0.35">
      <c r="D185" s="126" t="s">
        <v>1409</v>
      </c>
      <c r="E185" s="137">
        <v>9</v>
      </c>
      <c r="F185" s="69"/>
      <c r="G185" s="47">
        <v>53.351044000000002</v>
      </c>
      <c r="H185" s="47">
        <v>52.702143</v>
      </c>
      <c r="I185" s="69"/>
      <c r="J185" s="140">
        <v>52.645966000000001</v>
      </c>
      <c r="K185" s="141">
        <v>52.436013000000003</v>
      </c>
      <c r="L185" s="140">
        <v>52.632058999999998</v>
      </c>
    </row>
    <row r="186" spans="4:12" ht="26" x14ac:dyDescent="0.35">
      <c r="D186" s="126" t="s">
        <v>1436</v>
      </c>
      <c r="E186" s="137">
        <v>9</v>
      </c>
      <c r="F186" s="69"/>
      <c r="G186" s="47">
        <v>51.488273999999997</v>
      </c>
      <c r="H186" s="47">
        <v>50.519238999999999</v>
      </c>
      <c r="I186" s="69"/>
      <c r="J186" s="140">
        <v>49.816206000000001</v>
      </c>
      <c r="K186" s="140">
        <v>49.518030000000003</v>
      </c>
      <c r="L186" s="141">
        <v>49.189014999999998</v>
      </c>
    </row>
    <row r="187" spans="4:12" ht="26" x14ac:dyDescent="0.35">
      <c r="D187" s="126" t="s">
        <v>18</v>
      </c>
      <c r="E187" s="137">
        <v>2</v>
      </c>
      <c r="F187" s="69"/>
      <c r="G187" s="47">
        <v>67.527128000000005</v>
      </c>
      <c r="H187" s="47">
        <v>65.895708999999997</v>
      </c>
      <c r="I187" s="69"/>
      <c r="J187" s="140">
        <v>65.688942999999995</v>
      </c>
      <c r="K187" s="140">
        <v>65.747546</v>
      </c>
      <c r="L187" s="141">
        <v>65.533439000000001</v>
      </c>
    </row>
    <row r="188" spans="4:12" ht="26" x14ac:dyDescent="0.35">
      <c r="D188" s="126" t="s">
        <v>1455</v>
      </c>
      <c r="E188" s="137">
        <v>2</v>
      </c>
      <c r="F188" s="69"/>
      <c r="G188" s="47">
        <v>66.708554000000007</v>
      </c>
      <c r="H188" s="47">
        <v>65.846018999999998</v>
      </c>
      <c r="I188" s="69"/>
      <c r="J188" s="140">
        <v>65.728926999999999</v>
      </c>
      <c r="K188" s="140">
        <v>65.258746000000002</v>
      </c>
      <c r="L188" s="141">
        <v>65.123788000000005</v>
      </c>
    </row>
    <row r="189" spans="4:12" ht="26" x14ac:dyDescent="0.35">
      <c r="D189" s="126" t="s">
        <v>3912</v>
      </c>
      <c r="E189" s="137">
        <v>6</v>
      </c>
      <c r="F189" s="69"/>
      <c r="G189" s="47">
        <v>58.977201999999998</v>
      </c>
      <c r="H189" s="47">
        <v>57.302773000000002</v>
      </c>
      <c r="I189" s="69"/>
      <c r="J189" s="140">
        <v>56.745190999999998</v>
      </c>
      <c r="K189" s="140">
        <v>56.760914999999997</v>
      </c>
      <c r="L189" s="141">
        <v>56.493558999999998</v>
      </c>
    </row>
    <row r="190" spans="4:12" ht="26" x14ac:dyDescent="0.35">
      <c r="D190" s="126" t="s">
        <v>1</v>
      </c>
      <c r="E190" s="137">
        <v>5</v>
      </c>
      <c r="F190" s="69"/>
      <c r="G190" s="47">
        <v>66.516069999999999</v>
      </c>
      <c r="H190" s="47">
        <v>62.025692999999997</v>
      </c>
      <c r="I190" s="69"/>
      <c r="J190" s="140">
        <v>58.782516999999999</v>
      </c>
      <c r="K190" s="140">
        <v>56.222129000000002</v>
      </c>
      <c r="L190" s="141">
        <v>55.325994000000001</v>
      </c>
    </row>
    <row r="191" spans="4:12" ht="26" x14ac:dyDescent="0.35">
      <c r="D191" s="126" t="s">
        <v>1434</v>
      </c>
      <c r="E191" s="137">
        <v>7</v>
      </c>
      <c r="F191" s="69"/>
      <c r="G191" s="47">
        <v>86.230993999999995</v>
      </c>
      <c r="H191" s="47">
        <v>78.584799000000004</v>
      </c>
      <c r="I191" s="69"/>
      <c r="J191" s="140">
        <v>76.246281999999994</v>
      </c>
      <c r="K191" s="140">
        <v>75.104703999999998</v>
      </c>
      <c r="L191" s="141">
        <v>73.942231000000007</v>
      </c>
    </row>
    <row r="192" spans="4:12" ht="26" x14ac:dyDescent="0.35">
      <c r="D192" s="126" t="s">
        <v>1438</v>
      </c>
      <c r="E192" s="137">
        <v>2</v>
      </c>
      <c r="F192" s="69"/>
      <c r="G192" s="47">
        <v>103.158689</v>
      </c>
      <c r="H192" s="47">
        <v>101.854315</v>
      </c>
      <c r="I192" s="69"/>
      <c r="J192" s="140">
        <v>101.68702999999999</v>
      </c>
      <c r="K192" s="141">
        <v>101.487123</v>
      </c>
      <c r="L192" s="140">
        <v>101.760442</v>
      </c>
    </row>
    <row r="193" spans="4:12" ht="26" x14ac:dyDescent="0.35">
      <c r="D193" s="126" t="s">
        <v>1434</v>
      </c>
      <c r="E193" s="137">
        <v>8</v>
      </c>
      <c r="F193" s="69"/>
      <c r="G193" s="47">
        <v>150.038915</v>
      </c>
      <c r="H193" s="47">
        <v>109.63044600000001</v>
      </c>
      <c r="I193" s="69"/>
      <c r="J193" s="140">
        <v>91.936704000000006</v>
      </c>
      <c r="K193" s="140">
        <v>87.450755000000001</v>
      </c>
      <c r="L193" s="141">
        <v>83.806042000000005</v>
      </c>
    </row>
    <row r="194" spans="4:12" ht="26" x14ac:dyDescent="0.35">
      <c r="D194" s="126" t="s">
        <v>1409</v>
      </c>
      <c r="E194" s="137">
        <v>2</v>
      </c>
      <c r="F194" s="69"/>
      <c r="G194" s="142">
        <v>110.92055999999999</v>
      </c>
      <c r="H194" s="47">
        <v>110.981557</v>
      </c>
      <c r="I194" s="69"/>
      <c r="J194" s="140">
        <v>111.50702099999999</v>
      </c>
      <c r="K194" s="140">
        <v>111.404892</v>
      </c>
      <c r="L194" s="140">
        <v>111.08095299999999</v>
      </c>
    </row>
    <row r="195" spans="4:12" ht="26" x14ac:dyDescent="0.35">
      <c r="D195" s="126" t="s">
        <v>1425</v>
      </c>
      <c r="E195" s="137">
        <v>5</v>
      </c>
      <c r="F195" s="69"/>
      <c r="G195" s="47">
        <v>111.48347099999999</v>
      </c>
      <c r="H195" s="47">
        <v>110.17731499999999</v>
      </c>
      <c r="I195" s="69"/>
      <c r="J195" s="140">
        <v>108.6473</v>
      </c>
      <c r="K195" s="140">
        <v>106.658112</v>
      </c>
      <c r="L195" s="141">
        <v>105.072243</v>
      </c>
    </row>
    <row r="196" spans="4:12" ht="26" x14ac:dyDescent="0.35">
      <c r="D196" s="126" t="s">
        <v>1440</v>
      </c>
      <c r="E196" s="137">
        <v>9</v>
      </c>
      <c r="F196" s="69"/>
      <c r="G196" s="47">
        <v>141.467356</v>
      </c>
      <c r="H196" s="47">
        <v>140.31502399999999</v>
      </c>
      <c r="I196" s="69"/>
      <c r="J196" s="140">
        <v>139.541595</v>
      </c>
      <c r="K196" s="141">
        <v>139.316845</v>
      </c>
      <c r="L196" s="140">
        <v>139.42422500000001</v>
      </c>
    </row>
    <row r="197" spans="4:12" ht="26" x14ac:dyDescent="0.35">
      <c r="D197" s="126" t="s">
        <v>1461</v>
      </c>
      <c r="E197" s="137">
        <v>5</v>
      </c>
      <c r="F197" s="69"/>
      <c r="G197" s="47">
        <v>140.789737</v>
      </c>
      <c r="H197" s="47">
        <v>136.64110400000001</v>
      </c>
      <c r="I197" s="69"/>
      <c r="J197" s="140">
        <v>134.059369</v>
      </c>
      <c r="K197" s="140">
        <v>133.23129599999999</v>
      </c>
      <c r="L197" s="141">
        <v>132.552098</v>
      </c>
    </row>
    <row r="198" spans="4:12" ht="26" x14ac:dyDescent="0.35">
      <c r="D198" s="126" t="s">
        <v>1423</v>
      </c>
      <c r="E198" s="137">
        <v>5</v>
      </c>
      <c r="F198" s="69"/>
      <c r="G198" s="47">
        <v>172.945031</v>
      </c>
      <c r="H198" s="47">
        <v>171.09279699999999</v>
      </c>
      <c r="I198" s="69"/>
      <c r="J198" s="140">
        <v>170.19131300000001</v>
      </c>
      <c r="K198" s="140">
        <v>167.26216500000001</v>
      </c>
      <c r="L198" s="141">
        <v>164.30501599999999</v>
      </c>
    </row>
    <row r="199" spans="4:12" ht="26" x14ac:dyDescent="0.35">
      <c r="D199" s="126" t="s">
        <v>1440</v>
      </c>
      <c r="E199" s="137">
        <v>2</v>
      </c>
      <c r="F199" s="69"/>
      <c r="G199" s="47">
        <v>255.78950499999999</v>
      </c>
      <c r="H199" s="47">
        <v>255.00335100000001</v>
      </c>
      <c r="I199" s="69"/>
      <c r="J199" s="141">
        <v>254.48178100000001</v>
      </c>
      <c r="K199" s="140">
        <v>254.788084</v>
      </c>
      <c r="L199" s="140">
        <v>255.08629500000001</v>
      </c>
    </row>
    <row r="200" spans="4:12" ht="26" x14ac:dyDescent="0.35">
      <c r="D200" s="126" t="s">
        <v>1</v>
      </c>
      <c r="E200" s="137">
        <v>8</v>
      </c>
      <c r="F200" s="69"/>
      <c r="G200" s="47">
        <v>334.20178499999997</v>
      </c>
      <c r="H200" s="47">
        <v>247.02874199999999</v>
      </c>
      <c r="I200" s="69"/>
      <c r="J200" s="140">
        <v>230.81816599999999</v>
      </c>
      <c r="K200" s="140">
        <v>215.448431</v>
      </c>
      <c r="L200" s="141">
        <v>210.977701</v>
      </c>
    </row>
    <row r="201" spans="4:12" ht="26" x14ac:dyDescent="0.35">
      <c r="D201" s="126" t="s">
        <v>1411</v>
      </c>
      <c r="E201" s="137">
        <v>5</v>
      </c>
      <c r="F201" s="69"/>
      <c r="G201" s="47">
        <v>253.70969099999999</v>
      </c>
      <c r="H201" s="47">
        <v>241.22706700000001</v>
      </c>
      <c r="I201" s="69"/>
      <c r="J201" s="140">
        <v>239.10316599999999</v>
      </c>
      <c r="K201" s="140">
        <v>240.61417299999999</v>
      </c>
      <c r="L201" s="141">
        <v>238.252419</v>
      </c>
    </row>
    <row r="202" spans="4:12" ht="26" x14ac:dyDescent="0.35">
      <c r="D202" s="126" t="s">
        <v>1448</v>
      </c>
      <c r="E202" s="137">
        <v>5</v>
      </c>
      <c r="F202" s="69"/>
      <c r="G202" s="47">
        <v>322.00268299999999</v>
      </c>
      <c r="H202" s="47">
        <v>320.498245</v>
      </c>
      <c r="I202" s="69"/>
      <c r="J202" s="140">
        <v>318.40613100000002</v>
      </c>
      <c r="K202" s="140">
        <v>314.05160100000001</v>
      </c>
      <c r="L202" s="141">
        <v>308.617322</v>
      </c>
    </row>
    <row r="203" spans="4:12" ht="26" x14ac:dyDescent="0.35">
      <c r="D203" s="126" t="s">
        <v>1425</v>
      </c>
      <c r="E203" s="137">
        <v>7</v>
      </c>
      <c r="F203" s="69"/>
      <c r="G203" s="47">
        <v>484.22759600000001</v>
      </c>
      <c r="H203" s="47">
        <v>460.89117299999998</v>
      </c>
      <c r="I203" s="69"/>
      <c r="J203" s="140">
        <v>446.67361699999998</v>
      </c>
      <c r="K203" s="140">
        <v>435.329408</v>
      </c>
      <c r="L203" s="141">
        <v>425.68783300000001</v>
      </c>
    </row>
    <row r="204" spans="4:12" ht="26" x14ac:dyDescent="0.35">
      <c r="D204" s="126" t="s">
        <v>1425</v>
      </c>
      <c r="E204" s="137">
        <v>8</v>
      </c>
      <c r="F204" s="69"/>
      <c r="G204" s="47">
        <v>467.814437</v>
      </c>
      <c r="H204" s="47">
        <v>443.12676299999998</v>
      </c>
      <c r="I204" s="69"/>
      <c r="J204" s="140">
        <v>426.74191200000001</v>
      </c>
      <c r="K204" s="140">
        <v>412.03268100000003</v>
      </c>
      <c r="L204" s="141">
        <v>388.18367000000001</v>
      </c>
    </row>
    <row r="205" spans="4:12" ht="26" x14ac:dyDescent="0.35">
      <c r="D205" s="126" t="s">
        <v>1461</v>
      </c>
      <c r="E205" s="137">
        <v>7</v>
      </c>
      <c r="F205" s="69"/>
      <c r="G205" s="47">
        <v>528.18291099999999</v>
      </c>
      <c r="H205" s="47">
        <v>495.16969599999999</v>
      </c>
      <c r="I205" s="69"/>
      <c r="J205" s="140">
        <v>484.41130900000002</v>
      </c>
      <c r="K205" s="140">
        <v>473.17317000000003</v>
      </c>
      <c r="L205" s="141">
        <v>461.25565499999999</v>
      </c>
    </row>
    <row r="206" spans="4:12" ht="26" x14ac:dyDescent="0.35">
      <c r="D206" s="126" t="s">
        <v>18</v>
      </c>
      <c r="E206" s="137">
        <v>5</v>
      </c>
      <c r="F206" s="69"/>
      <c r="G206" s="47">
        <v>535.30194400000005</v>
      </c>
      <c r="H206" s="47">
        <v>524.99729600000001</v>
      </c>
      <c r="I206" s="69"/>
      <c r="J206" s="140">
        <v>518.47945700000002</v>
      </c>
      <c r="K206" s="140">
        <v>516.59616900000003</v>
      </c>
      <c r="L206" s="141">
        <v>515.24298899999997</v>
      </c>
    </row>
    <row r="207" spans="4:12" ht="26" x14ac:dyDescent="0.35">
      <c r="D207" s="126" t="s">
        <v>1450</v>
      </c>
      <c r="E207" s="137">
        <v>5</v>
      </c>
      <c r="F207" s="69"/>
      <c r="G207" s="47">
        <v>570.61415799999997</v>
      </c>
      <c r="H207" s="47">
        <v>570.125901</v>
      </c>
      <c r="I207" s="69"/>
      <c r="J207" s="140">
        <v>568.85147700000005</v>
      </c>
      <c r="K207" s="140">
        <v>561.15225999999996</v>
      </c>
      <c r="L207" s="141">
        <v>551.44410100000005</v>
      </c>
    </row>
    <row r="208" spans="4:12" ht="22" x14ac:dyDescent="0.25">
      <c r="D208" s="68"/>
      <c r="F208" s="69"/>
      <c r="G208" s="69"/>
      <c r="H208" s="69"/>
      <c r="I208" s="69"/>
    </row>
    <row r="209" spans="4:9" ht="22" x14ac:dyDescent="0.25">
      <c r="D209" s="68"/>
      <c r="F209" s="69"/>
      <c r="G209" s="69"/>
      <c r="H209" s="69"/>
      <c r="I209" s="69"/>
    </row>
    <row r="210" spans="4:9" ht="22" x14ac:dyDescent="0.25">
      <c r="D210" s="68"/>
      <c r="F210" s="69"/>
      <c r="G210" s="69"/>
      <c r="H210" s="69"/>
      <c r="I210" s="69"/>
    </row>
    <row r="211" spans="4:9" ht="22" x14ac:dyDescent="0.25">
      <c r="D211" s="68"/>
      <c r="F211" s="69"/>
      <c r="G211" s="69"/>
      <c r="H211" s="69"/>
      <c r="I211" s="69"/>
    </row>
    <row r="212" spans="4:9" ht="22" x14ac:dyDescent="0.25">
      <c r="D212" s="68"/>
      <c r="F212" s="69"/>
      <c r="G212" s="69"/>
      <c r="H212" s="69"/>
      <c r="I212" s="69"/>
    </row>
    <row r="213" spans="4:9" ht="22" x14ac:dyDescent="0.25">
      <c r="D213" s="68"/>
      <c r="F213" s="69"/>
      <c r="G213" s="69"/>
      <c r="H213" s="69"/>
      <c r="I213" s="69"/>
    </row>
    <row r="214" spans="4:9" ht="22" x14ac:dyDescent="0.25">
      <c r="D214" s="68"/>
      <c r="F214" s="69"/>
      <c r="G214" s="69"/>
      <c r="H214" s="69"/>
      <c r="I214" s="69"/>
    </row>
    <row r="215" spans="4:9" ht="22" x14ac:dyDescent="0.25">
      <c r="D215" s="68"/>
      <c r="F215" s="69"/>
      <c r="G215" s="69"/>
      <c r="H215" s="69"/>
      <c r="I215" s="69"/>
    </row>
    <row r="216" spans="4:9" ht="22" x14ac:dyDescent="0.25">
      <c r="D216" s="68"/>
      <c r="F216" s="69"/>
      <c r="G216" s="69"/>
      <c r="H216" s="69"/>
      <c r="I216" s="69"/>
    </row>
    <row r="217" spans="4:9" ht="22" x14ac:dyDescent="0.25">
      <c r="D217" s="68"/>
      <c r="F217" s="69"/>
      <c r="G217" s="69"/>
      <c r="H217" s="69"/>
      <c r="I217" s="69"/>
    </row>
    <row r="218" spans="4:9" ht="22" x14ac:dyDescent="0.25">
      <c r="D218" s="68"/>
      <c r="F218" s="69"/>
      <c r="G218" s="69"/>
      <c r="H218" s="69"/>
      <c r="I218" s="69"/>
    </row>
    <row r="219" spans="4:9" ht="22" x14ac:dyDescent="0.25">
      <c r="D219" s="68"/>
      <c r="F219" s="69"/>
      <c r="G219" s="69"/>
      <c r="H219" s="69"/>
      <c r="I219" s="69"/>
    </row>
    <row r="220" spans="4:9" ht="22" x14ac:dyDescent="0.25">
      <c r="D220" s="68"/>
      <c r="F220" s="69"/>
      <c r="G220" s="69"/>
      <c r="H220" s="69"/>
      <c r="I220" s="69"/>
    </row>
    <row r="221" spans="4:9" ht="22" x14ac:dyDescent="0.25">
      <c r="D221" s="68"/>
      <c r="F221" s="69"/>
      <c r="G221" s="69"/>
      <c r="H221" s="69"/>
      <c r="I221" s="69"/>
    </row>
    <row r="222" spans="4:9" ht="22" x14ac:dyDescent="0.25">
      <c r="D222" s="68"/>
      <c r="F222" s="69"/>
      <c r="G222" s="69"/>
      <c r="H222" s="69"/>
      <c r="I222" s="69"/>
    </row>
    <row r="223" spans="4:9" ht="22" x14ac:dyDescent="0.25">
      <c r="D223" s="68"/>
      <c r="F223" s="69"/>
      <c r="G223" s="69"/>
      <c r="H223" s="69"/>
      <c r="I223" s="69"/>
    </row>
    <row r="224" spans="4:9" ht="22" x14ac:dyDescent="0.25">
      <c r="D224" s="68"/>
      <c r="F224" s="69"/>
      <c r="G224" s="69"/>
      <c r="H224" s="69"/>
      <c r="I224" s="69"/>
    </row>
    <row r="225" spans="4:9" ht="22" x14ac:dyDescent="0.25">
      <c r="D225" s="68"/>
      <c r="F225" s="69"/>
      <c r="G225" s="69"/>
      <c r="H225" s="69"/>
      <c r="I225" s="69"/>
    </row>
    <row r="226" spans="4:9" ht="22" x14ac:dyDescent="0.25">
      <c r="D226" s="68"/>
      <c r="F226" s="69"/>
      <c r="G226" s="69"/>
      <c r="H226" s="69"/>
      <c r="I226" s="69"/>
    </row>
    <row r="227" spans="4:9" ht="22" x14ac:dyDescent="0.25">
      <c r="D227" s="68"/>
      <c r="F227" s="69"/>
      <c r="G227" s="69"/>
      <c r="H227" s="69"/>
      <c r="I227" s="69"/>
    </row>
    <row r="228" spans="4:9" ht="22" x14ac:dyDescent="0.25">
      <c r="D228" s="68"/>
      <c r="F228" s="69"/>
      <c r="G228" s="69"/>
      <c r="H228" s="69"/>
      <c r="I228" s="69"/>
    </row>
    <row r="229" spans="4:9" ht="22" x14ac:dyDescent="0.25">
      <c r="D229" s="68"/>
      <c r="F229" s="69"/>
      <c r="G229" s="69"/>
      <c r="H229" s="69"/>
      <c r="I229" s="69"/>
    </row>
    <row r="230" spans="4:9" ht="22" x14ac:dyDescent="0.25">
      <c r="D230" s="68"/>
      <c r="F230" s="69"/>
      <c r="G230" s="69"/>
      <c r="H230" s="69"/>
      <c r="I230" s="69"/>
    </row>
    <row r="231" spans="4:9" ht="22" x14ac:dyDescent="0.25">
      <c r="D231" s="68"/>
      <c r="F231" s="69"/>
      <c r="G231" s="69"/>
      <c r="H231" s="69"/>
      <c r="I231" s="69"/>
    </row>
    <row r="232" spans="4:9" ht="22" x14ac:dyDescent="0.25">
      <c r="D232" s="68"/>
      <c r="F232" s="69"/>
      <c r="G232" s="69"/>
      <c r="H232" s="69"/>
      <c r="I232" s="69"/>
    </row>
    <row r="233" spans="4:9" ht="22" x14ac:dyDescent="0.25">
      <c r="D233" s="68"/>
      <c r="F233" s="69"/>
      <c r="G233" s="69"/>
      <c r="H233" s="69"/>
      <c r="I233" s="69"/>
    </row>
    <row r="234" spans="4:9" ht="22" x14ac:dyDescent="0.25">
      <c r="D234" s="68"/>
      <c r="F234" s="69"/>
      <c r="G234" s="69"/>
      <c r="H234" s="69"/>
      <c r="I234" s="69"/>
    </row>
    <row r="235" spans="4:9" ht="22" x14ac:dyDescent="0.25">
      <c r="D235" s="68"/>
      <c r="F235" s="69"/>
      <c r="G235" s="69"/>
      <c r="H235" s="69"/>
      <c r="I235" s="69"/>
    </row>
    <row r="236" spans="4:9" ht="22" x14ac:dyDescent="0.25">
      <c r="D236" s="68"/>
      <c r="F236" s="69"/>
      <c r="G236" s="69"/>
      <c r="H236" s="69"/>
      <c r="I236" s="69"/>
    </row>
    <row r="237" spans="4:9" ht="22" x14ac:dyDescent="0.25">
      <c r="D237" s="68"/>
      <c r="F237" s="69"/>
      <c r="G237" s="69"/>
      <c r="H237" s="69"/>
      <c r="I237" s="69"/>
    </row>
    <row r="238" spans="4:9" ht="22" x14ac:dyDescent="0.25">
      <c r="D238" s="68"/>
      <c r="F238" s="69"/>
      <c r="G238" s="69"/>
      <c r="H238" s="69"/>
      <c r="I238" s="69"/>
    </row>
    <row r="239" spans="4:9" ht="22" x14ac:dyDescent="0.25">
      <c r="D239" s="68"/>
      <c r="F239" s="69"/>
      <c r="G239" s="69"/>
      <c r="H239" s="69"/>
      <c r="I239" s="69"/>
    </row>
    <row r="240" spans="4:9" ht="22" x14ac:dyDescent="0.25">
      <c r="D240" s="68"/>
      <c r="F240" s="69"/>
      <c r="G240" s="69"/>
      <c r="H240" s="69"/>
      <c r="I240" s="69"/>
    </row>
    <row r="241" spans="4:9" ht="22" x14ac:dyDescent="0.25">
      <c r="D241" s="68"/>
      <c r="F241" s="69"/>
      <c r="G241" s="69"/>
      <c r="H241" s="69"/>
      <c r="I241" s="69"/>
    </row>
    <row r="242" spans="4:9" ht="22" x14ac:dyDescent="0.25">
      <c r="D242" s="68"/>
      <c r="F242" s="69"/>
      <c r="G242" s="69"/>
      <c r="H242" s="69"/>
      <c r="I242" s="69"/>
    </row>
    <row r="243" spans="4:9" ht="22" x14ac:dyDescent="0.25">
      <c r="D243" s="68"/>
      <c r="F243" s="69"/>
      <c r="G243" s="69"/>
      <c r="H243" s="69"/>
      <c r="I243" s="69"/>
    </row>
    <row r="244" spans="4:9" ht="22" x14ac:dyDescent="0.25">
      <c r="D244" s="68"/>
      <c r="F244" s="69"/>
      <c r="G244" s="69"/>
      <c r="H244" s="69"/>
      <c r="I244" s="69"/>
    </row>
    <row r="245" spans="4:9" ht="22" x14ac:dyDescent="0.25">
      <c r="D245" s="68"/>
      <c r="F245" s="69"/>
      <c r="G245" s="69"/>
      <c r="H245" s="69"/>
      <c r="I245" s="69"/>
    </row>
    <row r="246" spans="4:9" ht="22" x14ac:dyDescent="0.25">
      <c r="D246" s="68"/>
      <c r="F246" s="69"/>
      <c r="G246" s="69"/>
      <c r="H246" s="69"/>
      <c r="I246" s="69"/>
    </row>
    <row r="247" spans="4:9" ht="22" x14ac:dyDescent="0.25">
      <c r="D247" s="68"/>
      <c r="F247" s="69"/>
      <c r="G247" s="69"/>
      <c r="H247" s="69"/>
      <c r="I247" s="69"/>
    </row>
    <row r="248" spans="4:9" ht="22" x14ac:dyDescent="0.25">
      <c r="D248" s="68"/>
      <c r="F248" s="69"/>
      <c r="G248" s="69"/>
      <c r="H248" s="69"/>
      <c r="I248" s="69"/>
    </row>
    <row r="249" spans="4:9" ht="22" x14ac:dyDescent="0.25">
      <c r="D249" s="68"/>
      <c r="F249" s="69"/>
      <c r="G249" s="69"/>
      <c r="H249" s="69"/>
      <c r="I249" s="69"/>
    </row>
    <row r="250" spans="4:9" ht="22" x14ac:dyDescent="0.25">
      <c r="D250" s="68"/>
      <c r="F250" s="69"/>
      <c r="G250" s="69"/>
      <c r="H250" s="69"/>
      <c r="I250" s="69"/>
    </row>
    <row r="251" spans="4:9" ht="22" x14ac:dyDescent="0.25">
      <c r="D251" s="68"/>
      <c r="F251" s="69"/>
      <c r="G251" s="69"/>
      <c r="H251" s="69"/>
      <c r="I251" s="69"/>
    </row>
    <row r="252" spans="4:9" ht="22" x14ac:dyDescent="0.25">
      <c r="D252" s="68"/>
      <c r="F252" s="69"/>
      <c r="G252" s="69"/>
      <c r="H252" s="69"/>
      <c r="I252" s="69"/>
    </row>
    <row r="253" spans="4:9" ht="22" x14ac:dyDescent="0.25">
      <c r="D253" s="68"/>
      <c r="F253" s="69"/>
      <c r="G253" s="69"/>
      <c r="H253" s="69"/>
      <c r="I253" s="69"/>
    </row>
    <row r="254" spans="4:9" ht="22" x14ac:dyDescent="0.25">
      <c r="D254" s="68"/>
      <c r="F254" s="69"/>
      <c r="G254" s="69"/>
      <c r="H254" s="69"/>
      <c r="I254" s="69"/>
    </row>
    <row r="255" spans="4:9" ht="22" x14ac:dyDescent="0.25">
      <c r="D255" s="68"/>
      <c r="F255" s="69"/>
      <c r="G255" s="69"/>
      <c r="H255" s="69"/>
      <c r="I255" s="69"/>
    </row>
    <row r="256" spans="4:9" ht="22" x14ac:dyDescent="0.25">
      <c r="D256" s="68"/>
      <c r="F256" s="69"/>
      <c r="G256" s="69"/>
      <c r="H256" s="69"/>
      <c r="I256" s="69"/>
    </row>
    <row r="257" spans="4:9" ht="22" x14ac:dyDescent="0.25">
      <c r="D257" s="68"/>
      <c r="F257" s="69"/>
      <c r="G257" s="69"/>
      <c r="H257" s="69"/>
      <c r="I257" s="69"/>
    </row>
    <row r="258" spans="4:9" ht="22" x14ac:dyDescent="0.25">
      <c r="D258" s="68"/>
      <c r="F258" s="69"/>
      <c r="G258" s="69"/>
      <c r="H258" s="69"/>
      <c r="I258" s="69"/>
    </row>
    <row r="259" spans="4:9" ht="22" x14ac:dyDescent="0.25">
      <c r="D259" s="68"/>
      <c r="F259" s="69"/>
      <c r="G259" s="69"/>
      <c r="H259" s="69"/>
      <c r="I259" s="69"/>
    </row>
    <row r="260" spans="4:9" ht="22" x14ac:dyDescent="0.25">
      <c r="D260" s="68"/>
      <c r="F260" s="69"/>
      <c r="G260" s="69"/>
      <c r="H260" s="69"/>
      <c r="I260" s="69"/>
    </row>
    <row r="261" spans="4:9" ht="22" x14ac:dyDescent="0.25">
      <c r="D261" s="68"/>
      <c r="F261" s="69"/>
      <c r="G261" s="69"/>
      <c r="H261" s="69"/>
      <c r="I261" s="69"/>
    </row>
    <row r="262" spans="4:9" ht="22" x14ac:dyDescent="0.25">
      <c r="D262" s="68"/>
      <c r="F262" s="69"/>
      <c r="G262" s="69"/>
      <c r="H262" s="69"/>
      <c r="I262" s="69"/>
    </row>
    <row r="263" spans="4:9" ht="22" x14ac:dyDescent="0.25">
      <c r="D263" s="68"/>
      <c r="F263" s="69"/>
      <c r="G263" s="69"/>
      <c r="H263" s="69"/>
      <c r="I263" s="69"/>
    </row>
    <row r="264" spans="4:9" ht="22" x14ac:dyDescent="0.25">
      <c r="D264" s="68"/>
      <c r="F264" s="69"/>
      <c r="G264" s="69"/>
      <c r="H264" s="69"/>
      <c r="I264" s="69"/>
    </row>
    <row r="265" spans="4:9" ht="22" x14ac:dyDescent="0.25">
      <c r="D265" s="68"/>
      <c r="F265" s="69"/>
      <c r="G265" s="69"/>
      <c r="H265" s="69"/>
      <c r="I265" s="69"/>
    </row>
    <row r="266" spans="4:9" ht="22" x14ac:dyDescent="0.25">
      <c r="D266" s="68"/>
      <c r="F266" s="69"/>
      <c r="G266" s="69"/>
      <c r="H266" s="69"/>
      <c r="I266" s="69"/>
    </row>
    <row r="267" spans="4:9" ht="22" x14ac:dyDescent="0.25">
      <c r="D267" s="68"/>
      <c r="F267" s="69"/>
      <c r="G267" s="69"/>
      <c r="H267" s="69"/>
      <c r="I267" s="69"/>
    </row>
    <row r="268" spans="4:9" ht="22" x14ac:dyDescent="0.25">
      <c r="D268" s="68"/>
      <c r="F268" s="69"/>
      <c r="G268" s="69"/>
      <c r="H268" s="69"/>
      <c r="I268" s="69"/>
    </row>
    <row r="269" spans="4:9" ht="22" x14ac:dyDescent="0.25">
      <c r="D269" s="68"/>
      <c r="F269" s="69"/>
      <c r="G269" s="69"/>
      <c r="H269" s="69"/>
      <c r="I269" s="69"/>
    </row>
    <row r="270" spans="4:9" ht="22" x14ac:dyDescent="0.25">
      <c r="D270" s="68"/>
      <c r="F270" s="69"/>
      <c r="G270" s="69"/>
      <c r="H270" s="69"/>
      <c r="I270" s="69"/>
    </row>
    <row r="271" spans="4:9" ht="22" x14ac:dyDescent="0.25">
      <c r="D271" s="68"/>
      <c r="F271" s="69"/>
      <c r="G271" s="69"/>
      <c r="H271" s="69"/>
      <c r="I271" s="69"/>
    </row>
    <row r="272" spans="4:9" ht="22" x14ac:dyDescent="0.25">
      <c r="D272" s="68"/>
      <c r="F272" s="69"/>
      <c r="G272" s="69"/>
      <c r="H272" s="69"/>
      <c r="I272" s="69"/>
    </row>
    <row r="273" spans="4:9" ht="22" x14ac:dyDescent="0.25">
      <c r="D273" s="68"/>
      <c r="F273" s="69"/>
      <c r="G273" s="69"/>
      <c r="H273" s="69"/>
      <c r="I273" s="69"/>
    </row>
    <row r="274" spans="4:9" ht="22" x14ac:dyDescent="0.25">
      <c r="D274" s="68"/>
      <c r="F274" s="69"/>
      <c r="G274" s="69"/>
      <c r="H274" s="69"/>
      <c r="I274" s="69"/>
    </row>
    <row r="275" spans="4:9" ht="22" x14ac:dyDescent="0.25">
      <c r="D275" s="68"/>
      <c r="F275" s="69"/>
      <c r="G275" s="69"/>
      <c r="H275" s="69"/>
      <c r="I275" s="69"/>
    </row>
    <row r="276" spans="4:9" ht="22" x14ac:dyDescent="0.25">
      <c r="D276" s="68"/>
      <c r="F276" s="69"/>
      <c r="G276" s="69"/>
      <c r="H276" s="69"/>
      <c r="I276" s="69"/>
    </row>
    <row r="277" spans="4:9" ht="22" x14ac:dyDescent="0.25">
      <c r="D277" s="68"/>
      <c r="F277" s="69"/>
      <c r="G277" s="69"/>
      <c r="H277" s="69"/>
      <c r="I277" s="69"/>
    </row>
    <row r="278" spans="4:9" ht="22" x14ac:dyDescent="0.25">
      <c r="D278" s="68"/>
      <c r="F278" s="69"/>
      <c r="G278" s="69"/>
      <c r="H278" s="69"/>
      <c r="I278" s="69"/>
    </row>
    <row r="279" spans="4:9" ht="22" x14ac:dyDescent="0.25">
      <c r="D279" s="68"/>
      <c r="F279" s="69"/>
      <c r="G279" s="69"/>
      <c r="H279" s="69"/>
      <c r="I279" s="69"/>
    </row>
    <row r="280" spans="4:9" ht="22" x14ac:dyDescent="0.25">
      <c r="D280" s="68"/>
      <c r="F280" s="69"/>
      <c r="G280" s="69"/>
      <c r="H280" s="69"/>
      <c r="I280" s="69"/>
    </row>
    <row r="281" spans="4:9" ht="22" x14ac:dyDescent="0.25">
      <c r="D281" s="68"/>
      <c r="F281" s="69"/>
      <c r="G281" s="69"/>
      <c r="H281" s="69"/>
      <c r="I281" s="69"/>
    </row>
    <row r="282" spans="4:9" ht="22" x14ac:dyDescent="0.25">
      <c r="D282" s="68"/>
      <c r="F282" s="69"/>
      <c r="G282" s="69"/>
      <c r="H282" s="69"/>
      <c r="I282" s="69"/>
    </row>
    <row r="283" spans="4:9" ht="22" x14ac:dyDescent="0.25">
      <c r="D283" s="68"/>
      <c r="F283" s="69"/>
      <c r="G283" s="69"/>
      <c r="H283" s="69"/>
      <c r="I283" s="69"/>
    </row>
    <row r="284" spans="4:9" ht="22" x14ac:dyDescent="0.25">
      <c r="D284" s="68"/>
      <c r="F284" s="69"/>
      <c r="G284" s="69"/>
      <c r="H284" s="69"/>
      <c r="I284" s="69"/>
    </row>
    <row r="285" spans="4:9" ht="22" x14ac:dyDescent="0.25">
      <c r="D285" s="68"/>
      <c r="F285" s="69"/>
      <c r="G285" s="69"/>
      <c r="H285" s="69"/>
      <c r="I285" s="69"/>
    </row>
    <row r="286" spans="4:9" ht="22" x14ac:dyDescent="0.25">
      <c r="D286" s="68"/>
      <c r="F286" s="69"/>
      <c r="G286" s="69"/>
      <c r="H286" s="69"/>
      <c r="I286" s="69"/>
    </row>
    <row r="287" spans="4:9" ht="22" x14ac:dyDescent="0.25">
      <c r="D287" s="68"/>
      <c r="F287" s="69"/>
      <c r="G287" s="69"/>
      <c r="H287" s="69"/>
      <c r="I287" s="69"/>
    </row>
    <row r="288" spans="4:9" ht="22" x14ac:dyDescent="0.25">
      <c r="D288" s="68"/>
      <c r="F288" s="69"/>
      <c r="G288" s="69"/>
      <c r="H288" s="69"/>
      <c r="I288" s="69"/>
    </row>
  </sheetData>
  <pageMargins left="0.7" right="0.7" top="0.75" bottom="0.75" header="0.3" footer="0.3"/>
  <pageSetup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9759C-988D-864F-9620-8EF84B50E83D}">
  <dimension ref="C1:DN136"/>
  <sheetViews>
    <sheetView tabSelected="1" topLeftCell="AN1" zoomScale="89" workbookViewId="0">
      <selection activeCell="AO21" sqref="AO21"/>
    </sheetView>
  </sheetViews>
  <sheetFormatPr baseColWidth="10" defaultRowHeight="22" x14ac:dyDescent="0.3"/>
  <cols>
    <col min="3" max="3" width="34.83203125" style="9" bestFit="1" customWidth="1"/>
    <col min="4" max="4" width="16.83203125" style="9" customWidth="1"/>
    <col min="5" max="5" width="16.6640625" style="9" bestFit="1" customWidth="1"/>
    <col min="6" max="6" width="13.1640625" style="9" customWidth="1"/>
    <col min="7" max="7" width="13.5" style="9" customWidth="1"/>
    <col min="8" max="8" width="13.6640625" bestFit="1" customWidth="1"/>
    <col min="9" max="9" width="13.83203125" customWidth="1"/>
    <col min="10" max="10" width="20.83203125" style="9" customWidth="1"/>
    <col min="11" max="11" width="28.5" style="43" bestFit="1" customWidth="1"/>
    <col min="12" max="12" width="20.83203125" customWidth="1"/>
    <col min="13" max="13" width="15.1640625" bestFit="1" customWidth="1"/>
    <col min="14" max="14" width="14.83203125" bestFit="1" customWidth="1"/>
    <col min="17" max="17" width="15.1640625" customWidth="1"/>
    <col min="18" max="18" width="11.33203125" bestFit="1" customWidth="1"/>
    <col min="19" max="23" width="11.1640625" bestFit="1" customWidth="1"/>
    <col min="25" max="25" width="24.5" customWidth="1"/>
    <col min="26" max="30" width="11.1640625" bestFit="1" customWidth="1"/>
    <col min="31" max="31" width="11.1640625" customWidth="1"/>
    <col min="33" max="33" width="18.6640625" customWidth="1"/>
    <col min="34" max="36" width="13.6640625" customWidth="1"/>
    <col min="37" max="38" width="15" bestFit="1" customWidth="1"/>
    <col min="39" max="39" width="17.5" bestFit="1" customWidth="1"/>
    <col min="40" max="40" width="55" customWidth="1"/>
    <col min="41" max="41" width="50" bestFit="1" customWidth="1"/>
    <col min="42" max="44" width="18.6640625" bestFit="1" customWidth="1"/>
    <col min="76" max="80" width="11" bestFit="1" customWidth="1"/>
    <col min="81" max="81" width="11" customWidth="1"/>
    <col min="82" max="86" width="11" bestFit="1" customWidth="1"/>
    <col min="87" max="87" width="11" customWidth="1"/>
    <col min="88" max="92" width="11" bestFit="1" customWidth="1"/>
    <col min="93" max="93" width="11" customWidth="1"/>
    <col min="94" max="98" width="11" bestFit="1" customWidth="1"/>
    <col min="99" max="99" width="11" customWidth="1"/>
    <col min="100" max="100" width="11" bestFit="1" customWidth="1"/>
    <col min="101" max="101" width="16.6640625" bestFit="1" customWidth="1"/>
    <col min="102" max="104" width="11" bestFit="1" customWidth="1"/>
    <col min="105" max="105" width="11" customWidth="1"/>
    <col min="106" max="110" width="11" bestFit="1" customWidth="1"/>
  </cols>
  <sheetData>
    <row r="1" spans="3:110" ht="27" x14ac:dyDescent="0.35">
      <c r="C1" s="37" t="s">
        <v>3984</v>
      </c>
    </row>
    <row r="4" spans="3:110" ht="30" thickBot="1" x14ac:dyDescent="0.4">
      <c r="H4" s="37"/>
      <c r="I4" s="181"/>
      <c r="J4" s="181"/>
      <c r="K4" s="182"/>
      <c r="L4" s="182"/>
      <c r="Q4" s="37" t="s">
        <v>3938</v>
      </c>
      <c r="R4" s="37"/>
      <c r="S4" s="37"/>
      <c r="T4" s="37" t="s">
        <v>3939</v>
      </c>
      <c r="U4" s="37"/>
      <c r="V4" s="37"/>
      <c r="W4" s="37"/>
      <c r="X4" s="37"/>
      <c r="Y4" s="37"/>
      <c r="Z4" s="37"/>
      <c r="AA4" s="37"/>
      <c r="AB4" s="37" t="s">
        <v>3940</v>
      </c>
      <c r="AC4" s="37"/>
      <c r="AD4" s="37"/>
      <c r="AE4" s="37"/>
      <c r="AF4" s="37"/>
      <c r="AG4" s="37"/>
      <c r="AH4" s="37"/>
      <c r="AI4" s="37"/>
      <c r="AJ4" s="37" t="s">
        <v>3941</v>
      </c>
      <c r="AK4" s="37"/>
      <c r="AM4" s="37"/>
      <c r="AQ4" s="133" t="s">
        <v>4001</v>
      </c>
      <c r="BZ4">
        <v>1</v>
      </c>
      <c r="CF4">
        <v>10</v>
      </c>
      <c r="CL4">
        <v>100</v>
      </c>
      <c r="CR4">
        <v>200</v>
      </c>
      <c r="CX4">
        <v>500</v>
      </c>
      <c r="DD4">
        <v>1000</v>
      </c>
    </row>
    <row r="5" spans="3:110" ht="27" x14ac:dyDescent="0.35">
      <c r="C5" s="13" t="s">
        <v>25</v>
      </c>
      <c r="D5" s="12" t="s">
        <v>13</v>
      </c>
      <c r="E5" s="12" t="s">
        <v>14</v>
      </c>
      <c r="F5" s="12" t="s">
        <v>15</v>
      </c>
      <c r="G5" s="13" t="s">
        <v>3932</v>
      </c>
      <c r="H5" s="13" t="s">
        <v>3930</v>
      </c>
      <c r="I5" s="13" t="s">
        <v>3929</v>
      </c>
      <c r="J5" s="13" t="s">
        <v>3936</v>
      </c>
      <c r="K5" s="44" t="s">
        <v>19</v>
      </c>
      <c r="L5" s="60" t="s">
        <v>3935</v>
      </c>
      <c r="M5" s="13" t="s">
        <v>21</v>
      </c>
      <c r="N5" s="13" t="s">
        <v>23</v>
      </c>
      <c r="P5" s="37"/>
      <c r="Q5" s="37" t="s">
        <v>3938</v>
      </c>
      <c r="R5" s="37">
        <v>1</v>
      </c>
      <c r="S5" s="37">
        <v>10</v>
      </c>
      <c r="T5" s="37">
        <v>100</v>
      </c>
      <c r="U5" s="37">
        <v>200</v>
      </c>
      <c r="V5" s="37">
        <v>500</v>
      </c>
      <c r="W5" s="37">
        <v>1000</v>
      </c>
      <c r="X5" s="37"/>
      <c r="Y5" s="37" t="s">
        <v>3943</v>
      </c>
      <c r="Z5" s="37">
        <v>1</v>
      </c>
      <c r="AA5" s="37">
        <v>10</v>
      </c>
      <c r="AB5" s="37">
        <v>100</v>
      </c>
      <c r="AC5" s="37">
        <v>500</v>
      </c>
      <c r="AD5" s="37">
        <v>1000</v>
      </c>
      <c r="AE5" s="37">
        <v>10000</v>
      </c>
      <c r="AF5" s="37"/>
      <c r="AG5" s="37" t="s">
        <v>3942</v>
      </c>
      <c r="AH5" s="54">
        <v>1000</v>
      </c>
      <c r="AI5" s="54">
        <v>5000</v>
      </c>
      <c r="AJ5" s="54">
        <v>10000</v>
      </c>
      <c r="AK5" s="55">
        <v>100000</v>
      </c>
      <c r="AL5" s="54">
        <v>500000</v>
      </c>
      <c r="AM5" s="54">
        <v>1000000</v>
      </c>
      <c r="AP5" s="132">
        <v>1000</v>
      </c>
      <c r="AQ5" s="132">
        <v>2000</v>
      </c>
      <c r="AR5" s="132">
        <v>5000</v>
      </c>
      <c r="BX5">
        <v>1</v>
      </c>
      <c r="BY5">
        <v>10</v>
      </c>
      <c r="BZ5">
        <v>100</v>
      </c>
      <c r="CA5">
        <v>500</v>
      </c>
      <c r="CB5">
        <v>1000</v>
      </c>
      <c r="CD5">
        <v>1</v>
      </c>
      <c r="CE5">
        <v>10</v>
      </c>
      <c r="CF5">
        <v>100</v>
      </c>
      <c r="CG5">
        <v>500</v>
      </c>
      <c r="CH5">
        <v>1000</v>
      </c>
      <c r="CJ5">
        <v>1</v>
      </c>
      <c r="CK5">
        <v>10</v>
      </c>
      <c r="CL5">
        <v>100</v>
      </c>
      <c r="CM5">
        <v>500</v>
      </c>
      <c r="CN5">
        <v>1000</v>
      </c>
      <c r="CP5">
        <v>1</v>
      </c>
      <c r="CQ5">
        <v>10</v>
      </c>
      <c r="CR5">
        <v>100</v>
      </c>
      <c r="CS5">
        <v>500</v>
      </c>
      <c r="CT5">
        <v>1000</v>
      </c>
      <c r="CV5">
        <v>1</v>
      </c>
      <c r="CW5">
        <v>10</v>
      </c>
      <c r="CX5">
        <v>100</v>
      </c>
      <c r="CY5">
        <v>500</v>
      </c>
      <c r="CZ5">
        <v>1000</v>
      </c>
      <c r="DB5">
        <v>1</v>
      </c>
      <c r="DC5">
        <v>10</v>
      </c>
      <c r="DD5">
        <v>100</v>
      </c>
      <c r="DE5">
        <v>500</v>
      </c>
      <c r="DF5">
        <v>1000</v>
      </c>
    </row>
    <row r="6" spans="3:110" ht="22" hidden="1" customHeight="1" x14ac:dyDescent="0.3">
      <c r="C6" s="9" t="s">
        <v>16</v>
      </c>
      <c r="D6" s="11">
        <v>13593032</v>
      </c>
      <c r="E6" s="11">
        <v>669183050</v>
      </c>
      <c r="F6" s="11">
        <v>1052326</v>
      </c>
      <c r="G6" s="10"/>
      <c r="H6" s="28" t="s">
        <v>3902</v>
      </c>
      <c r="I6" s="28"/>
      <c r="J6" s="10"/>
      <c r="K6" s="45"/>
      <c r="L6" s="56"/>
      <c r="M6" s="25"/>
      <c r="N6" s="25"/>
      <c r="AK6" s="56"/>
    </row>
    <row r="7" spans="3:110" ht="22" hidden="1" customHeight="1" x14ac:dyDescent="0.3">
      <c r="C7" s="9" t="s">
        <v>3901</v>
      </c>
      <c r="D7" s="11">
        <v>18483186</v>
      </c>
      <c r="E7" s="11">
        <v>523574516</v>
      </c>
      <c r="F7" s="11">
        <v>194955</v>
      </c>
      <c r="G7" s="10"/>
      <c r="H7" s="28" t="s">
        <v>3902</v>
      </c>
      <c r="I7" s="28"/>
      <c r="J7" s="10"/>
      <c r="K7" s="45"/>
      <c r="L7" s="56"/>
      <c r="M7" s="25"/>
      <c r="N7" s="25"/>
      <c r="AK7" s="56"/>
    </row>
    <row r="8" spans="3:110" ht="22" hidden="1" customHeight="1" x14ac:dyDescent="0.3">
      <c r="C8" s="11" t="s">
        <v>1460</v>
      </c>
      <c r="D8" s="11">
        <v>4512099</v>
      </c>
      <c r="E8" s="11">
        <v>163921732</v>
      </c>
      <c r="F8" s="11">
        <v>288044</v>
      </c>
      <c r="G8" s="10"/>
      <c r="H8" s="28" t="s">
        <v>3902</v>
      </c>
      <c r="I8" s="28"/>
      <c r="J8" s="10"/>
      <c r="K8" s="45"/>
      <c r="L8" s="56"/>
      <c r="M8" s="25"/>
      <c r="N8" s="25"/>
      <c r="AK8" s="56"/>
    </row>
    <row r="9" spans="3:110" ht="22" hidden="1" customHeight="1" x14ac:dyDescent="0.3">
      <c r="C9" s="9" t="s">
        <v>3900</v>
      </c>
      <c r="D9" s="11">
        <v>1069126</v>
      </c>
      <c r="E9" s="11">
        <v>112613306</v>
      </c>
      <c r="F9" s="11">
        <v>11467</v>
      </c>
      <c r="G9" s="10"/>
      <c r="H9" s="28" t="s">
        <v>3902</v>
      </c>
      <c r="I9" s="28"/>
      <c r="J9" s="10"/>
      <c r="K9" s="45"/>
      <c r="L9" s="56"/>
      <c r="M9" s="25"/>
      <c r="N9" s="25"/>
      <c r="AK9" s="56"/>
    </row>
    <row r="10" spans="3:110" ht="22" hidden="1" customHeight="1" x14ac:dyDescent="0.3">
      <c r="C10" s="9" t="s">
        <v>1427</v>
      </c>
      <c r="D10" s="11">
        <v>2105723</v>
      </c>
      <c r="E10" s="11">
        <v>100093818</v>
      </c>
      <c r="F10" s="11">
        <v>218818</v>
      </c>
      <c r="G10" s="10"/>
      <c r="H10" s="28" t="s">
        <v>3902</v>
      </c>
      <c r="I10" s="28"/>
      <c r="J10" s="10"/>
      <c r="K10" s="45"/>
      <c r="L10" s="56"/>
      <c r="M10" s="25"/>
      <c r="N10" s="25"/>
      <c r="AK10" s="56"/>
    </row>
    <row r="11" spans="3:110" ht="22" hidden="1" customHeight="1" x14ac:dyDescent="0.3">
      <c r="C11" s="11" t="s">
        <v>1424</v>
      </c>
      <c r="D11" s="11">
        <v>2302925</v>
      </c>
      <c r="E11" s="11">
        <v>45676552</v>
      </c>
      <c r="F11" s="11">
        <v>27937</v>
      </c>
      <c r="G11" s="10"/>
      <c r="H11" s="28" t="s">
        <v>3902</v>
      </c>
      <c r="I11" s="28"/>
      <c r="J11" s="10"/>
      <c r="K11" s="45"/>
      <c r="L11" s="56"/>
      <c r="M11" s="25"/>
      <c r="N11" s="25"/>
      <c r="AK11" s="56"/>
    </row>
    <row r="12" spans="3:110" ht="22" hidden="1" customHeight="1" x14ac:dyDescent="0.3">
      <c r="C12" s="11" t="s">
        <v>1465</v>
      </c>
      <c r="D12" s="11">
        <v>68349466</v>
      </c>
      <c r="E12" s="11">
        <v>3623698684</v>
      </c>
      <c r="F12" s="11">
        <v>5214</v>
      </c>
      <c r="G12" s="10"/>
      <c r="H12" s="28" t="s">
        <v>3904</v>
      </c>
      <c r="I12" s="28"/>
      <c r="J12" s="10"/>
      <c r="K12" s="45"/>
      <c r="L12" s="56"/>
      <c r="M12" s="25"/>
      <c r="N12" s="25"/>
      <c r="AK12" s="56"/>
    </row>
    <row r="13" spans="3:110" ht="22" hidden="1" customHeight="1" x14ac:dyDescent="0.3">
      <c r="C13" s="9" t="s">
        <v>3914</v>
      </c>
      <c r="D13" s="11">
        <v>147925593</v>
      </c>
      <c r="E13" s="11">
        <v>893533906</v>
      </c>
      <c r="F13" s="11">
        <v>308477</v>
      </c>
      <c r="G13" s="10"/>
      <c r="H13" s="28" t="s">
        <v>3904</v>
      </c>
      <c r="I13" s="28"/>
      <c r="J13" s="10"/>
      <c r="K13" s="45"/>
      <c r="L13" s="56"/>
      <c r="M13" s="25"/>
      <c r="N13" s="25"/>
      <c r="AK13" s="56"/>
    </row>
    <row r="14" spans="3:110" ht="22" hidden="1" customHeight="1" x14ac:dyDescent="0.3">
      <c r="C14" s="11" t="s">
        <v>1417</v>
      </c>
      <c r="D14" s="11">
        <v>5203763</v>
      </c>
      <c r="E14" s="11">
        <v>97419242</v>
      </c>
      <c r="F14" s="11">
        <v>15016</v>
      </c>
      <c r="G14" s="10"/>
      <c r="H14" s="28" t="s">
        <v>3921</v>
      </c>
      <c r="I14" s="28"/>
      <c r="J14" s="10"/>
      <c r="K14" s="45"/>
      <c r="L14" s="56"/>
      <c r="M14" s="25"/>
      <c r="N14" s="25"/>
      <c r="AK14" s="56"/>
    </row>
    <row r="15" spans="3:110" ht="22" hidden="1" customHeight="1" x14ac:dyDescent="0.3">
      <c r="C15" s="11" t="s">
        <v>1435</v>
      </c>
      <c r="D15" s="11">
        <v>4846609</v>
      </c>
      <c r="E15" s="11">
        <v>85702474</v>
      </c>
      <c r="F15" s="11">
        <v>20333</v>
      </c>
      <c r="G15" s="10"/>
      <c r="H15" s="28" t="s">
        <v>3921</v>
      </c>
      <c r="I15" s="28"/>
      <c r="J15" s="10"/>
      <c r="K15" s="45"/>
      <c r="L15" s="56"/>
      <c r="M15" s="25"/>
      <c r="N15" s="25"/>
      <c r="AK15" s="56"/>
    </row>
    <row r="16" spans="3:110" ht="24" x14ac:dyDescent="0.3">
      <c r="C16" s="9" t="s">
        <v>1443</v>
      </c>
      <c r="D16" s="38">
        <v>3924218</v>
      </c>
      <c r="E16" s="38">
        <v>152878772</v>
      </c>
      <c r="F16" s="38">
        <v>254555</v>
      </c>
      <c r="G16" s="39">
        <v>36008128</v>
      </c>
      <c r="H16" s="41">
        <v>486.47726599999999</v>
      </c>
      <c r="I16" s="51">
        <v>450.831255</v>
      </c>
      <c r="J16" s="41">
        <v>481.75678499999998</v>
      </c>
      <c r="K16" s="42"/>
      <c r="L16" s="48">
        <v>220.903085</v>
      </c>
      <c r="M16" s="34"/>
      <c r="N16" s="34"/>
      <c r="Q16" s="36"/>
      <c r="R16" s="36">
        <v>409.96209800000003</v>
      </c>
      <c r="S16" s="36">
        <v>409.669872</v>
      </c>
      <c r="T16" s="36">
        <v>333.49492099999998</v>
      </c>
      <c r="U16" s="36">
        <v>158.751666</v>
      </c>
      <c r="V16" s="49">
        <v>127.477468</v>
      </c>
      <c r="W16" s="36">
        <v>131.19798299999999</v>
      </c>
      <c r="X16" s="36"/>
      <c r="Y16" s="36"/>
      <c r="Z16" s="48">
        <v>158.815515</v>
      </c>
      <c r="AA16" s="48">
        <v>158.78734499999999</v>
      </c>
      <c r="AB16" s="50">
        <v>158.41139999999999</v>
      </c>
      <c r="AC16" s="48">
        <v>158.677886</v>
      </c>
      <c r="AD16" s="48">
        <v>158.751666</v>
      </c>
      <c r="AE16" s="48">
        <v>407.88468799999998</v>
      </c>
      <c r="AF16" s="48"/>
      <c r="AG16" s="2"/>
      <c r="AH16" s="48">
        <v>227.95205000000001</v>
      </c>
      <c r="AI16" s="48">
        <v>146.46047200000001</v>
      </c>
      <c r="AJ16" s="48">
        <v>110.535961</v>
      </c>
      <c r="AK16" s="57">
        <v>102.65375299999999</v>
      </c>
      <c r="AL16" s="48">
        <v>158.772211</v>
      </c>
      <c r="AM16" s="48">
        <v>158.31874500000001</v>
      </c>
      <c r="AO16" s="185" t="s">
        <v>1443</v>
      </c>
      <c r="AP16" s="188"/>
      <c r="AQ16" s="188"/>
      <c r="AR16" s="188"/>
      <c r="BX16" s="36">
        <v>409.51740799999999</v>
      </c>
      <c r="BY16" s="36">
        <v>410.32912399999998</v>
      </c>
      <c r="BZ16" s="36">
        <v>409.641865</v>
      </c>
      <c r="CA16" s="36">
        <v>409.19433400000003</v>
      </c>
      <c r="CB16" s="36">
        <v>409.96209800000003</v>
      </c>
      <c r="CC16" s="36"/>
      <c r="CD16" s="36">
        <v>410.550726</v>
      </c>
      <c r="CE16" s="36">
        <v>409.81240700000001</v>
      </c>
      <c r="CF16" s="36">
        <v>409.65008599999999</v>
      </c>
      <c r="CG16" s="36">
        <v>410.12501800000001</v>
      </c>
      <c r="CH16" s="36">
        <v>409.669872</v>
      </c>
      <c r="CI16" s="36"/>
      <c r="CJ16" s="36">
        <v>158.838639</v>
      </c>
      <c r="CK16" s="36">
        <v>159.01355599999999</v>
      </c>
      <c r="CL16" s="36">
        <v>158.78759700000001</v>
      </c>
      <c r="CM16" s="36">
        <v>158.39035699999999</v>
      </c>
      <c r="CN16" s="36">
        <v>333.49492099999998</v>
      </c>
      <c r="CO16" s="36"/>
      <c r="CP16" s="36">
        <v>158.815515</v>
      </c>
      <c r="CQ16" s="36">
        <v>158.78734499999999</v>
      </c>
      <c r="CR16" s="36">
        <v>158.41139999999999</v>
      </c>
      <c r="CS16" s="36">
        <v>158.677886</v>
      </c>
      <c r="CT16" s="36">
        <v>158.751666</v>
      </c>
      <c r="CU16" s="36"/>
      <c r="CV16" s="36">
        <v>107.017623</v>
      </c>
      <c r="CW16" s="36">
        <v>127.065911</v>
      </c>
      <c r="CX16" s="36">
        <v>127.381889</v>
      </c>
      <c r="CY16" s="36">
        <v>127.504862</v>
      </c>
      <c r="CZ16" s="36">
        <v>127.477468</v>
      </c>
      <c r="DA16" s="36"/>
      <c r="DB16" s="36">
        <v>126.128069</v>
      </c>
      <c r="DC16" s="36">
        <v>129.78286299999999</v>
      </c>
      <c r="DD16" s="36">
        <v>130.54916499999999</v>
      </c>
      <c r="DE16" s="36">
        <v>130.921964</v>
      </c>
      <c r="DF16" s="36">
        <v>131.19798299999999</v>
      </c>
    </row>
    <row r="17" spans="3:118" ht="24" x14ac:dyDescent="0.3">
      <c r="C17" s="9" t="s">
        <v>1452</v>
      </c>
      <c r="D17" s="38">
        <v>3175009</v>
      </c>
      <c r="E17" s="38">
        <v>206621674</v>
      </c>
      <c r="F17" s="38">
        <v>369566</v>
      </c>
      <c r="G17" s="39">
        <v>67547002</v>
      </c>
      <c r="H17" s="40">
        <v>433.71</v>
      </c>
      <c r="I17" s="51">
        <v>346.19295299999999</v>
      </c>
      <c r="J17" s="41">
        <v>408.18284899999998</v>
      </c>
      <c r="K17" s="42"/>
      <c r="L17" s="48">
        <v>102.65375299999999</v>
      </c>
      <c r="M17" s="34"/>
      <c r="N17" s="34"/>
      <c r="Q17" s="36"/>
      <c r="R17" s="36">
        <v>483.24074300000001</v>
      </c>
      <c r="S17" s="36">
        <v>483.10757000000001</v>
      </c>
      <c r="T17" s="36">
        <v>155.49039400000001</v>
      </c>
      <c r="U17" s="49">
        <v>116.125418</v>
      </c>
      <c r="V17" s="36">
        <v>202.04214400000001</v>
      </c>
      <c r="W17" s="36">
        <v>232.393632</v>
      </c>
      <c r="X17" s="36"/>
      <c r="Y17" s="36"/>
      <c r="Z17" s="48">
        <v>115.540869</v>
      </c>
      <c r="AA17" s="48">
        <v>113.74836000000001</v>
      </c>
      <c r="AB17" s="48">
        <v>115.051813</v>
      </c>
      <c r="AC17" s="50">
        <v>113.114282</v>
      </c>
      <c r="AD17" s="48">
        <v>116.125418</v>
      </c>
      <c r="AE17" s="48">
        <v>481.58137299999999</v>
      </c>
      <c r="AF17" s="48"/>
      <c r="AG17" s="2"/>
      <c r="AH17" s="48">
        <v>290.20250499999997</v>
      </c>
      <c r="AI17" s="48">
        <v>212.31437099999999</v>
      </c>
      <c r="AJ17" s="48">
        <v>219.225978</v>
      </c>
      <c r="AK17" s="58">
        <v>220.903085</v>
      </c>
      <c r="AL17" s="48">
        <v>117.703698</v>
      </c>
      <c r="AM17" s="50">
        <v>112.49026000000001</v>
      </c>
      <c r="AO17" s="185" t="s">
        <v>1452</v>
      </c>
      <c r="AP17" s="188"/>
      <c r="AQ17" s="188"/>
      <c r="AR17" s="188"/>
      <c r="BX17" s="36">
        <v>483.66530899999998</v>
      </c>
      <c r="BY17" s="36">
        <v>481.79198400000001</v>
      </c>
      <c r="BZ17" s="36">
        <v>481.80036699999999</v>
      </c>
      <c r="CA17" s="36">
        <v>483.454431</v>
      </c>
      <c r="CB17" s="36">
        <v>483.24074300000001</v>
      </c>
      <c r="CC17" s="36"/>
      <c r="CD17" s="36">
        <v>483.56082300000003</v>
      </c>
      <c r="CE17" s="36">
        <v>483.877296</v>
      </c>
      <c r="CF17" s="36">
        <v>483.236558</v>
      </c>
      <c r="CG17" s="36">
        <v>482.62636500000002</v>
      </c>
      <c r="CH17" s="36">
        <v>483.10757000000001</v>
      </c>
      <c r="CI17" s="36"/>
      <c r="CJ17" s="36">
        <v>155.60480899999999</v>
      </c>
      <c r="CK17" s="36">
        <v>155.60281599999999</v>
      </c>
      <c r="CL17" s="36">
        <v>155.644755</v>
      </c>
      <c r="CM17" s="36">
        <v>155.49180699999999</v>
      </c>
      <c r="CN17" s="36">
        <v>155.49039400000001</v>
      </c>
      <c r="CO17" s="36"/>
      <c r="CP17" s="36">
        <v>115.540869</v>
      </c>
      <c r="CQ17" s="36">
        <v>113.74836000000001</v>
      </c>
      <c r="CR17" s="36">
        <v>115.051813</v>
      </c>
      <c r="CS17" s="36">
        <v>113.114282</v>
      </c>
      <c r="CT17" s="36">
        <v>116.125418</v>
      </c>
      <c r="CU17" s="36"/>
      <c r="CV17" s="36">
        <v>199.021604</v>
      </c>
      <c r="CW17" s="47">
        <v>190.51016100000001</v>
      </c>
      <c r="CX17" s="28">
        <v>195.431386</v>
      </c>
      <c r="CY17" s="28">
        <v>204.54754600000001</v>
      </c>
      <c r="CZ17" s="28">
        <v>202.04214400000001</v>
      </c>
      <c r="DA17" s="28"/>
      <c r="DB17" s="28">
        <v>240.51614699999999</v>
      </c>
      <c r="DC17" s="28">
        <v>237.63769300000001</v>
      </c>
      <c r="DD17" s="28">
        <v>237.32578599999999</v>
      </c>
      <c r="DE17" s="28">
        <v>237.911406</v>
      </c>
      <c r="DF17" s="28">
        <v>232.393632</v>
      </c>
      <c r="DG17" s="46"/>
      <c r="DH17" s="46"/>
      <c r="DI17" s="46"/>
      <c r="DJ17" s="46"/>
      <c r="DK17" s="46"/>
      <c r="DL17" s="46"/>
      <c r="DM17" s="46"/>
      <c r="DN17" s="46"/>
    </row>
    <row r="18" spans="3:118" ht="24" x14ac:dyDescent="0.3">
      <c r="C18" s="9" t="s">
        <v>1451</v>
      </c>
      <c r="D18" s="38">
        <v>3333397</v>
      </c>
      <c r="E18" s="38">
        <v>200923810</v>
      </c>
      <c r="F18" s="38">
        <v>399358</v>
      </c>
      <c r="G18" s="39">
        <v>1902943357</v>
      </c>
      <c r="H18" s="41">
        <v>224.11627300000001</v>
      </c>
      <c r="I18" s="52">
        <v>834.23</v>
      </c>
      <c r="J18" s="42">
        <v>234.91</v>
      </c>
      <c r="K18" s="42"/>
      <c r="L18" s="48">
        <v>179.01</v>
      </c>
      <c r="M18" s="34"/>
      <c r="N18" s="34"/>
      <c r="Q18" s="36"/>
      <c r="R18" s="36">
        <v>222.03</v>
      </c>
      <c r="S18" s="36">
        <v>208.46</v>
      </c>
      <c r="T18" s="49">
        <v>179.12</v>
      </c>
      <c r="U18" s="36">
        <v>213.12</v>
      </c>
      <c r="V18" s="36">
        <v>209.66</v>
      </c>
      <c r="W18" s="36">
        <v>296.62</v>
      </c>
      <c r="X18" s="36"/>
      <c r="Y18" s="36"/>
      <c r="Z18" s="50">
        <v>186.83</v>
      </c>
      <c r="AA18" s="48">
        <v>208.92</v>
      </c>
      <c r="AB18" s="48">
        <v>208.04</v>
      </c>
      <c r="AC18" s="48">
        <v>195.76</v>
      </c>
      <c r="AD18" s="48">
        <v>213.12</v>
      </c>
      <c r="AE18" s="48">
        <v>222.45</v>
      </c>
      <c r="AF18" s="48"/>
      <c r="AG18" s="2"/>
      <c r="AH18" s="48">
        <v>366.31294000000003</v>
      </c>
      <c r="AI18" s="48">
        <v>147.88588100000001</v>
      </c>
      <c r="AJ18" s="50">
        <v>138.43</v>
      </c>
      <c r="AK18" s="58">
        <v>179.01</v>
      </c>
      <c r="AL18" s="48">
        <v>176.86</v>
      </c>
      <c r="AM18" s="48">
        <v>192.21</v>
      </c>
      <c r="AO18" s="185" t="s">
        <v>1451</v>
      </c>
      <c r="AP18" s="188"/>
      <c r="AQ18" s="188"/>
      <c r="AR18" s="188"/>
      <c r="BX18" s="36">
        <v>231.75</v>
      </c>
      <c r="BY18" s="36">
        <v>224.46</v>
      </c>
      <c r="BZ18" s="36">
        <v>219.92</v>
      </c>
      <c r="CA18" s="36">
        <v>228.85</v>
      </c>
      <c r="CB18" s="36">
        <v>222.03</v>
      </c>
      <c r="CC18" s="36"/>
      <c r="CD18" s="36">
        <v>209.1</v>
      </c>
      <c r="CE18" s="36">
        <v>203.74</v>
      </c>
      <c r="CF18" s="36">
        <v>223.5</v>
      </c>
      <c r="CG18" s="36">
        <v>236.76</v>
      </c>
      <c r="CH18" s="36">
        <v>208.46</v>
      </c>
      <c r="CI18" s="36"/>
      <c r="CJ18" s="36">
        <v>211.2</v>
      </c>
      <c r="CK18" s="36">
        <v>201.35</v>
      </c>
      <c r="CL18" s="36">
        <v>209.69</v>
      </c>
      <c r="CM18" s="36">
        <v>208.8</v>
      </c>
      <c r="CN18" s="36">
        <v>179.12</v>
      </c>
      <c r="CO18" s="36"/>
      <c r="CP18" s="36">
        <v>186.83</v>
      </c>
      <c r="CQ18" s="36">
        <v>208.92</v>
      </c>
      <c r="CR18" s="36">
        <v>208.04</v>
      </c>
      <c r="CS18" s="36">
        <v>195.76</v>
      </c>
      <c r="CT18" s="36">
        <v>213.12</v>
      </c>
      <c r="CU18" s="36"/>
      <c r="CV18" s="36">
        <v>266.82</v>
      </c>
      <c r="CW18" s="47">
        <v>261.54000000000002</v>
      </c>
      <c r="CX18" s="28">
        <v>236.05</v>
      </c>
      <c r="CY18" s="28">
        <v>214.93</v>
      </c>
      <c r="CZ18" s="28">
        <v>209.66</v>
      </c>
      <c r="DA18" s="28"/>
      <c r="DB18" s="28">
        <v>172.02</v>
      </c>
      <c r="DC18" s="28">
        <v>173.18</v>
      </c>
      <c r="DD18" s="28">
        <v>179.89</v>
      </c>
      <c r="DE18" s="28">
        <v>306.70999999999998</v>
      </c>
      <c r="DF18" s="28">
        <v>296.62</v>
      </c>
      <c r="DG18" s="46"/>
      <c r="DH18" s="46"/>
      <c r="DI18" s="46"/>
      <c r="DJ18" s="46"/>
      <c r="DK18" s="46"/>
      <c r="DL18" s="46"/>
      <c r="DM18" s="46"/>
      <c r="DN18" s="46"/>
    </row>
    <row r="19" spans="3:118" ht="24" x14ac:dyDescent="0.3">
      <c r="C19" s="9" t="s">
        <v>3915</v>
      </c>
      <c r="D19" s="38">
        <v>25921548</v>
      </c>
      <c r="E19" s="38">
        <v>1086367222</v>
      </c>
      <c r="F19" s="38">
        <v>4271341</v>
      </c>
      <c r="G19" s="39">
        <v>568730123</v>
      </c>
      <c r="H19" s="41">
        <v>150.722433</v>
      </c>
      <c r="I19" s="52">
        <v>227.71192199999999</v>
      </c>
      <c r="J19" s="41">
        <v>147.34859499999999</v>
      </c>
      <c r="K19" s="42"/>
      <c r="L19" s="48">
        <v>99.896929</v>
      </c>
      <c r="M19" s="34"/>
      <c r="N19" s="34"/>
      <c r="Q19" s="36"/>
      <c r="R19" s="36">
        <v>148.01795899999999</v>
      </c>
      <c r="S19" s="36">
        <v>117.444413</v>
      </c>
      <c r="T19" s="36">
        <v>117.253396</v>
      </c>
      <c r="U19" s="36">
        <v>117.89317200000001</v>
      </c>
      <c r="V19" s="49">
        <v>111.39627</v>
      </c>
      <c r="W19" s="36">
        <v>114.213594</v>
      </c>
      <c r="X19" s="36"/>
      <c r="Y19" s="36"/>
      <c r="Z19" s="50">
        <v>113.522623</v>
      </c>
      <c r="AA19" s="48">
        <v>117.372834</v>
      </c>
      <c r="AB19" s="48">
        <v>118.328991</v>
      </c>
      <c r="AC19" s="48">
        <v>118.691909</v>
      </c>
      <c r="AD19" s="48">
        <v>117.89317200000001</v>
      </c>
      <c r="AE19" s="48">
        <v>147.238877</v>
      </c>
      <c r="AF19" s="48"/>
      <c r="AG19" s="2"/>
      <c r="AH19" s="48">
        <v>235.20723799999999</v>
      </c>
      <c r="AI19" s="48">
        <v>165.55021500000001</v>
      </c>
      <c r="AJ19" s="48">
        <v>105.904168</v>
      </c>
      <c r="AK19" s="57">
        <v>99.896929</v>
      </c>
      <c r="AL19" s="48">
        <v>114.997193</v>
      </c>
      <c r="AM19" s="48">
        <v>113.29454699999999</v>
      </c>
      <c r="AO19" s="185" t="s">
        <v>3915</v>
      </c>
      <c r="AP19" s="188"/>
      <c r="AQ19" s="188"/>
      <c r="AR19" s="188"/>
      <c r="BX19" s="36">
        <v>147.414783</v>
      </c>
      <c r="BY19" s="36">
        <v>147.12267</v>
      </c>
      <c r="BZ19" s="36">
        <v>146.83167900000001</v>
      </c>
      <c r="CA19" s="36">
        <v>146.79374799999999</v>
      </c>
      <c r="CB19" s="36">
        <v>148.01795899999999</v>
      </c>
      <c r="CC19" s="36"/>
      <c r="CD19" s="36">
        <v>117.202462</v>
      </c>
      <c r="CE19" s="36">
        <v>118.744483</v>
      </c>
      <c r="CF19" s="36">
        <v>117.939593</v>
      </c>
      <c r="CG19" s="36">
        <v>117.710075</v>
      </c>
      <c r="CH19" s="36">
        <v>117.444413</v>
      </c>
      <c r="CI19" s="36"/>
      <c r="CJ19" s="36">
        <v>114.235527</v>
      </c>
      <c r="CK19" s="36">
        <v>118.154939</v>
      </c>
      <c r="CL19" s="36">
        <v>117.625936</v>
      </c>
      <c r="CM19" s="36">
        <v>117.516975</v>
      </c>
      <c r="CN19" s="36">
        <v>117.253396</v>
      </c>
      <c r="CO19" s="36"/>
      <c r="CP19" s="36">
        <v>113.522623</v>
      </c>
      <c r="CQ19" s="36">
        <v>117.372834</v>
      </c>
      <c r="CR19" s="36">
        <v>118.328991</v>
      </c>
      <c r="CS19" s="36">
        <v>118.691909</v>
      </c>
      <c r="CT19" s="36">
        <v>117.89317200000001</v>
      </c>
      <c r="CU19" s="36"/>
      <c r="CV19" s="36">
        <v>117.132763</v>
      </c>
      <c r="CW19" s="47">
        <v>113.775762</v>
      </c>
      <c r="CX19" s="28">
        <v>118.191247</v>
      </c>
      <c r="CY19" s="28">
        <v>114.149649</v>
      </c>
      <c r="CZ19" s="28">
        <v>111.39627</v>
      </c>
      <c r="DA19" s="28"/>
      <c r="DB19" s="28">
        <v>113.58816</v>
      </c>
      <c r="DC19" s="28">
        <v>115.123594</v>
      </c>
      <c r="DD19" s="28">
        <v>113.495447</v>
      </c>
      <c r="DE19" s="28">
        <v>113.549875</v>
      </c>
      <c r="DF19" s="28">
        <v>114.213594</v>
      </c>
      <c r="DG19" s="46"/>
      <c r="DH19" s="46"/>
      <c r="DI19" s="46"/>
      <c r="DJ19" s="46"/>
      <c r="DK19" s="46"/>
      <c r="DL19" s="46"/>
      <c r="DM19" s="46"/>
      <c r="DN19" s="46"/>
    </row>
    <row r="20" spans="3:118" ht="24" x14ac:dyDescent="0.3">
      <c r="C20" s="9" t="s">
        <v>1442</v>
      </c>
      <c r="D20" s="38">
        <v>3370462</v>
      </c>
      <c r="E20" s="38">
        <v>143901836</v>
      </c>
      <c r="F20" s="38">
        <v>282591</v>
      </c>
      <c r="G20" s="39">
        <v>563203047</v>
      </c>
      <c r="H20" s="41">
        <v>127.82051300000001</v>
      </c>
      <c r="I20" s="53">
        <v>200.62130099999999</v>
      </c>
      <c r="J20" s="41">
        <v>68.150000000000006</v>
      </c>
      <c r="K20" s="42"/>
      <c r="L20" s="48">
        <v>47.39</v>
      </c>
      <c r="M20" s="34"/>
      <c r="N20" s="34"/>
      <c r="Q20" s="36"/>
      <c r="R20" s="36">
        <v>110.69</v>
      </c>
      <c r="S20" s="36">
        <v>88.23</v>
      </c>
      <c r="T20" s="36">
        <v>85.9</v>
      </c>
      <c r="U20" s="49">
        <v>66.37</v>
      </c>
      <c r="V20" s="36">
        <v>86.03</v>
      </c>
      <c r="W20" s="36">
        <v>87.64</v>
      </c>
      <c r="X20" s="36"/>
      <c r="Y20" s="36"/>
      <c r="Z20" s="48">
        <v>114.41</v>
      </c>
      <c r="AA20" s="48">
        <v>95.39</v>
      </c>
      <c r="AB20" s="48">
        <v>122.73</v>
      </c>
      <c r="AC20" s="48">
        <v>104.21</v>
      </c>
      <c r="AD20" s="50">
        <v>66.37</v>
      </c>
      <c r="AE20" s="48">
        <v>108.58</v>
      </c>
      <c r="AF20" s="48"/>
      <c r="AG20" s="2"/>
      <c r="AH20" s="48">
        <v>185.74227500000001</v>
      </c>
      <c r="AI20" s="48">
        <v>75.894947999999999</v>
      </c>
      <c r="AJ20" s="48">
        <v>72.180000000000007</v>
      </c>
      <c r="AK20" s="57">
        <v>68.88</v>
      </c>
      <c r="AL20" s="48">
        <v>70.69</v>
      </c>
      <c r="AM20" s="48">
        <v>83.83</v>
      </c>
      <c r="AO20" s="185" t="s">
        <v>10</v>
      </c>
      <c r="AP20" s="188"/>
      <c r="AQ20" s="188"/>
      <c r="AR20" s="188"/>
      <c r="BX20" s="36">
        <v>108.78</v>
      </c>
      <c r="BY20" s="36">
        <v>125.25</v>
      </c>
      <c r="BZ20" s="36">
        <v>124.3</v>
      </c>
      <c r="CA20" s="36">
        <v>107.84</v>
      </c>
      <c r="CB20" s="36">
        <v>110.69</v>
      </c>
      <c r="CC20" s="36"/>
      <c r="CD20" s="36">
        <v>102.85</v>
      </c>
      <c r="CE20" s="36">
        <v>121.78</v>
      </c>
      <c r="CF20" s="36">
        <v>90.98</v>
      </c>
      <c r="CG20" s="36">
        <v>103.12</v>
      </c>
      <c r="CH20" s="36">
        <v>88.23</v>
      </c>
      <c r="CI20" s="36"/>
      <c r="CJ20" s="36">
        <v>80.13</v>
      </c>
      <c r="CK20" s="36">
        <v>123.58</v>
      </c>
      <c r="CL20" s="36">
        <v>115.44</v>
      </c>
      <c r="CM20" s="36">
        <v>90.46</v>
      </c>
      <c r="CN20" s="36">
        <v>85.9</v>
      </c>
      <c r="CO20" s="36"/>
      <c r="CP20" s="36">
        <v>114.41</v>
      </c>
      <c r="CQ20" s="36">
        <v>95.39</v>
      </c>
      <c r="CR20" s="36">
        <v>122.73</v>
      </c>
      <c r="CS20" s="36">
        <v>104.21</v>
      </c>
      <c r="CT20" s="36">
        <v>66.37</v>
      </c>
      <c r="CU20" s="36"/>
      <c r="CV20" s="36">
        <v>88.27</v>
      </c>
      <c r="CW20" s="47">
        <v>83.45</v>
      </c>
      <c r="CX20" s="28">
        <v>79.150000000000006</v>
      </c>
      <c r="CY20" s="28">
        <v>81.19</v>
      </c>
      <c r="CZ20" s="28">
        <v>86.03</v>
      </c>
      <c r="DA20" s="28"/>
      <c r="DB20" s="28">
        <v>102.07</v>
      </c>
      <c r="DC20" s="28">
        <v>73.55</v>
      </c>
      <c r="DD20" s="28">
        <v>78.52</v>
      </c>
      <c r="DE20" s="28">
        <v>70.680000000000007</v>
      </c>
      <c r="DF20" s="28">
        <v>87.64</v>
      </c>
      <c r="DG20" s="46"/>
      <c r="DH20" s="46"/>
      <c r="DI20" s="46"/>
      <c r="DJ20" s="46"/>
      <c r="DK20" s="46"/>
      <c r="DL20" s="46"/>
      <c r="DM20" s="46"/>
      <c r="DN20" s="46"/>
    </row>
    <row r="21" spans="3:118" ht="24" x14ac:dyDescent="0.3">
      <c r="C21" s="9" t="s">
        <v>10</v>
      </c>
      <c r="D21" s="38">
        <v>3603726</v>
      </c>
      <c r="E21" s="38">
        <v>155093964</v>
      </c>
      <c r="F21" s="38">
        <v>434234</v>
      </c>
      <c r="G21" s="39">
        <v>1237624958</v>
      </c>
      <c r="H21" s="41">
        <v>107.39003200000001</v>
      </c>
      <c r="I21" s="51">
        <v>196.60153800000001</v>
      </c>
      <c r="J21" s="41">
        <v>98.4</v>
      </c>
      <c r="K21" s="42"/>
      <c r="L21" s="48">
        <v>68.88</v>
      </c>
      <c r="M21" s="34"/>
      <c r="N21" s="34"/>
      <c r="Q21" s="36"/>
      <c r="R21" s="36">
        <v>87.221371000000005</v>
      </c>
      <c r="S21" s="36">
        <v>87.869332999999997</v>
      </c>
      <c r="T21" s="36">
        <v>224.937985</v>
      </c>
      <c r="U21" s="36">
        <v>65.735106999999999</v>
      </c>
      <c r="V21" s="36">
        <v>49.471721000000002</v>
      </c>
      <c r="W21" s="49">
        <v>47.949492999999997</v>
      </c>
      <c r="X21" s="36"/>
      <c r="Y21" s="36"/>
      <c r="Z21" s="50">
        <v>53.094441000000003</v>
      </c>
      <c r="AA21" s="48">
        <v>55.725318999999999</v>
      </c>
      <c r="AB21" s="48">
        <v>63.029052</v>
      </c>
      <c r="AC21" s="48">
        <v>59.906571</v>
      </c>
      <c r="AD21" s="48">
        <v>65.735106999999999</v>
      </c>
      <c r="AE21" s="48">
        <v>74.93468</v>
      </c>
      <c r="AF21" s="48"/>
      <c r="AG21" s="2"/>
      <c r="AH21" s="48">
        <v>252.189437</v>
      </c>
      <c r="AI21" s="48">
        <v>128.34603200000001</v>
      </c>
      <c r="AJ21" s="48">
        <v>55.894243000000003</v>
      </c>
      <c r="AK21" s="57">
        <v>46.755004999999997</v>
      </c>
      <c r="AL21" s="48">
        <v>49.481327</v>
      </c>
      <c r="AM21" s="48">
        <v>60.598072000000002</v>
      </c>
      <c r="AO21" s="186" t="s">
        <v>1455</v>
      </c>
      <c r="AP21" s="188"/>
      <c r="AQ21" s="188"/>
      <c r="AR21" s="188"/>
      <c r="BX21" s="36">
        <v>86.757544999999993</v>
      </c>
      <c r="BY21" s="36">
        <v>86.356514000000004</v>
      </c>
      <c r="BZ21" s="36">
        <v>87.111571999999995</v>
      </c>
      <c r="CA21" s="36">
        <v>86.925306000000006</v>
      </c>
      <c r="CB21" s="36">
        <v>87.221371000000005</v>
      </c>
      <c r="CC21" s="36"/>
      <c r="CD21" s="36">
        <v>87.307907999999998</v>
      </c>
      <c r="CE21" s="36">
        <v>87.331664000000004</v>
      </c>
      <c r="CF21" s="36">
        <v>86.974998999999997</v>
      </c>
      <c r="CG21" s="36">
        <v>86.342483000000001</v>
      </c>
      <c r="CH21" s="36">
        <v>87.869332999999997</v>
      </c>
      <c r="CI21" s="36"/>
      <c r="CJ21" s="36">
        <v>66.606548000000004</v>
      </c>
      <c r="CK21" s="36">
        <v>111.00287</v>
      </c>
      <c r="CL21" s="36">
        <v>88.623795999999999</v>
      </c>
      <c r="CM21" s="36">
        <v>223.411204</v>
      </c>
      <c r="CN21" s="36">
        <v>224.937985</v>
      </c>
      <c r="CO21" s="36"/>
      <c r="CP21" s="36">
        <v>53.094441000000003</v>
      </c>
      <c r="CQ21" s="36">
        <v>55.725318999999999</v>
      </c>
      <c r="CR21" s="36">
        <v>63.029052</v>
      </c>
      <c r="CS21" s="36">
        <v>59.906571</v>
      </c>
      <c r="CT21" s="36">
        <v>65.735106999999999</v>
      </c>
      <c r="CU21" s="36"/>
      <c r="CV21" s="36">
        <v>48.861258999999997</v>
      </c>
      <c r="CW21" s="47">
        <v>45.526088999999999</v>
      </c>
      <c r="CX21" s="28">
        <v>42.56794</v>
      </c>
      <c r="CY21" s="28">
        <v>42.168505000000003</v>
      </c>
      <c r="CZ21" s="28">
        <v>49.471721000000002</v>
      </c>
      <c r="DA21" s="28"/>
      <c r="DB21" s="28">
        <v>53.517484000000003</v>
      </c>
      <c r="DC21" s="28">
        <v>48.418869999999998</v>
      </c>
      <c r="DD21" s="28">
        <v>49.426400999999998</v>
      </c>
      <c r="DE21" s="28">
        <v>49.147089999999999</v>
      </c>
      <c r="DF21" s="28">
        <v>47.949492999999997</v>
      </c>
      <c r="DG21" s="46"/>
      <c r="DH21" s="46"/>
      <c r="DI21" s="46"/>
      <c r="DJ21" s="46"/>
      <c r="DK21" s="46"/>
      <c r="DL21" s="46"/>
      <c r="DM21" s="46"/>
      <c r="DN21" s="46"/>
    </row>
    <row r="22" spans="3:118" ht="24" x14ac:dyDescent="0.3">
      <c r="C22" s="11" t="s">
        <v>1455</v>
      </c>
      <c r="D22" s="38">
        <v>8833229</v>
      </c>
      <c r="E22" s="38">
        <v>105882456</v>
      </c>
      <c r="F22" s="38">
        <v>2126384</v>
      </c>
      <c r="G22" s="39">
        <v>2115046340</v>
      </c>
      <c r="H22" s="41">
        <v>105.59741699999999</v>
      </c>
      <c r="I22" s="51">
        <v>306.40025200000002</v>
      </c>
      <c r="J22" s="41">
        <v>87.62</v>
      </c>
      <c r="K22" s="42"/>
      <c r="L22" s="48">
        <v>46.755004999999997</v>
      </c>
      <c r="M22" s="34"/>
      <c r="N22" s="34"/>
      <c r="Q22" s="36"/>
      <c r="R22" s="36">
        <v>73.161520999999993</v>
      </c>
      <c r="S22" s="36">
        <v>51.549084000000001</v>
      </c>
      <c r="T22" s="36">
        <v>54.580070999999997</v>
      </c>
      <c r="U22" s="49">
        <v>47.267125</v>
      </c>
      <c r="V22" s="36">
        <v>56.343842000000002</v>
      </c>
      <c r="W22" s="36">
        <v>55.058587000000003</v>
      </c>
      <c r="X22" s="36"/>
      <c r="Y22" s="36"/>
      <c r="Z22" s="48">
        <v>49.711768999999997</v>
      </c>
      <c r="AA22" s="48">
        <v>48.272415000000002</v>
      </c>
      <c r="AB22" s="48">
        <v>58.755426999999997</v>
      </c>
      <c r="AC22" s="48">
        <v>48.832856</v>
      </c>
      <c r="AD22" s="50">
        <v>47.267125</v>
      </c>
      <c r="AE22" s="48">
        <v>66.013968000000006</v>
      </c>
      <c r="AF22" s="48"/>
      <c r="AG22" s="2"/>
      <c r="AH22" s="48">
        <v>220.51928899999999</v>
      </c>
      <c r="AI22" s="48">
        <v>73.065562</v>
      </c>
      <c r="AJ22" s="48">
        <v>53.567227000000003</v>
      </c>
      <c r="AK22" s="58">
        <v>51.644970999999998</v>
      </c>
      <c r="AL22" s="48">
        <v>52.136221999999997</v>
      </c>
      <c r="AM22" s="50">
        <v>47.340725999999997</v>
      </c>
      <c r="AO22" s="186" t="s">
        <v>6</v>
      </c>
      <c r="AP22" s="188"/>
      <c r="AQ22" s="188"/>
      <c r="AR22" s="188"/>
      <c r="BX22" s="36">
        <v>72.943200000000004</v>
      </c>
      <c r="BY22" s="36">
        <v>72.080404999999999</v>
      </c>
      <c r="BZ22" s="36">
        <v>68.415576000000001</v>
      </c>
      <c r="CA22" s="36">
        <v>52.434108000000002</v>
      </c>
      <c r="CB22" s="36">
        <v>73.161520999999993</v>
      </c>
      <c r="CC22" s="36"/>
      <c r="CD22" s="36">
        <v>71.155298000000002</v>
      </c>
      <c r="CE22" s="36">
        <v>53.229492</v>
      </c>
      <c r="CF22" s="36">
        <v>52.598281</v>
      </c>
      <c r="CG22" s="36">
        <v>52.186312999999998</v>
      </c>
      <c r="CH22" s="36">
        <v>51.549084000000001</v>
      </c>
      <c r="CI22" s="36"/>
      <c r="CJ22" s="36">
        <v>55.252105999999998</v>
      </c>
      <c r="CK22" s="36">
        <v>64.666668999999999</v>
      </c>
      <c r="CL22" s="36">
        <v>56.176138000000002</v>
      </c>
      <c r="CM22" s="36">
        <v>55.827914999999997</v>
      </c>
      <c r="CN22" s="36">
        <v>54.580070999999997</v>
      </c>
      <c r="CO22" s="36"/>
      <c r="CP22" s="36">
        <v>49.711768999999997</v>
      </c>
      <c r="CQ22" s="36">
        <v>48.272415000000002</v>
      </c>
      <c r="CR22" s="36">
        <v>58.755426999999997</v>
      </c>
      <c r="CS22" s="36">
        <v>48.832856</v>
      </c>
      <c r="CT22" s="36">
        <v>47.267125</v>
      </c>
      <c r="CU22" s="36"/>
      <c r="CV22" s="36">
        <v>56.574148999999998</v>
      </c>
      <c r="CW22" s="47">
        <v>56.021451999999996</v>
      </c>
      <c r="CX22" s="28">
        <v>55.563431999999999</v>
      </c>
      <c r="CY22" s="28">
        <v>54.989421999999998</v>
      </c>
      <c r="CZ22" s="28">
        <v>56.343842000000002</v>
      </c>
      <c r="DA22" s="28"/>
      <c r="DB22" s="28">
        <v>58.256324999999997</v>
      </c>
      <c r="DC22" s="28">
        <v>59.162640000000003</v>
      </c>
      <c r="DD22" s="28">
        <v>56.966945000000003</v>
      </c>
      <c r="DE22" s="28">
        <v>56.251471000000002</v>
      </c>
      <c r="DF22" s="28">
        <v>55.058587000000003</v>
      </c>
      <c r="DG22" s="46"/>
      <c r="DH22" s="46"/>
      <c r="DI22" s="46"/>
      <c r="DJ22" s="46"/>
      <c r="DK22" s="46"/>
      <c r="DL22" s="46"/>
      <c r="DM22" s="46"/>
      <c r="DN22" s="46"/>
    </row>
    <row r="23" spans="3:118" ht="24" x14ac:dyDescent="0.3">
      <c r="C23" s="11" t="s">
        <v>6</v>
      </c>
      <c r="D23" s="38">
        <v>3072441</v>
      </c>
      <c r="E23" s="38">
        <v>234369798</v>
      </c>
      <c r="F23" s="38">
        <v>33313</v>
      </c>
      <c r="G23" s="39">
        <v>2270456447</v>
      </c>
      <c r="H23" s="41">
        <v>85.151685000000001</v>
      </c>
      <c r="I23" s="52">
        <v>281.76346699999999</v>
      </c>
      <c r="J23" s="41">
        <v>73.239999999999995</v>
      </c>
      <c r="K23" s="42"/>
      <c r="L23" s="48">
        <v>51.644970999999998</v>
      </c>
      <c r="M23" s="34"/>
      <c r="N23" s="34"/>
      <c r="Q23" s="36"/>
      <c r="R23" s="36">
        <v>61.25</v>
      </c>
      <c r="S23" s="36">
        <v>55.4</v>
      </c>
      <c r="T23" s="36">
        <v>51.67</v>
      </c>
      <c r="U23" s="49">
        <v>45.39</v>
      </c>
      <c r="V23" s="36">
        <v>67.884190000000004</v>
      </c>
      <c r="W23" s="36">
        <v>68.568365</v>
      </c>
      <c r="X23" s="36"/>
      <c r="Y23" s="36"/>
      <c r="Z23" s="48">
        <v>45.93</v>
      </c>
      <c r="AA23" s="48">
        <v>45.5</v>
      </c>
      <c r="AB23" s="50">
        <v>45.38</v>
      </c>
      <c r="AC23" s="48">
        <v>45.98</v>
      </c>
      <c r="AD23" s="48">
        <v>45.39</v>
      </c>
      <c r="AE23" s="48">
        <v>64.45</v>
      </c>
      <c r="AF23" s="48"/>
      <c r="AG23" s="2"/>
      <c r="AH23" s="48">
        <v>177.93314100000001</v>
      </c>
      <c r="AI23" s="48">
        <v>60.797257999999999</v>
      </c>
      <c r="AJ23" s="48">
        <v>47.976934999999997</v>
      </c>
      <c r="AK23" s="58">
        <v>47.39</v>
      </c>
      <c r="AL23" s="48">
        <v>46.54</v>
      </c>
      <c r="AM23" s="50">
        <v>45.09</v>
      </c>
      <c r="AO23" s="185" t="s">
        <v>1442</v>
      </c>
      <c r="AP23" s="188"/>
      <c r="AQ23" s="188"/>
      <c r="AR23" s="188"/>
      <c r="BX23" s="36">
        <v>61.23</v>
      </c>
      <c r="BY23" s="36">
        <v>61.87</v>
      </c>
      <c r="BZ23" s="36">
        <v>61.81</v>
      </c>
      <c r="CA23" s="36">
        <v>61.49</v>
      </c>
      <c r="CB23" s="36">
        <v>61.25</v>
      </c>
      <c r="CC23" s="36"/>
      <c r="CD23" s="36">
        <v>55.77</v>
      </c>
      <c r="CE23" s="36">
        <v>55.93</v>
      </c>
      <c r="CF23" s="36">
        <v>55.7</v>
      </c>
      <c r="CG23" s="36">
        <v>55.98</v>
      </c>
      <c r="CH23" s="36">
        <v>55.4</v>
      </c>
      <c r="CI23" s="36"/>
      <c r="CJ23" s="36">
        <v>51.41</v>
      </c>
      <c r="CK23" s="36">
        <v>50.58</v>
      </c>
      <c r="CL23" s="36">
        <v>48.46</v>
      </c>
      <c r="CM23" s="36">
        <v>48.25</v>
      </c>
      <c r="CN23" s="36">
        <v>51.67</v>
      </c>
      <c r="CO23" s="36"/>
      <c r="CP23" s="36">
        <v>45.93</v>
      </c>
      <c r="CQ23" s="36">
        <v>45.5</v>
      </c>
      <c r="CR23" s="36">
        <v>45.38</v>
      </c>
      <c r="CS23" s="36">
        <v>45.98</v>
      </c>
      <c r="CT23" s="36">
        <v>45.39</v>
      </c>
      <c r="CU23" s="36"/>
      <c r="CV23" s="36">
        <v>39.840960000000003</v>
      </c>
      <c r="CW23" s="47">
        <v>33.608091999999999</v>
      </c>
      <c r="CX23" s="28">
        <v>43.943424</v>
      </c>
      <c r="CY23" s="28">
        <v>69.218629000000007</v>
      </c>
      <c r="CZ23" s="28">
        <v>67.884190000000004</v>
      </c>
      <c r="DA23" s="28"/>
      <c r="DB23" s="28">
        <v>40.572791000000002</v>
      </c>
      <c r="DC23" s="28">
        <v>44.457476</v>
      </c>
      <c r="DD23" s="28">
        <v>41.880442000000002</v>
      </c>
      <c r="DE23" s="28">
        <v>46.867331</v>
      </c>
      <c r="DF23" s="28">
        <v>68.568365</v>
      </c>
      <c r="DG23" s="46"/>
      <c r="DH23" s="46"/>
      <c r="DI23" s="46"/>
      <c r="DJ23" s="46"/>
      <c r="DK23" s="46"/>
      <c r="DL23" s="46"/>
      <c r="DM23" s="46"/>
      <c r="DN23" s="46"/>
    </row>
    <row r="24" spans="3:118" ht="24" x14ac:dyDescent="0.3">
      <c r="C24" s="11" t="s">
        <v>1456</v>
      </c>
      <c r="D24" s="38">
        <v>5829441</v>
      </c>
      <c r="E24" s="38">
        <v>110439216</v>
      </c>
      <c r="F24" s="38">
        <v>818185</v>
      </c>
      <c r="G24" s="39">
        <v>1508704249</v>
      </c>
      <c r="H24" s="41">
        <v>84.078997999999999</v>
      </c>
      <c r="I24" s="52">
        <v>245.51799</v>
      </c>
      <c r="J24" s="41">
        <v>52.7</v>
      </c>
      <c r="K24" s="42"/>
      <c r="L24" s="48">
        <v>37.410254999999999</v>
      </c>
      <c r="M24" s="34"/>
      <c r="N24" s="34"/>
      <c r="Q24" s="36"/>
      <c r="R24" s="36">
        <v>66.055835000000002</v>
      </c>
      <c r="S24" s="36">
        <v>65.141924000000003</v>
      </c>
      <c r="T24" s="36">
        <v>52.820692999999999</v>
      </c>
      <c r="U24" s="36">
        <v>51.350144</v>
      </c>
      <c r="V24" s="36">
        <v>49.033437999999997</v>
      </c>
      <c r="W24" s="49">
        <v>44.031193000000002</v>
      </c>
      <c r="X24" s="36"/>
      <c r="Y24" s="36"/>
      <c r="Z24" s="48">
        <v>39.974317999999997</v>
      </c>
      <c r="AA24" s="48">
        <v>38.977046000000001</v>
      </c>
      <c r="AB24" s="50">
        <v>37.483178000000002</v>
      </c>
      <c r="AC24" s="48">
        <v>54.379469999999998</v>
      </c>
      <c r="AD24" s="48">
        <v>51.350144</v>
      </c>
      <c r="AE24" s="48">
        <v>56.950386000000002</v>
      </c>
      <c r="AF24" s="48"/>
      <c r="AG24" s="2"/>
      <c r="AH24" s="48">
        <v>185.77413799999999</v>
      </c>
      <c r="AI24" s="48">
        <v>98.172737999999995</v>
      </c>
      <c r="AJ24" s="48">
        <v>39.690215000000002</v>
      </c>
      <c r="AK24" s="57">
        <v>33.600096000000001</v>
      </c>
      <c r="AL24" s="48">
        <v>37.755488999999997</v>
      </c>
      <c r="AM24" s="48">
        <v>39.671416000000001</v>
      </c>
      <c r="AO24" s="186" t="s">
        <v>3</v>
      </c>
      <c r="AP24" s="188"/>
      <c r="AQ24" s="188"/>
      <c r="AR24" s="188"/>
      <c r="BX24" s="36">
        <v>66.176379999999995</v>
      </c>
      <c r="BY24" s="36">
        <v>66.049114000000003</v>
      </c>
      <c r="BZ24" s="36">
        <v>66.319171999999995</v>
      </c>
      <c r="CA24" s="36">
        <v>66.080708999999999</v>
      </c>
      <c r="CB24" s="36">
        <v>66.055835000000002</v>
      </c>
      <c r="CC24" s="36"/>
      <c r="CD24" s="36">
        <v>66.183882999999994</v>
      </c>
      <c r="CE24" s="36">
        <v>64.873281000000006</v>
      </c>
      <c r="CF24" s="36">
        <v>64.498626999999999</v>
      </c>
      <c r="CG24" s="36">
        <v>65.557372000000001</v>
      </c>
      <c r="CH24" s="36">
        <v>65.141924000000003</v>
      </c>
      <c r="CI24" s="36"/>
      <c r="CJ24" s="36">
        <v>42.476416</v>
      </c>
      <c r="CK24" s="36">
        <v>46.611648000000002</v>
      </c>
      <c r="CL24" s="36">
        <v>53.762734000000002</v>
      </c>
      <c r="CM24" s="36">
        <v>66.820453000000001</v>
      </c>
      <c r="CN24" s="36">
        <v>52.820692999999999</v>
      </c>
      <c r="CO24" s="36"/>
      <c r="CP24" s="36">
        <v>39.974317999999997</v>
      </c>
      <c r="CQ24" s="36">
        <v>38.977046000000001</v>
      </c>
      <c r="CR24" s="36">
        <v>37.483178000000002</v>
      </c>
      <c r="CS24" s="36">
        <v>54.379469999999998</v>
      </c>
      <c r="CT24" s="36">
        <v>51.350144</v>
      </c>
      <c r="CU24" s="36"/>
      <c r="CV24" s="36">
        <v>49.827221000000002</v>
      </c>
      <c r="CW24" s="47">
        <v>50.820312000000001</v>
      </c>
      <c r="CX24" s="28">
        <v>46.227941000000001</v>
      </c>
      <c r="CY24" s="28">
        <v>54.257651000000003</v>
      </c>
      <c r="CZ24" s="28">
        <v>49.033437999999997</v>
      </c>
      <c r="DA24" s="28"/>
      <c r="DB24" s="28">
        <v>37.427933000000003</v>
      </c>
      <c r="DC24" s="28">
        <v>35.335672000000002</v>
      </c>
      <c r="DD24" s="28">
        <v>31.159336</v>
      </c>
      <c r="DE24" s="28">
        <v>44.531882000000003</v>
      </c>
      <c r="DF24" s="28">
        <v>44.031193000000002</v>
      </c>
      <c r="DG24" s="46"/>
      <c r="DH24" s="46"/>
      <c r="DI24" s="46"/>
      <c r="DJ24" s="46"/>
      <c r="DK24" s="46"/>
      <c r="DL24" s="46"/>
      <c r="DM24" s="46"/>
      <c r="DN24" s="46"/>
    </row>
    <row r="25" spans="3:118" ht="24" x14ac:dyDescent="0.3">
      <c r="C25" s="11" t="s">
        <v>7</v>
      </c>
      <c r="D25" s="38">
        <v>2584164</v>
      </c>
      <c r="E25" s="38">
        <v>56367036</v>
      </c>
      <c r="F25" s="38">
        <v>44065</v>
      </c>
      <c r="G25" s="39">
        <v>918563917</v>
      </c>
      <c r="H25" s="41">
        <v>71.662347999999994</v>
      </c>
      <c r="I25" s="52">
        <v>129.14542800000001</v>
      </c>
      <c r="J25" s="41">
        <v>28.33</v>
      </c>
      <c r="K25" s="42"/>
      <c r="L25" s="48">
        <v>21.417175</v>
      </c>
      <c r="M25" s="34"/>
      <c r="N25" s="34"/>
      <c r="Q25" s="36"/>
      <c r="R25" s="36">
        <v>52.699129999999997</v>
      </c>
      <c r="S25" s="36">
        <v>52.940660999999999</v>
      </c>
      <c r="T25" s="36">
        <v>43.071998999999998</v>
      </c>
      <c r="U25" s="36">
        <v>38.314624999999999</v>
      </c>
      <c r="V25" s="49">
        <v>35.878883000000002</v>
      </c>
      <c r="W25" s="36">
        <v>38.544125000000001</v>
      </c>
      <c r="X25" s="36"/>
      <c r="Y25" s="36"/>
      <c r="Z25" s="48">
        <v>32.463016000000003</v>
      </c>
      <c r="AA25" s="48">
        <v>34.800632999999998</v>
      </c>
      <c r="AB25" s="50">
        <v>30.809774000000001</v>
      </c>
      <c r="AC25" s="48">
        <v>31.053585999999999</v>
      </c>
      <c r="AD25" s="48">
        <v>38.314624999999999</v>
      </c>
      <c r="AE25" s="48">
        <v>59.529823</v>
      </c>
      <c r="AF25" s="48"/>
      <c r="AG25" s="2"/>
      <c r="AH25" s="48">
        <v>178.691069</v>
      </c>
      <c r="AI25" s="48">
        <v>107.413388</v>
      </c>
      <c r="AJ25" s="48">
        <v>44.246642999999999</v>
      </c>
      <c r="AK25" s="57">
        <v>37.410254999999999</v>
      </c>
      <c r="AL25" s="48">
        <v>37.545321999999999</v>
      </c>
      <c r="AM25" s="48">
        <v>60.135598999999999</v>
      </c>
      <c r="AO25" s="185" t="s">
        <v>18</v>
      </c>
      <c r="AP25" s="188"/>
      <c r="AQ25" s="188"/>
      <c r="AR25" s="188"/>
      <c r="BX25" s="36">
        <v>52.678324000000003</v>
      </c>
      <c r="BY25" s="36">
        <v>52.734107000000002</v>
      </c>
      <c r="BZ25" s="36">
        <v>53.395403999999999</v>
      </c>
      <c r="CA25" s="36">
        <v>52.784531000000001</v>
      </c>
      <c r="CB25" s="36">
        <v>52.699129999999997</v>
      </c>
      <c r="CC25" s="36"/>
      <c r="CD25" s="36">
        <v>53.227870000000003</v>
      </c>
      <c r="CE25" s="36">
        <v>52.876449999999998</v>
      </c>
      <c r="CF25" s="36">
        <v>52.753509999999999</v>
      </c>
      <c r="CG25" s="36">
        <v>52.272669</v>
      </c>
      <c r="CH25" s="36">
        <v>52.940660999999999</v>
      </c>
      <c r="CI25" s="36"/>
      <c r="CJ25" s="36">
        <v>43.850924999999997</v>
      </c>
      <c r="CK25" s="36">
        <v>41.720303000000001</v>
      </c>
      <c r="CL25" s="36">
        <v>47.280382000000003</v>
      </c>
      <c r="CM25" s="36">
        <v>45.601652999999999</v>
      </c>
      <c r="CN25" s="36">
        <v>43.071998999999998</v>
      </c>
      <c r="CO25" s="36"/>
      <c r="CP25" s="36">
        <v>32.463016000000003</v>
      </c>
      <c r="CQ25" s="36">
        <v>34.800632999999998</v>
      </c>
      <c r="CR25" s="36">
        <v>30.809774000000001</v>
      </c>
      <c r="CS25" s="36">
        <v>31.053585999999999</v>
      </c>
      <c r="CT25" s="36">
        <v>38.314624999999999</v>
      </c>
      <c r="CU25" s="36"/>
      <c r="CV25" s="36">
        <v>38.150716000000003</v>
      </c>
      <c r="CW25" s="47">
        <v>34.209820000000001</v>
      </c>
      <c r="CX25" s="28">
        <v>35.796706</v>
      </c>
      <c r="CY25" s="28">
        <v>32.087868</v>
      </c>
      <c r="CZ25" s="28">
        <v>35.878883000000002</v>
      </c>
      <c r="DA25" s="28"/>
      <c r="DB25" s="28">
        <v>43.719293999999998</v>
      </c>
      <c r="DC25" s="28">
        <v>38.638976</v>
      </c>
      <c r="DD25" s="28">
        <v>36.179904000000001</v>
      </c>
      <c r="DE25" s="28">
        <v>33.579870999999997</v>
      </c>
      <c r="DF25" s="28">
        <v>38.544125000000001</v>
      </c>
      <c r="DG25" s="46"/>
      <c r="DH25" s="46"/>
      <c r="DI25" s="46"/>
      <c r="DJ25" s="46"/>
      <c r="DK25" s="46"/>
      <c r="DL25" s="46"/>
      <c r="DM25" s="46"/>
      <c r="DN25" s="46"/>
    </row>
    <row r="26" spans="3:118" ht="24" x14ac:dyDescent="0.3">
      <c r="C26" s="11" t="s">
        <v>3</v>
      </c>
      <c r="D26" s="38">
        <v>2212663</v>
      </c>
      <c r="E26" s="38">
        <v>58330960</v>
      </c>
      <c r="F26" s="38">
        <v>137021</v>
      </c>
      <c r="G26" s="39">
        <v>1569924556</v>
      </c>
      <c r="H26" s="41">
        <v>68.285578000000001</v>
      </c>
      <c r="I26" s="52">
        <v>223.255968</v>
      </c>
      <c r="J26" s="41">
        <v>65.23</v>
      </c>
      <c r="K26" s="42"/>
      <c r="L26" s="48">
        <v>33.600096000000001</v>
      </c>
      <c r="M26" s="34"/>
      <c r="N26" s="34"/>
      <c r="Q26" s="36"/>
      <c r="R26" s="36">
        <v>53.374034000000002</v>
      </c>
      <c r="S26" s="36">
        <v>53.369149</v>
      </c>
      <c r="T26" s="36">
        <v>53.509408999999998</v>
      </c>
      <c r="U26" s="36">
        <v>53.271735</v>
      </c>
      <c r="V26" s="36">
        <v>46.999664000000003</v>
      </c>
      <c r="W26" s="49">
        <v>46.870593999999997</v>
      </c>
      <c r="X26" s="36"/>
      <c r="Y26" s="36"/>
      <c r="Z26" s="48">
        <v>53.511260999999998</v>
      </c>
      <c r="AA26" s="48">
        <v>53.257292</v>
      </c>
      <c r="AB26" s="48">
        <v>53.228861999999999</v>
      </c>
      <c r="AC26" s="50">
        <v>53.172787999999997</v>
      </c>
      <c r="AD26" s="48">
        <v>53.271735</v>
      </c>
      <c r="AE26" s="48">
        <v>58.429667000000002</v>
      </c>
      <c r="AF26" s="48"/>
      <c r="AG26" s="2"/>
      <c r="AH26" s="48">
        <v>33.062224999999998</v>
      </c>
      <c r="AI26" s="48">
        <v>25.254218000000002</v>
      </c>
      <c r="AJ26" s="50">
        <v>21.486362</v>
      </c>
      <c r="AK26" s="58">
        <v>53.737893</v>
      </c>
      <c r="AL26" s="48">
        <v>54.077883999999997</v>
      </c>
      <c r="AM26" s="48">
        <v>52.715510999999999</v>
      </c>
      <c r="AO26" s="185" t="s">
        <v>1446</v>
      </c>
      <c r="AP26" s="188"/>
      <c r="AQ26" s="188"/>
      <c r="AR26" s="188"/>
      <c r="BX26" s="36">
        <v>58.076390000000004</v>
      </c>
      <c r="BY26" s="36">
        <v>53.172164000000002</v>
      </c>
      <c r="BZ26" s="36">
        <v>53.370325000000001</v>
      </c>
      <c r="CA26" s="36">
        <v>58.364505000000001</v>
      </c>
      <c r="CB26" s="36">
        <v>53.374034000000002</v>
      </c>
      <c r="CC26" s="36"/>
      <c r="CD26" s="36">
        <v>53.358854999999998</v>
      </c>
      <c r="CE26" s="36">
        <v>53.598571999999997</v>
      </c>
      <c r="CF26" s="36">
        <v>53.518658000000002</v>
      </c>
      <c r="CG26" s="36">
        <v>53.413693000000002</v>
      </c>
      <c r="CH26" s="36">
        <v>53.369149</v>
      </c>
      <c r="CI26" s="36"/>
      <c r="CJ26" s="36">
        <v>53.340268999999999</v>
      </c>
      <c r="CK26" s="36">
        <v>53.426296999999998</v>
      </c>
      <c r="CL26" s="36">
        <v>53.520158000000002</v>
      </c>
      <c r="CM26" s="36">
        <v>53.379317999999998</v>
      </c>
      <c r="CN26" s="36">
        <v>53.509408999999998</v>
      </c>
      <c r="CO26" s="36"/>
      <c r="CP26" s="36">
        <v>53.511260999999998</v>
      </c>
      <c r="CQ26" s="36">
        <v>53.257292</v>
      </c>
      <c r="CR26" s="36">
        <v>53.228861999999999</v>
      </c>
      <c r="CS26" s="36">
        <v>53.172787999999997</v>
      </c>
      <c r="CT26" s="36">
        <v>53.271735</v>
      </c>
      <c r="CU26" s="36"/>
      <c r="CV26" s="36">
        <v>46.978332999999999</v>
      </c>
      <c r="CW26" s="47">
        <v>46.782988000000003</v>
      </c>
      <c r="CX26" s="28">
        <v>47.220402</v>
      </c>
      <c r="CY26" s="28">
        <v>46.807758</v>
      </c>
      <c r="CZ26" s="28">
        <v>46.999664000000003</v>
      </c>
      <c r="DA26" s="28"/>
      <c r="DB26" s="28">
        <v>46.929611000000001</v>
      </c>
      <c r="DC26" s="28">
        <v>46.827556000000001</v>
      </c>
      <c r="DD26" s="28">
        <v>46.782480999999997</v>
      </c>
      <c r="DE26" s="28">
        <v>46.825926000000003</v>
      </c>
      <c r="DF26" s="28">
        <v>46.870593999999997</v>
      </c>
      <c r="DG26" s="46"/>
      <c r="DH26" s="46"/>
      <c r="DI26" s="46"/>
      <c r="DJ26" s="46"/>
      <c r="DK26" s="46"/>
      <c r="DL26" s="46"/>
      <c r="DM26" s="46"/>
      <c r="DN26" s="46"/>
    </row>
    <row r="27" spans="3:118" ht="24" x14ac:dyDescent="0.3">
      <c r="C27" s="9" t="s">
        <v>18</v>
      </c>
      <c r="D27" s="38">
        <v>27665730</v>
      </c>
      <c r="E27" s="38">
        <v>281227494</v>
      </c>
      <c r="F27" s="38">
        <v>11571953</v>
      </c>
      <c r="G27" s="39">
        <v>134221196</v>
      </c>
      <c r="H27" s="41">
        <v>64.861952000000002</v>
      </c>
      <c r="I27" s="52">
        <v>23.307552999999999</v>
      </c>
      <c r="J27" s="41">
        <v>62.276108000000001</v>
      </c>
      <c r="K27" s="42"/>
      <c r="L27" s="48">
        <v>23.874721000000001</v>
      </c>
      <c r="M27" s="34"/>
      <c r="N27" s="34"/>
      <c r="Q27" s="36"/>
      <c r="R27" s="36">
        <v>28.492497</v>
      </c>
      <c r="S27" s="36">
        <v>28.302902</v>
      </c>
      <c r="T27" s="36">
        <v>100.36159600000001</v>
      </c>
      <c r="U27" s="36">
        <v>21.091324</v>
      </c>
      <c r="V27" s="49">
        <v>19.264690999999999</v>
      </c>
      <c r="W27" s="36">
        <v>30.52131</v>
      </c>
      <c r="X27" s="36"/>
      <c r="Y27" s="36"/>
      <c r="Z27" s="48">
        <v>22.774096</v>
      </c>
      <c r="AA27" s="48">
        <v>24.963380000000001</v>
      </c>
      <c r="AB27" s="48">
        <v>32.79813</v>
      </c>
      <c r="AC27" s="48">
        <v>22.111353999999999</v>
      </c>
      <c r="AD27" s="50">
        <v>21.091324</v>
      </c>
      <c r="AE27" s="48">
        <v>30.377469000000001</v>
      </c>
      <c r="AF27" s="48"/>
      <c r="AG27" s="2"/>
      <c r="AH27" s="48">
        <v>110.278611</v>
      </c>
      <c r="AI27" s="48">
        <v>56.650022</v>
      </c>
      <c r="AJ27" s="48">
        <v>24.905916000000001</v>
      </c>
      <c r="AK27" s="58">
        <v>21.417175</v>
      </c>
      <c r="AL27" s="48">
        <v>29.948923000000001</v>
      </c>
      <c r="AM27" s="50">
        <v>19.801781999999999</v>
      </c>
      <c r="AO27" s="186" t="s">
        <v>1456</v>
      </c>
      <c r="AP27" s="188"/>
      <c r="AQ27" s="188"/>
      <c r="AR27" s="188"/>
      <c r="BX27" s="36">
        <v>28.350477999999999</v>
      </c>
      <c r="BY27" s="36">
        <v>28.420096999999998</v>
      </c>
      <c r="BZ27" s="36">
        <v>28.461023999999998</v>
      </c>
      <c r="CA27" s="36">
        <v>28.660890999999999</v>
      </c>
      <c r="CB27" s="36">
        <v>28.492497</v>
      </c>
      <c r="CC27" s="36"/>
      <c r="CD27" s="36">
        <v>28.328693000000001</v>
      </c>
      <c r="CE27" s="36">
        <v>28.157063999999998</v>
      </c>
      <c r="CF27" s="36">
        <v>28.342395</v>
      </c>
      <c r="CG27" s="36">
        <v>28.268864000000001</v>
      </c>
      <c r="CH27" s="36">
        <v>28.302902</v>
      </c>
      <c r="CI27" s="36"/>
      <c r="CJ27" s="36">
        <v>20.305433000000001</v>
      </c>
      <c r="CK27" s="36">
        <v>103.526225</v>
      </c>
      <c r="CL27" s="36">
        <v>34.756798000000003</v>
      </c>
      <c r="CM27" s="36">
        <v>20.095683999999999</v>
      </c>
      <c r="CN27" s="36">
        <v>100.36159600000001</v>
      </c>
      <c r="CO27" s="36"/>
      <c r="CP27" s="36">
        <v>22.774096</v>
      </c>
      <c r="CQ27" s="36">
        <v>24.963380000000001</v>
      </c>
      <c r="CR27" s="36">
        <v>32.79813</v>
      </c>
      <c r="CS27" s="36">
        <v>22.111353999999999</v>
      </c>
      <c r="CT27" s="36">
        <v>21.091324</v>
      </c>
      <c r="CU27" s="36"/>
      <c r="CV27" s="36">
        <v>22.559622000000001</v>
      </c>
      <c r="CW27" s="47">
        <v>27.76455</v>
      </c>
      <c r="CX27" s="28">
        <v>28.895855000000001</v>
      </c>
      <c r="CY27" s="28">
        <v>20.385604000000001</v>
      </c>
      <c r="CZ27" s="28">
        <v>19.264690999999999</v>
      </c>
      <c r="DA27" s="28"/>
      <c r="DB27" s="28">
        <v>25.956968</v>
      </c>
      <c r="DC27" s="28">
        <v>25.222332000000002</v>
      </c>
      <c r="DD27" s="28">
        <v>21.37753</v>
      </c>
      <c r="DE27" s="28">
        <v>21.742553000000001</v>
      </c>
      <c r="DF27" s="28">
        <v>30.52131</v>
      </c>
      <c r="DG27" s="46"/>
      <c r="DH27" s="46"/>
      <c r="DI27" s="46"/>
      <c r="DJ27" s="46"/>
      <c r="DK27" s="46"/>
      <c r="DL27" s="46"/>
      <c r="DM27" s="46"/>
      <c r="DN27" s="46"/>
    </row>
    <row r="28" spans="3:118" ht="24" x14ac:dyDescent="0.3">
      <c r="C28" s="9" t="s">
        <v>3913</v>
      </c>
      <c r="D28" s="38">
        <v>58655849</v>
      </c>
      <c r="E28" s="38">
        <v>522642066</v>
      </c>
      <c r="F28" s="38">
        <v>278489</v>
      </c>
      <c r="G28" s="39">
        <v>1117416174</v>
      </c>
      <c r="H28" s="41">
        <v>60.576824999999999</v>
      </c>
      <c r="I28" s="52">
        <v>144.30504400000001</v>
      </c>
      <c r="J28" s="41">
        <v>31.56</v>
      </c>
      <c r="K28" s="42"/>
      <c r="L28" s="48">
        <v>30.88738</v>
      </c>
      <c r="M28" s="34"/>
      <c r="N28" s="34"/>
      <c r="Q28" s="36"/>
      <c r="R28" s="36">
        <v>28.624310000000001</v>
      </c>
      <c r="S28" s="36">
        <v>28.715426000000001</v>
      </c>
      <c r="T28" s="36">
        <v>46.814101999999998</v>
      </c>
      <c r="U28" s="36">
        <v>34.702727000000003</v>
      </c>
      <c r="V28" s="49">
        <v>23.716016</v>
      </c>
      <c r="W28" s="36">
        <v>24.456119000000001</v>
      </c>
      <c r="X28" s="36"/>
      <c r="Y28" s="36"/>
      <c r="Z28" s="50">
        <v>19.721368999999999</v>
      </c>
      <c r="AA28" s="48">
        <v>24.673772</v>
      </c>
      <c r="AB28" s="48">
        <v>30.588656</v>
      </c>
      <c r="AC28" s="48">
        <v>28.678834999999999</v>
      </c>
      <c r="AD28" s="48">
        <v>34.702727000000003</v>
      </c>
      <c r="AE28" s="48">
        <v>33.599240000000002</v>
      </c>
      <c r="AF28" s="48"/>
      <c r="AG28" s="2"/>
      <c r="AH28" s="48">
        <v>149.63844499999999</v>
      </c>
      <c r="AI28" s="48">
        <v>138.24824100000001</v>
      </c>
      <c r="AJ28" s="48">
        <v>47.745247999999997</v>
      </c>
      <c r="AK28" s="58">
        <v>30.88738</v>
      </c>
      <c r="AL28" s="50">
        <v>23.250439</v>
      </c>
      <c r="AM28" s="48">
        <v>32.650264999999997</v>
      </c>
      <c r="AO28" s="186" t="s">
        <v>1450</v>
      </c>
      <c r="AP28" s="188"/>
      <c r="AQ28" s="188"/>
      <c r="AR28" s="188"/>
      <c r="BX28" s="36">
        <v>28.965834000000001</v>
      </c>
      <c r="BY28" s="36">
        <v>28.561995</v>
      </c>
      <c r="BZ28" s="36">
        <v>29.095333</v>
      </c>
      <c r="CA28" s="36">
        <v>28.825281</v>
      </c>
      <c r="CB28" s="36">
        <v>28.624310000000001</v>
      </c>
      <c r="CC28" s="36"/>
      <c r="CD28" s="36">
        <v>28.966574999999999</v>
      </c>
      <c r="CE28" s="36">
        <v>26.700296000000002</v>
      </c>
      <c r="CF28" s="36">
        <v>28.655048000000001</v>
      </c>
      <c r="CG28" s="36">
        <v>28.732429</v>
      </c>
      <c r="CH28" s="36">
        <v>28.715426000000001</v>
      </c>
      <c r="CI28" s="36"/>
      <c r="CJ28" s="36">
        <v>19.883044999999999</v>
      </c>
      <c r="CK28" s="36">
        <v>21.351775</v>
      </c>
      <c r="CL28" s="36">
        <v>43.236984999999997</v>
      </c>
      <c r="CM28" s="36">
        <v>42.719209999999997</v>
      </c>
      <c r="CN28" s="36">
        <v>46.814101999999998</v>
      </c>
      <c r="CO28" s="36"/>
      <c r="CP28" s="36">
        <v>19.721368999999999</v>
      </c>
      <c r="CQ28" s="36">
        <v>24.673772</v>
      </c>
      <c r="CR28" s="36">
        <v>30.588656</v>
      </c>
      <c r="CS28" s="36">
        <v>28.678834999999999</v>
      </c>
      <c r="CT28" s="36">
        <v>34.702727000000003</v>
      </c>
      <c r="CU28" s="36"/>
      <c r="CV28" s="36">
        <v>22.830842000000001</v>
      </c>
      <c r="CW28" s="47">
        <v>23.493911000000001</v>
      </c>
      <c r="CX28" s="28">
        <v>21.290315</v>
      </c>
      <c r="CY28" s="28">
        <v>24.41198</v>
      </c>
      <c r="CZ28" s="28">
        <v>23.716016</v>
      </c>
      <c r="DA28" s="28"/>
      <c r="DB28" s="28">
        <v>26.591891</v>
      </c>
      <c r="DC28" s="28">
        <v>24.195595000000001</v>
      </c>
      <c r="DD28" s="28">
        <v>24.981047</v>
      </c>
      <c r="DE28" s="28">
        <v>24.593354999999999</v>
      </c>
      <c r="DF28" s="28">
        <v>24.456119000000001</v>
      </c>
      <c r="DG28" s="46"/>
      <c r="DH28" s="46"/>
      <c r="DI28" s="46"/>
      <c r="DJ28" s="46"/>
      <c r="DK28" s="46"/>
      <c r="DL28" s="46"/>
      <c r="DM28" s="46"/>
      <c r="DN28" s="46"/>
    </row>
    <row r="29" spans="3:118" ht="24" x14ac:dyDescent="0.3">
      <c r="C29" s="9" t="s">
        <v>1446</v>
      </c>
      <c r="D29" s="38">
        <v>6100692</v>
      </c>
      <c r="E29" s="38">
        <v>199729748</v>
      </c>
      <c r="F29" s="38">
        <v>2732817</v>
      </c>
      <c r="G29" s="39">
        <v>97362094</v>
      </c>
      <c r="H29" s="41">
        <v>59.816648000000001</v>
      </c>
      <c r="I29" s="52">
        <v>32.213045000000001</v>
      </c>
      <c r="J29" s="41">
        <v>58.558579999999999</v>
      </c>
      <c r="K29" s="42"/>
      <c r="L29" s="48">
        <v>53.737893</v>
      </c>
      <c r="M29" s="34"/>
      <c r="N29" s="34"/>
      <c r="Q29" s="36"/>
      <c r="R29" s="36">
        <v>34.838656</v>
      </c>
      <c r="S29" s="36">
        <v>35.110639999999997</v>
      </c>
      <c r="T29" s="36">
        <v>27.998328000000001</v>
      </c>
      <c r="U29" s="36">
        <v>36.483663</v>
      </c>
      <c r="V29" s="36">
        <v>25.648409000000001</v>
      </c>
      <c r="W29" s="49">
        <v>23.774899000000001</v>
      </c>
      <c r="X29" s="36"/>
      <c r="Y29" s="36"/>
      <c r="Z29" s="48">
        <v>17.297236999999999</v>
      </c>
      <c r="AA29" s="48">
        <v>20.420867999999999</v>
      </c>
      <c r="AB29" s="48">
        <v>17.161816000000002</v>
      </c>
      <c r="AC29" s="50">
        <v>16.899121999999998</v>
      </c>
      <c r="AD29" s="48">
        <v>36.483663</v>
      </c>
      <c r="AE29" s="48">
        <v>31.287212</v>
      </c>
      <c r="AF29" s="48"/>
      <c r="AG29" s="2"/>
      <c r="AH29" s="48">
        <v>107.045095</v>
      </c>
      <c r="AI29" s="48">
        <v>66.705194000000006</v>
      </c>
      <c r="AJ29" s="48">
        <v>25.648371999999998</v>
      </c>
      <c r="AK29" s="57">
        <v>20.122519</v>
      </c>
      <c r="AL29" s="48">
        <v>26.955110000000001</v>
      </c>
      <c r="AM29" s="48">
        <v>38.524461000000002</v>
      </c>
      <c r="AO29" s="185" t="s">
        <v>1445</v>
      </c>
      <c r="AP29" s="188"/>
      <c r="AQ29" s="188"/>
      <c r="AR29" s="188"/>
      <c r="BX29" s="36">
        <v>34.524107999999998</v>
      </c>
      <c r="BY29" s="36">
        <v>34.735410999999999</v>
      </c>
      <c r="BZ29" s="36">
        <v>34.472085999999997</v>
      </c>
      <c r="CA29" s="36">
        <v>34.97963</v>
      </c>
      <c r="CB29" s="36">
        <v>34.838656</v>
      </c>
      <c r="CC29" s="36"/>
      <c r="CD29" s="36">
        <v>34.803413999999997</v>
      </c>
      <c r="CE29" s="36">
        <v>34.963313999999997</v>
      </c>
      <c r="CF29" s="36">
        <v>34.781433</v>
      </c>
      <c r="CG29" s="36">
        <v>35.083143999999997</v>
      </c>
      <c r="CH29" s="36">
        <v>35.110639999999997</v>
      </c>
      <c r="CI29" s="36"/>
      <c r="CJ29" s="36">
        <v>19.648181999999998</v>
      </c>
      <c r="CK29" s="36">
        <v>17.121706</v>
      </c>
      <c r="CL29" s="36">
        <v>39.197285999999998</v>
      </c>
      <c r="CM29" s="36">
        <v>34.821886999999997</v>
      </c>
      <c r="CN29" s="36">
        <v>27.998328000000001</v>
      </c>
      <c r="CO29" s="36"/>
      <c r="CP29" s="36">
        <v>17.297236999999999</v>
      </c>
      <c r="CQ29" s="36">
        <v>20.420867999999999</v>
      </c>
      <c r="CR29" s="36">
        <v>17.161816000000002</v>
      </c>
      <c r="CS29" s="36">
        <v>16.899121999999998</v>
      </c>
      <c r="CT29" s="36">
        <v>36.483663</v>
      </c>
      <c r="CU29" s="36"/>
      <c r="CV29" s="36">
        <v>19.571605000000002</v>
      </c>
      <c r="CW29" s="47">
        <v>18.309346000000001</v>
      </c>
      <c r="CX29" s="28">
        <v>24.430109999999999</v>
      </c>
      <c r="CY29" s="28">
        <v>16.780784000000001</v>
      </c>
      <c r="CZ29" s="28">
        <v>25.648409000000001</v>
      </c>
      <c r="DA29" s="28"/>
      <c r="DB29" s="28">
        <v>26.765984</v>
      </c>
      <c r="DC29" s="28">
        <v>22.509115000000001</v>
      </c>
      <c r="DD29" s="28">
        <v>20.311706000000001</v>
      </c>
      <c r="DE29" s="28">
        <v>22.629238999999998</v>
      </c>
      <c r="DF29" s="28">
        <v>23.774899000000001</v>
      </c>
      <c r="DG29" s="46"/>
      <c r="DH29" s="46"/>
      <c r="DI29" s="46"/>
      <c r="DJ29" s="46"/>
      <c r="DK29" s="46"/>
      <c r="DL29" s="46"/>
      <c r="DM29" s="46"/>
      <c r="DN29" s="46"/>
    </row>
    <row r="30" spans="3:118" ht="24" x14ac:dyDescent="0.3">
      <c r="C30" s="11" t="s">
        <v>1450</v>
      </c>
      <c r="D30" s="38">
        <v>5867547</v>
      </c>
      <c r="E30" s="38">
        <v>61171040</v>
      </c>
      <c r="F30" s="38">
        <v>959344</v>
      </c>
      <c r="G30" s="39">
        <v>994503898</v>
      </c>
      <c r="H30" s="41">
        <v>57.130594000000002</v>
      </c>
      <c r="I30" s="52">
        <v>123.493318</v>
      </c>
      <c r="J30" s="41">
        <v>35</v>
      </c>
      <c r="K30" s="42"/>
      <c r="L30" s="48">
        <v>20.122519</v>
      </c>
      <c r="M30" s="34"/>
      <c r="N30" s="34"/>
      <c r="Q30" s="36"/>
      <c r="R30" s="36">
        <v>24.758717999999998</v>
      </c>
      <c r="S30" s="36">
        <v>24.749466000000002</v>
      </c>
      <c r="T30" s="49">
        <v>19.958494000000002</v>
      </c>
      <c r="U30" s="36">
        <v>21.268896999999999</v>
      </c>
      <c r="V30" s="36">
        <v>21.826519999999999</v>
      </c>
      <c r="W30" s="36">
        <v>27.610979</v>
      </c>
      <c r="X30" s="36"/>
      <c r="Y30" s="36"/>
      <c r="Z30" s="48">
        <v>21.860433</v>
      </c>
      <c r="AA30" s="48">
        <v>23.659047999999999</v>
      </c>
      <c r="AB30" s="48">
        <v>22.548342999999999</v>
      </c>
      <c r="AC30" s="50">
        <v>19.939367000000001</v>
      </c>
      <c r="AD30" s="48">
        <v>21.268896999999999</v>
      </c>
      <c r="AE30" s="48">
        <v>31.746943999999999</v>
      </c>
      <c r="AF30" s="48"/>
      <c r="AG30" s="2"/>
      <c r="AH30" s="48">
        <v>106.600942</v>
      </c>
      <c r="AI30" s="48">
        <v>42.497396000000002</v>
      </c>
      <c r="AJ30" s="48">
        <v>25.398516000000001</v>
      </c>
      <c r="AK30" s="58">
        <v>23.840702</v>
      </c>
      <c r="AL30" s="50">
        <v>19.814515</v>
      </c>
      <c r="AM30" s="48">
        <v>19.934488999999999</v>
      </c>
      <c r="AO30" s="185" t="s">
        <v>3913</v>
      </c>
      <c r="AP30" s="188"/>
      <c r="AQ30" s="188"/>
      <c r="AR30" s="188"/>
      <c r="BX30" s="36">
        <v>24.760885999999999</v>
      </c>
      <c r="BY30" s="36">
        <v>24.775984999999999</v>
      </c>
      <c r="BZ30" s="36">
        <v>24.789580999999998</v>
      </c>
      <c r="CA30" s="36">
        <v>24.798217999999999</v>
      </c>
      <c r="CB30" s="36">
        <v>24.758717999999998</v>
      </c>
      <c r="CC30" s="36"/>
      <c r="CD30" s="36">
        <v>24.394828</v>
      </c>
      <c r="CE30" s="36">
        <v>24.345182999999999</v>
      </c>
      <c r="CF30" s="36">
        <v>24.460052999999998</v>
      </c>
      <c r="CG30" s="36">
        <v>24.352271000000002</v>
      </c>
      <c r="CH30" s="36">
        <v>24.749466000000002</v>
      </c>
      <c r="CI30" s="36"/>
      <c r="CJ30" s="36">
        <v>20.710792000000001</v>
      </c>
      <c r="CK30" s="36">
        <v>20.265725</v>
      </c>
      <c r="CL30" s="36">
        <v>20.212648000000002</v>
      </c>
      <c r="CM30" s="36">
        <v>20.417763999999998</v>
      </c>
      <c r="CN30" s="36">
        <v>19.958494000000002</v>
      </c>
      <c r="CO30" s="36"/>
      <c r="CP30" s="36">
        <v>21.860433</v>
      </c>
      <c r="CQ30" s="36">
        <v>23.659047999999999</v>
      </c>
      <c r="CR30" s="36">
        <v>22.548342999999999</v>
      </c>
      <c r="CS30" s="36">
        <v>19.939367000000001</v>
      </c>
      <c r="CT30" s="36">
        <v>21.268896999999999</v>
      </c>
      <c r="CU30" s="36"/>
      <c r="CV30" s="36">
        <v>24.474765999999999</v>
      </c>
      <c r="CW30" s="47">
        <v>24.983111000000001</v>
      </c>
      <c r="CX30" s="28">
        <v>22.149766</v>
      </c>
      <c r="CY30" s="28">
        <v>22.268673</v>
      </c>
      <c r="CZ30" s="28">
        <v>21.826519999999999</v>
      </c>
      <c r="DA30" s="28"/>
      <c r="DB30" s="28">
        <v>30.065989999999999</v>
      </c>
      <c r="DC30" s="28">
        <v>29.846495000000001</v>
      </c>
      <c r="DD30" s="28">
        <v>28.218948999999999</v>
      </c>
      <c r="DE30" s="28">
        <v>29.483107</v>
      </c>
      <c r="DF30" s="28">
        <v>27.610979</v>
      </c>
      <c r="DG30" s="46"/>
      <c r="DH30" s="46"/>
      <c r="DI30" s="46"/>
      <c r="DJ30" s="46"/>
      <c r="DK30" s="46"/>
      <c r="DL30" s="46"/>
      <c r="DM30" s="46"/>
      <c r="DN30" s="46"/>
    </row>
    <row r="31" spans="3:118" ht="24" x14ac:dyDescent="0.3">
      <c r="C31" s="9" t="s">
        <v>1445</v>
      </c>
      <c r="D31" s="38">
        <v>2148791</v>
      </c>
      <c r="E31" s="38">
        <v>155750262</v>
      </c>
      <c r="F31" s="38">
        <v>286585</v>
      </c>
      <c r="G31" s="39">
        <v>147929073</v>
      </c>
      <c r="H31" s="41">
        <v>33.766888999999999</v>
      </c>
      <c r="I31" s="52">
        <v>110.60061399999999</v>
      </c>
      <c r="J31" s="41">
        <v>31.719238000000001</v>
      </c>
      <c r="K31" s="42"/>
      <c r="L31" s="48">
        <v>23.840702</v>
      </c>
      <c r="M31" s="34"/>
      <c r="N31" s="34"/>
      <c r="Q31" s="36"/>
      <c r="R31" s="36">
        <v>14.664244</v>
      </c>
      <c r="S31" s="36">
        <v>14.41568</v>
      </c>
      <c r="T31" s="36">
        <v>14.32654</v>
      </c>
      <c r="U31" s="36">
        <v>14.503100999999999</v>
      </c>
      <c r="V31" s="49">
        <v>13.710167999999999</v>
      </c>
      <c r="W31" s="36">
        <v>14.910937000000001</v>
      </c>
      <c r="X31" s="36"/>
      <c r="Y31" s="36"/>
      <c r="Z31" s="50">
        <v>14.196106</v>
      </c>
      <c r="AA31" s="48">
        <v>14.445271</v>
      </c>
      <c r="AB31" s="48">
        <v>14.341246999999999</v>
      </c>
      <c r="AC31" s="48">
        <v>14.270937999999999</v>
      </c>
      <c r="AD31" s="48">
        <v>14.503100999999999</v>
      </c>
      <c r="AE31" s="48">
        <v>23.304746999999999</v>
      </c>
      <c r="AF31" s="48"/>
      <c r="AG31" s="2"/>
      <c r="AH31" s="48">
        <v>32.898296000000002</v>
      </c>
      <c r="AI31" s="48">
        <v>33.650548000000001</v>
      </c>
      <c r="AJ31" s="48">
        <v>26.859351</v>
      </c>
      <c r="AK31" s="58">
        <v>17.874461</v>
      </c>
      <c r="AL31" s="48">
        <v>14.979927</v>
      </c>
      <c r="AM31" s="50">
        <v>14.212215</v>
      </c>
      <c r="AO31" s="186" t="s">
        <v>7</v>
      </c>
      <c r="AP31" s="188"/>
      <c r="AQ31" s="188"/>
      <c r="AR31" s="188"/>
      <c r="BX31" s="36">
        <v>14.635515</v>
      </c>
      <c r="BY31" s="36">
        <v>14.694597</v>
      </c>
      <c r="BZ31" s="36">
        <v>14.720869</v>
      </c>
      <c r="CA31" s="36">
        <v>14.659746999999999</v>
      </c>
      <c r="CB31" s="36">
        <v>14.664244</v>
      </c>
      <c r="CC31" s="36"/>
      <c r="CD31" s="36">
        <v>14.420985999999999</v>
      </c>
      <c r="CE31" s="36">
        <v>14.574897999999999</v>
      </c>
      <c r="CF31" s="36">
        <v>14.444241</v>
      </c>
      <c r="CG31" s="36">
        <v>14.476976000000001</v>
      </c>
      <c r="CH31" s="36">
        <v>14.41568</v>
      </c>
      <c r="CI31" s="36"/>
      <c r="CJ31" s="36">
        <v>14.325659</v>
      </c>
      <c r="CK31" s="36">
        <v>14.304238</v>
      </c>
      <c r="CL31" s="36">
        <v>14.289056</v>
      </c>
      <c r="CM31" s="36">
        <v>14.388251</v>
      </c>
      <c r="CN31" s="36">
        <v>14.32654</v>
      </c>
      <c r="CO31" s="36"/>
      <c r="CP31" s="36">
        <v>14.196106</v>
      </c>
      <c r="CQ31" s="36">
        <v>14.445271</v>
      </c>
      <c r="CR31" s="36">
        <v>14.341246999999999</v>
      </c>
      <c r="CS31" s="36">
        <v>14.270937999999999</v>
      </c>
      <c r="CT31" s="36">
        <v>14.503100999999999</v>
      </c>
      <c r="CU31" s="36"/>
      <c r="CV31" s="36">
        <v>13.485939999999999</v>
      </c>
      <c r="CW31" s="47">
        <v>13.498953</v>
      </c>
      <c r="CX31" s="28">
        <v>13.561076</v>
      </c>
      <c r="CY31" s="28">
        <v>13.475057</v>
      </c>
      <c r="CZ31" s="28">
        <v>13.710167999999999</v>
      </c>
      <c r="DA31" s="28"/>
      <c r="DB31" s="28">
        <v>17.160734000000001</v>
      </c>
      <c r="DC31" s="28">
        <v>17.562265</v>
      </c>
      <c r="DD31" s="28">
        <v>16.372714999999999</v>
      </c>
      <c r="DE31" s="28">
        <v>15.215363</v>
      </c>
      <c r="DF31" s="28">
        <v>14.910937000000001</v>
      </c>
      <c r="DG31" s="46"/>
      <c r="DH31" s="46"/>
      <c r="DI31" s="46"/>
      <c r="DJ31" s="46"/>
      <c r="DK31" s="46"/>
      <c r="DL31" s="46"/>
      <c r="DM31" s="46"/>
      <c r="DN31" s="46"/>
    </row>
    <row r="32" spans="3:118" ht="24" x14ac:dyDescent="0.3">
      <c r="C32" s="9" t="s">
        <v>1422</v>
      </c>
      <c r="D32" s="38">
        <v>2622756</v>
      </c>
      <c r="E32" s="38">
        <v>94934908</v>
      </c>
      <c r="F32" s="38">
        <v>900354</v>
      </c>
      <c r="G32" s="39">
        <v>104704438</v>
      </c>
      <c r="H32" s="41">
        <v>23.738012000000001</v>
      </c>
      <c r="I32" s="52">
        <v>31.811346</v>
      </c>
      <c r="J32" s="41">
        <v>23.200935000000001</v>
      </c>
      <c r="K32" s="42"/>
      <c r="L32" s="48">
        <v>17.874461</v>
      </c>
      <c r="M32" s="34"/>
      <c r="N32" s="34"/>
      <c r="Q32" s="36"/>
      <c r="R32" s="36">
        <v>61.497563</v>
      </c>
      <c r="S32" s="49">
        <v>14.593543</v>
      </c>
      <c r="T32" s="36">
        <v>22.797445</v>
      </c>
      <c r="U32" s="36">
        <v>23.402552</v>
      </c>
      <c r="V32" s="36">
        <v>33.459470000000003</v>
      </c>
      <c r="W32" s="36">
        <v>34.018352999999998</v>
      </c>
      <c r="X32" s="36"/>
      <c r="Y32" s="36"/>
      <c r="Z32" s="48" t="s">
        <v>3937</v>
      </c>
      <c r="AA32" s="50">
        <v>19.038239999999998</v>
      </c>
      <c r="AB32" s="48">
        <v>22.190639000000001</v>
      </c>
      <c r="AC32" s="48">
        <v>24.381515</v>
      </c>
      <c r="AD32" s="48">
        <v>23.402552</v>
      </c>
      <c r="AE32" s="48">
        <v>62.349538000000003</v>
      </c>
      <c r="AF32" s="48"/>
      <c r="AG32" s="2"/>
      <c r="AH32" s="48">
        <v>23.870360999999999</v>
      </c>
      <c r="AI32" s="48">
        <v>23.699166000000002</v>
      </c>
      <c r="AJ32" s="48">
        <v>23.586476000000001</v>
      </c>
      <c r="AK32" s="58">
        <v>23.874721000000001</v>
      </c>
      <c r="AL32" s="50">
        <v>22.983779999999999</v>
      </c>
      <c r="AM32" s="48">
        <v>23.600435999999998</v>
      </c>
      <c r="AO32" s="185" t="s">
        <v>1422</v>
      </c>
      <c r="AP32" s="188"/>
      <c r="AQ32" s="188"/>
      <c r="AR32" s="188"/>
      <c r="BX32" s="36" t="s">
        <v>3937</v>
      </c>
      <c r="BY32" s="36">
        <v>61.462595</v>
      </c>
      <c r="BZ32" s="36">
        <v>61.518717000000002</v>
      </c>
      <c r="CA32" s="36">
        <v>61.351903</v>
      </c>
      <c r="CB32" s="36">
        <v>61.497563</v>
      </c>
      <c r="CC32" s="36"/>
      <c r="CD32" s="36" t="s">
        <v>3937</v>
      </c>
      <c r="CE32" s="36">
        <v>14.690937999999999</v>
      </c>
      <c r="CF32" s="36">
        <v>14.624796999999999</v>
      </c>
      <c r="CG32" s="36">
        <v>14.572663</v>
      </c>
      <c r="CH32" s="36">
        <v>14.593543</v>
      </c>
      <c r="CI32" s="36"/>
      <c r="CJ32" s="36" t="s">
        <v>3937</v>
      </c>
      <c r="CK32" s="36">
        <v>22.539604000000001</v>
      </c>
      <c r="CL32" s="36">
        <v>23.702186999999999</v>
      </c>
      <c r="CM32" s="36">
        <v>23.556536000000001</v>
      </c>
      <c r="CN32" s="36">
        <v>22.797445</v>
      </c>
      <c r="CO32" s="36"/>
      <c r="CP32" s="36" t="s">
        <v>3937</v>
      </c>
      <c r="CQ32" s="36">
        <v>19.038239999999998</v>
      </c>
      <c r="CR32" s="36">
        <v>22.190639000000001</v>
      </c>
      <c r="CS32" s="36">
        <v>24.381515</v>
      </c>
      <c r="CT32" s="36">
        <v>23.402552</v>
      </c>
      <c r="CU32" s="36"/>
      <c r="CV32" s="36" t="s">
        <v>3937</v>
      </c>
      <c r="CW32" s="47">
        <v>27.892707000000001</v>
      </c>
      <c r="CX32" s="28">
        <v>33.187275</v>
      </c>
      <c r="CY32" s="28">
        <v>33.459439000000003</v>
      </c>
      <c r="CZ32" s="28">
        <v>33.459470000000003</v>
      </c>
      <c r="DA32" s="28"/>
      <c r="DB32" s="28" t="s">
        <v>3937</v>
      </c>
      <c r="DC32" s="28">
        <v>30.633164000000001</v>
      </c>
      <c r="DD32" s="28">
        <v>27.907267000000001</v>
      </c>
      <c r="DE32" s="28">
        <v>34.631189999999997</v>
      </c>
      <c r="DF32" s="28">
        <v>34.018352999999998</v>
      </c>
      <c r="DG32" s="46"/>
      <c r="DH32" s="46"/>
      <c r="DI32" s="46"/>
      <c r="DJ32" s="46"/>
      <c r="DK32" s="46"/>
      <c r="DL32" s="46"/>
      <c r="DM32" s="46"/>
      <c r="DN32" s="46"/>
    </row>
    <row r="33" spans="3:110" ht="24" x14ac:dyDescent="0.3">
      <c r="C33" s="9" t="s">
        <v>1405</v>
      </c>
      <c r="D33" s="38">
        <v>2093449</v>
      </c>
      <c r="E33" s="38">
        <v>52098498</v>
      </c>
      <c r="F33" s="38">
        <v>1140084</v>
      </c>
      <c r="G33" s="39">
        <v>7254227</v>
      </c>
      <c r="H33" s="41">
        <v>17.421547</v>
      </c>
      <c r="I33" s="52">
        <v>23.765003</v>
      </c>
      <c r="J33" s="41">
        <v>17.204273000000001</v>
      </c>
      <c r="K33" s="42"/>
      <c r="L33" s="48">
        <v>14.029244</v>
      </c>
      <c r="M33" s="34"/>
      <c r="N33" s="34"/>
      <c r="Q33" s="36"/>
      <c r="R33" s="36">
        <v>10.951333999999999</v>
      </c>
      <c r="S33" s="36">
        <v>10.963236</v>
      </c>
      <c r="T33" s="36">
        <v>54.170309000000003</v>
      </c>
      <c r="U33" s="36">
        <v>12.251068999999999</v>
      </c>
      <c r="V33" s="49">
        <v>10.051703</v>
      </c>
      <c r="W33" s="36">
        <v>11.501818999999999</v>
      </c>
      <c r="X33" s="36"/>
      <c r="Y33" s="36"/>
      <c r="Z33" s="50">
        <v>10.985128</v>
      </c>
      <c r="AA33" s="48">
        <v>24.484138000000002</v>
      </c>
      <c r="AB33" s="48">
        <v>14.510285</v>
      </c>
      <c r="AC33" s="48">
        <v>25.184752</v>
      </c>
      <c r="AD33" s="48">
        <v>12.251068999999999</v>
      </c>
      <c r="AE33" s="48">
        <v>10.99357</v>
      </c>
      <c r="AF33" s="48"/>
      <c r="AG33" s="2"/>
      <c r="AH33" s="48">
        <v>70.779948000000005</v>
      </c>
      <c r="AI33" s="48">
        <v>36.154864000000003</v>
      </c>
      <c r="AJ33" s="48">
        <v>14.040191</v>
      </c>
      <c r="AK33" s="58">
        <v>12.491521000000001</v>
      </c>
      <c r="AL33" s="50">
        <v>10.952605999999999</v>
      </c>
      <c r="AM33" s="48">
        <v>23.441320999999999</v>
      </c>
      <c r="AO33" s="186" t="s">
        <v>5</v>
      </c>
      <c r="AP33" s="188"/>
      <c r="AQ33" s="188"/>
      <c r="AR33" s="188"/>
      <c r="BX33" s="36">
        <v>10.974918000000001</v>
      </c>
      <c r="BY33" s="36">
        <v>11.057751</v>
      </c>
      <c r="BZ33" s="36">
        <v>11.013453999999999</v>
      </c>
      <c r="CA33" s="36">
        <v>11.004946</v>
      </c>
      <c r="CB33" s="36">
        <v>10.951333999999999</v>
      </c>
      <c r="CC33" s="36"/>
      <c r="CD33" s="36">
        <v>11.030875999999999</v>
      </c>
      <c r="CE33" s="36">
        <v>10.980352</v>
      </c>
      <c r="CF33" s="36">
        <v>11.029309</v>
      </c>
      <c r="CG33" s="36">
        <v>10.980283</v>
      </c>
      <c r="CH33" s="36">
        <v>10.963236</v>
      </c>
      <c r="CI33" s="36"/>
      <c r="CJ33" s="36">
        <v>14.984102999999999</v>
      </c>
      <c r="CK33" s="36">
        <v>32.979581000000003</v>
      </c>
      <c r="CL33" s="36">
        <v>57.113415000000003</v>
      </c>
      <c r="CM33" s="36">
        <v>54.584313999999999</v>
      </c>
      <c r="CN33" s="36">
        <v>54.170309000000003</v>
      </c>
      <c r="CO33" s="36"/>
      <c r="CP33" s="36">
        <v>10.985128</v>
      </c>
      <c r="CQ33" s="36">
        <v>24.484138000000002</v>
      </c>
      <c r="CR33" s="36">
        <v>14.510285</v>
      </c>
      <c r="CS33" s="36">
        <v>25.184752</v>
      </c>
      <c r="CT33" s="36">
        <v>12.251068999999999</v>
      </c>
      <c r="CU33" s="36"/>
      <c r="CV33" s="36">
        <v>11.227767</v>
      </c>
      <c r="CW33" s="36">
        <v>12.870545</v>
      </c>
      <c r="CX33" s="36">
        <v>14.827527</v>
      </c>
      <c r="CY33" s="36">
        <v>19.140879999999999</v>
      </c>
      <c r="CZ33" s="36">
        <v>10.051703</v>
      </c>
      <c r="DA33" s="36"/>
      <c r="DB33" s="36">
        <v>13.488446</v>
      </c>
      <c r="DC33" s="36">
        <v>12.210874</v>
      </c>
      <c r="DD33" s="36">
        <v>12.069566</v>
      </c>
      <c r="DE33" s="36">
        <v>11.586752000000001</v>
      </c>
      <c r="DF33" s="36">
        <v>11.501818999999999</v>
      </c>
    </row>
    <row r="34" spans="3:110" ht="24" x14ac:dyDescent="0.3">
      <c r="C34" s="11" t="s">
        <v>5</v>
      </c>
      <c r="D34" s="38">
        <v>8730857</v>
      </c>
      <c r="E34" s="38">
        <v>654072972</v>
      </c>
      <c r="F34" s="38">
        <v>318268</v>
      </c>
      <c r="G34" s="39">
        <v>417032363</v>
      </c>
      <c r="H34" s="41">
        <v>14.054064</v>
      </c>
      <c r="I34" s="52">
        <v>249.501497</v>
      </c>
      <c r="J34" s="41">
        <v>13.855840000000001</v>
      </c>
      <c r="K34" s="42"/>
      <c r="L34" s="48">
        <v>19.519027000000001</v>
      </c>
      <c r="M34" s="34"/>
      <c r="N34" s="34"/>
      <c r="Q34" s="36"/>
      <c r="R34" s="49">
        <v>13.655882</v>
      </c>
      <c r="S34" s="36">
        <v>13.767106</v>
      </c>
      <c r="T34" s="36">
        <v>13.866118999999999</v>
      </c>
      <c r="U34" s="36">
        <v>13.683441999999999</v>
      </c>
      <c r="V34" s="36">
        <v>15.476198999999999</v>
      </c>
      <c r="W34" s="36">
        <v>26.673134000000001</v>
      </c>
      <c r="X34" s="36"/>
      <c r="Y34" s="36"/>
      <c r="Z34" s="48">
        <v>13.768544</v>
      </c>
      <c r="AA34" s="48">
        <v>13.709832</v>
      </c>
      <c r="AB34" s="48">
        <v>13.754296</v>
      </c>
      <c r="AC34" s="48">
        <v>13.739477000000001</v>
      </c>
      <c r="AD34" s="50">
        <v>13.683441999999999</v>
      </c>
      <c r="AE34" s="48">
        <v>13.846237</v>
      </c>
      <c r="AF34" s="48"/>
      <c r="AG34" s="2"/>
      <c r="AH34" s="48">
        <v>135.95858100000001</v>
      </c>
      <c r="AI34" s="48">
        <v>44.465473000000003</v>
      </c>
      <c r="AJ34" s="48">
        <v>19.936709</v>
      </c>
      <c r="AK34" s="58">
        <v>19.519027000000001</v>
      </c>
      <c r="AL34" s="48">
        <v>13.943114</v>
      </c>
      <c r="AM34" s="50">
        <v>13.618682</v>
      </c>
      <c r="AO34" s="185" t="s">
        <v>1405</v>
      </c>
      <c r="AP34" s="188"/>
      <c r="AQ34" s="188"/>
      <c r="AR34" s="188"/>
      <c r="AT34" t="s">
        <v>4012</v>
      </c>
      <c r="BX34" s="36">
        <v>13.651249</v>
      </c>
      <c r="BY34" s="36">
        <v>13.672489000000001</v>
      </c>
      <c r="BZ34" s="36">
        <v>13.664527</v>
      </c>
      <c r="CA34" s="36">
        <v>13.6511</v>
      </c>
      <c r="CB34" s="36">
        <v>13.655882</v>
      </c>
      <c r="CC34" s="36"/>
      <c r="CD34" s="36">
        <v>13.753932000000001</v>
      </c>
      <c r="CE34" s="36">
        <v>13.813867</v>
      </c>
      <c r="CF34" s="36">
        <v>13.879217000000001</v>
      </c>
      <c r="CG34" s="36">
        <v>13.705797</v>
      </c>
      <c r="CH34" s="36">
        <v>13.767106</v>
      </c>
      <c r="CI34" s="36"/>
      <c r="CJ34" s="36">
        <v>13.727428</v>
      </c>
      <c r="CK34" s="36">
        <v>13.802991</v>
      </c>
      <c r="CL34" s="36">
        <v>13.873331</v>
      </c>
      <c r="CM34" s="36">
        <v>13.883499</v>
      </c>
      <c r="CN34" s="36">
        <v>13.866118999999999</v>
      </c>
      <c r="CO34" s="36"/>
      <c r="CP34" s="36">
        <v>13.768544</v>
      </c>
      <c r="CQ34" s="36">
        <v>13.709832</v>
      </c>
      <c r="CR34" s="36">
        <v>13.754296</v>
      </c>
      <c r="CS34" s="36">
        <v>13.739477000000001</v>
      </c>
      <c r="CT34" s="36">
        <v>13.683441999999999</v>
      </c>
      <c r="CU34" s="36"/>
      <c r="CV34" s="36">
        <v>14.230883</v>
      </c>
      <c r="CW34" s="36">
        <v>14.966913</v>
      </c>
      <c r="CX34" s="36">
        <v>14.948376</v>
      </c>
      <c r="CY34" s="36">
        <v>15.102921</v>
      </c>
      <c r="CZ34" s="36">
        <v>15.476198999999999</v>
      </c>
      <c r="DA34" s="36"/>
      <c r="DB34" s="36">
        <v>24.689056000000001</v>
      </c>
      <c r="DC34" s="36">
        <v>26.368846999999999</v>
      </c>
      <c r="DD34" s="36">
        <v>26.281979</v>
      </c>
      <c r="DE34" s="36">
        <v>26.836144000000001</v>
      </c>
      <c r="DF34" s="36">
        <v>26.673134000000001</v>
      </c>
    </row>
    <row r="35" spans="3:110" ht="24" x14ac:dyDescent="0.3">
      <c r="C35" s="11" t="s">
        <v>1423</v>
      </c>
      <c r="D35" s="38">
        <v>7570051</v>
      </c>
      <c r="E35" s="38">
        <v>43881980</v>
      </c>
      <c r="F35" s="38">
        <v>5669991</v>
      </c>
      <c r="G35" s="39">
        <v>41148109</v>
      </c>
      <c r="H35" s="41">
        <v>12.697224</v>
      </c>
      <c r="I35" s="52">
        <v>4.7210000000000001</v>
      </c>
      <c r="J35" s="41">
        <v>12.267455</v>
      </c>
      <c r="K35" s="42"/>
      <c r="L35" s="48">
        <v>2.3150789999999999</v>
      </c>
      <c r="M35" s="34"/>
      <c r="N35" s="34"/>
      <c r="Q35" s="36"/>
      <c r="R35" s="36">
        <v>14.884015</v>
      </c>
      <c r="S35" s="36">
        <v>14.875719</v>
      </c>
      <c r="T35" s="36">
        <v>10.285456</v>
      </c>
      <c r="U35" s="49">
        <v>9.7142420000000005</v>
      </c>
      <c r="V35" s="36">
        <v>16.955068000000001</v>
      </c>
      <c r="W35" s="36">
        <v>21.411345000000001</v>
      </c>
      <c r="X35" s="36"/>
      <c r="Y35" s="36"/>
      <c r="Z35" s="48">
        <v>10.035354</v>
      </c>
      <c r="AA35" s="48">
        <v>10.008715</v>
      </c>
      <c r="AB35" s="48">
        <v>9.9801330000000004</v>
      </c>
      <c r="AC35" s="48">
        <v>9.9596330000000002</v>
      </c>
      <c r="AD35" s="50">
        <v>9.7142420000000005</v>
      </c>
      <c r="AE35" s="48">
        <v>17.168254999999998</v>
      </c>
      <c r="AF35" s="48"/>
      <c r="AG35" s="2"/>
      <c r="AH35" s="48">
        <v>24.845267</v>
      </c>
      <c r="AI35" s="48">
        <v>18.504155000000001</v>
      </c>
      <c r="AJ35" s="48">
        <v>12.088297000000001</v>
      </c>
      <c r="AK35" s="58">
        <v>14.029244</v>
      </c>
      <c r="AL35" s="48">
        <v>10.332112</v>
      </c>
      <c r="AM35" s="50">
        <v>10.269507000000001</v>
      </c>
      <c r="AO35" s="186" t="s">
        <v>1423</v>
      </c>
      <c r="AP35" s="188"/>
      <c r="AQ35" s="188"/>
      <c r="AR35" s="188"/>
      <c r="BX35" s="36">
        <v>14.875085</v>
      </c>
      <c r="BY35" s="36">
        <v>14.904887</v>
      </c>
      <c r="BZ35" s="36">
        <v>14.883115999999999</v>
      </c>
      <c r="CA35" s="36">
        <v>14.900599</v>
      </c>
      <c r="CB35" s="36">
        <v>14.884015</v>
      </c>
      <c r="CC35" s="36"/>
      <c r="CD35" s="36">
        <v>14.202871999999999</v>
      </c>
      <c r="CE35" s="36">
        <v>14.212248000000001</v>
      </c>
      <c r="CF35" s="36">
        <v>14.185907</v>
      </c>
      <c r="CG35" s="36">
        <v>14.886372</v>
      </c>
      <c r="CH35" s="36">
        <v>14.875719</v>
      </c>
      <c r="CI35" s="36"/>
      <c r="CJ35" s="36">
        <v>11.559137</v>
      </c>
      <c r="CK35" s="36">
        <v>11.516475</v>
      </c>
      <c r="CL35" s="36">
        <v>10.277058</v>
      </c>
      <c r="CM35" s="36">
        <v>11.057551999999999</v>
      </c>
      <c r="CN35" s="36">
        <v>10.285456</v>
      </c>
      <c r="CO35" s="36"/>
      <c r="CP35" s="36">
        <v>10.035354</v>
      </c>
      <c r="CQ35" s="36">
        <v>10.008715</v>
      </c>
      <c r="CR35" s="36">
        <v>9.9801330000000004</v>
      </c>
      <c r="CS35" s="36">
        <v>9.9596330000000002</v>
      </c>
      <c r="CT35" s="36">
        <v>9.7142420000000005</v>
      </c>
      <c r="CU35" s="36"/>
      <c r="CV35" s="36">
        <v>17.097439000000001</v>
      </c>
      <c r="CW35" s="36">
        <v>17.127155999999999</v>
      </c>
      <c r="CX35" s="36">
        <v>16.784120000000001</v>
      </c>
      <c r="CY35" s="36">
        <v>17.043620000000001</v>
      </c>
      <c r="CZ35" s="36">
        <v>16.955068000000001</v>
      </c>
      <c r="DA35" s="36"/>
      <c r="DB35" s="36">
        <v>21.689907000000002</v>
      </c>
      <c r="DC35" s="36">
        <v>21.489122999999999</v>
      </c>
      <c r="DD35" s="36">
        <v>21.557212</v>
      </c>
      <c r="DE35" s="36">
        <v>21.549052</v>
      </c>
      <c r="DF35" s="36">
        <v>21.411345000000001</v>
      </c>
    </row>
    <row r="36" spans="3:110" ht="24" x14ac:dyDescent="0.3">
      <c r="C36" s="9" t="s">
        <v>1438</v>
      </c>
      <c r="D36" s="38">
        <v>7891015</v>
      </c>
      <c r="E36" s="38">
        <v>127830770</v>
      </c>
      <c r="F36" s="38">
        <v>3636005</v>
      </c>
      <c r="G36" s="39">
        <v>52252646</v>
      </c>
      <c r="H36" s="41">
        <v>11.282028</v>
      </c>
      <c r="I36" s="52">
        <v>2.9514300000000002</v>
      </c>
      <c r="J36" s="41">
        <v>10.717722999999999</v>
      </c>
      <c r="K36" s="42"/>
      <c r="L36" s="48">
        <v>2.0402999999999998</v>
      </c>
      <c r="M36" s="34"/>
      <c r="N36" s="34"/>
      <c r="Q36" s="36"/>
      <c r="R36" s="36">
        <v>7.4029600000000002</v>
      </c>
      <c r="S36" s="49">
        <v>7.3393490000000003</v>
      </c>
      <c r="T36" s="36">
        <v>30.352397</v>
      </c>
      <c r="U36" s="36">
        <v>16.638375</v>
      </c>
      <c r="V36" s="36">
        <v>15.564017</v>
      </c>
      <c r="W36" s="36">
        <v>8.9574529999999992</v>
      </c>
      <c r="X36" s="36"/>
      <c r="Y36" s="36"/>
      <c r="Z36" s="48">
        <v>7.4838909999999998</v>
      </c>
      <c r="AA36" s="50">
        <v>6.9780889999999998</v>
      </c>
      <c r="AB36" s="48">
        <v>8.8413760000000003</v>
      </c>
      <c r="AC36" s="48">
        <v>13.732281</v>
      </c>
      <c r="AD36" s="48">
        <v>16.638375</v>
      </c>
      <c r="AE36" s="48">
        <v>7.441986</v>
      </c>
      <c r="AF36" s="48"/>
      <c r="AG36" s="2"/>
      <c r="AH36" s="48">
        <v>39.398195000000001</v>
      </c>
      <c r="AI36" s="48">
        <v>24.970780000000001</v>
      </c>
      <c r="AJ36" s="48">
        <v>10.586722</v>
      </c>
      <c r="AK36" s="57">
        <v>8.0992370000000005</v>
      </c>
      <c r="AL36" s="48">
        <v>10.154279000000001</v>
      </c>
      <c r="AM36" s="48">
        <v>15.900974</v>
      </c>
      <c r="AO36" s="186" t="s">
        <v>1436</v>
      </c>
      <c r="AP36" s="188"/>
      <c r="AQ36" s="188"/>
      <c r="AR36" s="188"/>
      <c r="BX36" s="36">
        <v>7.4302510000000002</v>
      </c>
      <c r="BY36" s="36">
        <v>7.3945749999999997</v>
      </c>
      <c r="BZ36" s="36">
        <v>7.4220050000000004</v>
      </c>
      <c r="CA36" s="36">
        <v>7.4064449999999997</v>
      </c>
      <c r="CB36" s="36">
        <v>7.4029600000000002</v>
      </c>
      <c r="CC36" s="36"/>
      <c r="CD36" s="36">
        <v>7.3737089999999998</v>
      </c>
      <c r="CE36" s="36">
        <v>7.3390149999999998</v>
      </c>
      <c r="CF36" s="36">
        <v>7.3338029999999996</v>
      </c>
      <c r="CG36" s="36">
        <v>7.3561399999999999</v>
      </c>
      <c r="CH36" s="36">
        <v>7.3393490000000003</v>
      </c>
      <c r="CI36" s="36"/>
      <c r="CJ36" s="36">
        <v>8.0259289999999996</v>
      </c>
      <c r="CK36" s="36">
        <v>30.499851</v>
      </c>
      <c r="CL36" s="36">
        <v>7.8877860000000002</v>
      </c>
      <c r="CM36" s="36">
        <v>30.644196999999998</v>
      </c>
      <c r="CN36" s="36">
        <v>30.352397</v>
      </c>
      <c r="CO36" s="36"/>
      <c r="CP36" s="36">
        <v>7.4838909999999998</v>
      </c>
      <c r="CQ36" s="36">
        <v>6.9780889999999998</v>
      </c>
      <c r="CR36" s="36">
        <v>8.8413760000000003</v>
      </c>
      <c r="CS36" s="36">
        <v>13.732281</v>
      </c>
      <c r="CT36" s="36">
        <v>16.638375</v>
      </c>
      <c r="CU36" s="36"/>
      <c r="CV36" s="36">
        <v>9.4465369999999993</v>
      </c>
      <c r="CW36" s="36">
        <v>7.9175829999999996</v>
      </c>
      <c r="CX36" s="36">
        <v>7.7388089999999998</v>
      </c>
      <c r="CY36" s="36">
        <v>7.8866449999999997</v>
      </c>
      <c r="CZ36" s="36">
        <v>15.564017</v>
      </c>
      <c r="DA36" s="36"/>
      <c r="DB36" s="36">
        <v>11.534803999999999</v>
      </c>
      <c r="DC36" s="36">
        <v>9.0322650000000007</v>
      </c>
      <c r="DD36" s="36">
        <v>10.405689000000001</v>
      </c>
      <c r="DE36" s="36">
        <v>11.967749</v>
      </c>
      <c r="DF36" s="36">
        <v>8.9574529999999992</v>
      </c>
    </row>
    <row r="37" spans="3:110" ht="24" x14ac:dyDescent="0.3">
      <c r="C37" s="11" t="s">
        <v>1436</v>
      </c>
      <c r="D37" s="38">
        <v>3790750</v>
      </c>
      <c r="E37" s="38">
        <v>44273578</v>
      </c>
      <c r="F37" s="38">
        <v>866662</v>
      </c>
      <c r="G37" s="39">
        <v>489911259</v>
      </c>
      <c r="H37" s="41">
        <v>11.255535999999999</v>
      </c>
      <c r="I37" s="52">
        <v>72.252588000000003</v>
      </c>
      <c r="J37" s="41">
        <v>11.012378999999999</v>
      </c>
      <c r="K37" s="42"/>
      <c r="L37" s="48">
        <v>12.491521000000001</v>
      </c>
      <c r="M37" s="34"/>
      <c r="N37" s="34"/>
      <c r="Q37" s="36"/>
      <c r="R37" s="36">
        <v>6.7208730000000001</v>
      </c>
      <c r="S37" s="36">
        <v>6.6653180000000001</v>
      </c>
      <c r="T37" s="36">
        <v>6.5337870000000002</v>
      </c>
      <c r="U37" s="49">
        <v>5.5608430000000002</v>
      </c>
      <c r="V37" s="36">
        <v>7.5872120000000001</v>
      </c>
      <c r="W37" s="36">
        <v>8.6746879999999997</v>
      </c>
      <c r="X37" s="36"/>
      <c r="Y37" s="36"/>
      <c r="Z37" s="48">
        <v>6.3712010000000001</v>
      </c>
      <c r="AA37" s="48">
        <v>5.9646280000000003</v>
      </c>
      <c r="AB37" s="50">
        <v>5.501906</v>
      </c>
      <c r="AC37" s="48">
        <v>5.928833</v>
      </c>
      <c r="AD37" s="48">
        <v>5.5608430000000002</v>
      </c>
      <c r="AE37" s="48">
        <v>7.0371350000000001</v>
      </c>
      <c r="AF37" s="48"/>
      <c r="AG37" s="2"/>
      <c r="AH37" s="48">
        <v>46.080365</v>
      </c>
      <c r="AI37" s="48">
        <v>41.075226999999998</v>
      </c>
      <c r="AJ37" s="48">
        <v>16.640592999999999</v>
      </c>
      <c r="AK37" s="58">
        <v>10.693218999999999</v>
      </c>
      <c r="AL37" s="48">
        <v>7.1503240000000003</v>
      </c>
      <c r="AM37" s="50">
        <v>5.6370180000000003</v>
      </c>
      <c r="AO37" s="185" t="s">
        <v>1438</v>
      </c>
      <c r="AP37" s="188"/>
      <c r="AQ37" s="188"/>
      <c r="AR37" s="188"/>
      <c r="AT37" t="s">
        <v>4012</v>
      </c>
      <c r="BX37" s="36">
        <v>6.8513590000000004</v>
      </c>
      <c r="BY37" s="36">
        <v>6.7666310000000003</v>
      </c>
      <c r="BZ37" s="36">
        <v>6.7119929999999997</v>
      </c>
      <c r="CA37" s="36">
        <v>6.625076</v>
      </c>
      <c r="CB37" s="36">
        <v>6.7208730000000001</v>
      </c>
      <c r="CC37" s="36"/>
      <c r="CD37" s="36">
        <v>6.8185830000000003</v>
      </c>
      <c r="CE37" s="36">
        <v>6.5905069999999997</v>
      </c>
      <c r="CF37" s="36">
        <v>6.6265020000000003</v>
      </c>
      <c r="CG37" s="36">
        <v>6.462631</v>
      </c>
      <c r="CH37" s="36">
        <v>6.6653180000000001</v>
      </c>
      <c r="CI37" s="36"/>
      <c r="CJ37" s="36">
        <v>8.3607800000000001</v>
      </c>
      <c r="CK37" s="36">
        <v>7.2446989999999998</v>
      </c>
      <c r="CL37" s="36">
        <v>6.6528330000000002</v>
      </c>
      <c r="CM37" s="36">
        <v>6.7124220000000001</v>
      </c>
      <c r="CN37" s="36">
        <v>6.5337870000000002</v>
      </c>
      <c r="CO37" s="36"/>
      <c r="CP37" s="36">
        <v>6.3712010000000001</v>
      </c>
      <c r="CQ37" s="36">
        <v>5.9646280000000003</v>
      </c>
      <c r="CR37" s="36">
        <v>5.501906</v>
      </c>
      <c r="CS37" s="36">
        <v>5.928833</v>
      </c>
      <c r="CT37" s="36">
        <v>5.5608430000000002</v>
      </c>
      <c r="CU37" s="36"/>
      <c r="CV37" s="36">
        <v>6.1411720000000001</v>
      </c>
      <c r="CW37" s="36">
        <v>6.3139099999999999</v>
      </c>
      <c r="CX37" s="36">
        <v>6.8427350000000002</v>
      </c>
      <c r="CY37" s="36">
        <v>7.2605459999999997</v>
      </c>
      <c r="CZ37" s="36">
        <v>7.5872120000000001</v>
      </c>
      <c r="DA37" s="36"/>
      <c r="DB37" s="36">
        <v>8.3483070000000001</v>
      </c>
      <c r="DC37" s="36">
        <v>8.5043959999999998</v>
      </c>
      <c r="DD37" s="36">
        <v>8.8393789999999992</v>
      </c>
      <c r="DE37" s="36">
        <v>9.1064319999999999</v>
      </c>
      <c r="DF37" s="36">
        <v>8.6746879999999997</v>
      </c>
    </row>
    <row r="38" spans="3:110" ht="24" x14ac:dyDescent="0.3">
      <c r="C38" s="9" t="s">
        <v>1414</v>
      </c>
      <c r="D38" s="38">
        <v>3033373</v>
      </c>
      <c r="E38" s="38">
        <v>87691916</v>
      </c>
      <c r="F38" s="38">
        <v>275166</v>
      </c>
      <c r="G38" s="39">
        <v>118034566</v>
      </c>
      <c r="H38" s="41">
        <v>8.8155560000000008</v>
      </c>
      <c r="I38" s="52">
        <v>24.346118000000001</v>
      </c>
      <c r="J38" s="41">
        <v>8.328792</v>
      </c>
      <c r="K38" s="42"/>
      <c r="L38" s="48">
        <v>9.3502709999999993</v>
      </c>
      <c r="M38" s="34"/>
      <c r="N38" s="34"/>
      <c r="Q38" s="36"/>
      <c r="R38" s="36">
        <v>8.2163120000000003</v>
      </c>
      <c r="S38" s="36">
        <v>8.2773319999999995</v>
      </c>
      <c r="T38" s="49">
        <v>7.3272490000000001</v>
      </c>
      <c r="U38" s="36">
        <v>9.3781920000000003</v>
      </c>
      <c r="V38" s="36">
        <v>9.2754119999999993</v>
      </c>
      <c r="W38" s="36">
        <v>13.324966</v>
      </c>
      <c r="X38" s="36"/>
      <c r="Y38" s="36"/>
      <c r="Z38" s="50">
        <v>8.0431629999999998</v>
      </c>
      <c r="AA38" s="48">
        <v>8.1044959999999993</v>
      </c>
      <c r="AB38" s="48">
        <v>9.663278</v>
      </c>
      <c r="AC38" s="48">
        <v>9.4633629999999993</v>
      </c>
      <c r="AD38" s="48">
        <v>9.3781920000000003</v>
      </c>
      <c r="AE38" s="48">
        <v>8.131786</v>
      </c>
      <c r="AF38" s="48"/>
      <c r="AG38" s="2"/>
      <c r="AH38" s="48">
        <v>25.285789000000001</v>
      </c>
      <c r="AI38" s="48">
        <v>18.451986999999999</v>
      </c>
      <c r="AJ38" s="48">
        <v>11.033265999999999</v>
      </c>
      <c r="AK38" s="58">
        <v>9.3502709999999993</v>
      </c>
      <c r="AL38" s="50">
        <v>8.8212119999999992</v>
      </c>
      <c r="AM38" s="48">
        <v>9.4777509999999996</v>
      </c>
      <c r="AO38" s="185" t="s">
        <v>1414</v>
      </c>
      <c r="AP38" s="188"/>
      <c r="AQ38" s="188"/>
      <c r="AR38" s="188"/>
      <c r="BX38" s="36">
        <v>8.4022330000000007</v>
      </c>
      <c r="BY38" s="36">
        <v>8.4347239999999992</v>
      </c>
      <c r="BZ38" s="36">
        <v>8.3511830000000007</v>
      </c>
      <c r="CA38" s="36">
        <v>8.316808</v>
      </c>
      <c r="CB38" s="36">
        <v>8.2163120000000003</v>
      </c>
      <c r="CC38" s="36"/>
      <c r="CD38" s="36">
        <v>8.2554259999999999</v>
      </c>
      <c r="CE38" s="36">
        <v>8.4028150000000004</v>
      </c>
      <c r="CF38" s="36">
        <v>8.1507459999999998</v>
      </c>
      <c r="CG38" s="36">
        <v>8.140701</v>
      </c>
      <c r="CH38" s="36">
        <v>8.2773319999999995</v>
      </c>
      <c r="CI38" s="36"/>
      <c r="CJ38" s="36">
        <v>10.052797</v>
      </c>
      <c r="CK38" s="36">
        <v>8.5983440000000009</v>
      </c>
      <c r="CL38" s="36">
        <v>7.639977</v>
      </c>
      <c r="CM38" s="36">
        <v>7.4409799999999997</v>
      </c>
      <c r="CN38" s="36">
        <v>7.3272490000000001</v>
      </c>
      <c r="CO38" s="36"/>
      <c r="CP38" s="36">
        <v>8.0431629999999998</v>
      </c>
      <c r="CQ38" s="36">
        <v>8.1044959999999993</v>
      </c>
      <c r="CR38" s="36">
        <v>9.663278</v>
      </c>
      <c r="CS38" s="36">
        <v>9.4633629999999993</v>
      </c>
      <c r="CT38" s="36">
        <v>9.3781920000000003</v>
      </c>
      <c r="CU38" s="36"/>
      <c r="CV38" s="36">
        <v>9.8035960000000006</v>
      </c>
      <c r="CW38" s="36">
        <v>9.4365860000000001</v>
      </c>
      <c r="CX38" s="36">
        <v>8.5556350000000005</v>
      </c>
      <c r="CY38" s="36">
        <v>9.1347260000000006</v>
      </c>
      <c r="CZ38" s="36">
        <v>9.2754119999999993</v>
      </c>
      <c r="DA38" s="36"/>
      <c r="DB38" s="36">
        <v>12.30194</v>
      </c>
      <c r="DC38" s="36">
        <v>11.189156000000001</v>
      </c>
      <c r="DD38" s="36">
        <v>10.882191000000001</v>
      </c>
      <c r="DE38" s="36">
        <v>9.3195259999999998</v>
      </c>
      <c r="DF38" s="36">
        <v>13.324966</v>
      </c>
    </row>
    <row r="39" spans="3:110" ht="24" x14ac:dyDescent="0.3">
      <c r="C39" s="11" t="s">
        <v>1431</v>
      </c>
      <c r="D39" s="38">
        <v>4579069</v>
      </c>
      <c r="E39" s="38">
        <v>12530086</v>
      </c>
      <c r="F39" s="38">
        <v>4043326</v>
      </c>
      <c r="G39" s="39">
        <v>6015927</v>
      </c>
      <c r="H39" s="41">
        <v>7.7896460000000003</v>
      </c>
      <c r="I39" s="52">
        <v>0.93807399999999996</v>
      </c>
      <c r="J39" s="40">
        <v>6.9008060000000002</v>
      </c>
      <c r="K39" s="42"/>
      <c r="L39" s="48">
        <v>0.93605400000000005</v>
      </c>
      <c r="M39" s="34"/>
      <c r="N39" s="34"/>
      <c r="Q39" s="36"/>
      <c r="R39" s="36">
        <v>12.309856999999999</v>
      </c>
      <c r="S39" s="36">
        <v>12.126726</v>
      </c>
      <c r="T39" s="49">
        <v>2.378546</v>
      </c>
      <c r="U39" s="36">
        <v>2.3975939999999998</v>
      </c>
      <c r="V39" s="36">
        <v>3.0376650000000001</v>
      </c>
      <c r="W39" s="36">
        <v>3.957427</v>
      </c>
      <c r="X39" s="36"/>
      <c r="Y39" s="36"/>
      <c r="Z39" s="48">
        <v>2.612104</v>
      </c>
      <c r="AA39" s="50">
        <v>2.2804229999999999</v>
      </c>
      <c r="AB39" s="48">
        <v>2.8778700000000002</v>
      </c>
      <c r="AC39" s="48">
        <v>2.7082639999999998</v>
      </c>
      <c r="AD39" s="48">
        <v>2.3975939999999998</v>
      </c>
      <c r="AE39" s="48">
        <v>12.236701999999999</v>
      </c>
      <c r="AF39" s="48"/>
      <c r="AG39" s="2"/>
      <c r="AH39" s="48">
        <v>5.0319640000000003</v>
      </c>
      <c r="AI39" s="48">
        <v>5.0902940000000001</v>
      </c>
      <c r="AJ39" s="48">
        <v>3.658709</v>
      </c>
      <c r="AK39" s="57">
        <v>2.3150789999999999</v>
      </c>
      <c r="AL39" s="48">
        <v>2.3561619999999999</v>
      </c>
      <c r="AM39" s="48">
        <v>2.4515380000000002</v>
      </c>
      <c r="AO39" s="186" t="s">
        <v>2</v>
      </c>
      <c r="AP39" s="188"/>
      <c r="AQ39" s="188"/>
      <c r="AR39" s="188"/>
      <c r="BX39" s="36">
        <v>12.231387</v>
      </c>
      <c r="BY39" s="36">
        <v>12.200115</v>
      </c>
      <c r="BZ39" s="36">
        <v>12.158018999999999</v>
      </c>
      <c r="CA39" s="36">
        <v>12.313193</v>
      </c>
      <c r="CB39" s="36">
        <v>12.309856999999999</v>
      </c>
      <c r="CC39" s="36"/>
      <c r="CD39" s="36">
        <v>12.110658000000001</v>
      </c>
      <c r="CE39" s="36">
        <v>12.244014999999999</v>
      </c>
      <c r="CF39" s="36">
        <v>12.320389</v>
      </c>
      <c r="CG39" s="36">
        <v>12.171264000000001</v>
      </c>
      <c r="CH39" s="36">
        <v>12.126726</v>
      </c>
      <c r="CI39" s="36"/>
      <c r="CJ39" s="36">
        <v>3.6683219999999999</v>
      </c>
      <c r="CK39" s="36">
        <v>3.0189180000000002</v>
      </c>
      <c r="CL39" s="36">
        <v>2.4156930000000001</v>
      </c>
      <c r="CM39" s="36">
        <v>2.400258</v>
      </c>
      <c r="CN39" s="36">
        <v>2.378546</v>
      </c>
      <c r="CO39" s="36"/>
      <c r="CP39" s="36">
        <v>2.612104</v>
      </c>
      <c r="CQ39" s="36">
        <v>2.2804229999999999</v>
      </c>
      <c r="CR39" s="36">
        <v>2.8778700000000002</v>
      </c>
      <c r="CS39" s="36">
        <v>2.7082639999999998</v>
      </c>
      <c r="CT39" s="36">
        <v>2.3975939999999998</v>
      </c>
      <c r="CU39" s="36"/>
      <c r="CV39" s="36">
        <v>3.1501060000000001</v>
      </c>
      <c r="CW39" s="36">
        <v>3.0774140000000001</v>
      </c>
      <c r="CX39" s="36">
        <v>3.295798</v>
      </c>
      <c r="CY39" s="36">
        <v>2.9786839999999999</v>
      </c>
      <c r="CZ39" s="36">
        <v>3.0376650000000001</v>
      </c>
      <c r="DA39" s="36"/>
      <c r="DB39" s="36">
        <v>3.7779880000000001</v>
      </c>
      <c r="DC39" s="36">
        <v>3.5230640000000002</v>
      </c>
      <c r="DD39" s="36">
        <v>3.758508</v>
      </c>
      <c r="DE39" s="36">
        <v>3.7384170000000001</v>
      </c>
      <c r="DF39" s="36">
        <v>3.957427</v>
      </c>
    </row>
    <row r="40" spans="3:110" ht="24" x14ac:dyDescent="0.3">
      <c r="C40" s="11" t="s">
        <v>1391</v>
      </c>
      <c r="D40" s="38">
        <v>8482737</v>
      </c>
      <c r="E40" s="38">
        <v>23585644</v>
      </c>
      <c r="F40" s="38">
        <v>8421430</v>
      </c>
      <c r="G40" s="39">
        <v>12043741</v>
      </c>
      <c r="H40" s="41">
        <v>7.652196</v>
      </c>
      <c r="I40" s="52">
        <v>0.89532500000000004</v>
      </c>
      <c r="J40" s="40">
        <v>7.3661770000000004</v>
      </c>
      <c r="K40" s="42"/>
      <c r="L40" s="48">
        <v>0.873803</v>
      </c>
      <c r="M40" s="34"/>
      <c r="N40" s="34"/>
      <c r="Q40" s="36"/>
      <c r="R40" s="49">
        <v>0.91381900000000005</v>
      </c>
      <c r="S40" s="36">
        <v>1.0256719999999999</v>
      </c>
      <c r="T40" s="36">
        <v>1.475352</v>
      </c>
      <c r="U40" s="36">
        <v>1.407124</v>
      </c>
      <c r="V40" s="36">
        <v>2.2381350000000002</v>
      </c>
      <c r="W40" s="36">
        <v>2.1916760000000002</v>
      </c>
      <c r="X40" s="36"/>
      <c r="Y40" s="36"/>
      <c r="Z40" s="50">
        <v>1.3718630000000001</v>
      </c>
      <c r="AA40" s="48">
        <v>1.745949</v>
      </c>
      <c r="AB40" s="48">
        <v>1.3739730000000001</v>
      </c>
      <c r="AC40" s="48">
        <v>1.416954</v>
      </c>
      <c r="AD40" s="48">
        <v>1.407124</v>
      </c>
      <c r="AE40" s="48">
        <v>10.805961999999999</v>
      </c>
      <c r="AF40" s="48"/>
      <c r="AG40" s="2"/>
      <c r="AH40" s="48">
        <v>3.0709420000000001</v>
      </c>
      <c r="AI40" s="48">
        <v>3.0666850000000001</v>
      </c>
      <c r="AJ40" s="48">
        <v>2.5837189999999999</v>
      </c>
      <c r="AK40" s="58">
        <v>2.0402999999999998</v>
      </c>
      <c r="AL40" s="50">
        <v>1.3988050000000001</v>
      </c>
      <c r="AM40" s="48">
        <v>1.418366</v>
      </c>
      <c r="AO40" s="186" t="s">
        <v>1391</v>
      </c>
      <c r="AP40" s="188"/>
      <c r="AQ40" s="188"/>
      <c r="AR40" s="188"/>
      <c r="BX40" s="36">
        <v>2.0029910000000002</v>
      </c>
      <c r="BY40" s="36">
        <v>2.0448590000000002</v>
      </c>
      <c r="BZ40" s="36">
        <v>0.99469700000000005</v>
      </c>
      <c r="CA40" s="36">
        <v>0.93090799999999996</v>
      </c>
      <c r="CB40" s="36">
        <v>0.91381900000000005</v>
      </c>
      <c r="CC40" s="36"/>
      <c r="CD40" s="36">
        <v>1.979015</v>
      </c>
      <c r="CE40" s="36">
        <v>1.0385869999999999</v>
      </c>
      <c r="CF40" s="36">
        <v>1.117953</v>
      </c>
      <c r="CG40" s="36">
        <v>1.0207310000000001</v>
      </c>
      <c r="CH40" s="36">
        <v>1.0256719999999999</v>
      </c>
      <c r="CI40" s="36"/>
      <c r="CJ40" s="36">
        <v>1.350916</v>
      </c>
      <c r="CK40" s="36">
        <v>1.1885030000000001</v>
      </c>
      <c r="CL40" s="36">
        <v>1.5296670000000001</v>
      </c>
      <c r="CM40" s="36">
        <v>1.4096839999999999</v>
      </c>
      <c r="CN40" s="36">
        <v>1.475352</v>
      </c>
      <c r="CO40" s="36"/>
      <c r="CP40" s="36">
        <v>1.3718630000000001</v>
      </c>
      <c r="CQ40" s="36">
        <v>1.745949</v>
      </c>
      <c r="CR40" s="36">
        <v>1.3739730000000001</v>
      </c>
      <c r="CS40" s="36">
        <v>1.416954</v>
      </c>
      <c r="CT40" s="36">
        <v>1.407124</v>
      </c>
      <c r="CU40" s="36"/>
      <c r="CV40" s="36">
        <v>1.6148979999999999</v>
      </c>
      <c r="CW40" s="36">
        <v>2.3127960000000001</v>
      </c>
      <c r="CX40" s="36">
        <v>2.08975</v>
      </c>
      <c r="CY40" s="36">
        <v>2.271296</v>
      </c>
      <c r="CZ40" s="36">
        <v>2.2381350000000002</v>
      </c>
      <c r="DA40" s="36"/>
      <c r="DB40" s="36">
        <v>2.1412659999999999</v>
      </c>
      <c r="DC40" s="36">
        <v>2.2378290000000001</v>
      </c>
      <c r="DD40" s="36">
        <v>2.2370079999999999</v>
      </c>
      <c r="DE40" s="36">
        <v>2.1333359999999999</v>
      </c>
      <c r="DF40" s="36">
        <v>2.1916760000000002</v>
      </c>
    </row>
    <row r="41" spans="3:110" ht="24" x14ac:dyDescent="0.3">
      <c r="C41" s="11" t="s">
        <v>2</v>
      </c>
      <c r="D41" s="38">
        <v>4382070</v>
      </c>
      <c r="E41" s="38">
        <v>38996662</v>
      </c>
      <c r="F41" s="38">
        <v>699764</v>
      </c>
      <c r="G41" s="39">
        <v>287608260</v>
      </c>
      <c r="H41" s="41">
        <v>7.5799459999999996</v>
      </c>
      <c r="I41" s="52">
        <v>38.782924999999999</v>
      </c>
      <c r="J41" s="41">
        <v>7.4260539999999997</v>
      </c>
      <c r="K41" s="42"/>
      <c r="L41" s="48">
        <v>8.0992370000000005</v>
      </c>
      <c r="M41" s="34"/>
      <c r="N41" s="34"/>
      <c r="Q41" s="36"/>
      <c r="R41" s="36">
        <v>4.3548289999999996</v>
      </c>
      <c r="S41" s="36">
        <v>4.405519</v>
      </c>
      <c r="T41" s="49">
        <v>4.1518629999999996</v>
      </c>
      <c r="U41" s="36">
        <v>4.5412239999999997</v>
      </c>
      <c r="V41" s="36">
        <v>7.6399949999999999</v>
      </c>
      <c r="W41" s="36">
        <v>11.084069</v>
      </c>
      <c r="X41" s="36"/>
      <c r="Y41" s="36"/>
      <c r="Z41" s="48">
        <v>7.7199739999999997</v>
      </c>
      <c r="AA41" s="48">
        <v>5.6786529999999997</v>
      </c>
      <c r="AB41" s="48">
        <v>6.9562350000000004</v>
      </c>
      <c r="AC41" s="50">
        <v>4.2630150000000002</v>
      </c>
      <c r="AD41" s="48">
        <v>4.5412239999999997</v>
      </c>
      <c r="AE41" s="48">
        <v>5.1026119999999997</v>
      </c>
      <c r="AF41" s="48"/>
      <c r="AG41" s="2"/>
      <c r="AH41" s="48">
        <v>24.657084999999999</v>
      </c>
      <c r="AI41" s="48">
        <v>14.962254</v>
      </c>
      <c r="AJ41" s="48">
        <v>7.9662680000000003</v>
      </c>
      <c r="AK41" s="58">
        <v>7.6292460000000002</v>
      </c>
      <c r="AL41" s="48">
        <v>6.1869690000000004</v>
      </c>
      <c r="AM41" s="50">
        <v>4.2836489999999996</v>
      </c>
      <c r="AO41" s="186" t="s">
        <v>1</v>
      </c>
      <c r="AP41" s="188"/>
      <c r="AQ41" s="188"/>
      <c r="AR41" s="188"/>
      <c r="BX41" s="36">
        <v>4.3322019999999997</v>
      </c>
      <c r="BY41" s="36">
        <v>4.3625590000000001</v>
      </c>
      <c r="BZ41" s="36">
        <v>4.3722640000000004</v>
      </c>
      <c r="CA41" s="36">
        <v>4.3536720000000004</v>
      </c>
      <c r="CB41" s="36">
        <v>4.3548289999999996</v>
      </c>
      <c r="CC41" s="36"/>
      <c r="CD41" s="36">
        <v>4.4101619999999997</v>
      </c>
      <c r="CE41" s="36">
        <v>4.4067069999999999</v>
      </c>
      <c r="CF41" s="36">
        <v>4.4947049999999997</v>
      </c>
      <c r="CG41" s="36">
        <v>4.3447990000000001</v>
      </c>
      <c r="CH41" s="36">
        <v>4.405519</v>
      </c>
      <c r="CI41" s="36"/>
      <c r="CJ41" s="36">
        <v>9.7219580000000008</v>
      </c>
      <c r="CK41" s="36">
        <v>6.113842</v>
      </c>
      <c r="CL41" s="36">
        <v>3.9528660000000002</v>
      </c>
      <c r="CM41" s="36">
        <v>3.6880700000000002</v>
      </c>
      <c r="CN41" s="36">
        <v>4.1518629999999996</v>
      </c>
      <c r="CO41" s="36"/>
      <c r="CP41" s="36">
        <v>7.7199739999999997</v>
      </c>
      <c r="CQ41" s="36">
        <v>5.6786529999999997</v>
      </c>
      <c r="CR41" s="36">
        <v>6.9562350000000004</v>
      </c>
      <c r="CS41" s="36">
        <v>4.2630150000000002</v>
      </c>
      <c r="CT41" s="36">
        <v>4.5412239999999997</v>
      </c>
      <c r="CU41" s="36"/>
      <c r="CV41" s="36">
        <v>8.4758030000000009</v>
      </c>
      <c r="CW41" s="36">
        <v>7.6053750000000004</v>
      </c>
      <c r="CX41" s="36">
        <v>7.6847479999999999</v>
      </c>
      <c r="CY41" s="36">
        <v>7.5408809999999997</v>
      </c>
      <c r="CZ41" s="36">
        <v>7.6399949999999999</v>
      </c>
      <c r="DA41" s="36"/>
      <c r="DB41" s="36">
        <v>8.3731159999999996</v>
      </c>
      <c r="DC41" s="36">
        <v>10.221926</v>
      </c>
      <c r="DD41" s="36">
        <v>11.009313000000001</v>
      </c>
      <c r="DE41" s="36">
        <v>11.057619000000001</v>
      </c>
      <c r="DF41" s="36">
        <v>11.084069</v>
      </c>
    </row>
    <row r="42" spans="3:110" ht="24" x14ac:dyDescent="0.3">
      <c r="C42" s="11" t="s">
        <v>1</v>
      </c>
      <c r="D42" s="38">
        <v>18268991</v>
      </c>
      <c r="E42" s="38">
        <v>253780418</v>
      </c>
      <c r="F42" s="38">
        <v>612308</v>
      </c>
      <c r="G42" s="39">
        <v>240680701</v>
      </c>
      <c r="H42" s="41">
        <v>6.968604</v>
      </c>
      <c r="I42" s="52">
        <v>45.206122000000001</v>
      </c>
      <c r="J42" s="41">
        <v>6.9283619999999999</v>
      </c>
      <c r="K42" s="42"/>
      <c r="L42" s="48">
        <v>10.693218999999999</v>
      </c>
      <c r="M42" s="34"/>
      <c r="N42" s="34"/>
      <c r="Q42" s="36"/>
      <c r="R42" s="36">
        <v>3.7352590000000001</v>
      </c>
      <c r="S42" s="49">
        <v>3.7348530000000002</v>
      </c>
      <c r="T42" s="36">
        <v>3.9193440000000002</v>
      </c>
      <c r="U42" s="36">
        <v>6.5688570000000004</v>
      </c>
      <c r="V42" s="36">
        <v>6.4660679999999999</v>
      </c>
      <c r="W42" s="36">
        <v>6.5621369999999999</v>
      </c>
      <c r="X42" s="36"/>
      <c r="Y42" s="36"/>
      <c r="Z42" s="48">
        <v>5.7345649999999999</v>
      </c>
      <c r="AA42" s="48">
        <v>4.968477</v>
      </c>
      <c r="AB42" s="48">
        <v>4.9603120000000001</v>
      </c>
      <c r="AC42" s="48">
        <v>5.9265220000000003</v>
      </c>
      <c r="AD42" s="48">
        <v>6.5688570000000004</v>
      </c>
      <c r="AE42" s="50">
        <v>3.7237450000000001</v>
      </c>
      <c r="AF42" s="48"/>
      <c r="AG42" s="2"/>
      <c r="AH42" s="48">
        <v>29.066706</v>
      </c>
      <c r="AI42" s="48">
        <v>18.238071000000001</v>
      </c>
      <c r="AJ42" s="48">
        <v>10.746964</v>
      </c>
      <c r="AK42" s="58">
        <v>7.8326770000000003</v>
      </c>
      <c r="AL42" s="50">
        <v>5.2079279999999999</v>
      </c>
      <c r="AM42" s="48">
        <v>5.373297</v>
      </c>
      <c r="AO42" s="186" t="s">
        <v>1431</v>
      </c>
      <c r="AP42" s="188"/>
      <c r="AQ42" s="188"/>
      <c r="AR42" s="188"/>
      <c r="BX42" s="36">
        <v>3.7360129999999998</v>
      </c>
      <c r="BY42" s="36">
        <v>3.7223009999999999</v>
      </c>
      <c r="BZ42" s="36">
        <v>3.7273339999999999</v>
      </c>
      <c r="CA42" s="36">
        <v>3.7264029999999999</v>
      </c>
      <c r="CB42" s="36">
        <v>3.7352590000000001</v>
      </c>
      <c r="CC42" s="36"/>
      <c r="CD42" s="36">
        <v>3.7747190000000002</v>
      </c>
      <c r="CE42" s="36">
        <v>3.7492200000000002</v>
      </c>
      <c r="CF42" s="36">
        <v>3.7951440000000001</v>
      </c>
      <c r="CG42" s="36">
        <v>3.843521</v>
      </c>
      <c r="CH42" s="36">
        <v>3.7348530000000002</v>
      </c>
      <c r="CI42" s="36"/>
      <c r="CJ42" s="36">
        <v>4.4037110000000004</v>
      </c>
      <c r="CK42" s="36">
        <v>4.2221830000000002</v>
      </c>
      <c r="CL42" s="36">
        <v>8.1655999999999995</v>
      </c>
      <c r="CM42" s="36">
        <v>7.0483060000000002</v>
      </c>
      <c r="CN42" s="36">
        <v>3.9193440000000002</v>
      </c>
      <c r="CO42" s="36"/>
      <c r="CP42" s="36">
        <v>5.7345649999999999</v>
      </c>
      <c r="CQ42" s="36">
        <v>4.968477</v>
      </c>
      <c r="CR42" s="36">
        <v>4.9603120000000001</v>
      </c>
      <c r="CS42" s="36">
        <v>5.9265220000000003</v>
      </c>
      <c r="CT42" s="36">
        <v>6.5688570000000004</v>
      </c>
      <c r="CU42" s="36"/>
      <c r="CV42" s="36">
        <v>7.1196760000000001</v>
      </c>
      <c r="CW42" s="36">
        <v>6.5152729999999996</v>
      </c>
      <c r="CX42" s="36">
        <v>5.8426309999999999</v>
      </c>
      <c r="CY42" s="36">
        <v>6.0699459999999998</v>
      </c>
      <c r="CZ42" s="36">
        <v>6.4660679999999999</v>
      </c>
      <c r="DA42" s="36"/>
      <c r="DB42" s="36">
        <v>8.9379439999999999</v>
      </c>
      <c r="DC42" s="36">
        <v>8.4922909999999998</v>
      </c>
      <c r="DD42" s="36">
        <v>7.3623529999999997</v>
      </c>
      <c r="DE42" s="36">
        <v>6.4347060000000003</v>
      </c>
      <c r="DF42" s="36">
        <v>6.5621369999999999</v>
      </c>
    </row>
    <row r="43" spans="3:110" ht="24" x14ac:dyDescent="0.3">
      <c r="C43" s="11" t="s">
        <v>1449</v>
      </c>
      <c r="D43" s="38">
        <v>4799646</v>
      </c>
      <c r="E43" s="38">
        <v>63844012</v>
      </c>
      <c r="F43" s="38">
        <v>1076572</v>
      </c>
      <c r="G43" s="39">
        <v>157475935</v>
      </c>
      <c r="H43" s="41">
        <v>6.8452809999999999</v>
      </c>
      <c r="I43" s="52">
        <v>23.708839000000001</v>
      </c>
      <c r="J43" s="41">
        <v>5.0708260000000003</v>
      </c>
      <c r="K43" s="42"/>
      <c r="L43" s="48">
        <v>7.6292460000000002</v>
      </c>
      <c r="M43" s="34"/>
      <c r="N43" s="34"/>
      <c r="Q43" s="36"/>
      <c r="R43" s="49">
        <v>2.7308180000000002</v>
      </c>
      <c r="S43" s="36">
        <v>2.745047</v>
      </c>
      <c r="T43" s="36">
        <v>2.991222</v>
      </c>
      <c r="U43" s="36">
        <v>5.0464070000000003</v>
      </c>
      <c r="V43" s="36">
        <v>11.207875</v>
      </c>
      <c r="W43" s="36">
        <v>19.292753000000001</v>
      </c>
      <c r="X43" s="36"/>
      <c r="Y43" s="36"/>
      <c r="Z43" s="50">
        <v>4.9159449999999998</v>
      </c>
      <c r="AA43" s="48">
        <v>5.2631620000000003</v>
      </c>
      <c r="AB43" s="48">
        <v>5.0101829999999996</v>
      </c>
      <c r="AC43" s="48">
        <v>4.9662660000000001</v>
      </c>
      <c r="AD43" s="48">
        <v>5.0464070000000003</v>
      </c>
      <c r="AE43" s="48">
        <v>5.0425500000000003</v>
      </c>
      <c r="AF43" s="48"/>
      <c r="AG43" s="2"/>
      <c r="AH43" s="48">
        <v>37.827463000000002</v>
      </c>
      <c r="AI43" s="48">
        <v>17.762801</v>
      </c>
      <c r="AJ43" s="48">
        <v>5.4301640000000004</v>
      </c>
      <c r="AK43" s="58">
        <v>5.235112</v>
      </c>
      <c r="AL43" s="48">
        <v>5.2860459999999998</v>
      </c>
      <c r="AM43" s="50">
        <v>4.9635449999999999</v>
      </c>
      <c r="AO43" s="186" t="s">
        <v>1449</v>
      </c>
      <c r="AP43" s="188"/>
      <c r="AQ43" s="188"/>
      <c r="AR43" s="188"/>
      <c r="BX43" s="36">
        <v>2.6709369999999999</v>
      </c>
      <c r="BY43" s="36">
        <v>2.6780430000000002</v>
      </c>
      <c r="BZ43" s="36">
        <v>2.644269</v>
      </c>
      <c r="CA43" s="36">
        <v>2.6968179999999999</v>
      </c>
      <c r="CB43" s="36">
        <v>2.7308180000000002</v>
      </c>
      <c r="CC43" s="36"/>
      <c r="CD43" s="36">
        <v>2.8046609999999998</v>
      </c>
      <c r="CE43" s="36">
        <v>2.7570030000000001</v>
      </c>
      <c r="CF43" s="36">
        <v>2.8684229999999999</v>
      </c>
      <c r="CG43" s="36">
        <v>2.7435330000000002</v>
      </c>
      <c r="CH43" s="36">
        <v>2.745047</v>
      </c>
      <c r="CI43" s="36"/>
      <c r="CJ43" s="36">
        <v>2.7830599999999999</v>
      </c>
      <c r="CK43" s="36">
        <v>2.8350979999999999</v>
      </c>
      <c r="CL43" s="36">
        <v>2.9097010000000001</v>
      </c>
      <c r="CM43" s="36">
        <v>2.7812779999999999</v>
      </c>
      <c r="CN43" s="36">
        <v>2.991222</v>
      </c>
      <c r="CO43" s="36"/>
      <c r="CP43" s="36">
        <v>4.9159449999999998</v>
      </c>
      <c r="CQ43" s="36">
        <v>5.2631620000000003</v>
      </c>
      <c r="CR43" s="36">
        <v>5.0101829999999996</v>
      </c>
      <c r="CS43" s="36">
        <v>4.9662660000000001</v>
      </c>
      <c r="CT43" s="36">
        <v>5.0464070000000003</v>
      </c>
      <c r="CU43" s="36"/>
      <c r="CV43" s="36">
        <v>10.104676</v>
      </c>
      <c r="CW43" s="36">
        <v>10.624301000000001</v>
      </c>
      <c r="CX43" s="36">
        <v>10.938480999999999</v>
      </c>
      <c r="CY43" s="36">
        <v>11.437206</v>
      </c>
      <c r="CZ43" s="36">
        <v>11.207875</v>
      </c>
      <c r="DA43" s="36"/>
      <c r="DB43" s="36">
        <v>17.316355000000001</v>
      </c>
      <c r="DC43" s="36">
        <v>19.280638</v>
      </c>
      <c r="DD43" s="36">
        <v>19.358695999999998</v>
      </c>
      <c r="DE43" s="36">
        <v>19.343582999999999</v>
      </c>
      <c r="DF43" s="36">
        <v>19.292753000000001</v>
      </c>
    </row>
    <row r="44" spans="3:110" ht="24" x14ac:dyDescent="0.3">
      <c r="C44" s="11" t="s">
        <v>1440</v>
      </c>
      <c r="D44" s="38">
        <v>5812931</v>
      </c>
      <c r="E44" s="38">
        <v>54238524</v>
      </c>
      <c r="F44" s="38">
        <v>3504033</v>
      </c>
      <c r="G44" s="39">
        <v>72022415</v>
      </c>
      <c r="H44" s="41">
        <v>5.1042110000000003</v>
      </c>
      <c r="I44" s="52">
        <v>9.5797369999999997</v>
      </c>
      <c r="J44" s="41">
        <v>4.8326019999999996</v>
      </c>
      <c r="K44" s="42"/>
      <c r="L44" s="48">
        <v>3.0204589999999998</v>
      </c>
      <c r="M44" s="34"/>
      <c r="N44" s="34"/>
      <c r="Q44" s="36"/>
      <c r="R44" s="49">
        <v>2.298238</v>
      </c>
      <c r="S44" s="36">
        <v>2.3113419999999998</v>
      </c>
      <c r="T44" s="36">
        <v>5.6258749999999997</v>
      </c>
      <c r="U44" s="36">
        <v>7.1085659999999997</v>
      </c>
      <c r="V44" s="36">
        <v>5.8038160000000003</v>
      </c>
      <c r="W44" s="36">
        <v>6.3134329999999999</v>
      </c>
      <c r="X44" s="36"/>
      <c r="Y44" s="36"/>
      <c r="Z44" s="48">
        <v>4.7288139999999999</v>
      </c>
      <c r="AA44" s="50">
        <v>3.5417339999999999</v>
      </c>
      <c r="AB44" s="48">
        <v>6.9782989999999998</v>
      </c>
      <c r="AC44" s="48">
        <v>6.7926650000000004</v>
      </c>
      <c r="AD44" s="48">
        <v>7.1085659999999997</v>
      </c>
      <c r="AE44" s="48">
        <v>4.8902979999999996</v>
      </c>
      <c r="AF44" s="48"/>
      <c r="AG44" s="2"/>
      <c r="AH44" s="48">
        <v>9.8667409999999993</v>
      </c>
      <c r="AI44" s="48">
        <v>9.5915490000000005</v>
      </c>
      <c r="AJ44" s="48">
        <v>4.5494120000000002</v>
      </c>
      <c r="AK44" s="57">
        <v>3.0204589999999998</v>
      </c>
      <c r="AL44" s="48">
        <v>3.0986509999999998</v>
      </c>
      <c r="AM44" s="48">
        <v>6.7408910000000004</v>
      </c>
      <c r="AO44" s="186" t="s">
        <v>1440</v>
      </c>
      <c r="AP44" s="188"/>
      <c r="AQ44" s="188"/>
      <c r="AR44" s="188"/>
      <c r="BX44" s="36">
        <v>2.3303419999999999</v>
      </c>
      <c r="BY44" s="36">
        <v>2.3712179999999998</v>
      </c>
      <c r="BZ44" s="36">
        <v>2.3485049999999998</v>
      </c>
      <c r="CA44" s="36">
        <v>2.2879369999999999</v>
      </c>
      <c r="CB44" s="36">
        <v>2.298238</v>
      </c>
      <c r="CC44" s="36"/>
      <c r="CD44" s="36">
        <v>2.282756</v>
      </c>
      <c r="CE44" s="36">
        <v>2.3161239999999998</v>
      </c>
      <c r="CF44" s="36">
        <v>2.2964099999999998</v>
      </c>
      <c r="CG44" s="36">
        <v>2.2877390000000002</v>
      </c>
      <c r="CH44" s="36">
        <v>2.3113419999999998</v>
      </c>
      <c r="CI44" s="36"/>
      <c r="CJ44" s="36">
        <v>9.0802040000000002</v>
      </c>
      <c r="CK44" s="36">
        <v>6.8787279999999997</v>
      </c>
      <c r="CL44" s="36">
        <v>5.8854850000000001</v>
      </c>
      <c r="CM44" s="36">
        <v>5.7120540000000002</v>
      </c>
      <c r="CN44" s="36">
        <v>5.6258749999999997</v>
      </c>
      <c r="CO44" s="36"/>
      <c r="CP44" s="36">
        <v>4.7288139999999999</v>
      </c>
      <c r="CQ44" s="36">
        <v>3.5417339999999999</v>
      </c>
      <c r="CR44" s="36">
        <v>6.9782989999999998</v>
      </c>
      <c r="CS44" s="36">
        <v>6.7926650000000004</v>
      </c>
      <c r="CT44" s="36">
        <v>7.1085659999999997</v>
      </c>
      <c r="CU44" s="36"/>
      <c r="CV44" s="36">
        <v>3.8906010000000002</v>
      </c>
      <c r="CW44" s="36">
        <v>2.9887809999999999</v>
      </c>
      <c r="CX44" s="36">
        <v>5.3322289999999999</v>
      </c>
      <c r="CY44" s="36">
        <v>5.4689680000000003</v>
      </c>
      <c r="CZ44" s="36">
        <v>5.8038160000000003</v>
      </c>
      <c r="DA44" s="36"/>
      <c r="DB44" s="36">
        <v>3.6266949999999998</v>
      </c>
      <c r="DC44" s="36">
        <v>3.7227809999999999</v>
      </c>
      <c r="DD44" s="36">
        <v>3.7925490000000002</v>
      </c>
      <c r="DE44" s="36">
        <v>5.5389109999999997</v>
      </c>
      <c r="DF44" s="36">
        <v>6.3134329999999999</v>
      </c>
    </row>
    <row r="45" spans="3:110" ht="24" x14ac:dyDescent="0.3">
      <c r="C45" s="11" t="s">
        <v>1409</v>
      </c>
      <c r="D45" s="38">
        <v>3411795</v>
      </c>
      <c r="E45" s="38">
        <v>26854686</v>
      </c>
      <c r="F45" s="38">
        <v>2487058</v>
      </c>
      <c r="G45" s="39">
        <v>8209611</v>
      </c>
      <c r="H45" s="41">
        <v>4.5660360000000004</v>
      </c>
      <c r="I45" s="52">
        <v>0.94574000000000003</v>
      </c>
      <c r="J45" s="40">
        <v>2.5636969999999999</v>
      </c>
      <c r="K45" s="42"/>
      <c r="L45" s="48">
        <v>0.85847099999999998</v>
      </c>
      <c r="M45" s="34"/>
      <c r="N45" s="34"/>
      <c r="Q45" s="36"/>
      <c r="R45" s="49">
        <v>3.607138</v>
      </c>
      <c r="S45" s="36">
        <v>3.858053</v>
      </c>
      <c r="T45" s="36">
        <v>3.7906369999999998</v>
      </c>
      <c r="U45" s="36">
        <v>5.9706149999999996</v>
      </c>
      <c r="V45" s="36">
        <v>9.8056099999999997</v>
      </c>
      <c r="W45" s="36">
        <v>15.526032000000001</v>
      </c>
      <c r="X45" s="36"/>
      <c r="Y45" s="36"/>
      <c r="Z45" s="48">
        <v>5.9744669999999998</v>
      </c>
      <c r="AA45" s="48">
        <v>6.0800979999999996</v>
      </c>
      <c r="AB45" s="48">
        <v>6.0698290000000004</v>
      </c>
      <c r="AC45" s="48">
        <v>5.979158</v>
      </c>
      <c r="AD45" s="48">
        <v>5.9706149999999996</v>
      </c>
      <c r="AE45" s="50">
        <v>4.1194170000000003</v>
      </c>
      <c r="AF45" s="48"/>
      <c r="AG45" s="2"/>
      <c r="AH45" s="48">
        <v>19.474523999999999</v>
      </c>
      <c r="AI45" s="48">
        <v>19.652605999999999</v>
      </c>
      <c r="AJ45" s="48">
        <v>15.225944999999999</v>
      </c>
      <c r="AK45" s="58">
        <v>7.6161149999999997</v>
      </c>
      <c r="AL45" s="50">
        <v>5.9954960000000002</v>
      </c>
      <c r="AM45" s="48">
        <v>6.0241189999999998</v>
      </c>
      <c r="AO45" s="186" t="s">
        <v>1447</v>
      </c>
      <c r="AP45" s="188"/>
      <c r="AQ45" s="188"/>
      <c r="AR45" s="188"/>
      <c r="BX45" s="36">
        <v>3.7354080000000001</v>
      </c>
      <c r="BY45" s="36">
        <v>3.5325289999999998</v>
      </c>
      <c r="BZ45" s="36">
        <v>3.7785319999999998</v>
      </c>
      <c r="CA45" s="36">
        <v>3.7226689999999998</v>
      </c>
      <c r="CB45" s="36">
        <v>3.607138</v>
      </c>
      <c r="CC45" s="36"/>
      <c r="CD45" s="36">
        <v>3.6049980000000001</v>
      </c>
      <c r="CE45" s="36">
        <v>3.7798989999999999</v>
      </c>
      <c r="CF45" s="36">
        <v>3.6451099999999999</v>
      </c>
      <c r="CG45" s="36">
        <v>3.608924</v>
      </c>
      <c r="CH45" s="36">
        <v>3.858053</v>
      </c>
      <c r="CI45" s="36"/>
      <c r="CJ45" s="36">
        <v>3.8616009999999998</v>
      </c>
      <c r="CK45" s="36">
        <v>3.8308080000000002</v>
      </c>
      <c r="CL45" s="36">
        <v>3.7834289999999999</v>
      </c>
      <c r="CM45" s="36">
        <v>3.86178</v>
      </c>
      <c r="CN45" s="36">
        <v>3.7906369999999998</v>
      </c>
      <c r="CO45" s="36"/>
      <c r="CP45" s="36">
        <v>5.9744669999999998</v>
      </c>
      <c r="CQ45" s="36">
        <v>6.0800979999999996</v>
      </c>
      <c r="CR45" s="36">
        <v>6.0698290000000004</v>
      </c>
      <c r="CS45" s="36">
        <v>5.979158</v>
      </c>
      <c r="CT45" s="36">
        <v>5.9706149999999996</v>
      </c>
      <c r="CU45" s="36"/>
      <c r="CV45" s="36">
        <v>8.8211720000000007</v>
      </c>
      <c r="CW45" s="36">
        <v>9.9166500000000006</v>
      </c>
      <c r="CX45" s="36">
        <v>10.082520000000001</v>
      </c>
      <c r="CY45" s="36">
        <v>9.7577909999999992</v>
      </c>
      <c r="CZ45" s="36">
        <v>9.8056099999999997</v>
      </c>
      <c r="DA45" s="36"/>
      <c r="DB45" s="36">
        <v>13.778482</v>
      </c>
      <c r="DC45" s="36">
        <v>15.488709</v>
      </c>
      <c r="DD45" s="36">
        <v>15.380754</v>
      </c>
      <c r="DE45" s="36">
        <v>15.452556</v>
      </c>
      <c r="DF45" s="36">
        <v>15.526032000000001</v>
      </c>
    </row>
    <row r="46" spans="3:110" ht="24" x14ac:dyDescent="0.3">
      <c r="C46" s="11" t="s">
        <v>1447</v>
      </c>
      <c r="D46" s="38">
        <v>7489073</v>
      </c>
      <c r="E46" s="38">
        <v>224610814</v>
      </c>
      <c r="F46" s="38">
        <v>1053720</v>
      </c>
      <c r="G46" s="39">
        <v>148627058</v>
      </c>
      <c r="H46" s="41">
        <v>4.1408459999999998</v>
      </c>
      <c r="I46" s="52">
        <v>37.416477</v>
      </c>
      <c r="J46" s="41">
        <v>3.9712429999999999</v>
      </c>
      <c r="K46" s="42"/>
      <c r="L46" s="48">
        <v>5.235112</v>
      </c>
      <c r="M46" s="34"/>
      <c r="N46" s="34"/>
      <c r="Q46" s="36"/>
      <c r="R46" s="49">
        <v>3.0170669999999999</v>
      </c>
      <c r="S46" s="36">
        <v>3.0579550000000002</v>
      </c>
      <c r="T46" s="36">
        <v>6.9285709999999998</v>
      </c>
      <c r="U46" s="36">
        <v>4.584854</v>
      </c>
      <c r="V46" s="36">
        <v>4.2570389999999998</v>
      </c>
      <c r="W46" s="36">
        <v>6.844951</v>
      </c>
      <c r="X46" s="36"/>
      <c r="Y46" s="36"/>
      <c r="Z46" s="48">
        <v>3.7684950000000002</v>
      </c>
      <c r="AA46" s="48">
        <v>7.6267189999999996</v>
      </c>
      <c r="AB46" s="48">
        <v>4.3931060000000004</v>
      </c>
      <c r="AC46" s="50">
        <v>3.2580420000000001</v>
      </c>
      <c r="AD46" s="48">
        <v>4.584854</v>
      </c>
      <c r="AE46" s="48">
        <v>3.6788080000000001</v>
      </c>
      <c r="AF46" s="48"/>
      <c r="AG46" s="2"/>
      <c r="AH46" s="48">
        <v>15.879493</v>
      </c>
      <c r="AI46" s="48">
        <v>9.7810070000000007</v>
      </c>
      <c r="AJ46" s="48">
        <v>5.0213239999999999</v>
      </c>
      <c r="AK46" s="58">
        <v>4.8238430000000001</v>
      </c>
      <c r="AL46" s="50">
        <v>4.510281</v>
      </c>
      <c r="AM46" s="48">
        <v>4.7595859999999997</v>
      </c>
      <c r="AO46" s="186" t="s">
        <v>4</v>
      </c>
      <c r="AP46" s="188"/>
      <c r="AQ46" s="188"/>
      <c r="AR46" s="188"/>
      <c r="BX46" s="36">
        <v>2.9306580000000002</v>
      </c>
      <c r="BY46" s="36">
        <v>2.9987720000000002</v>
      </c>
      <c r="BZ46" s="36">
        <v>2.9170120000000002</v>
      </c>
      <c r="CA46" s="36">
        <v>3.0367489999999999</v>
      </c>
      <c r="CB46" s="36">
        <v>3.0170669999999999</v>
      </c>
      <c r="CC46" s="36"/>
      <c r="CD46" s="36">
        <v>3.0327440000000001</v>
      </c>
      <c r="CE46" s="36">
        <v>2.920191</v>
      </c>
      <c r="CF46" s="36">
        <v>3.0327510000000002</v>
      </c>
      <c r="CG46" s="36">
        <v>3.0014059999999998</v>
      </c>
      <c r="CH46" s="36">
        <v>3.0579550000000002</v>
      </c>
      <c r="CI46" s="36"/>
      <c r="CJ46" s="36">
        <v>10.599686</v>
      </c>
      <c r="CK46" s="36">
        <v>8.2808139999999995</v>
      </c>
      <c r="CL46" s="36">
        <v>7.3068169999999997</v>
      </c>
      <c r="CM46" s="36">
        <v>7.1531260000000003</v>
      </c>
      <c r="CN46" s="36">
        <v>6.9285709999999998</v>
      </c>
      <c r="CO46" s="36"/>
      <c r="CP46" s="36">
        <v>3.7684950000000002</v>
      </c>
      <c r="CQ46" s="36">
        <v>7.6267189999999996</v>
      </c>
      <c r="CR46" s="36">
        <v>4.3931060000000004</v>
      </c>
      <c r="CS46" s="36">
        <v>3.2580420000000001</v>
      </c>
      <c r="CT46" s="36">
        <v>4.584854</v>
      </c>
      <c r="CU46" s="36"/>
      <c r="CV46" s="36">
        <v>5.0455670000000001</v>
      </c>
      <c r="CW46" s="36">
        <v>4.5888949999999999</v>
      </c>
      <c r="CX46" s="36">
        <v>4.1427290000000001</v>
      </c>
      <c r="CY46" s="36">
        <v>4.3209070000000001</v>
      </c>
      <c r="CZ46" s="36">
        <v>4.2570389999999998</v>
      </c>
      <c r="DA46" s="36"/>
      <c r="DB46" s="36">
        <v>5.8222620000000003</v>
      </c>
      <c r="DC46" s="36">
        <v>6.092174</v>
      </c>
      <c r="DD46" s="36">
        <v>6.9263240000000001</v>
      </c>
      <c r="DE46" s="36">
        <v>6.7020970000000002</v>
      </c>
      <c r="DF46" s="36">
        <v>6.844951</v>
      </c>
    </row>
    <row r="47" spans="3:110" ht="24" x14ac:dyDescent="0.3">
      <c r="C47" s="11" t="s">
        <v>4</v>
      </c>
      <c r="D47" s="38">
        <v>1203995</v>
      </c>
      <c r="E47" s="38">
        <v>40033816</v>
      </c>
      <c r="F47" s="38">
        <v>81090</v>
      </c>
      <c r="G47" s="39">
        <v>148294115</v>
      </c>
      <c r="H47" s="41">
        <v>3.9173870000000002</v>
      </c>
      <c r="I47" s="52">
        <v>28.647296999999998</v>
      </c>
      <c r="J47" s="41">
        <v>3.7129669999999999</v>
      </c>
      <c r="K47" s="42"/>
      <c r="L47" s="48">
        <v>7.8326770000000003</v>
      </c>
      <c r="M47" s="34"/>
      <c r="N47" s="34"/>
      <c r="Q47" s="36"/>
      <c r="R47" s="49">
        <v>0.77029800000000004</v>
      </c>
      <c r="S47" s="36">
        <v>0.79803299999999999</v>
      </c>
      <c r="T47" s="36">
        <v>0.85334600000000005</v>
      </c>
      <c r="U47" s="36">
        <v>0.87457700000000005</v>
      </c>
      <c r="V47" s="36">
        <v>1.059347</v>
      </c>
      <c r="W47" s="36">
        <v>1.1732100000000001</v>
      </c>
      <c r="X47" s="36"/>
      <c r="Y47" s="36"/>
      <c r="Z47" s="48" t="s">
        <v>3937</v>
      </c>
      <c r="AA47" s="48">
        <v>0.882826</v>
      </c>
      <c r="AB47" s="50">
        <v>0.86643700000000001</v>
      </c>
      <c r="AC47" s="48">
        <v>0.887459</v>
      </c>
      <c r="AD47" s="48">
        <v>0.87457700000000005</v>
      </c>
      <c r="AE47" s="48">
        <v>7.3600519999999996</v>
      </c>
      <c r="AF47" s="48"/>
      <c r="AG47" s="2"/>
      <c r="AH47" s="48">
        <v>0.90565799999999996</v>
      </c>
      <c r="AI47" s="48">
        <v>0.89759800000000001</v>
      </c>
      <c r="AJ47" s="48">
        <v>0.88042100000000001</v>
      </c>
      <c r="AK47" s="57">
        <v>0.873803</v>
      </c>
      <c r="AL47" s="48">
        <v>0.88151900000000005</v>
      </c>
      <c r="AM47" s="48">
        <v>0.898675</v>
      </c>
      <c r="AO47" s="186" t="s">
        <v>1433</v>
      </c>
      <c r="AP47" s="188"/>
      <c r="AQ47" s="188"/>
      <c r="AR47" s="188"/>
      <c r="BX47" s="36" t="s">
        <v>3937</v>
      </c>
      <c r="BY47" s="36">
        <v>0.83311199999999996</v>
      </c>
      <c r="BZ47" s="36">
        <v>0.79214300000000004</v>
      </c>
      <c r="CA47" s="36">
        <v>0.78086100000000003</v>
      </c>
      <c r="CB47" s="36">
        <v>0.77029800000000004</v>
      </c>
      <c r="CC47" s="36"/>
      <c r="CD47" s="36" t="s">
        <v>3937</v>
      </c>
      <c r="CE47" s="36">
        <v>0.80342400000000003</v>
      </c>
      <c r="CF47" s="36">
        <v>0.80254800000000004</v>
      </c>
      <c r="CG47" s="36">
        <v>0.78586599999999995</v>
      </c>
      <c r="CH47" s="36">
        <v>0.79803299999999999</v>
      </c>
      <c r="CI47" s="36"/>
      <c r="CJ47" s="36" t="s">
        <v>3937</v>
      </c>
      <c r="CK47" s="36">
        <v>0.859205</v>
      </c>
      <c r="CL47" s="36">
        <v>0.84983500000000001</v>
      </c>
      <c r="CM47" s="36">
        <v>0.85432600000000003</v>
      </c>
      <c r="CN47" s="36">
        <v>0.85334600000000005</v>
      </c>
      <c r="CO47" s="36"/>
      <c r="CP47" s="36" t="s">
        <v>3937</v>
      </c>
      <c r="CQ47" s="36">
        <v>0.882826</v>
      </c>
      <c r="CR47" s="36">
        <v>0.86643700000000001</v>
      </c>
      <c r="CS47" s="36">
        <v>0.887459</v>
      </c>
      <c r="CT47" s="36">
        <v>0.87457700000000005</v>
      </c>
      <c r="CU47" s="36"/>
      <c r="CV47" s="36" t="s">
        <v>3937</v>
      </c>
      <c r="CW47" s="36">
        <v>0.89251499999999995</v>
      </c>
      <c r="CX47" s="36">
        <v>0.90613100000000002</v>
      </c>
      <c r="CY47" s="36">
        <v>1.049385</v>
      </c>
      <c r="CZ47" s="36">
        <v>1.059347</v>
      </c>
      <c r="DA47" s="36"/>
      <c r="DB47" s="36" t="s">
        <v>3937</v>
      </c>
      <c r="DC47" s="36">
        <v>0.97771799999999998</v>
      </c>
      <c r="DD47" s="36">
        <v>1.0077719999999999</v>
      </c>
      <c r="DE47" s="36">
        <v>1.1623920000000001</v>
      </c>
      <c r="DF47" s="36">
        <v>1.1732100000000001</v>
      </c>
    </row>
    <row r="48" spans="3:110" ht="24" x14ac:dyDescent="0.3">
      <c r="C48" s="11" t="s">
        <v>1461</v>
      </c>
      <c r="D48" s="38">
        <v>33777768</v>
      </c>
      <c r="E48" s="38">
        <v>274478882</v>
      </c>
      <c r="F48" s="38">
        <v>1057783</v>
      </c>
      <c r="G48" s="39">
        <v>152479402</v>
      </c>
      <c r="H48" s="41">
        <v>3.8363990000000001</v>
      </c>
      <c r="I48" s="52">
        <v>18.665141999999999</v>
      </c>
      <c r="J48" s="40">
        <v>4.2303030000000001</v>
      </c>
      <c r="K48" s="42"/>
      <c r="L48" s="48">
        <v>7.6161149999999997</v>
      </c>
      <c r="M48" s="34"/>
      <c r="N48" s="34"/>
      <c r="Q48" s="36"/>
      <c r="R48" s="49">
        <v>2.930409</v>
      </c>
      <c r="S48" s="36">
        <v>3.0040309999999999</v>
      </c>
      <c r="T48" s="36">
        <v>8.0475460000000005</v>
      </c>
      <c r="U48" s="36">
        <v>5.8204750000000001</v>
      </c>
      <c r="V48" s="36">
        <v>6.5761799999999999</v>
      </c>
      <c r="W48" s="36">
        <v>8.7387759999999997</v>
      </c>
      <c r="X48" s="36"/>
      <c r="Y48" s="36"/>
      <c r="Z48" s="48">
        <v>7.306724</v>
      </c>
      <c r="AA48" s="48">
        <v>5.6608270000000003</v>
      </c>
      <c r="AB48" s="48">
        <v>3.2373270000000001</v>
      </c>
      <c r="AC48" s="48">
        <v>5.1682810000000003</v>
      </c>
      <c r="AD48" s="48">
        <v>5.8204750000000001</v>
      </c>
      <c r="AE48" s="50">
        <v>3.1789939999999999</v>
      </c>
      <c r="AF48" s="48"/>
      <c r="AG48" s="2"/>
      <c r="AH48" s="48">
        <v>17.522859</v>
      </c>
      <c r="AI48" s="48">
        <v>13.057527</v>
      </c>
      <c r="AJ48" s="48">
        <v>6.6693540000000002</v>
      </c>
      <c r="AK48" s="58">
        <v>5.4122669999999999</v>
      </c>
      <c r="AL48" s="50">
        <v>3.4647009999999998</v>
      </c>
      <c r="AM48" s="48">
        <v>5.4864050000000004</v>
      </c>
      <c r="AO48" s="186" t="s">
        <v>1404</v>
      </c>
      <c r="AP48" s="188"/>
      <c r="AQ48" s="188"/>
      <c r="AR48" s="188"/>
      <c r="BX48" s="36">
        <v>2.951546</v>
      </c>
      <c r="BY48" s="36">
        <v>2.9293149999999999</v>
      </c>
      <c r="BZ48" s="36">
        <v>2.9361619999999999</v>
      </c>
      <c r="CA48" s="36">
        <v>2.9418929999999999</v>
      </c>
      <c r="CB48" s="36">
        <v>2.930409</v>
      </c>
      <c r="CC48" s="36"/>
      <c r="CD48" s="36">
        <v>2.9936099999999999</v>
      </c>
      <c r="CE48" s="36">
        <v>3.0149149999999998</v>
      </c>
      <c r="CF48" s="36">
        <v>2.96373</v>
      </c>
      <c r="CG48" s="36">
        <v>3.0334159999999999</v>
      </c>
      <c r="CH48" s="36">
        <v>3.0040309999999999</v>
      </c>
      <c r="CI48" s="36"/>
      <c r="CJ48" s="36">
        <v>4.0482040000000001</v>
      </c>
      <c r="CK48" s="36">
        <v>2.8697789999999999</v>
      </c>
      <c r="CL48" s="36">
        <v>8.3791539999999998</v>
      </c>
      <c r="CM48" s="36">
        <v>8.2543860000000002</v>
      </c>
      <c r="CN48" s="36">
        <v>8.0475460000000005</v>
      </c>
      <c r="CO48" s="36"/>
      <c r="CP48" s="36">
        <v>7.306724</v>
      </c>
      <c r="CQ48" s="36">
        <v>5.6608270000000003</v>
      </c>
      <c r="CR48" s="36">
        <v>3.2373270000000001</v>
      </c>
      <c r="CS48" s="36">
        <v>5.1682810000000003</v>
      </c>
      <c r="CT48" s="36">
        <v>5.8204750000000001</v>
      </c>
      <c r="CU48" s="36"/>
      <c r="CV48" s="36">
        <v>4.7772300000000003</v>
      </c>
      <c r="CW48" s="36">
        <v>5.6933259999999999</v>
      </c>
      <c r="CX48" s="36">
        <v>5.7666040000000001</v>
      </c>
      <c r="CY48" s="36">
        <v>5.4838149999999999</v>
      </c>
      <c r="CZ48" s="36">
        <v>6.5761799999999999</v>
      </c>
      <c r="DA48" s="36"/>
      <c r="DB48" s="36">
        <v>6.6224080000000001</v>
      </c>
      <c r="DC48" s="36">
        <v>7.9044160000000003</v>
      </c>
      <c r="DD48" s="36">
        <v>8.8208020000000005</v>
      </c>
      <c r="DE48" s="36">
        <v>8.7271640000000001</v>
      </c>
      <c r="DF48" s="36">
        <v>8.7387759999999997</v>
      </c>
    </row>
    <row r="49" spans="3:110" ht="24" x14ac:dyDescent="0.3">
      <c r="C49" s="11" t="s">
        <v>1433</v>
      </c>
      <c r="D49" s="38">
        <v>2646291</v>
      </c>
      <c r="E49" s="38">
        <v>42433496</v>
      </c>
      <c r="F49" s="38">
        <v>850681</v>
      </c>
      <c r="G49" s="39">
        <v>110149144</v>
      </c>
      <c r="H49" s="41">
        <v>3.8337750000000002</v>
      </c>
      <c r="I49" s="52">
        <v>15.348898999999999</v>
      </c>
      <c r="J49" s="40">
        <v>3.679964</v>
      </c>
      <c r="K49" s="42"/>
      <c r="L49" s="48">
        <v>4.8238430000000001</v>
      </c>
      <c r="M49" s="34"/>
      <c r="N49" s="34"/>
      <c r="Q49" s="36"/>
      <c r="R49" s="36">
        <v>1.751118</v>
      </c>
      <c r="S49" s="49">
        <v>1.6193029999999999</v>
      </c>
      <c r="T49" s="36">
        <v>11.312514999999999</v>
      </c>
      <c r="U49" s="36">
        <v>2.2555290000000001</v>
      </c>
      <c r="V49" s="36">
        <v>3.395019</v>
      </c>
      <c r="W49" s="36">
        <v>3.808462</v>
      </c>
      <c r="X49" s="36"/>
      <c r="Y49" s="36"/>
      <c r="Z49" s="48">
        <v>3.5533090000000001</v>
      </c>
      <c r="AA49" s="48">
        <v>2.248777</v>
      </c>
      <c r="AB49" s="48">
        <v>3.2036150000000001</v>
      </c>
      <c r="AC49" s="48">
        <v>6.0379810000000003</v>
      </c>
      <c r="AD49" s="48">
        <v>2.2555290000000001</v>
      </c>
      <c r="AE49" s="50">
        <v>1.767763</v>
      </c>
      <c r="AF49" s="48"/>
      <c r="AG49" s="2"/>
      <c r="AH49" s="48">
        <v>11.706106</v>
      </c>
      <c r="AI49" s="48">
        <v>8.6398089999999996</v>
      </c>
      <c r="AJ49" s="48">
        <v>2.9338440000000001</v>
      </c>
      <c r="AK49" s="58">
        <v>2.5116809999999998</v>
      </c>
      <c r="AL49" s="48">
        <v>8.3705219999999994</v>
      </c>
      <c r="AM49" s="50">
        <v>2.2846540000000002</v>
      </c>
      <c r="AO49" s="186" t="s">
        <v>1461</v>
      </c>
      <c r="AP49" s="188"/>
      <c r="AQ49" s="188"/>
      <c r="AR49" s="188"/>
      <c r="BX49" s="36">
        <v>1.74447</v>
      </c>
      <c r="BY49" s="36">
        <v>1.7503219999999999</v>
      </c>
      <c r="BZ49" s="36">
        <v>1.750356</v>
      </c>
      <c r="CA49" s="36">
        <v>1.752013</v>
      </c>
      <c r="CB49" s="36">
        <v>1.751118</v>
      </c>
      <c r="CC49" s="36"/>
      <c r="CD49" s="36">
        <v>4.4701519999999997</v>
      </c>
      <c r="CE49" s="36">
        <v>3.0756169999999998</v>
      </c>
      <c r="CF49" s="36">
        <v>1.8208580000000001</v>
      </c>
      <c r="CG49" s="36">
        <v>1.6432610000000001</v>
      </c>
      <c r="CH49" s="36">
        <v>1.6193029999999999</v>
      </c>
      <c r="CI49" s="36"/>
      <c r="CJ49" s="36">
        <v>3.2646579999999998</v>
      </c>
      <c r="CK49" s="36">
        <v>3.1403219999999998</v>
      </c>
      <c r="CL49" s="36">
        <v>2.6374550000000001</v>
      </c>
      <c r="CM49" s="36">
        <v>11.334956999999999</v>
      </c>
      <c r="CN49" s="36">
        <v>11.312514999999999</v>
      </c>
      <c r="CO49" s="36"/>
      <c r="CP49" s="36">
        <v>3.5533090000000001</v>
      </c>
      <c r="CQ49" s="36">
        <v>2.248777</v>
      </c>
      <c r="CR49" s="36">
        <v>3.2036150000000001</v>
      </c>
      <c r="CS49" s="36">
        <v>6.0379810000000003</v>
      </c>
      <c r="CT49" s="36">
        <v>2.2555290000000001</v>
      </c>
      <c r="CU49" s="36"/>
      <c r="CV49" s="36">
        <v>2.3034349999999999</v>
      </c>
      <c r="CW49" s="36">
        <v>3.1429749999999999</v>
      </c>
      <c r="CX49" s="36">
        <v>2.4839980000000002</v>
      </c>
      <c r="CY49" s="36">
        <v>3.3952589999999998</v>
      </c>
      <c r="CZ49" s="36">
        <v>3.395019</v>
      </c>
      <c r="DA49" s="36"/>
      <c r="DB49" s="36">
        <v>3.5814720000000002</v>
      </c>
      <c r="DC49" s="36">
        <v>3.2837740000000002</v>
      </c>
      <c r="DD49" s="36">
        <v>2.8389120000000001</v>
      </c>
      <c r="DE49" s="36">
        <v>11.443114</v>
      </c>
      <c r="DF49" s="36">
        <v>3.808462</v>
      </c>
    </row>
    <row r="50" spans="3:110" ht="24" x14ac:dyDescent="0.3">
      <c r="C50" s="11" t="s">
        <v>1404</v>
      </c>
      <c r="D50" s="38">
        <v>2939627</v>
      </c>
      <c r="E50" s="38">
        <v>20974994</v>
      </c>
      <c r="F50" s="38">
        <v>916719</v>
      </c>
      <c r="G50" s="39">
        <v>49558992</v>
      </c>
      <c r="H50" s="41">
        <v>3.7311160000000001</v>
      </c>
      <c r="I50" s="52">
        <v>5.7104470000000003</v>
      </c>
      <c r="J50" s="40">
        <v>3.2534559999999999</v>
      </c>
      <c r="K50" s="42"/>
      <c r="L50" s="48">
        <v>2.0374910000000002</v>
      </c>
      <c r="M50" s="34"/>
      <c r="N50" s="34"/>
      <c r="Q50" s="36"/>
      <c r="R50" s="36">
        <v>2.1273040000000001</v>
      </c>
      <c r="S50" s="49">
        <v>2.1008070000000001</v>
      </c>
      <c r="T50" s="36">
        <v>2.4339580000000001</v>
      </c>
      <c r="U50" s="36">
        <v>3.1790609999999999</v>
      </c>
      <c r="V50" s="36">
        <v>3.714137</v>
      </c>
      <c r="W50" s="36">
        <v>2.9309440000000002</v>
      </c>
      <c r="X50" s="36"/>
      <c r="Y50" s="36"/>
      <c r="Z50" s="50">
        <v>2.3914149999999998</v>
      </c>
      <c r="AA50" s="48">
        <v>3.7774890000000001</v>
      </c>
      <c r="AB50" s="48">
        <v>3.4358789999999999</v>
      </c>
      <c r="AC50" s="48">
        <v>3.2151559999999999</v>
      </c>
      <c r="AD50" s="48">
        <v>3.1790609999999999</v>
      </c>
      <c r="AE50" s="48">
        <v>2.4155519999999999</v>
      </c>
      <c r="AF50" s="48"/>
      <c r="AG50" s="2"/>
      <c r="AH50" s="48">
        <v>12.362553</v>
      </c>
      <c r="AI50" s="48">
        <v>11.737031999999999</v>
      </c>
      <c r="AJ50" s="48">
        <v>7.3457619999999997</v>
      </c>
      <c r="AK50" s="58">
        <v>4.758845</v>
      </c>
      <c r="AL50" s="48">
        <v>3.4009459999999998</v>
      </c>
      <c r="AM50" s="50">
        <v>3.0799949999999998</v>
      </c>
      <c r="AO50" s="186" t="s">
        <v>1448</v>
      </c>
      <c r="AP50" s="188"/>
      <c r="AQ50" s="188"/>
      <c r="AR50" s="188"/>
      <c r="BX50" s="36">
        <v>2.115103</v>
      </c>
      <c r="BY50" s="36">
        <v>2.1532279999999999</v>
      </c>
      <c r="BZ50" s="36">
        <v>2.1376569999999999</v>
      </c>
      <c r="CA50" s="36">
        <v>2.1622979999999998</v>
      </c>
      <c r="CB50" s="36">
        <v>2.1273040000000001</v>
      </c>
      <c r="CC50" s="36"/>
      <c r="CD50" s="36">
        <v>2.1199370000000002</v>
      </c>
      <c r="CE50" s="36">
        <v>2.1281140000000001</v>
      </c>
      <c r="CF50" s="36">
        <v>2.0701649999999998</v>
      </c>
      <c r="CG50" s="36">
        <v>2.0559129999999999</v>
      </c>
      <c r="CH50" s="36">
        <v>2.1008070000000001</v>
      </c>
      <c r="CI50" s="36"/>
      <c r="CJ50" s="36">
        <v>3.249609</v>
      </c>
      <c r="CK50" s="36">
        <v>2.7163400000000002</v>
      </c>
      <c r="CL50" s="36">
        <v>2.0406409999999999</v>
      </c>
      <c r="CM50" s="36">
        <v>2.5913379999999999</v>
      </c>
      <c r="CN50" s="36">
        <v>2.4339580000000001</v>
      </c>
      <c r="CO50" s="36"/>
      <c r="CP50" s="36">
        <v>2.3914149999999998</v>
      </c>
      <c r="CQ50" s="36">
        <v>3.7774890000000001</v>
      </c>
      <c r="CR50" s="36">
        <v>3.4358789999999999</v>
      </c>
      <c r="CS50" s="36">
        <v>3.2151559999999999</v>
      </c>
      <c r="CT50" s="36">
        <v>3.1790609999999999</v>
      </c>
      <c r="CU50" s="36"/>
      <c r="CV50" s="36">
        <v>2.8144010000000002</v>
      </c>
      <c r="CW50" s="36">
        <v>3.7040679999999999</v>
      </c>
      <c r="CX50" s="36">
        <v>3.0202499999999999</v>
      </c>
      <c r="CY50" s="36">
        <v>3.9764819999999999</v>
      </c>
      <c r="CZ50" s="36">
        <v>3.714137</v>
      </c>
      <c r="DA50" s="36"/>
      <c r="DB50" s="36">
        <v>3.5745019999999998</v>
      </c>
      <c r="DC50" s="36">
        <v>4.1689569999999998</v>
      </c>
      <c r="DD50" s="36">
        <v>4.0154399999999999</v>
      </c>
      <c r="DE50" s="36">
        <v>3.6162800000000002</v>
      </c>
      <c r="DF50" s="36">
        <v>2.9309440000000002</v>
      </c>
    </row>
    <row r="51" spans="3:110" ht="24" x14ac:dyDescent="0.3">
      <c r="C51" s="11" t="s">
        <v>1448</v>
      </c>
      <c r="D51" s="38">
        <v>5267977</v>
      </c>
      <c r="E51" s="38">
        <v>55363430</v>
      </c>
      <c r="F51" s="38">
        <v>590528</v>
      </c>
      <c r="G51" s="39">
        <v>99655585</v>
      </c>
      <c r="H51" s="41">
        <v>3.4353509999999998</v>
      </c>
      <c r="I51" s="52">
        <v>16.841013</v>
      </c>
      <c r="J51" s="40">
        <v>3.20539</v>
      </c>
      <c r="K51" s="42"/>
      <c r="L51" s="48">
        <v>5.4122669999999999</v>
      </c>
      <c r="M51" s="34"/>
      <c r="N51" s="34"/>
      <c r="Q51" s="36"/>
      <c r="R51" s="49">
        <v>1.619448</v>
      </c>
      <c r="S51" s="36">
        <v>1.747843</v>
      </c>
      <c r="T51" s="36">
        <v>1.8202449999999999</v>
      </c>
      <c r="U51" s="36">
        <v>2.9475910000000001</v>
      </c>
      <c r="V51" s="36">
        <v>6.1847139999999996</v>
      </c>
      <c r="W51" s="36">
        <v>11.213214000000001</v>
      </c>
      <c r="X51" s="36"/>
      <c r="Y51" s="36"/>
      <c r="Z51" s="48">
        <v>3.1606559999999999</v>
      </c>
      <c r="AA51" s="48">
        <v>2.9095740000000001</v>
      </c>
      <c r="AB51" s="48">
        <v>3.0565950000000002</v>
      </c>
      <c r="AC51" s="48">
        <v>2.8557570000000001</v>
      </c>
      <c r="AD51" s="48">
        <v>2.9475910000000001</v>
      </c>
      <c r="AE51" s="50">
        <v>2.251614</v>
      </c>
      <c r="AF51" s="48"/>
      <c r="AG51" s="2"/>
      <c r="AH51" s="48">
        <v>26.685497000000002</v>
      </c>
      <c r="AI51" s="48">
        <v>26.479755000000001</v>
      </c>
      <c r="AJ51" s="48">
        <v>12.449403999999999</v>
      </c>
      <c r="AK51" s="58">
        <v>7.0814329999999996</v>
      </c>
      <c r="AL51" s="50">
        <v>2.833161</v>
      </c>
      <c r="AM51" s="48">
        <v>2.9341309999999998</v>
      </c>
      <c r="AO51" s="186" t="s">
        <v>1425</v>
      </c>
      <c r="AP51" s="188"/>
      <c r="AQ51" s="188"/>
      <c r="AR51" s="188"/>
      <c r="BX51" s="36">
        <v>1.5495559999999999</v>
      </c>
      <c r="BY51" s="36">
        <v>1.6370450000000001</v>
      </c>
      <c r="BZ51" s="36">
        <v>1.591261</v>
      </c>
      <c r="CA51" s="36">
        <v>1.598849</v>
      </c>
      <c r="CB51" s="36">
        <v>1.619448</v>
      </c>
      <c r="CC51" s="36"/>
      <c r="CD51" s="36">
        <v>1.7451829999999999</v>
      </c>
      <c r="CE51" s="36">
        <v>1.671681</v>
      </c>
      <c r="CF51" s="36">
        <v>1.67086</v>
      </c>
      <c r="CG51" s="36">
        <v>1.7099599999999999</v>
      </c>
      <c r="CH51" s="36">
        <v>1.747843</v>
      </c>
      <c r="CI51" s="36"/>
      <c r="CJ51" s="36">
        <v>1.795774</v>
      </c>
      <c r="CK51" s="36">
        <v>1.8541559999999999</v>
      </c>
      <c r="CL51" s="36">
        <v>1.969317</v>
      </c>
      <c r="CM51" s="36">
        <v>1.8450120000000001</v>
      </c>
      <c r="CN51" s="36">
        <v>1.8202449999999999</v>
      </c>
      <c r="CO51" s="36"/>
      <c r="CP51" s="36">
        <v>3.1606559999999999</v>
      </c>
      <c r="CQ51" s="36">
        <v>2.9095740000000001</v>
      </c>
      <c r="CR51" s="36">
        <v>3.0565950000000002</v>
      </c>
      <c r="CS51" s="36">
        <v>2.8557570000000001</v>
      </c>
      <c r="CT51" s="36">
        <v>2.9475910000000001</v>
      </c>
      <c r="CU51" s="36"/>
      <c r="CV51" s="36">
        <v>5.8648999999999996</v>
      </c>
      <c r="CW51" s="36">
        <v>6.2357810000000002</v>
      </c>
      <c r="CX51" s="36">
        <v>6.1735819999999997</v>
      </c>
      <c r="CY51" s="36">
        <v>6.1737399999999996</v>
      </c>
      <c r="CZ51" s="36">
        <v>6.1847139999999996</v>
      </c>
      <c r="DA51" s="36"/>
      <c r="DB51" s="36">
        <v>11.053876000000001</v>
      </c>
      <c r="DC51" s="36">
        <v>11.429784</v>
      </c>
      <c r="DD51" s="36">
        <v>11.028624000000001</v>
      </c>
      <c r="DE51" s="36">
        <v>11.469122</v>
      </c>
      <c r="DF51" s="36">
        <v>11.213214000000001</v>
      </c>
    </row>
    <row r="52" spans="3:110" ht="24" x14ac:dyDescent="0.3">
      <c r="C52" s="9" t="s">
        <v>11</v>
      </c>
      <c r="D52" s="38">
        <v>2394385</v>
      </c>
      <c r="E52" s="38">
        <v>9319130</v>
      </c>
      <c r="F52" s="38">
        <v>100029</v>
      </c>
      <c r="G52" s="39">
        <v>86333306</v>
      </c>
      <c r="H52" s="41">
        <v>3.3782510000000001</v>
      </c>
      <c r="I52" s="52">
        <v>11.48353</v>
      </c>
      <c r="J52" s="40">
        <v>1.765601</v>
      </c>
      <c r="K52" s="42"/>
      <c r="L52" s="48">
        <v>2.5116809999999998</v>
      </c>
      <c r="M52" s="34"/>
      <c r="N52" s="34"/>
      <c r="Q52" s="36"/>
      <c r="R52" s="36">
        <v>0.93189500000000003</v>
      </c>
      <c r="S52" s="49">
        <v>0.89166000000000001</v>
      </c>
      <c r="T52" s="36">
        <v>0.91525900000000004</v>
      </c>
      <c r="U52" s="36">
        <v>0.98277800000000004</v>
      </c>
      <c r="V52" s="36">
        <v>1.002707</v>
      </c>
      <c r="W52" s="36">
        <v>1.0921890000000001</v>
      </c>
      <c r="X52" s="36"/>
      <c r="Y52" s="36"/>
      <c r="Z52" s="48">
        <v>1.0419860000000001</v>
      </c>
      <c r="AA52" s="48">
        <v>0.98246299999999998</v>
      </c>
      <c r="AB52" s="48">
        <v>0.96099800000000002</v>
      </c>
      <c r="AC52" s="50">
        <v>0.92219799999999996</v>
      </c>
      <c r="AD52" s="48">
        <v>0.98277800000000004</v>
      </c>
      <c r="AE52" s="48">
        <v>6.9733939999999999</v>
      </c>
      <c r="AF52" s="48"/>
      <c r="AG52" s="2"/>
      <c r="AH52" s="48">
        <v>0.95439200000000002</v>
      </c>
      <c r="AI52" s="48">
        <v>0.96843299999999999</v>
      </c>
      <c r="AJ52" s="48">
        <v>0.96120000000000005</v>
      </c>
      <c r="AK52" s="58">
        <v>0.93605400000000005</v>
      </c>
      <c r="AL52" s="50">
        <v>0.91859599999999997</v>
      </c>
      <c r="AM52" s="48">
        <v>0.99836000000000003</v>
      </c>
      <c r="AO52" s="186" t="s">
        <v>1409</v>
      </c>
      <c r="AP52" s="188"/>
      <c r="AQ52" s="188"/>
      <c r="AR52" s="188"/>
      <c r="BX52" s="36">
        <v>6.8523940000000003</v>
      </c>
      <c r="BY52" s="36">
        <v>6.8634180000000002</v>
      </c>
      <c r="BZ52" s="36">
        <v>0.93603999999999998</v>
      </c>
      <c r="CA52" s="36">
        <v>0.92358799999999996</v>
      </c>
      <c r="CB52" s="36">
        <v>0.93189500000000003</v>
      </c>
      <c r="CC52" s="36"/>
      <c r="CD52" s="36">
        <v>1.061167</v>
      </c>
      <c r="CE52" s="36">
        <v>0.93466099999999996</v>
      </c>
      <c r="CF52" s="36">
        <v>0.935226</v>
      </c>
      <c r="CG52" s="36">
        <v>0.92710899999999996</v>
      </c>
      <c r="CH52" s="36">
        <v>0.89166000000000001</v>
      </c>
      <c r="CI52" s="36"/>
      <c r="CJ52" s="36">
        <v>1.053326</v>
      </c>
      <c r="CK52" s="36">
        <v>0.94682900000000003</v>
      </c>
      <c r="CL52" s="36">
        <v>0.94718000000000002</v>
      </c>
      <c r="CM52" s="36">
        <v>0.96360400000000002</v>
      </c>
      <c r="CN52" s="36">
        <v>0.91525900000000004</v>
      </c>
      <c r="CO52" s="36"/>
      <c r="CP52" s="36">
        <v>1.0419860000000001</v>
      </c>
      <c r="CQ52" s="36">
        <v>0.98246299999999998</v>
      </c>
      <c r="CR52" s="36">
        <v>0.96099800000000002</v>
      </c>
      <c r="CS52" s="36">
        <v>0.92219799999999996</v>
      </c>
      <c r="CT52" s="36">
        <v>0.98277800000000004</v>
      </c>
      <c r="CU52" s="36"/>
      <c r="CV52" s="36">
        <v>1.1253649999999999</v>
      </c>
      <c r="CW52" s="36">
        <v>0.98560599999999998</v>
      </c>
      <c r="CX52" s="36">
        <v>0.98528099999999996</v>
      </c>
      <c r="CY52" s="36">
        <v>0.98565100000000005</v>
      </c>
      <c r="CZ52" s="36">
        <v>1.002707</v>
      </c>
      <c r="DA52" s="36"/>
      <c r="DB52" s="36">
        <v>1.1243510000000001</v>
      </c>
      <c r="DC52" s="36">
        <v>1.061574</v>
      </c>
      <c r="DD52" s="36">
        <v>1.0731109999999999</v>
      </c>
      <c r="DE52" s="36">
        <v>1.058745</v>
      </c>
      <c r="DF52" s="36">
        <v>1.0921890000000001</v>
      </c>
    </row>
    <row r="53" spans="3:110" ht="24" x14ac:dyDescent="0.3">
      <c r="C53" s="11" t="s">
        <v>1425</v>
      </c>
      <c r="D53" s="38">
        <v>5005932</v>
      </c>
      <c r="E53" s="38">
        <v>33083838</v>
      </c>
      <c r="F53" s="38">
        <v>1208022</v>
      </c>
      <c r="G53" s="39">
        <v>48080344</v>
      </c>
      <c r="H53" s="41">
        <v>3.2148729999999999</v>
      </c>
      <c r="I53" s="52">
        <v>5.9442469999999998</v>
      </c>
      <c r="J53" s="40">
        <v>2.9715720000000001</v>
      </c>
      <c r="K53" s="42"/>
      <c r="L53" s="48">
        <v>2.8253370000000002</v>
      </c>
      <c r="M53" s="34"/>
      <c r="N53" s="34"/>
      <c r="Q53" s="36"/>
      <c r="R53" s="49">
        <v>2.2864110000000002</v>
      </c>
      <c r="S53" s="36">
        <v>2.300843</v>
      </c>
      <c r="T53" s="36">
        <v>3.4209420000000001</v>
      </c>
      <c r="U53" s="36">
        <v>2.5260210000000001</v>
      </c>
      <c r="V53" s="36">
        <v>3.3987810000000001</v>
      </c>
      <c r="W53" s="36">
        <v>4.4973419999999997</v>
      </c>
      <c r="X53" s="36"/>
      <c r="Y53" s="36"/>
      <c r="Z53" s="48">
        <v>3.4300060000000001</v>
      </c>
      <c r="AA53" s="48">
        <v>2.937573</v>
      </c>
      <c r="AB53" s="48">
        <v>2.4742250000000001</v>
      </c>
      <c r="AC53" s="50">
        <v>2.4326989999999999</v>
      </c>
      <c r="AD53" s="48">
        <v>2.5260210000000001</v>
      </c>
      <c r="AE53" s="48">
        <v>2.9773869999999998</v>
      </c>
      <c r="AF53" s="48"/>
      <c r="AG53" s="2"/>
      <c r="AH53" s="48">
        <v>6.1249459999999996</v>
      </c>
      <c r="AI53" s="48">
        <v>6.3695349999999999</v>
      </c>
      <c r="AJ53" s="48">
        <v>3.8291759999999999</v>
      </c>
      <c r="AK53" s="58">
        <v>2.8253370000000002</v>
      </c>
      <c r="AL53" s="50">
        <v>2.625896</v>
      </c>
      <c r="AM53" s="48">
        <v>2.6965620000000001</v>
      </c>
      <c r="AO53" s="185" t="s">
        <v>1434</v>
      </c>
      <c r="AP53" s="188"/>
      <c r="AQ53" s="188"/>
      <c r="AR53" s="188"/>
      <c r="BX53" s="36">
        <v>2.4266920000000001</v>
      </c>
      <c r="BY53" s="36">
        <v>2.5760290000000001</v>
      </c>
      <c r="BZ53" s="36">
        <v>2.3674179999999998</v>
      </c>
      <c r="CA53" s="36">
        <v>2.3326769999999999</v>
      </c>
      <c r="CB53" s="36">
        <v>2.2864110000000002</v>
      </c>
      <c r="CC53" s="36"/>
      <c r="CD53" s="36">
        <v>4.3026499999999999</v>
      </c>
      <c r="CE53" s="36">
        <v>2.3382869999999998</v>
      </c>
      <c r="CF53" s="36">
        <v>2.3330259999999998</v>
      </c>
      <c r="CG53" s="36">
        <v>2.323696</v>
      </c>
      <c r="CH53" s="36">
        <v>2.300843</v>
      </c>
      <c r="CI53" s="36"/>
      <c r="CJ53" s="36">
        <v>4.7983479999999998</v>
      </c>
      <c r="CK53" s="36">
        <v>4.2467040000000003</v>
      </c>
      <c r="CL53" s="36">
        <v>3.4525090000000001</v>
      </c>
      <c r="CM53" s="36">
        <v>3.4273690000000001</v>
      </c>
      <c r="CN53" s="36">
        <v>3.4209420000000001</v>
      </c>
      <c r="CO53" s="36"/>
      <c r="CP53" s="36">
        <v>3.4300060000000001</v>
      </c>
      <c r="CQ53" s="36">
        <v>2.937573</v>
      </c>
      <c r="CR53" s="36">
        <v>2.4742250000000001</v>
      </c>
      <c r="CS53" s="36">
        <v>2.4326989999999999</v>
      </c>
      <c r="CT53" s="36">
        <v>2.5260210000000001</v>
      </c>
      <c r="CU53" s="36"/>
      <c r="CV53" s="36">
        <v>3.153505</v>
      </c>
      <c r="CW53" s="36">
        <v>3.222998</v>
      </c>
      <c r="CX53" s="36">
        <v>3.2132170000000002</v>
      </c>
      <c r="CY53" s="36">
        <v>3.2064360000000001</v>
      </c>
      <c r="CZ53" s="36">
        <v>3.3987810000000001</v>
      </c>
      <c r="DA53" s="36"/>
      <c r="DB53" s="36">
        <v>3.7830879999999998</v>
      </c>
      <c r="DC53" s="36">
        <v>4.5006069999999996</v>
      </c>
      <c r="DD53" s="36">
        <v>4.4450630000000002</v>
      </c>
      <c r="DE53" s="36">
        <v>4.4759510000000002</v>
      </c>
      <c r="DF53" s="36">
        <v>4.4973419999999997</v>
      </c>
    </row>
    <row r="54" spans="3:110" ht="24" x14ac:dyDescent="0.3">
      <c r="C54" s="9" t="s">
        <v>1434</v>
      </c>
      <c r="D54" s="38">
        <v>7825669</v>
      </c>
      <c r="E54" s="38">
        <v>124492028</v>
      </c>
      <c r="F54" s="38">
        <v>204282</v>
      </c>
      <c r="G54" s="39">
        <v>74995873</v>
      </c>
      <c r="H54" s="41">
        <v>2.4138410000000001</v>
      </c>
      <c r="I54" s="52">
        <v>11.794521</v>
      </c>
      <c r="J54" s="40">
        <v>2.4274909999999998</v>
      </c>
      <c r="K54" s="42"/>
      <c r="L54" s="48">
        <v>4.758845</v>
      </c>
      <c r="M54" s="34"/>
      <c r="N54" s="34"/>
      <c r="Q54" s="36"/>
      <c r="R54" s="36">
        <v>2.564349</v>
      </c>
      <c r="S54" s="36">
        <v>2.5623800000000001</v>
      </c>
      <c r="T54" s="49">
        <v>0.88851800000000003</v>
      </c>
      <c r="U54" s="36">
        <v>0.918906</v>
      </c>
      <c r="V54" s="36">
        <v>1.1537630000000001</v>
      </c>
      <c r="W54" s="36">
        <v>1.967543</v>
      </c>
      <c r="X54" s="36"/>
      <c r="Y54" s="36"/>
      <c r="Z54" s="48">
        <v>0.86548899999999995</v>
      </c>
      <c r="AA54" s="50">
        <v>0.80623199999999995</v>
      </c>
      <c r="AB54" s="48">
        <v>0.82989299999999999</v>
      </c>
      <c r="AC54" s="48">
        <v>0.96807799999999999</v>
      </c>
      <c r="AD54" s="48">
        <v>0.918906</v>
      </c>
      <c r="AE54" s="48">
        <v>2.5749040000000001</v>
      </c>
      <c r="AF54" s="48"/>
      <c r="AG54" s="2"/>
      <c r="AH54" s="48">
        <v>0.90495599999999998</v>
      </c>
      <c r="AI54" s="48">
        <v>0.91064500000000004</v>
      </c>
      <c r="AJ54" s="48">
        <v>0.90869</v>
      </c>
      <c r="AK54" s="57">
        <v>0.85847099999999998</v>
      </c>
      <c r="AL54" s="48">
        <v>0.912605</v>
      </c>
      <c r="AM54" s="48">
        <v>0.89289700000000005</v>
      </c>
      <c r="AO54" s="186" t="s">
        <v>1411</v>
      </c>
      <c r="AP54" s="188"/>
      <c r="AQ54" s="188"/>
      <c r="AR54" s="188"/>
      <c r="BX54" s="36">
        <v>2.5546069999999999</v>
      </c>
      <c r="BY54" s="36">
        <v>2.5745209999999998</v>
      </c>
      <c r="BZ54" s="36">
        <v>2.5565250000000002</v>
      </c>
      <c r="CA54" s="36">
        <v>2.5596770000000002</v>
      </c>
      <c r="CB54" s="36">
        <v>2.564349</v>
      </c>
      <c r="CC54" s="36"/>
      <c r="CD54" s="36">
        <v>2.552133</v>
      </c>
      <c r="CE54" s="36">
        <v>2.5613929999999998</v>
      </c>
      <c r="CF54" s="36">
        <v>2.5697480000000001</v>
      </c>
      <c r="CG54" s="36">
        <v>2.5353789999999998</v>
      </c>
      <c r="CH54" s="36">
        <v>2.5623800000000001</v>
      </c>
      <c r="CI54" s="36"/>
      <c r="CJ54" s="36">
        <v>0.75003299999999995</v>
      </c>
      <c r="CK54" s="36">
        <v>0.67713699999999999</v>
      </c>
      <c r="CL54" s="36">
        <v>0.67138900000000001</v>
      </c>
      <c r="CM54" s="36">
        <v>0.79172200000000004</v>
      </c>
      <c r="CN54" s="36">
        <v>0.88851800000000003</v>
      </c>
      <c r="CO54" s="36"/>
      <c r="CP54" s="36">
        <v>0.86548899999999995</v>
      </c>
      <c r="CQ54" s="36">
        <v>0.80623199999999995</v>
      </c>
      <c r="CR54" s="36">
        <v>0.82989299999999999</v>
      </c>
      <c r="CS54" s="36">
        <v>0.96807799999999999</v>
      </c>
      <c r="CT54" s="36">
        <v>0.918906</v>
      </c>
      <c r="CU54" s="36"/>
      <c r="CV54" s="36">
        <v>0.94891700000000001</v>
      </c>
      <c r="CW54" s="36">
        <v>0.89061100000000004</v>
      </c>
      <c r="CX54" s="36">
        <v>0.878996</v>
      </c>
      <c r="CY54" s="36">
        <v>0.99427900000000002</v>
      </c>
      <c r="CZ54" s="36">
        <v>1.1537630000000001</v>
      </c>
      <c r="DA54" s="36"/>
      <c r="DB54" s="36">
        <v>1.1643539999999999</v>
      </c>
      <c r="DC54" s="36">
        <v>1.2703439999999999</v>
      </c>
      <c r="DD54" s="36">
        <v>1.287903</v>
      </c>
      <c r="DE54" s="36">
        <v>1.5602199999999999</v>
      </c>
      <c r="DF54" s="36">
        <v>1.967543</v>
      </c>
    </row>
    <row r="55" spans="3:110" ht="24" x14ac:dyDescent="0.3">
      <c r="C55" s="22" t="s">
        <v>3920</v>
      </c>
      <c r="D55" s="38">
        <v>1632803</v>
      </c>
      <c r="E55" s="38">
        <v>44603928</v>
      </c>
      <c r="F55" s="38">
        <v>14854</v>
      </c>
      <c r="G55" s="39">
        <v>19376873</v>
      </c>
      <c r="H55" s="41">
        <v>2.154563</v>
      </c>
      <c r="I55" s="52">
        <v>2.2659929999999999</v>
      </c>
      <c r="J55" s="40">
        <v>0.34845199999999998</v>
      </c>
      <c r="K55" s="42"/>
      <c r="L55" s="48">
        <v>0.96733800000000003</v>
      </c>
      <c r="M55" s="34"/>
      <c r="N55" s="34"/>
      <c r="Q55" s="36"/>
      <c r="R55" s="36">
        <v>3.1850529999999999</v>
      </c>
      <c r="S55" s="36">
        <v>3.1772360000000002</v>
      </c>
      <c r="T55" s="36">
        <v>4.2090759999999996</v>
      </c>
      <c r="U55" s="49">
        <v>1.4357489999999999</v>
      </c>
      <c r="V55" s="36">
        <v>3.820751</v>
      </c>
      <c r="W55" s="36">
        <v>3.5623179999999999</v>
      </c>
      <c r="X55" s="36"/>
      <c r="Y55" s="36"/>
      <c r="Z55" s="48">
        <v>2.837418</v>
      </c>
      <c r="AA55" s="48">
        <v>2.888144</v>
      </c>
      <c r="AB55" s="48">
        <v>1.4432940000000001</v>
      </c>
      <c r="AC55" s="48">
        <v>1.544789</v>
      </c>
      <c r="AD55" s="50">
        <v>1.4357489999999999</v>
      </c>
      <c r="AE55" s="48">
        <v>3.230728</v>
      </c>
      <c r="AF55" s="48"/>
      <c r="AG55" s="2"/>
      <c r="AH55" s="48">
        <v>5.9929649999999999</v>
      </c>
      <c r="AI55" s="48">
        <v>5.9242460000000001</v>
      </c>
      <c r="AJ55" s="48">
        <v>2.842937</v>
      </c>
      <c r="AK55" s="58">
        <v>2.0374910000000002</v>
      </c>
      <c r="AL55" s="48">
        <v>1.607669</v>
      </c>
      <c r="AM55" s="50">
        <v>1.421513</v>
      </c>
      <c r="AO55" s="185" t="s">
        <v>11</v>
      </c>
      <c r="AP55" s="188"/>
      <c r="AQ55" s="188"/>
      <c r="AR55" s="188"/>
      <c r="BX55" s="36">
        <v>3.1938710000000001</v>
      </c>
      <c r="BY55" s="36">
        <v>3.2130010000000002</v>
      </c>
      <c r="BZ55" s="36">
        <v>3.21957</v>
      </c>
      <c r="CA55" s="36">
        <v>3.1873209999999998</v>
      </c>
      <c r="CB55" s="36">
        <v>3.1850529999999999</v>
      </c>
      <c r="CC55" s="36"/>
      <c r="CD55" s="36">
        <v>3.170703</v>
      </c>
      <c r="CE55" s="36">
        <v>3.1659769999999998</v>
      </c>
      <c r="CF55" s="36">
        <v>3.1811259999999999</v>
      </c>
      <c r="CG55" s="36">
        <v>3.1870440000000002</v>
      </c>
      <c r="CH55" s="36">
        <v>3.1772360000000002</v>
      </c>
      <c r="CI55" s="36"/>
      <c r="CJ55" s="36">
        <v>7.1733859999999998</v>
      </c>
      <c r="CK55" s="36">
        <v>5.1140639999999999</v>
      </c>
      <c r="CL55" s="36">
        <v>4.3971299999999998</v>
      </c>
      <c r="CM55" s="36">
        <v>4.3003539999999996</v>
      </c>
      <c r="CN55" s="36">
        <v>4.2090759999999996</v>
      </c>
      <c r="CO55" s="36"/>
      <c r="CP55" s="36">
        <v>2.837418</v>
      </c>
      <c r="CQ55" s="36">
        <v>2.888144</v>
      </c>
      <c r="CR55" s="36">
        <v>1.4432940000000001</v>
      </c>
      <c r="CS55" s="36">
        <v>1.544789</v>
      </c>
      <c r="CT55" s="36">
        <v>1.4357489999999999</v>
      </c>
      <c r="CU55" s="36"/>
      <c r="CV55" s="36">
        <v>1.9159349999999999</v>
      </c>
      <c r="CW55" s="36">
        <v>1.91561</v>
      </c>
      <c r="CX55" s="36">
        <v>3.7106509999999999</v>
      </c>
      <c r="CY55" s="36">
        <v>4.1596229999999998</v>
      </c>
      <c r="CZ55" s="36">
        <v>3.820751</v>
      </c>
      <c r="DA55" s="36"/>
      <c r="DB55" s="36">
        <v>2.4164140000000001</v>
      </c>
      <c r="DC55" s="36">
        <v>2.25705</v>
      </c>
      <c r="DD55" s="36">
        <v>2.7864300000000002</v>
      </c>
      <c r="DE55" s="36">
        <v>3.0255130000000001</v>
      </c>
      <c r="DF55" s="36">
        <v>3.5623179999999999</v>
      </c>
    </row>
    <row r="56" spans="3:110" ht="24" x14ac:dyDescent="0.3">
      <c r="C56" s="11" t="s">
        <v>1411</v>
      </c>
      <c r="D56" s="38">
        <v>3496954</v>
      </c>
      <c r="E56" s="38">
        <v>27305086</v>
      </c>
      <c r="F56" s="38">
        <v>2187803</v>
      </c>
      <c r="G56" s="39">
        <v>12230903</v>
      </c>
      <c r="H56" s="41">
        <v>1.9853620000000001</v>
      </c>
      <c r="I56" s="52">
        <v>0.65300999999999998</v>
      </c>
      <c r="J56" s="40">
        <v>1.808211</v>
      </c>
      <c r="K56" s="42"/>
      <c r="L56" s="48">
        <v>0.72130399999999995</v>
      </c>
      <c r="M56" s="34"/>
      <c r="N56" s="34"/>
      <c r="Q56" s="36"/>
      <c r="R56" s="36">
        <v>1.1497919999999999</v>
      </c>
      <c r="S56" s="49">
        <v>1.1062050000000001</v>
      </c>
      <c r="T56" s="36">
        <v>3.5289079999999999</v>
      </c>
      <c r="U56" s="36">
        <v>4.177575</v>
      </c>
      <c r="V56" s="36">
        <v>4.6153170000000001</v>
      </c>
      <c r="W56" s="36">
        <v>4.8095809999999997</v>
      </c>
      <c r="X56" s="36"/>
      <c r="Y56" s="36"/>
      <c r="Z56" s="48">
        <v>6.7908150000000003</v>
      </c>
      <c r="AA56" s="48">
        <v>5.3423400000000001</v>
      </c>
      <c r="AB56" s="48">
        <v>4.5182729999999998</v>
      </c>
      <c r="AC56" s="48">
        <v>4.175325</v>
      </c>
      <c r="AD56" s="48">
        <v>4.177575</v>
      </c>
      <c r="AE56" s="50">
        <v>1.445926</v>
      </c>
      <c r="AF56" s="48"/>
      <c r="AG56" s="2"/>
      <c r="AH56" s="48">
        <v>6.9071680000000004</v>
      </c>
      <c r="AI56" s="48">
        <v>6.6971160000000003</v>
      </c>
      <c r="AJ56" s="48">
        <v>4.2195349999999996</v>
      </c>
      <c r="AK56" s="58">
        <v>4.0897119999999996</v>
      </c>
      <c r="AL56" s="50">
        <v>4.0474309999999996</v>
      </c>
      <c r="AM56" s="48">
        <v>4.1016180000000002</v>
      </c>
      <c r="AO56" s="186" t="s">
        <v>1408</v>
      </c>
      <c r="AP56" s="188"/>
      <c r="AQ56" s="188"/>
      <c r="AR56" s="188"/>
      <c r="BX56" s="36">
        <v>1.29495</v>
      </c>
      <c r="BY56" s="36">
        <v>1.161545</v>
      </c>
      <c r="BZ56" s="36">
        <v>1.132217</v>
      </c>
      <c r="CA56" s="36">
        <v>1.191343</v>
      </c>
      <c r="CB56" s="36">
        <v>1.1497919999999999</v>
      </c>
      <c r="CC56" s="36"/>
      <c r="CD56" s="36">
        <v>1.202593</v>
      </c>
      <c r="CE56" s="36">
        <v>1.186158</v>
      </c>
      <c r="CF56" s="36">
        <v>1.205573</v>
      </c>
      <c r="CG56" s="36">
        <v>2.0251640000000002</v>
      </c>
      <c r="CH56" s="36">
        <v>1.1062050000000001</v>
      </c>
      <c r="CI56" s="36"/>
      <c r="CJ56" s="36">
        <v>6.3625699999999998</v>
      </c>
      <c r="CK56" s="36">
        <v>5.1787619999999999</v>
      </c>
      <c r="CL56" s="36">
        <v>4.0956979999999996</v>
      </c>
      <c r="CM56" s="36">
        <v>3.85283</v>
      </c>
      <c r="CN56" s="36">
        <v>3.5289079999999999</v>
      </c>
      <c r="CO56" s="36"/>
      <c r="CP56" s="36">
        <v>6.7908150000000003</v>
      </c>
      <c r="CQ56" s="36">
        <v>5.3423400000000001</v>
      </c>
      <c r="CR56" s="36">
        <v>4.5182729999999998</v>
      </c>
      <c r="CS56" s="36">
        <v>4.175325</v>
      </c>
      <c r="CT56" s="36">
        <v>4.177575</v>
      </c>
      <c r="CU56" s="36"/>
      <c r="CV56" s="36">
        <v>1.874269</v>
      </c>
      <c r="CW56" s="36">
        <v>2.112247</v>
      </c>
      <c r="CX56" s="36">
        <v>3.0647069999999998</v>
      </c>
      <c r="CY56" s="36">
        <v>4.7779670000000003</v>
      </c>
      <c r="CZ56" s="36">
        <v>4.6153170000000001</v>
      </c>
      <c r="DA56" s="36"/>
      <c r="DB56" s="36">
        <v>3.240443</v>
      </c>
      <c r="DC56" s="36">
        <v>5.3019689999999997</v>
      </c>
      <c r="DD56" s="36">
        <v>1.993884</v>
      </c>
      <c r="DE56" s="36">
        <v>4.8929710000000002</v>
      </c>
      <c r="DF56" s="36">
        <v>4.8095809999999997</v>
      </c>
    </row>
    <row r="57" spans="3:110" ht="24" x14ac:dyDescent="0.3">
      <c r="C57" s="11" t="s">
        <v>1462</v>
      </c>
      <c r="D57" s="38">
        <v>33778221</v>
      </c>
      <c r="E57" s="38">
        <v>203595714</v>
      </c>
      <c r="F57" s="38">
        <v>29319</v>
      </c>
      <c r="G57" s="39">
        <v>103359042</v>
      </c>
      <c r="H57" s="41">
        <v>1.6937089999999999</v>
      </c>
      <c r="I57" s="52">
        <v>25.699197000000002</v>
      </c>
      <c r="J57" s="40">
        <v>2.310222</v>
      </c>
      <c r="K57" s="42"/>
      <c r="L57" s="48">
        <v>7.0814329999999996</v>
      </c>
      <c r="M57" s="34"/>
      <c r="N57" s="34"/>
      <c r="Q57" s="36"/>
      <c r="R57" s="49">
        <v>1.0675589999999999</v>
      </c>
      <c r="S57" s="36">
        <v>3.6673930000000001</v>
      </c>
      <c r="T57" s="36">
        <v>6.0054169999999996</v>
      </c>
      <c r="U57" s="36">
        <v>6.2377589999999996</v>
      </c>
      <c r="V57" s="36">
        <v>6.1438750000000004</v>
      </c>
      <c r="W57" s="36">
        <v>6.3024579999999997</v>
      </c>
      <c r="X57" s="36"/>
      <c r="Y57" s="36"/>
      <c r="Z57" s="48">
        <v>1.2674479999999999</v>
      </c>
      <c r="AA57" s="48">
        <v>1.371791</v>
      </c>
      <c r="AB57" s="48">
        <v>1.548705</v>
      </c>
      <c r="AC57" s="48">
        <v>6.4103060000000003</v>
      </c>
      <c r="AD57" s="48">
        <v>6.2377589999999996</v>
      </c>
      <c r="AE57" s="50">
        <v>1.0740229999999999</v>
      </c>
      <c r="AF57" s="48"/>
      <c r="AG57" s="2"/>
      <c r="AH57" s="48">
        <v>7.2429079999999999</v>
      </c>
      <c r="AI57" s="48">
        <v>6.2302080000000002</v>
      </c>
      <c r="AJ57" s="48">
        <v>3.0055230000000002</v>
      </c>
      <c r="AK57" s="57">
        <v>2.076346</v>
      </c>
      <c r="AL57" s="48">
        <v>4.9131790000000004</v>
      </c>
      <c r="AM57" s="48">
        <v>5.9550010000000002</v>
      </c>
      <c r="AO57" s="185" t="s">
        <v>3912</v>
      </c>
      <c r="AP57" s="188"/>
      <c r="AQ57" s="188"/>
      <c r="AR57" s="188"/>
      <c r="BX57" s="36">
        <v>1.0626359999999999</v>
      </c>
      <c r="BY57" s="36">
        <v>1.0677840000000001</v>
      </c>
      <c r="BZ57" s="36">
        <v>1.067976</v>
      </c>
      <c r="CA57" s="36">
        <v>1.0697159999999999</v>
      </c>
      <c r="CB57" s="36">
        <v>1.0675589999999999</v>
      </c>
      <c r="CC57" s="36"/>
      <c r="CD57" s="36">
        <v>11.724705999999999</v>
      </c>
      <c r="CE57" s="36">
        <v>5.4817739999999997</v>
      </c>
      <c r="CF57" s="36">
        <v>4.3380520000000002</v>
      </c>
      <c r="CG57" s="36">
        <v>3.853062</v>
      </c>
      <c r="CH57" s="36">
        <v>3.6673930000000001</v>
      </c>
      <c r="CI57" s="36"/>
      <c r="CJ57" s="36">
        <v>1.4853270000000001</v>
      </c>
      <c r="CK57" s="36">
        <v>7.2237130000000001</v>
      </c>
      <c r="CL57" s="36">
        <v>6.1452989999999996</v>
      </c>
      <c r="CM57" s="36">
        <v>5.9458880000000001</v>
      </c>
      <c r="CN57" s="36">
        <v>6.0054169999999996</v>
      </c>
      <c r="CO57" s="36"/>
      <c r="CP57" s="36">
        <v>1.2674479999999999</v>
      </c>
      <c r="CQ57" s="36">
        <v>1.371791</v>
      </c>
      <c r="CR57" s="36">
        <v>1.548705</v>
      </c>
      <c r="CS57" s="36">
        <v>6.4103060000000003</v>
      </c>
      <c r="CT57" s="36">
        <v>6.2377589999999996</v>
      </c>
      <c r="CU57" s="36"/>
      <c r="CV57" s="36">
        <v>1.7798179999999999</v>
      </c>
      <c r="CW57" s="36">
        <v>3.7453910000000001</v>
      </c>
      <c r="CX57" s="36">
        <v>3.236129</v>
      </c>
      <c r="CY57" s="36">
        <v>6.3037599999999996</v>
      </c>
      <c r="CZ57" s="36">
        <v>6.1438750000000004</v>
      </c>
      <c r="DA57" s="36"/>
      <c r="DB57" s="36">
        <v>2.5705429999999998</v>
      </c>
      <c r="DC57" s="36">
        <v>1.9845489999999999</v>
      </c>
      <c r="DD57" s="36">
        <v>3.8040370000000001</v>
      </c>
      <c r="DE57" s="36">
        <v>6.3596250000000003</v>
      </c>
      <c r="DF57" s="36">
        <v>6.3024579999999997</v>
      </c>
    </row>
    <row r="58" spans="3:110" ht="21" customHeight="1" x14ac:dyDescent="0.3">
      <c r="C58" s="11" t="s">
        <v>1408</v>
      </c>
      <c r="D58" s="38">
        <v>4063587</v>
      </c>
      <c r="E58" s="38">
        <v>17652554</v>
      </c>
      <c r="F58" s="38">
        <v>4059644</v>
      </c>
      <c r="G58" s="39">
        <v>8823479</v>
      </c>
      <c r="H58" s="41">
        <v>1.682345</v>
      </c>
      <c r="I58" s="52">
        <v>0.16831399999999999</v>
      </c>
      <c r="J58" s="40">
        <v>1.5356030000000001</v>
      </c>
      <c r="K58" s="42"/>
      <c r="L58" s="48">
        <v>0.108086</v>
      </c>
      <c r="M58" s="34"/>
      <c r="N58" s="34"/>
      <c r="Q58" s="36"/>
      <c r="R58" s="36">
        <v>0.49072199999999999</v>
      </c>
      <c r="S58" s="49">
        <v>0.38749099999999997</v>
      </c>
      <c r="T58" s="36">
        <v>0.49818699999999999</v>
      </c>
      <c r="U58" s="36">
        <v>0.71754899999999999</v>
      </c>
      <c r="V58" s="36">
        <v>1.0684100000000001</v>
      </c>
      <c r="W58" s="36">
        <v>1.632644</v>
      </c>
      <c r="X58" s="36"/>
      <c r="Y58" s="36"/>
      <c r="Z58" s="48">
        <v>0.71407900000000002</v>
      </c>
      <c r="AA58" s="48">
        <v>0.62813099999999999</v>
      </c>
      <c r="AB58" s="50">
        <v>0.61056699999999997</v>
      </c>
      <c r="AC58" s="48">
        <v>0.73452200000000001</v>
      </c>
      <c r="AD58" s="48">
        <v>0.71754899999999999</v>
      </c>
      <c r="AE58" s="48">
        <v>1.8323670000000001</v>
      </c>
      <c r="AF58" s="48"/>
      <c r="AG58" s="2"/>
      <c r="AH58" s="48">
        <v>0.74632600000000004</v>
      </c>
      <c r="AI58" s="48">
        <v>0.84335300000000002</v>
      </c>
      <c r="AJ58" s="48">
        <v>0.64007000000000003</v>
      </c>
      <c r="AK58" s="58">
        <v>0.72130399999999995</v>
      </c>
      <c r="AL58" s="50">
        <v>0.63005900000000004</v>
      </c>
      <c r="AM58" s="48">
        <v>0.65108900000000003</v>
      </c>
      <c r="AO58" s="186" t="s">
        <v>1462</v>
      </c>
      <c r="AP58" s="188"/>
      <c r="AQ58" s="188"/>
      <c r="AR58" s="188"/>
      <c r="BX58" s="36">
        <v>0.488562</v>
      </c>
      <c r="BY58" s="36">
        <v>0.48013499999999998</v>
      </c>
      <c r="BZ58" s="36">
        <v>0.48517399999999999</v>
      </c>
      <c r="CA58" s="36">
        <v>0.48393000000000003</v>
      </c>
      <c r="CB58" s="36">
        <v>0.49072199999999999</v>
      </c>
      <c r="CC58" s="36"/>
      <c r="CD58" s="36">
        <v>0.48646800000000001</v>
      </c>
      <c r="CE58" s="36">
        <v>0.486126</v>
      </c>
      <c r="CF58" s="36">
        <v>0.50965499999999997</v>
      </c>
      <c r="CG58" s="36">
        <v>0.50065700000000002</v>
      </c>
      <c r="CH58" s="36">
        <v>0.38749099999999997</v>
      </c>
      <c r="CI58" s="36"/>
      <c r="CJ58" s="36">
        <v>0.49114799999999997</v>
      </c>
      <c r="CK58" s="36">
        <v>0.47695900000000002</v>
      </c>
      <c r="CL58" s="36">
        <v>0.47111799999999998</v>
      </c>
      <c r="CM58" s="36">
        <v>0.57171899999999998</v>
      </c>
      <c r="CN58" s="36">
        <v>0.49818699999999999</v>
      </c>
      <c r="CO58" s="36"/>
      <c r="CP58" s="36">
        <v>0.71407900000000002</v>
      </c>
      <c r="CQ58" s="36">
        <v>0.62813099999999999</v>
      </c>
      <c r="CR58" s="36">
        <v>0.61056699999999997</v>
      </c>
      <c r="CS58" s="36">
        <v>0.73452200000000001</v>
      </c>
      <c r="CT58" s="36">
        <v>0.71754899999999999</v>
      </c>
      <c r="CU58" s="36"/>
      <c r="CV58" s="36">
        <v>0.80317499999999997</v>
      </c>
      <c r="CW58" s="36">
        <v>0.80876099999999995</v>
      </c>
      <c r="CX58" s="36">
        <v>0.79488300000000001</v>
      </c>
      <c r="CY58" s="36">
        <v>0.83977500000000005</v>
      </c>
      <c r="CZ58" s="36">
        <v>1.0684100000000001</v>
      </c>
      <c r="DA58" s="36"/>
      <c r="DB58" s="36">
        <v>1.077402</v>
      </c>
      <c r="DC58" s="36">
        <v>1.062486</v>
      </c>
      <c r="DD58" s="36">
        <v>0.98905399999999999</v>
      </c>
      <c r="DE58" s="36">
        <v>1.277741</v>
      </c>
      <c r="DF58" s="36">
        <v>1.632644</v>
      </c>
    </row>
    <row r="59" spans="3:110" ht="24" x14ac:dyDescent="0.3">
      <c r="C59" s="22" t="s">
        <v>3912</v>
      </c>
      <c r="D59" s="38">
        <v>4033138</v>
      </c>
      <c r="E59" s="38">
        <v>55866126</v>
      </c>
      <c r="F59" s="38">
        <v>2651</v>
      </c>
      <c r="G59" s="39">
        <v>38413666</v>
      </c>
      <c r="H59" s="41">
        <v>1.571016</v>
      </c>
      <c r="I59" s="52">
        <v>6.711659</v>
      </c>
      <c r="J59" s="40">
        <v>1.4397960000000001</v>
      </c>
      <c r="K59" s="42"/>
      <c r="L59" s="48">
        <v>4.0897119999999996</v>
      </c>
      <c r="M59" s="34"/>
      <c r="N59" s="34"/>
      <c r="Q59" s="36"/>
      <c r="R59" s="49">
        <v>0.73124500000000003</v>
      </c>
      <c r="S59" s="36">
        <v>0.74217500000000003</v>
      </c>
      <c r="T59" s="36">
        <v>0.82330899999999996</v>
      </c>
      <c r="U59" s="36">
        <v>1.107861</v>
      </c>
      <c r="V59" s="36">
        <v>1.6855180000000001</v>
      </c>
      <c r="W59" s="36">
        <v>2.8502160000000001</v>
      </c>
      <c r="X59" s="36"/>
      <c r="Y59" s="36"/>
      <c r="Z59" s="48">
        <v>0.95522300000000004</v>
      </c>
      <c r="AA59" s="48">
        <v>1.072522</v>
      </c>
      <c r="AB59" s="50">
        <v>0.91146499999999997</v>
      </c>
      <c r="AC59" s="48">
        <v>1.027428</v>
      </c>
      <c r="AD59" s="48">
        <v>1.107861</v>
      </c>
      <c r="AE59" s="48">
        <v>1.1189070000000001</v>
      </c>
      <c r="AF59" s="48"/>
      <c r="AG59" s="2"/>
      <c r="AH59" s="48">
        <v>4.6114670000000002</v>
      </c>
      <c r="AI59" s="48">
        <v>4.4164440000000003</v>
      </c>
      <c r="AJ59" s="48">
        <v>2.3524859999999999</v>
      </c>
      <c r="AK59" s="58">
        <v>1.3929849999999999</v>
      </c>
      <c r="AL59" s="48">
        <v>1.2803720000000001</v>
      </c>
      <c r="AM59" s="50">
        <v>0.99224400000000001</v>
      </c>
      <c r="AO59" s="186" t="s">
        <v>1437</v>
      </c>
      <c r="AP59" s="188"/>
      <c r="AQ59" s="188"/>
      <c r="AR59" s="188"/>
      <c r="BX59" s="36">
        <v>0.75714400000000004</v>
      </c>
      <c r="BY59" s="36">
        <v>0.74268599999999996</v>
      </c>
      <c r="BZ59" s="36">
        <v>0.74050499999999997</v>
      </c>
      <c r="CA59" s="36">
        <v>0.75448999999999999</v>
      </c>
      <c r="CB59" s="36">
        <v>0.73124500000000003</v>
      </c>
      <c r="CC59" s="36"/>
      <c r="CD59" s="36">
        <v>0.73402199999999995</v>
      </c>
      <c r="CE59" s="36">
        <v>0.74217100000000003</v>
      </c>
      <c r="CF59" s="36">
        <v>0.72523700000000002</v>
      </c>
      <c r="CG59" s="36">
        <v>0.74928899999999998</v>
      </c>
      <c r="CH59" s="36">
        <v>0.74217500000000003</v>
      </c>
      <c r="CI59" s="36"/>
      <c r="CJ59" s="36">
        <v>0.68881800000000004</v>
      </c>
      <c r="CK59" s="36">
        <v>0.71546900000000002</v>
      </c>
      <c r="CL59" s="36">
        <v>0.75305699999999998</v>
      </c>
      <c r="CM59" s="36">
        <v>0.692639</v>
      </c>
      <c r="CN59" s="36">
        <v>0.82330899999999996</v>
      </c>
      <c r="CO59" s="36"/>
      <c r="CP59" s="36">
        <v>0.95522300000000004</v>
      </c>
      <c r="CQ59" s="36">
        <v>1.072522</v>
      </c>
      <c r="CR59" s="36">
        <v>0.91146499999999997</v>
      </c>
      <c r="CS59" s="36">
        <v>1.027428</v>
      </c>
      <c r="CT59" s="36">
        <v>1.107861</v>
      </c>
      <c r="CU59" s="36"/>
      <c r="CV59" s="36">
        <v>1.595099</v>
      </c>
      <c r="CW59" s="36">
        <v>1.6213489999999999</v>
      </c>
      <c r="CX59" s="36">
        <v>1.6905129999999999</v>
      </c>
      <c r="CY59" s="36">
        <v>1.640029</v>
      </c>
      <c r="CZ59" s="36">
        <v>1.6855180000000001</v>
      </c>
      <c r="DA59" s="36"/>
      <c r="DB59" s="36">
        <v>2.6986910000000002</v>
      </c>
      <c r="DC59" s="36">
        <v>2.485544</v>
      </c>
      <c r="DD59" s="36">
        <v>2.5782850000000002</v>
      </c>
      <c r="DE59" s="36">
        <v>2.8075239999999999</v>
      </c>
      <c r="DF59" s="36">
        <v>2.8502160000000001</v>
      </c>
    </row>
    <row r="60" spans="3:110" ht="24" x14ac:dyDescent="0.3">
      <c r="C60" s="11" t="s">
        <v>1437</v>
      </c>
      <c r="D60" s="38">
        <v>2981204</v>
      </c>
      <c r="E60" s="38">
        <v>42832752</v>
      </c>
      <c r="F60" s="38">
        <v>385104</v>
      </c>
      <c r="G60" s="39">
        <v>35290880</v>
      </c>
      <c r="H60" s="41">
        <v>1.446725</v>
      </c>
      <c r="I60" s="52">
        <v>5.6263290000000001</v>
      </c>
      <c r="J60" s="40">
        <v>1.308095</v>
      </c>
      <c r="K60" s="42"/>
      <c r="L60" s="48">
        <v>2.3065820000000001</v>
      </c>
      <c r="M60" s="34"/>
      <c r="N60" s="34"/>
      <c r="Q60" s="36"/>
      <c r="R60" s="36">
        <v>1.2897780000000001</v>
      </c>
      <c r="S60" s="49">
        <v>1.2659910000000001</v>
      </c>
      <c r="T60" s="36">
        <v>1.771131</v>
      </c>
      <c r="U60" s="36">
        <v>2.045121</v>
      </c>
      <c r="V60" s="36">
        <v>3.7644380000000002</v>
      </c>
      <c r="W60" s="36">
        <v>5.5104610000000003</v>
      </c>
      <c r="X60" s="36"/>
      <c r="Y60" s="36"/>
      <c r="Z60" s="48">
        <v>1.728583</v>
      </c>
      <c r="AA60" s="48">
        <v>1.9112150000000001</v>
      </c>
      <c r="AB60" s="48">
        <v>2.0438459999999998</v>
      </c>
      <c r="AC60" s="48">
        <v>2.085073</v>
      </c>
      <c r="AD60" s="48">
        <v>2.045121</v>
      </c>
      <c r="AE60" s="50">
        <v>1.3088630000000001</v>
      </c>
      <c r="AF60" s="48"/>
      <c r="AG60" s="2"/>
      <c r="AH60" s="48">
        <v>5.9733539999999996</v>
      </c>
      <c r="AI60" s="48">
        <v>5.5395899999999996</v>
      </c>
      <c r="AJ60" s="48">
        <v>2.1997770000000001</v>
      </c>
      <c r="AK60" s="58">
        <v>2.3065820000000001</v>
      </c>
      <c r="AL60" s="50">
        <v>1.914847</v>
      </c>
      <c r="AM60" s="48">
        <v>1.937945</v>
      </c>
      <c r="AO60" s="185" t="s">
        <v>3917</v>
      </c>
      <c r="AP60" s="188"/>
      <c r="AQ60" s="188"/>
      <c r="AR60" s="188"/>
      <c r="BX60" s="36">
        <v>1.271946</v>
      </c>
      <c r="BY60" s="36">
        <v>1.277903</v>
      </c>
      <c r="BZ60" s="36">
        <v>1.2886059999999999</v>
      </c>
      <c r="CA60" s="36">
        <v>1.272931</v>
      </c>
      <c r="CB60" s="36">
        <v>1.2897780000000001</v>
      </c>
      <c r="CC60" s="36"/>
      <c r="CD60" s="36">
        <v>1.278867</v>
      </c>
      <c r="CE60" s="36">
        <v>1.2903789999999999</v>
      </c>
      <c r="CF60" s="36">
        <v>1.2928440000000001</v>
      </c>
      <c r="CG60" s="36">
        <v>1.280254</v>
      </c>
      <c r="CH60" s="36">
        <v>1.2659910000000001</v>
      </c>
      <c r="CI60" s="36"/>
      <c r="CJ60" s="36">
        <v>1.6810780000000001</v>
      </c>
      <c r="CK60" s="36">
        <v>1.69252</v>
      </c>
      <c r="CL60" s="36">
        <v>1.643124</v>
      </c>
      <c r="CM60" s="36">
        <v>1.6701619999999999</v>
      </c>
      <c r="CN60" s="36">
        <v>1.771131</v>
      </c>
      <c r="CO60" s="36"/>
      <c r="CP60" s="36">
        <v>1.728583</v>
      </c>
      <c r="CQ60" s="36">
        <v>1.9112150000000001</v>
      </c>
      <c r="CR60" s="36">
        <v>2.0438459999999998</v>
      </c>
      <c r="CS60" s="36">
        <v>2.085073</v>
      </c>
      <c r="CT60" s="36">
        <v>2.045121</v>
      </c>
      <c r="CU60" s="36"/>
      <c r="CV60" s="36">
        <v>3.2467350000000001</v>
      </c>
      <c r="CW60" s="36">
        <v>3.8684440000000002</v>
      </c>
      <c r="CX60" s="36">
        <v>3.7764229999999999</v>
      </c>
      <c r="CY60" s="36">
        <v>3.8539880000000002</v>
      </c>
      <c r="CZ60" s="36">
        <v>3.7644380000000002</v>
      </c>
      <c r="DA60" s="36"/>
      <c r="DB60" s="36">
        <v>4.9763950000000001</v>
      </c>
      <c r="DC60" s="36">
        <v>5.3941109999999997</v>
      </c>
      <c r="DD60" s="36">
        <v>5.4923349999999997</v>
      </c>
      <c r="DE60" s="36">
        <v>5.4792969999999999</v>
      </c>
      <c r="DF60" s="36">
        <v>5.5104610000000003</v>
      </c>
    </row>
    <row r="61" spans="3:110" ht="24" x14ac:dyDescent="0.3">
      <c r="C61" s="9" t="s">
        <v>3917</v>
      </c>
      <c r="D61" s="38">
        <v>1791489</v>
      </c>
      <c r="E61" s="38">
        <v>50888414</v>
      </c>
      <c r="F61" s="38">
        <v>238342</v>
      </c>
      <c r="G61" s="39">
        <v>27229873</v>
      </c>
      <c r="H61" s="41">
        <v>1.3038989999999999</v>
      </c>
      <c r="I61" s="52">
        <v>4.5417589999999999</v>
      </c>
      <c r="J61" s="40">
        <v>1.1079509999999999</v>
      </c>
      <c r="K61" s="42"/>
      <c r="L61" s="48">
        <v>1.3929849999999999</v>
      </c>
      <c r="M61" s="34"/>
      <c r="N61" s="34"/>
      <c r="Q61" s="36"/>
      <c r="R61" s="36">
        <v>0.75356400000000001</v>
      </c>
      <c r="S61" s="49">
        <v>0.68957199999999996</v>
      </c>
      <c r="T61" s="36">
        <v>1.009171</v>
      </c>
      <c r="U61" s="36">
        <v>1.1198589999999999</v>
      </c>
      <c r="V61" s="36">
        <v>1.656684</v>
      </c>
      <c r="W61" s="36">
        <v>2.4768729999999999</v>
      </c>
      <c r="X61" s="36"/>
      <c r="Y61" s="36"/>
      <c r="Z61" s="48">
        <v>1.434606</v>
      </c>
      <c r="AA61" s="48">
        <v>1.374106</v>
      </c>
      <c r="AB61" s="48">
        <v>1.243671</v>
      </c>
      <c r="AC61" s="48">
        <v>1.3114030000000001</v>
      </c>
      <c r="AD61" s="48">
        <v>1.1198589999999999</v>
      </c>
      <c r="AE61" s="50">
        <v>0.79191599999999995</v>
      </c>
      <c r="AF61" s="48"/>
      <c r="AG61" s="2"/>
      <c r="AH61" s="48">
        <v>1.8702840000000001</v>
      </c>
      <c r="AI61" s="48">
        <v>1.9740839999999999</v>
      </c>
      <c r="AJ61" s="48">
        <v>1.359653</v>
      </c>
      <c r="AK61" s="57">
        <v>1.1210039999999999</v>
      </c>
      <c r="AL61" s="48">
        <v>1.1417010000000001</v>
      </c>
      <c r="AM61" s="48">
        <v>1.213155</v>
      </c>
      <c r="AO61" s="186" t="s">
        <v>1346</v>
      </c>
      <c r="AP61" s="188"/>
      <c r="AQ61" s="188"/>
      <c r="AR61" s="188"/>
      <c r="BX61" s="36">
        <v>0.74902100000000005</v>
      </c>
      <c r="BY61" s="36">
        <v>0.74840600000000002</v>
      </c>
      <c r="BZ61" s="36">
        <v>0.74907400000000002</v>
      </c>
      <c r="CA61" s="36">
        <v>0.65533699999999995</v>
      </c>
      <c r="CB61" s="36">
        <v>0.75356400000000001</v>
      </c>
      <c r="CC61" s="36"/>
      <c r="CD61" s="36">
        <v>0.68354000000000004</v>
      </c>
      <c r="CE61" s="36">
        <v>0.67593899999999996</v>
      </c>
      <c r="CF61" s="36">
        <v>0.67669400000000002</v>
      </c>
      <c r="CG61" s="36">
        <v>0.66930400000000001</v>
      </c>
      <c r="CH61" s="36">
        <v>0.68957199999999996</v>
      </c>
      <c r="CI61" s="36"/>
      <c r="CJ61" s="36">
        <v>1.1453629999999999</v>
      </c>
      <c r="CK61" s="36">
        <v>1.0664210000000001</v>
      </c>
      <c r="CL61" s="36">
        <v>0.96522399999999997</v>
      </c>
      <c r="CM61" s="36">
        <v>0.90409399999999995</v>
      </c>
      <c r="CN61" s="36">
        <v>1.009171</v>
      </c>
      <c r="CO61" s="36"/>
      <c r="CP61" s="36">
        <v>1.434606</v>
      </c>
      <c r="CQ61" s="36">
        <v>1.374106</v>
      </c>
      <c r="CR61" s="36">
        <v>1.243671</v>
      </c>
      <c r="CS61" s="36">
        <v>1.3114030000000001</v>
      </c>
      <c r="CT61" s="36">
        <v>1.1198589999999999</v>
      </c>
      <c r="CU61" s="36"/>
      <c r="CV61" s="36">
        <v>1.501584</v>
      </c>
      <c r="CW61" s="36">
        <v>1.6137520000000001</v>
      </c>
      <c r="CX61" s="36">
        <v>1.600325</v>
      </c>
      <c r="CY61" s="36">
        <v>1.594665</v>
      </c>
      <c r="CZ61" s="36">
        <v>1.656684</v>
      </c>
      <c r="DA61" s="36"/>
      <c r="DB61" s="36">
        <v>1.8550990000000001</v>
      </c>
      <c r="DC61" s="36">
        <v>2.1383779999999999</v>
      </c>
      <c r="DD61" s="36">
        <v>2.0544959999999999</v>
      </c>
      <c r="DE61" s="36">
        <v>2.1364679999999998</v>
      </c>
      <c r="DF61" s="36">
        <v>2.4768729999999999</v>
      </c>
    </row>
    <row r="62" spans="3:110" ht="24" x14ac:dyDescent="0.3">
      <c r="C62" s="11" t="s">
        <v>1346</v>
      </c>
      <c r="D62" s="38">
        <v>1696415</v>
      </c>
      <c r="E62" s="38">
        <v>22190596</v>
      </c>
      <c r="F62" s="38">
        <v>35455</v>
      </c>
      <c r="G62" s="39">
        <v>37322355</v>
      </c>
      <c r="H62" s="41">
        <v>1.300643</v>
      </c>
      <c r="I62" s="52">
        <v>7.0529869999999999</v>
      </c>
      <c r="J62" s="40">
        <v>1.085415</v>
      </c>
      <c r="K62" s="42"/>
      <c r="L62" s="48">
        <v>2.076346</v>
      </c>
      <c r="M62" s="34"/>
      <c r="N62" s="34"/>
      <c r="Q62" s="36"/>
      <c r="R62" s="36">
        <v>0.69819500000000001</v>
      </c>
      <c r="S62" s="49">
        <v>0.69303599999999999</v>
      </c>
      <c r="T62" s="36">
        <v>0.71346200000000004</v>
      </c>
      <c r="U62" s="36">
        <v>0.75371200000000005</v>
      </c>
      <c r="V62" s="36">
        <v>1.6018619999999999</v>
      </c>
      <c r="W62" s="36">
        <v>2.1120359999999998</v>
      </c>
      <c r="X62" s="36"/>
      <c r="Y62" s="36"/>
      <c r="Z62" s="48">
        <v>0.85531000000000001</v>
      </c>
      <c r="AA62" s="48">
        <v>0.75666800000000001</v>
      </c>
      <c r="AB62" s="48">
        <v>0.75007299999999999</v>
      </c>
      <c r="AC62" s="48">
        <v>0.92179500000000003</v>
      </c>
      <c r="AD62" s="48">
        <v>0.75371200000000005</v>
      </c>
      <c r="AE62" s="50">
        <v>0.71028800000000003</v>
      </c>
      <c r="AF62" s="48"/>
      <c r="AG62" s="2"/>
      <c r="AH62" s="48">
        <v>3.37154</v>
      </c>
      <c r="AI62" s="48">
        <v>3.3495140000000001</v>
      </c>
      <c r="AJ62" s="48">
        <v>1.583351</v>
      </c>
      <c r="AK62" s="58">
        <v>1.127974</v>
      </c>
      <c r="AL62" s="50">
        <v>0.80255799999999999</v>
      </c>
      <c r="AM62" s="48">
        <v>0.94861799999999996</v>
      </c>
      <c r="AO62" s="185" t="s">
        <v>1402</v>
      </c>
      <c r="AP62" s="188"/>
      <c r="AQ62" s="188"/>
      <c r="AR62" s="188"/>
      <c r="BX62" s="36">
        <v>0.717719</v>
      </c>
      <c r="BY62" s="36">
        <v>0.693133</v>
      </c>
      <c r="BZ62" s="36">
        <v>0.718449</v>
      </c>
      <c r="CA62" s="36">
        <v>0.69268300000000005</v>
      </c>
      <c r="CB62" s="36">
        <v>0.69819500000000001</v>
      </c>
      <c r="CC62" s="36"/>
      <c r="CD62" s="36">
        <v>0.71380900000000003</v>
      </c>
      <c r="CE62" s="36">
        <v>0.70183700000000004</v>
      </c>
      <c r="CF62" s="36">
        <v>0.697523</v>
      </c>
      <c r="CG62" s="36">
        <v>0.71590100000000001</v>
      </c>
      <c r="CH62" s="36">
        <v>0.69303599999999999</v>
      </c>
      <c r="CI62" s="36"/>
      <c r="CJ62" s="36">
        <v>0.75353899999999996</v>
      </c>
      <c r="CK62" s="36">
        <v>0.74757799999999996</v>
      </c>
      <c r="CL62" s="36">
        <v>0.71243800000000002</v>
      </c>
      <c r="CM62" s="36">
        <v>0.70617600000000003</v>
      </c>
      <c r="CN62" s="36">
        <v>0.71346200000000004</v>
      </c>
      <c r="CO62" s="36"/>
      <c r="CP62" s="36">
        <v>0.85531000000000001</v>
      </c>
      <c r="CQ62" s="36">
        <v>0.75666800000000001</v>
      </c>
      <c r="CR62" s="36">
        <v>0.75007299999999999</v>
      </c>
      <c r="CS62" s="36">
        <v>0.92179500000000003</v>
      </c>
      <c r="CT62" s="36">
        <v>0.75371200000000005</v>
      </c>
      <c r="CU62" s="36"/>
      <c r="CV62" s="36">
        <v>1.450207</v>
      </c>
      <c r="CW62" s="36">
        <v>1.069591</v>
      </c>
      <c r="CX62" s="36">
        <v>1.0845929999999999</v>
      </c>
      <c r="CY62" s="36">
        <v>1.7650330000000001</v>
      </c>
      <c r="CZ62" s="36">
        <v>1.6018619999999999</v>
      </c>
      <c r="DA62" s="36"/>
      <c r="DB62" s="36">
        <v>2.4829150000000002</v>
      </c>
      <c r="DC62" s="36">
        <v>2.5289470000000001</v>
      </c>
      <c r="DD62" s="36">
        <v>2.4260630000000001</v>
      </c>
      <c r="DE62" s="36">
        <v>1.9772689999999999</v>
      </c>
      <c r="DF62" s="36">
        <v>2.1120359999999998</v>
      </c>
    </row>
    <row r="63" spans="3:110" ht="24" x14ac:dyDescent="0.3">
      <c r="C63" s="9" t="s">
        <v>1402</v>
      </c>
      <c r="D63" s="38">
        <v>2132864</v>
      </c>
      <c r="E63" s="38">
        <v>17441248</v>
      </c>
      <c r="F63" s="38">
        <v>306136</v>
      </c>
      <c r="G63" s="39">
        <v>11329220</v>
      </c>
      <c r="H63" s="41">
        <v>0.99414100000000005</v>
      </c>
      <c r="I63" s="52">
        <v>1.8110040000000001</v>
      </c>
      <c r="J63" s="40">
        <v>0.791018</v>
      </c>
      <c r="K63" s="42"/>
      <c r="L63" s="48">
        <v>1.1210039999999999</v>
      </c>
      <c r="M63" s="34"/>
      <c r="N63" s="34"/>
      <c r="Q63" s="36"/>
      <c r="R63" s="49">
        <v>0.44650600000000001</v>
      </c>
      <c r="S63" s="36">
        <v>0.452901</v>
      </c>
      <c r="T63" s="36">
        <v>0.46580100000000002</v>
      </c>
      <c r="U63" s="36">
        <v>0.51997800000000005</v>
      </c>
      <c r="V63" s="36">
        <v>0.79097200000000001</v>
      </c>
      <c r="W63" s="36">
        <v>1.5404899999999999</v>
      </c>
      <c r="X63" s="36"/>
      <c r="Y63" s="36"/>
      <c r="Z63" s="48">
        <v>0.48528100000000002</v>
      </c>
      <c r="AA63" s="48">
        <v>0.62544</v>
      </c>
      <c r="AB63" s="48">
        <v>0.52425200000000005</v>
      </c>
      <c r="AC63" s="48">
        <v>0.55877600000000005</v>
      </c>
      <c r="AD63" s="48">
        <v>0.51997800000000005</v>
      </c>
      <c r="AE63" s="50">
        <v>0.48383300000000001</v>
      </c>
      <c r="AF63" s="48"/>
      <c r="AG63" s="2"/>
      <c r="AH63" s="48">
        <v>3.8463880000000001</v>
      </c>
      <c r="AI63" s="48">
        <v>3.838438</v>
      </c>
      <c r="AJ63" s="48">
        <v>1.9361330000000001</v>
      </c>
      <c r="AK63" s="58">
        <v>1.075196</v>
      </c>
      <c r="AL63" s="50">
        <v>0.47320099999999998</v>
      </c>
      <c r="AM63" s="48">
        <v>0.49225099999999999</v>
      </c>
      <c r="AO63" s="185" t="s">
        <v>1371</v>
      </c>
      <c r="AP63" s="188"/>
      <c r="AQ63" s="188"/>
      <c r="AR63" s="188"/>
      <c r="BX63" s="36">
        <v>0.44039099999999998</v>
      </c>
      <c r="BY63" s="36">
        <v>0.44807399999999997</v>
      </c>
      <c r="BZ63" s="36">
        <v>0.44994400000000001</v>
      </c>
      <c r="CA63" s="36">
        <v>0.44197199999999998</v>
      </c>
      <c r="CB63" s="36">
        <v>0.44650600000000001</v>
      </c>
      <c r="CC63" s="36"/>
      <c r="CD63" s="36">
        <v>0.44649</v>
      </c>
      <c r="CE63" s="36">
        <v>0.44985999999999998</v>
      </c>
      <c r="CF63" s="36">
        <v>0.441299</v>
      </c>
      <c r="CG63" s="36">
        <v>0.45479700000000001</v>
      </c>
      <c r="CH63" s="36">
        <v>0.452901</v>
      </c>
      <c r="CI63" s="36"/>
      <c r="CJ63" s="36">
        <v>0.45115499999999997</v>
      </c>
      <c r="CK63" s="36">
        <v>0.42183300000000001</v>
      </c>
      <c r="CL63" s="36">
        <v>0.42537000000000003</v>
      </c>
      <c r="CM63" s="36">
        <v>0.45102199999999998</v>
      </c>
      <c r="CN63" s="36">
        <v>0.46580100000000002</v>
      </c>
      <c r="CO63" s="36"/>
      <c r="CP63" s="36">
        <v>0.48528100000000002</v>
      </c>
      <c r="CQ63" s="36">
        <v>0.62544</v>
      </c>
      <c r="CR63" s="36">
        <v>0.52425200000000005</v>
      </c>
      <c r="CS63" s="36">
        <v>0.55877600000000005</v>
      </c>
      <c r="CT63" s="36">
        <v>0.51997800000000005</v>
      </c>
      <c r="CU63" s="36"/>
      <c r="CV63" s="36">
        <v>0.82116699999999998</v>
      </c>
      <c r="CW63" s="36">
        <v>0.69774899999999995</v>
      </c>
      <c r="CX63" s="36">
        <v>0.75465899999999997</v>
      </c>
      <c r="CY63" s="36">
        <v>0.73767400000000005</v>
      </c>
      <c r="CZ63" s="36">
        <v>0.79097200000000001</v>
      </c>
      <c r="DA63" s="36"/>
      <c r="DB63" s="36">
        <v>1.2069099999999999</v>
      </c>
      <c r="DC63" s="36">
        <v>1.178021</v>
      </c>
      <c r="DD63" s="36">
        <v>1.214542</v>
      </c>
      <c r="DE63" s="36">
        <v>1.259314</v>
      </c>
      <c r="DF63" s="36">
        <v>1.5404899999999999</v>
      </c>
    </row>
    <row r="64" spans="3:110" ht="24" x14ac:dyDescent="0.3">
      <c r="C64" s="9" t="s">
        <v>1371</v>
      </c>
      <c r="D64" s="38">
        <v>2140198</v>
      </c>
      <c r="E64" s="38">
        <v>34029892</v>
      </c>
      <c r="F64" s="38">
        <v>97848</v>
      </c>
      <c r="G64" s="39">
        <v>19365288</v>
      </c>
      <c r="H64" s="41">
        <v>0.85894899999999996</v>
      </c>
      <c r="I64" s="52">
        <v>3.3648449999999999</v>
      </c>
      <c r="J64" s="40">
        <v>0.71303899999999998</v>
      </c>
      <c r="K64" s="42"/>
      <c r="L64" s="48">
        <v>1.127974</v>
      </c>
      <c r="M64" s="34"/>
      <c r="N64" s="34"/>
      <c r="Q64" s="36"/>
      <c r="R64" s="36">
        <v>9.0593999999999994E-2</v>
      </c>
      <c r="S64" s="36">
        <v>8.3215999999999998E-2</v>
      </c>
      <c r="T64" s="49">
        <v>6.5948000000000007E-2</v>
      </c>
      <c r="U64" s="36">
        <v>6.9968000000000002E-2</v>
      </c>
      <c r="V64" s="36">
        <v>9.0593999999999994E-2</v>
      </c>
      <c r="W64" s="36">
        <v>9.0593999999999994E-2</v>
      </c>
      <c r="X64" s="36"/>
      <c r="Y64" s="36"/>
      <c r="Z64" s="48">
        <v>9.9423999999999998E-2</v>
      </c>
      <c r="AA64" s="48">
        <v>7.4588000000000002E-2</v>
      </c>
      <c r="AB64" s="48">
        <v>7.0073999999999997E-2</v>
      </c>
      <c r="AC64" s="48">
        <v>7.1620000000000003E-2</v>
      </c>
      <c r="AD64" s="50">
        <v>6.9968000000000002E-2</v>
      </c>
      <c r="AE64" s="48">
        <v>1.5362180000000001</v>
      </c>
      <c r="AF64" s="48"/>
      <c r="AG64" s="2"/>
      <c r="AH64" s="48">
        <v>0.201511</v>
      </c>
      <c r="AI64" s="48">
        <v>0.20094400000000001</v>
      </c>
      <c r="AJ64" s="48">
        <v>0.21540100000000001</v>
      </c>
      <c r="AK64" s="58">
        <v>0.108086</v>
      </c>
      <c r="AL64" s="48">
        <v>7.6687000000000005E-2</v>
      </c>
      <c r="AM64" s="50">
        <v>6.6035999999999997E-2</v>
      </c>
      <c r="AO64" s="185" t="s">
        <v>3919</v>
      </c>
      <c r="AP64" s="188"/>
      <c r="AQ64" s="188"/>
      <c r="AR64" s="188"/>
      <c r="BX64" s="36">
        <v>7.9923999999999995E-2</v>
      </c>
      <c r="BY64" s="36">
        <v>7.0016999999999996E-2</v>
      </c>
      <c r="BZ64" s="36">
        <v>7.7047000000000004E-2</v>
      </c>
      <c r="CA64" s="36">
        <v>7.0491999999999999E-2</v>
      </c>
      <c r="CB64" s="36">
        <v>9.0593999999999994E-2</v>
      </c>
      <c r="CC64" s="36"/>
      <c r="CD64" s="36">
        <v>7.9923999999999995E-2</v>
      </c>
      <c r="CE64" s="36">
        <v>7.0016999999999996E-2</v>
      </c>
      <c r="CF64" s="36">
        <v>7.7047000000000004E-2</v>
      </c>
      <c r="CG64" s="36">
        <v>7.0491999999999999E-2</v>
      </c>
      <c r="CH64" s="36">
        <v>9.0593999999999994E-2</v>
      </c>
      <c r="CI64" s="36"/>
      <c r="CJ64" s="36">
        <v>0.19495799999999999</v>
      </c>
      <c r="CK64" s="36">
        <v>6.6683999999999993E-2</v>
      </c>
      <c r="CL64" s="36">
        <v>6.7773E-2</v>
      </c>
      <c r="CM64" s="36">
        <v>6.8698999999999996E-2</v>
      </c>
      <c r="CN64" s="36">
        <v>6.5948000000000007E-2</v>
      </c>
      <c r="CO64" s="36"/>
      <c r="CP64" s="36">
        <v>9.9423999999999998E-2</v>
      </c>
      <c r="CQ64" s="36">
        <v>7.4588000000000002E-2</v>
      </c>
      <c r="CR64" s="36">
        <v>7.0073999999999997E-2</v>
      </c>
      <c r="CS64" s="36">
        <v>7.1620000000000003E-2</v>
      </c>
      <c r="CT64" s="36">
        <v>6.9968000000000002E-2</v>
      </c>
      <c r="CU64" s="36"/>
      <c r="CV64" s="36">
        <v>7.9923999999999995E-2</v>
      </c>
      <c r="CW64" s="36">
        <v>7.0016999999999996E-2</v>
      </c>
      <c r="CX64" s="36">
        <v>7.7047000000000004E-2</v>
      </c>
      <c r="CY64" s="36">
        <v>7.0491999999999999E-2</v>
      </c>
      <c r="CZ64" s="36">
        <v>9.0593999999999994E-2</v>
      </c>
      <c r="DA64" s="36"/>
      <c r="DB64" s="36">
        <v>7.9923999999999995E-2</v>
      </c>
      <c r="DC64" s="36">
        <v>7.0016999999999996E-2</v>
      </c>
      <c r="DD64" s="36">
        <v>7.7047000000000004E-2</v>
      </c>
      <c r="DE64" s="36">
        <v>7.0491999999999999E-2</v>
      </c>
      <c r="DF64" s="36">
        <v>9.0593999999999994E-2</v>
      </c>
    </row>
    <row r="65" spans="3:110" ht="25" thickBot="1" x14ac:dyDescent="0.35">
      <c r="C65" s="22" t="s">
        <v>3919</v>
      </c>
      <c r="D65" s="38">
        <v>2937612</v>
      </c>
      <c r="E65" s="38">
        <v>41919708</v>
      </c>
      <c r="F65" s="38">
        <v>4356</v>
      </c>
      <c r="G65" s="39">
        <v>27593398</v>
      </c>
      <c r="H65" s="41">
        <v>0.62366100000000002</v>
      </c>
      <c r="I65" s="52">
        <v>3.6801520000000001</v>
      </c>
      <c r="J65" s="40">
        <v>0.48078500000000002</v>
      </c>
      <c r="K65" s="42"/>
      <c r="L65" s="48">
        <v>1.075196</v>
      </c>
      <c r="M65" s="34"/>
      <c r="N65" s="34"/>
      <c r="Q65" s="36"/>
      <c r="R65" s="36">
        <v>0.42020400000000002</v>
      </c>
      <c r="S65" s="49">
        <v>0.34439500000000001</v>
      </c>
      <c r="T65" s="36">
        <v>0.37906899999999999</v>
      </c>
      <c r="U65" s="36">
        <v>0.40839599999999998</v>
      </c>
      <c r="V65" s="36">
        <v>0.42020400000000002</v>
      </c>
      <c r="W65" s="36">
        <v>0.42020400000000002</v>
      </c>
      <c r="X65" s="36"/>
      <c r="Y65" s="36"/>
      <c r="Z65" s="48">
        <v>0.350883</v>
      </c>
      <c r="AA65" s="50">
        <v>0.33395799999999998</v>
      </c>
      <c r="AB65" s="48">
        <v>0.34735300000000002</v>
      </c>
      <c r="AC65" s="48">
        <v>0.40576099999999998</v>
      </c>
      <c r="AD65" s="48">
        <v>0.40839599999999998</v>
      </c>
      <c r="AE65" s="48">
        <v>0.34820899999999999</v>
      </c>
      <c r="AF65" s="48"/>
      <c r="AG65" s="2"/>
      <c r="AH65" s="48">
        <v>2.3521540000000001</v>
      </c>
      <c r="AI65" s="48">
        <v>2.3990469999999999</v>
      </c>
      <c r="AJ65" s="48">
        <v>1.4637290000000001</v>
      </c>
      <c r="AK65" s="59">
        <v>0.96733800000000003</v>
      </c>
      <c r="AL65" s="50">
        <v>0.35204800000000003</v>
      </c>
      <c r="AM65" s="48">
        <v>0.37093300000000001</v>
      </c>
      <c r="AO65" s="187" t="s">
        <v>3920</v>
      </c>
      <c r="AP65" s="188"/>
      <c r="AQ65" s="188"/>
      <c r="AR65" s="188"/>
      <c r="BX65" s="36">
        <v>0.408966</v>
      </c>
      <c r="BY65" s="36">
        <v>0.37621500000000002</v>
      </c>
      <c r="BZ65" s="36">
        <v>0.38667699999999999</v>
      </c>
      <c r="CA65" s="36">
        <v>0.51545099999999999</v>
      </c>
      <c r="CB65" s="36">
        <v>0.42020400000000002</v>
      </c>
      <c r="CC65" s="36"/>
      <c r="CD65" s="36">
        <v>0.408966</v>
      </c>
      <c r="CE65" s="36">
        <v>0.37621500000000002</v>
      </c>
      <c r="CF65" s="36">
        <v>0.38667699999999999</v>
      </c>
      <c r="CG65" s="36">
        <v>0.51545099999999999</v>
      </c>
      <c r="CH65" s="36">
        <v>0.42020400000000002</v>
      </c>
      <c r="CI65" s="36"/>
      <c r="CJ65" s="36">
        <v>0.343198</v>
      </c>
      <c r="CK65" s="36">
        <v>0.34612100000000001</v>
      </c>
      <c r="CL65" s="36">
        <v>0.34976499999999999</v>
      </c>
      <c r="CM65" s="36">
        <v>0.42091200000000001</v>
      </c>
      <c r="CN65" s="36">
        <v>0.37906899999999999</v>
      </c>
      <c r="CO65" s="36"/>
      <c r="CP65" s="36">
        <v>0.350883</v>
      </c>
      <c r="CQ65" s="36">
        <v>0.33395799999999998</v>
      </c>
      <c r="CR65" s="36">
        <v>0.34735300000000002</v>
      </c>
      <c r="CS65" s="36">
        <v>0.40576099999999998</v>
      </c>
      <c r="CT65" s="36">
        <v>0.40839599999999998</v>
      </c>
      <c r="CU65" s="36"/>
      <c r="CV65" s="36">
        <v>0.408966</v>
      </c>
      <c r="CW65" s="36">
        <v>0.37621500000000002</v>
      </c>
      <c r="CX65" s="36">
        <v>0.38667699999999999</v>
      </c>
      <c r="CY65" s="36">
        <v>0.51545099999999999</v>
      </c>
      <c r="CZ65" s="36">
        <v>0.42020400000000002</v>
      </c>
      <c r="DA65" s="36"/>
      <c r="DB65" s="36">
        <v>0.408966</v>
      </c>
      <c r="DC65" s="36">
        <v>0.37621500000000002</v>
      </c>
      <c r="DD65" s="36">
        <v>0.38667699999999999</v>
      </c>
      <c r="DE65" s="36">
        <v>0.51545099999999999</v>
      </c>
      <c r="DF65" s="36">
        <v>0.42020400000000002</v>
      </c>
    </row>
    <row r="66" spans="3:110" x14ac:dyDescent="0.3">
      <c r="D66" s="11"/>
      <c r="E66" s="11"/>
      <c r="F66" s="11"/>
      <c r="G66" s="10"/>
      <c r="H66" s="19"/>
      <c r="I66" s="9"/>
      <c r="J66" s="10"/>
      <c r="M66" s="15"/>
      <c r="N66" s="9"/>
    </row>
    <row r="67" spans="3:110" x14ac:dyDescent="0.3">
      <c r="D67" s="11"/>
      <c r="E67" s="11"/>
      <c r="F67" s="11"/>
      <c r="G67" s="10"/>
      <c r="H67" s="19"/>
      <c r="I67" s="9"/>
      <c r="J67" s="10"/>
      <c r="M67" s="15"/>
      <c r="N67" s="9"/>
    </row>
    <row r="68" spans="3:110" x14ac:dyDescent="0.3">
      <c r="D68" s="11"/>
      <c r="E68" s="11"/>
      <c r="F68" s="11"/>
      <c r="G68" s="10"/>
      <c r="H68" s="19"/>
      <c r="I68" s="9"/>
      <c r="J68" s="10"/>
      <c r="M68" s="15"/>
      <c r="N68" s="9"/>
    </row>
    <row r="69" spans="3:110" x14ac:dyDescent="0.3">
      <c r="C69" s="11"/>
      <c r="D69" s="11"/>
      <c r="E69" s="11"/>
      <c r="F69" s="10"/>
      <c r="G69" s="20"/>
      <c r="H69" s="9"/>
      <c r="I69" s="19"/>
      <c r="J69" s="20"/>
      <c r="M69" s="9"/>
    </row>
    <row r="70" spans="3:110" x14ac:dyDescent="0.3">
      <c r="C70" s="11"/>
      <c r="D70" s="11"/>
      <c r="E70" s="11"/>
      <c r="F70" s="10"/>
      <c r="G70" s="20"/>
      <c r="H70" s="9"/>
      <c r="I70" s="19"/>
      <c r="J70" s="20"/>
      <c r="M70" s="9"/>
    </row>
    <row r="71" spans="3:110" x14ac:dyDescent="0.3">
      <c r="C71" s="11"/>
      <c r="D71" s="11"/>
      <c r="E71" s="11"/>
      <c r="F71" s="10"/>
      <c r="G71" s="20"/>
      <c r="H71" s="9"/>
      <c r="I71" s="19"/>
      <c r="J71" s="20"/>
      <c r="M71" s="9"/>
    </row>
    <row r="72" spans="3:110" x14ac:dyDescent="0.3">
      <c r="C72" s="11"/>
      <c r="D72" s="11"/>
      <c r="E72" s="11"/>
      <c r="F72" s="10"/>
      <c r="G72" s="20"/>
      <c r="H72" s="9"/>
      <c r="I72" s="19"/>
      <c r="J72" s="20"/>
      <c r="M72" s="9"/>
    </row>
    <row r="73" spans="3:110" x14ac:dyDescent="0.3">
      <c r="C73" s="11"/>
      <c r="D73" s="11"/>
      <c r="E73" s="11"/>
      <c r="F73" s="10"/>
      <c r="G73" s="20"/>
      <c r="H73" s="9"/>
      <c r="I73" s="19"/>
      <c r="J73" s="20"/>
      <c r="M73" s="9"/>
    </row>
    <row r="74" spans="3:110" x14ac:dyDescent="0.3">
      <c r="C74" s="11"/>
      <c r="D74" s="11"/>
      <c r="E74" s="11"/>
      <c r="F74" s="10"/>
      <c r="G74" s="10"/>
      <c r="H74" s="9"/>
      <c r="I74" s="9"/>
      <c r="J74" s="10"/>
      <c r="M74" s="9"/>
    </row>
    <row r="75" spans="3:110" x14ac:dyDescent="0.3">
      <c r="C75" s="11"/>
      <c r="D75" s="11"/>
      <c r="E75" s="11"/>
      <c r="F75" s="10"/>
      <c r="G75" s="10"/>
      <c r="H75" s="9"/>
      <c r="I75" s="9"/>
      <c r="J75" s="10"/>
      <c r="M75" s="9"/>
    </row>
    <row r="76" spans="3:110" x14ac:dyDescent="0.3">
      <c r="C76" s="11"/>
      <c r="D76" s="11"/>
      <c r="E76" s="11"/>
      <c r="F76" s="10"/>
      <c r="G76" s="10"/>
      <c r="H76" s="9"/>
      <c r="I76" s="9"/>
      <c r="J76" s="10"/>
      <c r="M76" s="9"/>
    </row>
    <row r="77" spans="3:110" x14ac:dyDescent="0.3">
      <c r="C77" s="11"/>
      <c r="D77" s="11"/>
      <c r="E77" s="11"/>
      <c r="F77" s="10"/>
      <c r="G77" s="10"/>
      <c r="H77" s="9"/>
      <c r="I77" s="9"/>
      <c r="J77" s="10"/>
      <c r="M77" s="9"/>
    </row>
    <row r="78" spans="3:110" x14ac:dyDescent="0.3">
      <c r="C78" s="11"/>
      <c r="D78" s="11"/>
      <c r="E78" s="11"/>
      <c r="F78" s="10"/>
      <c r="G78" s="10"/>
      <c r="H78" s="9"/>
      <c r="I78" s="9"/>
      <c r="J78" s="10"/>
      <c r="M78" s="9"/>
    </row>
    <row r="79" spans="3:110" x14ac:dyDescent="0.3">
      <c r="C79" s="11"/>
      <c r="D79" s="11"/>
      <c r="E79" s="11"/>
      <c r="F79" s="10"/>
      <c r="G79" s="10"/>
      <c r="H79" s="9"/>
      <c r="I79" s="9"/>
      <c r="J79" s="10"/>
      <c r="M79" s="9"/>
    </row>
    <row r="80" spans="3:110" x14ac:dyDescent="0.3">
      <c r="C80" s="11"/>
      <c r="D80" s="11"/>
      <c r="E80" s="11"/>
      <c r="F80" s="10"/>
      <c r="G80" s="10"/>
      <c r="H80" s="9"/>
      <c r="I80" s="9"/>
      <c r="J80" s="10"/>
      <c r="M80" s="9"/>
    </row>
    <row r="81" spans="3:13" x14ac:dyDescent="0.3">
      <c r="C81" s="11"/>
      <c r="D81" s="11"/>
      <c r="E81" s="11"/>
      <c r="F81" s="10"/>
      <c r="G81" s="10"/>
      <c r="H81" s="9"/>
      <c r="I81" s="9"/>
      <c r="J81" s="10"/>
      <c r="M81" s="9"/>
    </row>
    <row r="82" spans="3:13" x14ac:dyDescent="0.3">
      <c r="C82" s="11"/>
      <c r="D82" s="11"/>
      <c r="E82" s="11"/>
      <c r="F82" s="10"/>
      <c r="G82" s="10"/>
      <c r="H82" s="9"/>
      <c r="I82" s="9"/>
      <c r="J82" s="10"/>
      <c r="M82" s="9"/>
    </row>
    <row r="83" spans="3:13" x14ac:dyDescent="0.3">
      <c r="C83" s="11"/>
      <c r="D83" s="11"/>
      <c r="E83" s="11"/>
      <c r="F83" s="10"/>
      <c r="G83" s="10"/>
      <c r="H83" s="9"/>
      <c r="I83" s="9"/>
      <c r="J83" s="10"/>
      <c r="M83" s="9"/>
    </row>
    <row r="84" spans="3:13" x14ac:dyDescent="0.3">
      <c r="C84" s="11"/>
      <c r="D84" s="11"/>
      <c r="E84" s="11"/>
      <c r="F84" s="10"/>
      <c r="G84" s="10"/>
      <c r="H84" s="9"/>
      <c r="I84" s="9"/>
      <c r="J84" s="10"/>
      <c r="M84" s="9"/>
    </row>
    <row r="85" spans="3:13" x14ac:dyDescent="0.3">
      <c r="C85" s="11"/>
      <c r="D85" s="11"/>
      <c r="E85" s="11"/>
      <c r="F85" s="10"/>
      <c r="G85" s="10"/>
      <c r="H85" s="9"/>
      <c r="I85" s="9"/>
      <c r="J85" s="10"/>
      <c r="M85" s="9"/>
    </row>
    <row r="86" spans="3:13" x14ac:dyDescent="0.3">
      <c r="C86" s="11"/>
      <c r="D86" s="11"/>
      <c r="E86" s="11"/>
      <c r="F86" s="10"/>
      <c r="G86" s="10"/>
      <c r="H86" s="9"/>
      <c r="I86" s="9"/>
      <c r="J86" s="10"/>
      <c r="M86" s="9"/>
    </row>
    <row r="87" spans="3:13" x14ac:dyDescent="0.3">
      <c r="C87" s="11"/>
      <c r="D87" s="11"/>
      <c r="E87" s="11"/>
      <c r="F87" s="10"/>
      <c r="G87" s="10"/>
      <c r="H87" s="9"/>
      <c r="I87" s="9"/>
      <c r="J87" s="10"/>
      <c r="M87" s="9"/>
    </row>
    <row r="88" spans="3:13" x14ac:dyDescent="0.3">
      <c r="C88" s="11"/>
      <c r="D88" s="11"/>
      <c r="E88" s="11"/>
      <c r="F88" s="10"/>
      <c r="G88" s="10"/>
      <c r="H88" s="9"/>
      <c r="I88" s="9"/>
      <c r="J88" s="10"/>
      <c r="M88" s="9"/>
    </row>
    <row r="90" spans="3:13" x14ac:dyDescent="0.3">
      <c r="E90" s="3"/>
    </row>
    <row r="91" spans="3:13" x14ac:dyDescent="0.3">
      <c r="E91" s="3"/>
    </row>
    <row r="92" spans="3:13" x14ac:dyDescent="0.3">
      <c r="E92" s="3"/>
    </row>
    <row r="93" spans="3:13" x14ac:dyDescent="0.3">
      <c r="E93" s="3"/>
    </row>
    <row r="94" spans="3:13" x14ac:dyDescent="0.3">
      <c r="E94" s="3"/>
    </row>
    <row r="95" spans="3:13" x14ac:dyDescent="0.3">
      <c r="E95" s="3"/>
    </row>
    <row r="96" spans="3:13" x14ac:dyDescent="0.3">
      <c r="E96" s="3"/>
    </row>
    <row r="97" spans="5:5" x14ac:dyDescent="0.3">
      <c r="E97" s="3"/>
    </row>
    <row r="98" spans="5:5" x14ac:dyDescent="0.3">
      <c r="E98" s="3"/>
    </row>
    <row r="99" spans="5:5" x14ac:dyDescent="0.3">
      <c r="E99" s="3"/>
    </row>
    <row r="100" spans="5:5" x14ac:dyDescent="0.3">
      <c r="E100" s="3"/>
    </row>
    <row r="101" spans="5:5" x14ac:dyDescent="0.3">
      <c r="E101" s="3"/>
    </row>
    <row r="102" spans="5:5" x14ac:dyDescent="0.3">
      <c r="E102" s="3"/>
    </row>
    <row r="103" spans="5:5" x14ac:dyDescent="0.3">
      <c r="E103" s="3"/>
    </row>
    <row r="104" spans="5:5" x14ac:dyDescent="0.3">
      <c r="E104" s="3"/>
    </row>
    <row r="105" spans="5:5" x14ac:dyDescent="0.3">
      <c r="E105" s="3"/>
    </row>
    <row r="106" spans="5:5" x14ac:dyDescent="0.3">
      <c r="E106" s="3"/>
    </row>
    <row r="107" spans="5:5" x14ac:dyDescent="0.3">
      <c r="E107" s="3"/>
    </row>
    <row r="108" spans="5:5" x14ac:dyDescent="0.3">
      <c r="E108" s="3"/>
    </row>
    <row r="109" spans="5:5" x14ac:dyDescent="0.3">
      <c r="E109" s="3"/>
    </row>
    <row r="110" spans="5:5" x14ac:dyDescent="0.3">
      <c r="E110" s="3"/>
    </row>
    <row r="111" spans="5:5" x14ac:dyDescent="0.3">
      <c r="E111" s="3"/>
    </row>
    <row r="112" spans="5:5" x14ac:dyDescent="0.3">
      <c r="E112" s="3"/>
    </row>
    <row r="113" spans="5:5" x14ac:dyDescent="0.3">
      <c r="E113" s="3"/>
    </row>
    <row r="114" spans="5:5" x14ac:dyDescent="0.3">
      <c r="E114" s="3"/>
    </row>
    <row r="115" spans="5:5" x14ac:dyDescent="0.3">
      <c r="E115" s="3"/>
    </row>
    <row r="116" spans="5:5" x14ac:dyDescent="0.3">
      <c r="E116" s="3"/>
    </row>
    <row r="117" spans="5:5" x14ac:dyDescent="0.3">
      <c r="E117" s="3"/>
    </row>
    <row r="118" spans="5:5" x14ac:dyDescent="0.3">
      <c r="E118" s="3"/>
    </row>
    <row r="119" spans="5:5" x14ac:dyDescent="0.3">
      <c r="E119" s="3"/>
    </row>
    <row r="120" spans="5:5" x14ac:dyDescent="0.3">
      <c r="E120" s="3"/>
    </row>
    <row r="121" spans="5:5" x14ac:dyDescent="0.3">
      <c r="E121" s="3"/>
    </row>
    <row r="122" spans="5:5" x14ac:dyDescent="0.3">
      <c r="E122" s="3"/>
    </row>
    <row r="123" spans="5:5" x14ac:dyDescent="0.3">
      <c r="E123" s="3"/>
    </row>
    <row r="124" spans="5:5" x14ac:dyDescent="0.3">
      <c r="E124" s="3"/>
    </row>
    <row r="125" spans="5:5" x14ac:dyDescent="0.3">
      <c r="E125" s="3"/>
    </row>
    <row r="126" spans="5:5" x14ac:dyDescent="0.3">
      <c r="E126" s="3"/>
    </row>
    <row r="127" spans="5:5" x14ac:dyDescent="0.3">
      <c r="E127" s="3"/>
    </row>
    <row r="128" spans="5:5" x14ac:dyDescent="0.3">
      <c r="E128" s="3"/>
    </row>
    <row r="129" spans="5:5" x14ac:dyDescent="0.3">
      <c r="E129" s="3"/>
    </row>
    <row r="130" spans="5:5" x14ac:dyDescent="0.3">
      <c r="E130" s="3"/>
    </row>
    <row r="131" spans="5:5" x14ac:dyDescent="0.3">
      <c r="E131" s="3"/>
    </row>
    <row r="132" spans="5:5" x14ac:dyDescent="0.3">
      <c r="E132" s="3"/>
    </row>
    <row r="133" spans="5:5" x14ac:dyDescent="0.3">
      <c r="E133" s="3"/>
    </row>
    <row r="134" spans="5:5" x14ac:dyDescent="0.3">
      <c r="E134" s="3"/>
    </row>
    <row r="135" spans="5:5" x14ac:dyDescent="0.3">
      <c r="E135" s="3"/>
    </row>
    <row r="136" spans="5:5" x14ac:dyDescent="0.3">
      <c r="E136" s="3"/>
    </row>
  </sheetData>
  <mergeCells count="2">
    <mergeCell ref="I4:J4"/>
    <mergeCell ref="K4:L4"/>
  </mergeCells>
  <phoneticPr fontId="5" type="noConversion"/>
  <pageMargins left="0.7" right="0.7" top="0.75" bottom="0.75" header="0.3" footer="0.3"/>
  <pageSetup orientation="portrait" horizontalDpi="0" verticalDpi="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2F6E4-836F-D54D-ABB0-A8833131F43C}">
  <sheetPr codeName="Sheet4"/>
  <dimension ref="C1:T136"/>
  <sheetViews>
    <sheetView workbookViewId="0">
      <selection activeCell="G33" sqref="G33"/>
    </sheetView>
  </sheetViews>
  <sheetFormatPr baseColWidth="10" defaultRowHeight="22" x14ac:dyDescent="0.3"/>
  <cols>
    <col min="3" max="3" width="34.83203125" style="9" bestFit="1" customWidth="1"/>
    <col min="4" max="4" width="16.83203125" style="9" customWidth="1"/>
    <col min="5" max="5" width="16.6640625" style="9" bestFit="1" customWidth="1"/>
    <col min="6" max="6" width="13.1640625" style="9" bestFit="1" customWidth="1"/>
    <col min="7" max="7" width="11" style="9" customWidth="1"/>
    <col min="9" max="9" width="11" style="9" customWidth="1"/>
    <col min="10" max="10" width="20.5" bestFit="1" customWidth="1"/>
    <col min="11" max="11" width="15.1640625" bestFit="1" customWidth="1"/>
    <col min="12" max="12" width="11" style="9" customWidth="1"/>
    <col min="13" max="13" width="19.83203125" style="9" bestFit="1" customWidth="1"/>
    <col min="14" max="14" width="15" style="9" bestFit="1" customWidth="1"/>
    <col min="15" max="15" width="11" style="9" customWidth="1"/>
    <col min="19" max="19" width="15.1640625" bestFit="1" customWidth="1"/>
  </cols>
  <sheetData>
    <row r="1" spans="3:17" x14ac:dyDescent="0.3">
      <c r="C1" s="9" t="s">
        <v>3902</v>
      </c>
      <c r="D1" s="9" t="s">
        <v>3924</v>
      </c>
    </row>
    <row r="2" spans="3:17" x14ac:dyDescent="0.3">
      <c r="C2" s="9" t="s">
        <v>3904</v>
      </c>
      <c r="D2" s="9" t="s">
        <v>3923</v>
      </c>
    </row>
    <row r="3" spans="3:17" x14ac:dyDescent="0.3">
      <c r="C3" s="9" t="s">
        <v>3921</v>
      </c>
      <c r="D3" s="9" t="s">
        <v>3922</v>
      </c>
    </row>
    <row r="5" spans="3:17" x14ac:dyDescent="0.3">
      <c r="C5" s="13" t="s">
        <v>25</v>
      </c>
      <c r="D5" s="12" t="s">
        <v>13</v>
      </c>
      <c r="E5" s="12" t="s">
        <v>14</v>
      </c>
      <c r="F5" s="12" t="s">
        <v>15</v>
      </c>
      <c r="G5" s="12" t="s">
        <v>21</v>
      </c>
      <c r="H5" s="13" t="s">
        <v>12</v>
      </c>
      <c r="I5" s="12" t="s">
        <v>22</v>
      </c>
      <c r="J5" s="13" t="s">
        <v>3926</v>
      </c>
      <c r="K5" s="13" t="s">
        <v>3909</v>
      </c>
      <c r="L5" s="12" t="s">
        <v>23</v>
      </c>
      <c r="M5" s="13" t="s">
        <v>3927</v>
      </c>
      <c r="N5" s="13" t="s">
        <v>3928</v>
      </c>
      <c r="O5" s="12" t="s">
        <v>3925</v>
      </c>
      <c r="P5" s="12" t="s">
        <v>3903</v>
      </c>
      <c r="Q5" s="13" t="s">
        <v>3931</v>
      </c>
    </row>
    <row r="6" spans="3:17" hidden="1" x14ac:dyDescent="0.3">
      <c r="C6" s="9" t="s">
        <v>16</v>
      </c>
      <c r="D6" s="11">
        <v>13593032</v>
      </c>
      <c r="E6" s="11">
        <v>669183050</v>
      </c>
      <c r="F6" s="11">
        <v>1052326</v>
      </c>
      <c r="G6" s="10"/>
      <c r="H6" s="28" t="s">
        <v>3902</v>
      </c>
      <c r="I6" s="10"/>
      <c r="J6" s="28" t="s">
        <v>3902</v>
      </c>
      <c r="K6" s="28" t="s">
        <v>3902</v>
      </c>
      <c r="L6" s="10"/>
      <c r="M6" s="10" t="str">
        <f>IFERROR(Table21232425[[#This Row],[AIMD]]/Table21232425[[#This Row],[Ours-One-warp]], "NONE")</f>
        <v>NONE</v>
      </c>
      <c r="N6" s="10" t="str">
        <f>IFERROR(Table21232425[[#This Row],[AIMD]]/Table21232425[[#This Row],[Ours]], "NONE")</f>
        <v>NONE</v>
      </c>
      <c r="O6" s="10"/>
      <c r="P6" s="9"/>
      <c r="Q6" s="33"/>
    </row>
    <row r="7" spans="3:17" hidden="1" x14ac:dyDescent="0.3">
      <c r="C7" s="9" t="s">
        <v>3901</v>
      </c>
      <c r="D7" s="11">
        <v>18483186</v>
      </c>
      <c r="E7" s="11">
        <v>523574516</v>
      </c>
      <c r="F7" s="11">
        <v>194955</v>
      </c>
      <c r="G7" s="10"/>
      <c r="H7" s="28" t="s">
        <v>3902</v>
      </c>
      <c r="I7" s="10"/>
      <c r="J7" s="28" t="s">
        <v>3902</v>
      </c>
      <c r="K7" s="28" t="s">
        <v>3902</v>
      </c>
      <c r="L7" s="10"/>
      <c r="M7" s="10" t="str">
        <f>IFERROR(Table21232425[[#This Row],[AIMD]]/Table21232425[[#This Row],[Ours-One-warp]], "NONE")</f>
        <v>NONE</v>
      </c>
      <c r="N7" s="10" t="str">
        <f>IFERROR(Table21232425[[#This Row],[AIMD]]/Table21232425[[#This Row],[Ours]], "NONE")</f>
        <v>NONE</v>
      </c>
      <c r="O7" s="10"/>
      <c r="P7" s="9"/>
      <c r="Q7" s="33"/>
    </row>
    <row r="8" spans="3:17" hidden="1" x14ac:dyDescent="0.3">
      <c r="C8" s="11" t="s">
        <v>1460</v>
      </c>
      <c r="D8" s="11">
        <v>4512099</v>
      </c>
      <c r="E8" s="11">
        <v>163921732</v>
      </c>
      <c r="F8" s="11">
        <v>288044</v>
      </c>
      <c r="G8" s="10"/>
      <c r="H8" s="28" t="s">
        <v>3902</v>
      </c>
      <c r="I8" s="10"/>
      <c r="J8" s="28" t="s">
        <v>3902</v>
      </c>
      <c r="K8" s="28" t="s">
        <v>3902</v>
      </c>
      <c r="L8" s="10"/>
      <c r="M8" s="10" t="str">
        <f>IFERROR(Table21232425[[#This Row],[AIMD]]/Table21232425[[#This Row],[Ours-One-warp]], "NONE")</f>
        <v>NONE</v>
      </c>
      <c r="N8" s="10" t="str">
        <f>IFERROR(Table21232425[[#This Row],[AIMD]]/Table21232425[[#This Row],[Ours]], "NONE")</f>
        <v>NONE</v>
      </c>
      <c r="O8" s="10"/>
      <c r="P8" s="9"/>
      <c r="Q8" s="33"/>
    </row>
    <row r="9" spans="3:17" hidden="1" x14ac:dyDescent="0.3">
      <c r="C9" s="9" t="s">
        <v>3900</v>
      </c>
      <c r="D9" s="11">
        <v>1069126</v>
      </c>
      <c r="E9" s="11">
        <v>112613306</v>
      </c>
      <c r="F9" s="11">
        <v>11467</v>
      </c>
      <c r="G9" s="10"/>
      <c r="H9" s="28" t="s">
        <v>3902</v>
      </c>
      <c r="I9" s="10"/>
      <c r="J9" s="28" t="s">
        <v>3902</v>
      </c>
      <c r="K9" s="28" t="s">
        <v>3902</v>
      </c>
      <c r="L9" s="10"/>
      <c r="M9" s="10" t="str">
        <f>IFERROR(Table21232425[[#This Row],[AIMD]]/Table21232425[[#This Row],[Ours-One-warp]], "NONE")</f>
        <v>NONE</v>
      </c>
      <c r="N9" s="10" t="str">
        <f>IFERROR(Table21232425[[#This Row],[AIMD]]/Table21232425[[#This Row],[Ours]], "NONE")</f>
        <v>NONE</v>
      </c>
      <c r="O9" s="10"/>
      <c r="P9" s="9"/>
      <c r="Q9" s="33"/>
    </row>
    <row r="10" spans="3:17" hidden="1" x14ac:dyDescent="0.3">
      <c r="C10" s="9" t="s">
        <v>1427</v>
      </c>
      <c r="D10" s="11">
        <v>2105723</v>
      </c>
      <c r="E10" s="11">
        <v>100093818</v>
      </c>
      <c r="F10" s="11">
        <v>218818</v>
      </c>
      <c r="G10" s="10"/>
      <c r="H10" s="28" t="s">
        <v>3902</v>
      </c>
      <c r="I10" s="10"/>
      <c r="J10" s="28" t="s">
        <v>3902</v>
      </c>
      <c r="K10" s="28" t="s">
        <v>3902</v>
      </c>
      <c r="L10" s="10"/>
      <c r="M10" s="10" t="str">
        <f>IFERROR(Table21232425[[#This Row],[AIMD]]/Table21232425[[#This Row],[Ours-One-warp]], "NONE")</f>
        <v>NONE</v>
      </c>
      <c r="N10" s="10" t="str">
        <f>IFERROR(Table21232425[[#This Row],[AIMD]]/Table21232425[[#This Row],[Ours]], "NONE")</f>
        <v>NONE</v>
      </c>
      <c r="O10" s="10"/>
      <c r="P10" s="9"/>
      <c r="Q10" s="33"/>
    </row>
    <row r="11" spans="3:17" hidden="1" x14ac:dyDescent="0.3">
      <c r="C11" s="11" t="s">
        <v>1424</v>
      </c>
      <c r="D11" s="11">
        <v>2302925</v>
      </c>
      <c r="E11" s="11">
        <v>45676552</v>
      </c>
      <c r="F11" s="11">
        <v>27937</v>
      </c>
      <c r="G11" s="10"/>
      <c r="H11" s="28" t="s">
        <v>3902</v>
      </c>
      <c r="I11" s="10"/>
      <c r="J11" s="28" t="s">
        <v>3902</v>
      </c>
      <c r="K11" s="28" t="s">
        <v>3902</v>
      </c>
      <c r="L11" s="10"/>
      <c r="M11" s="10" t="str">
        <f>IFERROR(Table21232425[[#This Row],[AIMD]]/Table21232425[[#This Row],[Ours-One-warp]], "NONE")</f>
        <v>NONE</v>
      </c>
      <c r="N11" s="10" t="str">
        <f>IFERROR(Table21232425[[#This Row],[AIMD]]/Table21232425[[#This Row],[Ours]], "NONE")</f>
        <v>NONE</v>
      </c>
      <c r="O11" s="10"/>
      <c r="P11" s="9"/>
      <c r="Q11" s="33"/>
    </row>
    <row r="12" spans="3:17" hidden="1" x14ac:dyDescent="0.3">
      <c r="C12" s="11" t="s">
        <v>1465</v>
      </c>
      <c r="D12" s="11">
        <v>68349466</v>
      </c>
      <c r="E12" s="11">
        <v>3623698684</v>
      </c>
      <c r="F12" s="11">
        <v>5214</v>
      </c>
      <c r="G12" s="10"/>
      <c r="H12" s="28" t="s">
        <v>3904</v>
      </c>
      <c r="I12" s="10"/>
      <c r="J12" s="28" t="s">
        <v>3904</v>
      </c>
      <c r="K12" s="28" t="s">
        <v>3904</v>
      </c>
      <c r="L12" s="10"/>
      <c r="M12" s="10" t="str">
        <f>IFERROR(Table21232425[[#This Row],[AIMD]]/Table21232425[[#This Row],[Ours-One-warp]], "NONE")</f>
        <v>NONE</v>
      </c>
      <c r="N12" s="10" t="str">
        <f>IFERROR(Table21232425[[#This Row],[AIMD]]/Table21232425[[#This Row],[Ours]], "NONE")</f>
        <v>NONE</v>
      </c>
      <c r="O12" s="10"/>
      <c r="P12" s="9"/>
      <c r="Q12" s="33"/>
    </row>
    <row r="13" spans="3:17" hidden="1" x14ac:dyDescent="0.3">
      <c r="C13" s="9" t="s">
        <v>3914</v>
      </c>
      <c r="D13" s="11">
        <v>147925593</v>
      </c>
      <c r="E13" s="11">
        <v>893533906</v>
      </c>
      <c r="F13" s="11">
        <v>308477</v>
      </c>
      <c r="G13" s="10"/>
      <c r="H13" s="28" t="s">
        <v>3904</v>
      </c>
      <c r="I13" s="10"/>
      <c r="J13" s="28" t="s">
        <v>3904</v>
      </c>
      <c r="K13" s="28" t="s">
        <v>3904</v>
      </c>
      <c r="L13" s="10"/>
      <c r="M13" s="10" t="str">
        <f>IFERROR(Table21232425[[#This Row],[AIMD]]/Table21232425[[#This Row],[Ours-One-warp]], "NONE")</f>
        <v>NONE</v>
      </c>
      <c r="N13" s="10" t="str">
        <f>IFERROR(Table21232425[[#This Row],[AIMD]]/Table21232425[[#This Row],[Ours]], "NONE")</f>
        <v>NONE</v>
      </c>
      <c r="O13" s="10"/>
      <c r="P13" s="9"/>
      <c r="Q13" s="33"/>
    </row>
    <row r="14" spans="3:17" hidden="1" x14ac:dyDescent="0.3">
      <c r="C14" s="11" t="s">
        <v>1417</v>
      </c>
      <c r="D14" s="11">
        <v>5203763</v>
      </c>
      <c r="E14" s="11">
        <v>97419242</v>
      </c>
      <c r="F14" s="11">
        <v>15016</v>
      </c>
      <c r="G14" s="10"/>
      <c r="H14" s="28" t="s">
        <v>3921</v>
      </c>
      <c r="I14" s="10"/>
      <c r="J14" s="28" t="s">
        <v>3921</v>
      </c>
      <c r="K14" s="28" t="s">
        <v>3921</v>
      </c>
      <c r="L14" s="10"/>
      <c r="M14" s="10" t="str">
        <f>IFERROR(Table21232425[[#This Row],[AIMD]]/Table21232425[[#This Row],[Ours-One-warp]], "NONE")</f>
        <v>NONE</v>
      </c>
      <c r="N14" s="10" t="str">
        <f>IFERROR(Table21232425[[#This Row],[AIMD]]/Table21232425[[#This Row],[Ours]], "NONE")</f>
        <v>NONE</v>
      </c>
      <c r="O14" s="10"/>
      <c r="P14" s="9"/>
      <c r="Q14" s="33"/>
    </row>
    <row r="15" spans="3:17" hidden="1" x14ac:dyDescent="0.3">
      <c r="C15" s="11" t="s">
        <v>1435</v>
      </c>
      <c r="D15" s="11">
        <v>4846609</v>
      </c>
      <c r="E15" s="11">
        <v>85702474</v>
      </c>
      <c r="F15" s="11">
        <v>20333</v>
      </c>
      <c r="G15" s="10"/>
      <c r="H15" s="28" t="s">
        <v>3921</v>
      </c>
      <c r="I15" s="10"/>
      <c r="J15" s="28" t="s">
        <v>3921</v>
      </c>
      <c r="K15" s="28" t="s">
        <v>3921</v>
      </c>
      <c r="L15" s="10"/>
      <c r="M15" s="10" t="str">
        <f>IFERROR(Table21232425[[#This Row],[AIMD]]/Table21232425[[#This Row],[Ours-One-warp]], "NONE")</f>
        <v>NONE</v>
      </c>
      <c r="N15" s="10" t="str">
        <f>IFERROR(Table21232425[[#This Row],[AIMD]]/Table21232425[[#This Row],[Ours]], "NONE")</f>
        <v>NONE</v>
      </c>
      <c r="O15" s="10"/>
      <c r="P15" s="9"/>
      <c r="Q15" s="33"/>
    </row>
    <row r="16" spans="3:17" x14ac:dyDescent="0.3">
      <c r="C16" s="9" t="s">
        <v>1452</v>
      </c>
      <c r="D16" s="11">
        <v>3175009</v>
      </c>
      <c r="E16" s="11">
        <v>206621674</v>
      </c>
      <c r="F16" s="11">
        <v>369566</v>
      </c>
      <c r="G16" s="10"/>
      <c r="H16" s="15">
        <v>433.71</v>
      </c>
      <c r="I16" s="10"/>
      <c r="J16" s="19">
        <v>629.57899999999995</v>
      </c>
      <c r="K16" s="19">
        <v>571.94399999999996</v>
      </c>
      <c r="L16" s="10"/>
      <c r="M16" s="10">
        <f>IFERROR(Table21232425[[#This Row],[AIMD]]/Table21232425[[#This Row],[Ours-One-warp]], "NONE")</f>
        <v>0.6888889241858448</v>
      </c>
      <c r="N16" s="10">
        <f>IFERROR(Table21232425[[#This Row],[AIMD]]/Table21232425[[#This Row],[Ours]], "NONE")</f>
        <v>0.75830850572783348</v>
      </c>
      <c r="O16" s="10"/>
      <c r="P16" s="15">
        <v>836.28399999999999</v>
      </c>
      <c r="Q16" s="33">
        <v>1322.42</v>
      </c>
    </row>
    <row r="17" spans="3:17" x14ac:dyDescent="0.3">
      <c r="C17" s="9" t="s">
        <v>1443</v>
      </c>
      <c r="D17" s="16">
        <v>3924218</v>
      </c>
      <c r="E17" s="16">
        <v>152878772</v>
      </c>
      <c r="F17" s="16">
        <v>254555</v>
      </c>
      <c r="G17" s="18"/>
      <c r="H17" s="15">
        <v>503.75700000000001</v>
      </c>
      <c r="I17" s="18"/>
      <c r="J17" s="19">
        <v>481.62099999999998</v>
      </c>
      <c r="K17" s="19">
        <v>509.07900000000001</v>
      </c>
      <c r="L17" s="18"/>
      <c r="M17" s="18">
        <f>IFERROR(Table21232425[[#This Row],[AIMD]]/Table21232425[[#This Row],[Ours-One-warp]], "NONE")</f>
        <v>1.0459614510164632</v>
      </c>
      <c r="N17" s="18">
        <f>IFERROR(Table21232425[[#This Row],[AIMD]]/Table21232425[[#This Row],[Ours]], "NONE")</f>
        <v>0.989545826875593</v>
      </c>
      <c r="O17" s="18"/>
      <c r="P17" s="15">
        <v>1005.5</v>
      </c>
      <c r="Q17" s="33">
        <v>985.89300000000003</v>
      </c>
    </row>
    <row r="18" spans="3:17" x14ac:dyDescent="0.3">
      <c r="C18" s="9" t="s">
        <v>1451</v>
      </c>
      <c r="D18" s="16">
        <v>3333397</v>
      </c>
      <c r="E18" s="16">
        <v>200923810</v>
      </c>
      <c r="F18" s="16">
        <v>399358</v>
      </c>
      <c r="G18" s="18"/>
      <c r="H18" s="15">
        <v>295.84699999999998</v>
      </c>
      <c r="I18" s="18"/>
      <c r="J18" s="19">
        <v>257.08</v>
      </c>
      <c r="K18" s="19">
        <v>254.99</v>
      </c>
      <c r="L18" s="18"/>
      <c r="M18" s="18">
        <f>IFERROR(Table21232425[[#This Row],[AIMD]]/Table21232425[[#This Row],[Ours-One-warp]], "NONE")</f>
        <v>1.1507974171464135</v>
      </c>
      <c r="N18" s="18">
        <f>IFERROR(Table21232425[[#This Row],[AIMD]]/Table21232425[[#This Row],[Ours]], "NONE")</f>
        <v>1.1602298129338404</v>
      </c>
      <c r="O18" s="18"/>
      <c r="P18" s="15">
        <v>778.149</v>
      </c>
      <c r="Q18" s="33">
        <v>639.35599999999999</v>
      </c>
    </row>
    <row r="19" spans="3:17" x14ac:dyDescent="0.3">
      <c r="C19" s="9" t="s">
        <v>3915</v>
      </c>
      <c r="D19" s="11">
        <v>25921548</v>
      </c>
      <c r="E19" s="11">
        <v>1086367222</v>
      </c>
      <c r="F19" s="11">
        <v>4271341</v>
      </c>
      <c r="G19" s="10"/>
      <c r="H19" s="15">
        <v>156.58000000000001</v>
      </c>
      <c r="I19" s="10"/>
      <c r="J19" s="28">
        <v>160.22999999999999</v>
      </c>
      <c r="K19" s="19">
        <v>155.38999999999999</v>
      </c>
      <c r="L19" s="10"/>
      <c r="M19" s="10">
        <f>IFERROR(Table21232425[[#This Row],[AIMD]]/Table21232425[[#This Row],[Ours-One-warp]], "NONE")</f>
        <v>0.9772202458965239</v>
      </c>
      <c r="N19" s="10">
        <f>IFERROR(Table21232425[[#This Row],[AIMD]]/Table21232425[[#This Row],[Ours]], "NONE")</f>
        <v>1.0076581504601327</v>
      </c>
      <c r="O19" s="10"/>
      <c r="P19" s="15">
        <v>205.16499999999999</v>
      </c>
      <c r="Q19" s="33">
        <v>685.84</v>
      </c>
    </row>
    <row r="20" spans="3:17" x14ac:dyDescent="0.3">
      <c r="C20" s="9" t="s">
        <v>10</v>
      </c>
      <c r="D20" s="16">
        <v>3603726</v>
      </c>
      <c r="E20" s="16">
        <v>155093964</v>
      </c>
      <c r="F20" s="16">
        <v>434234</v>
      </c>
      <c r="G20" s="18"/>
      <c r="H20" s="15">
        <v>128.65700000000001</v>
      </c>
      <c r="I20" s="18"/>
      <c r="J20" s="19">
        <v>133.37799999999999</v>
      </c>
      <c r="K20" s="19">
        <v>139.61199999999999</v>
      </c>
      <c r="L20" s="18"/>
      <c r="M20" s="18">
        <f>IFERROR(Table21232425[[#This Row],[AIMD]]/Table21232425[[#This Row],[Ours-One-warp]], "NONE")</f>
        <v>0.96460435754022422</v>
      </c>
      <c r="N20" s="18">
        <f>IFERROR(Table21232425[[#This Row],[AIMD]]/Table21232425[[#This Row],[Ours]], "NONE")</f>
        <v>0.92153253302008431</v>
      </c>
      <c r="O20" s="18"/>
      <c r="P20" s="15">
        <v>466.97399999999999</v>
      </c>
      <c r="Q20" s="33">
        <v>284.089</v>
      </c>
    </row>
    <row r="21" spans="3:17" x14ac:dyDescent="0.3">
      <c r="C21" s="11" t="s">
        <v>6</v>
      </c>
      <c r="D21" s="16">
        <v>3072441</v>
      </c>
      <c r="E21" s="16">
        <v>234369798</v>
      </c>
      <c r="F21" s="16">
        <v>33313</v>
      </c>
      <c r="G21" s="18"/>
      <c r="H21" s="15">
        <v>123.38200000000001</v>
      </c>
      <c r="I21" s="18"/>
      <c r="J21" s="19">
        <v>111.937</v>
      </c>
      <c r="K21" s="19">
        <v>104.955</v>
      </c>
      <c r="L21" s="18"/>
      <c r="M21" s="18">
        <f>IFERROR(Table21232425[[#This Row],[AIMD]]/Table21232425[[#This Row],[Ours-One-warp]], "NONE")</f>
        <v>1.1022450128197112</v>
      </c>
      <c r="N21" s="18">
        <f>IFERROR(Table21232425[[#This Row],[AIMD]]/Table21232425[[#This Row],[Ours]], "NONE")</f>
        <v>1.1755704825877757</v>
      </c>
      <c r="O21" s="18"/>
      <c r="P21" s="15">
        <v>321.03800000000001</v>
      </c>
      <c r="Q21" s="33">
        <v>241.38399999999999</v>
      </c>
    </row>
    <row r="22" spans="3:17" x14ac:dyDescent="0.3">
      <c r="C22" s="11" t="s">
        <v>1455</v>
      </c>
      <c r="D22" s="16">
        <v>8833229</v>
      </c>
      <c r="E22" s="16">
        <v>105882456</v>
      </c>
      <c r="F22" s="16">
        <v>2126384</v>
      </c>
      <c r="G22" s="17"/>
      <c r="H22" s="15">
        <v>132.17699999999999</v>
      </c>
      <c r="I22" s="17"/>
      <c r="J22" s="19">
        <v>104.495</v>
      </c>
      <c r="K22" s="19">
        <v>108.405</v>
      </c>
      <c r="L22" s="17"/>
      <c r="M22" s="17">
        <f>IFERROR(Table21232425[[#This Row],[AIMD]]/Table21232425[[#This Row],[Ours-One-warp]], "NONE")</f>
        <v>1.2649121967558254</v>
      </c>
      <c r="N22" s="17">
        <f>IFERROR(Table21232425[[#This Row],[AIMD]]/Table21232425[[#This Row],[Ours]], "NONE")</f>
        <v>1.2192887781928876</v>
      </c>
      <c r="O22" s="17"/>
      <c r="P22" s="15">
        <v>352.642</v>
      </c>
      <c r="Q22" s="33">
        <v>219.072</v>
      </c>
    </row>
    <row r="23" spans="3:17" x14ac:dyDescent="0.3">
      <c r="C23" s="11" t="s">
        <v>3</v>
      </c>
      <c r="D23" s="16">
        <v>2212663</v>
      </c>
      <c r="E23" s="16">
        <v>58330960</v>
      </c>
      <c r="F23" s="16">
        <v>137021</v>
      </c>
      <c r="G23" s="17"/>
      <c r="H23" s="15">
        <v>77.793899999999994</v>
      </c>
      <c r="I23" s="17"/>
      <c r="J23" s="19">
        <v>80.452799999999996</v>
      </c>
      <c r="K23" s="19">
        <v>76.601699999999994</v>
      </c>
      <c r="L23" s="17"/>
      <c r="M23" s="17">
        <f>IFERROR(Table21232425[[#This Row],[AIMD]]/Table21232425[[#This Row],[Ours-One-warp]], "NONE")</f>
        <v>0.96695080842431835</v>
      </c>
      <c r="N23" s="17">
        <f>IFERROR(Table21232425[[#This Row],[AIMD]]/Table21232425[[#This Row],[Ours]], "NONE")</f>
        <v>1.0155636232616247</v>
      </c>
      <c r="O23" s="17"/>
      <c r="P23" s="15">
        <v>212.24199999999999</v>
      </c>
      <c r="Q23" s="33">
        <v>174.30099999999999</v>
      </c>
    </row>
    <row r="24" spans="3:17" x14ac:dyDescent="0.3">
      <c r="C24" s="9" t="s">
        <v>1442</v>
      </c>
      <c r="D24" s="16">
        <v>3370462</v>
      </c>
      <c r="E24" s="16">
        <v>143901836</v>
      </c>
      <c r="F24" s="16">
        <v>282591</v>
      </c>
      <c r="G24" s="18"/>
      <c r="H24" s="15">
        <v>56.991799999999998</v>
      </c>
      <c r="I24" s="18"/>
      <c r="J24" s="19">
        <v>76.153499999999994</v>
      </c>
      <c r="K24" s="19">
        <v>86.468400000000003</v>
      </c>
      <c r="L24" s="18"/>
      <c r="M24" s="18">
        <f>IFERROR(Table21232425[[#This Row],[AIMD]]/Table21232425[[#This Row],[Ours-One-warp]], "NONE")</f>
        <v>0.748380573447051</v>
      </c>
      <c r="N24" s="18">
        <f>IFERROR(Table21232425[[#This Row],[AIMD]]/Table21232425[[#This Row],[Ours]], "NONE")</f>
        <v>0.65910552294248526</v>
      </c>
      <c r="O24" s="18"/>
      <c r="P24" s="15">
        <v>434.39600000000002</v>
      </c>
      <c r="Q24" s="33">
        <v>191.364</v>
      </c>
    </row>
    <row r="25" spans="3:17" x14ac:dyDescent="0.3">
      <c r="C25" s="11" t="s">
        <v>1456</v>
      </c>
      <c r="D25" s="16">
        <v>5829441</v>
      </c>
      <c r="E25" s="16">
        <v>110439216</v>
      </c>
      <c r="F25" s="16">
        <v>818185</v>
      </c>
      <c r="G25" s="17"/>
      <c r="H25" s="15">
        <v>108.977</v>
      </c>
      <c r="I25" s="17"/>
      <c r="J25" s="19">
        <v>72.777799999999999</v>
      </c>
      <c r="K25" s="19">
        <v>68.522300000000001</v>
      </c>
      <c r="L25" s="17"/>
      <c r="M25" s="17">
        <f>IFERROR(Table21232425[[#This Row],[AIMD]]/Table21232425[[#This Row],[Ours-One-warp]], "NONE")</f>
        <v>1.4973934359104013</v>
      </c>
      <c r="N25" s="17">
        <f>IFERROR(Table21232425[[#This Row],[AIMD]]/Table21232425[[#This Row],[Ours]], "NONE")</f>
        <v>1.5903873629460774</v>
      </c>
      <c r="O25" s="17"/>
      <c r="P25" s="15">
        <v>241.34899999999999</v>
      </c>
      <c r="Q25" s="33">
        <v>155.297</v>
      </c>
    </row>
    <row r="26" spans="3:17" x14ac:dyDescent="0.3">
      <c r="C26" s="9" t="s">
        <v>18</v>
      </c>
      <c r="D26" s="16">
        <v>27665730</v>
      </c>
      <c r="E26" s="16">
        <v>281227494</v>
      </c>
      <c r="F26" s="16">
        <v>11571953</v>
      </c>
      <c r="G26" s="17"/>
      <c r="H26" s="15">
        <v>106.57</v>
      </c>
      <c r="I26" s="17"/>
      <c r="J26" s="19">
        <v>67.181799999999996</v>
      </c>
      <c r="K26" s="19">
        <v>28.100999999999999</v>
      </c>
      <c r="L26" s="17"/>
      <c r="M26" s="17">
        <f>IFERROR(Table21232425[[#This Row],[AIMD]]/Table21232425[[#This Row],[Ours-One-warp]], "NONE")</f>
        <v>1.5862927161820612</v>
      </c>
      <c r="N26" s="17">
        <f>IFERROR(Table21232425[[#This Row],[AIMD]]/Table21232425[[#This Row],[Ours]], "NONE")</f>
        <v>3.7923917298316785</v>
      </c>
      <c r="O26" s="17"/>
      <c r="P26" s="15">
        <v>163.54599999999999</v>
      </c>
      <c r="Q26" s="33">
        <v>123.282</v>
      </c>
    </row>
    <row r="27" spans="3:17" x14ac:dyDescent="0.3">
      <c r="C27" s="9" t="s">
        <v>1446</v>
      </c>
      <c r="D27" s="16">
        <v>6100692</v>
      </c>
      <c r="E27" s="16">
        <v>199729748</v>
      </c>
      <c r="F27" s="16">
        <v>2732817</v>
      </c>
      <c r="G27" s="17"/>
      <c r="H27" s="15">
        <v>85.815799999999996</v>
      </c>
      <c r="I27" s="17"/>
      <c r="J27" s="19">
        <v>62.780299999999997</v>
      </c>
      <c r="K27" s="19">
        <v>57.5428</v>
      </c>
      <c r="L27" s="17"/>
      <c r="M27" s="17">
        <f>IFERROR(Table21232425[[#This Row],[AIMD]]/Table21232425[[#This Row],[Ours-One-warp]], "NONE")</f>
        <v>1.3669224263025184</v>
      </c>
      <c r="N27" s="17">
        <f>IFERROR(Table21232425[[#This Row],[AIMD]]/Table21232425[[#This Row],[Ours]], "NONE")</f>
        <v>1.4913386209916792</v>
      </c>
      <c r="O27" s="17"/>
      <c r="P27" s="15">
        <v>141.66999999999999</v>
      </c>
      <c r="Q27" s="33">
        <v>115.997</v>
      </c>
    </row>
    <row r="28" spans="3:17" x14ac:dyDescent="0.3">
      <c r="C28" s="9" t="s">
        <v>3913</v>
      </c>
      <c r="D28" s="11">
        <v>58655849</v>
      </c>
      <c r="E28" s="11">
        <v>522642066</v>
      </c>
      <c r="F28" s="11">
        <v>278489</v>
      </c>
      <c r="G28" s="10"/>
      <c r="H28" s="15">
        <v>105.771</v>
      </c>
      <c r="I28" s="10"/>
      <c r="J28" s="19">
        <v>50.6402</v>
      </c>
      <c r="K28" s="19">
        <v>47.923400000000001</v>
      </c>
      <c r="L28" s="10"/>
      <c r="M28" s="10">
        <f>IFERROR(Table21232425[[#This Row],[AIMD]]/Table21232425[[#This Row],[Ours-One-warp]], "NONE")</f>
        <v>2.0886765850055884</v>
      </c>
      <c r="N28" s="10">
        <f>IFERROR(Table21232425[[#This Row],[AIMD]]/Table21232425[[#This Row],[Ours]], "NONE")</f>
        <v>2.2070846392367822</v>
      </c>
      <c r="O28" s="10"/>
      <c r="P28" s="15">
        <v>260.69499999999999</v>
      </c>
      <c r="Q28" s="33">
        <v>117.496</v>
      </c>
    </row>
    <row r="29" spans="3:17" x14ac:dyDescent="0.3">
      <c r="C29" s="11" t="s">
        <v>7</v>
      </c>
      <c r="D29" s="16">
        <v>2584164</v>
      </c>
      <c r="E29" s="16">
        <v>56367036</v>
      </c>
      <c r="F29" s="16">
        <v>44065</v>
      </c>
      <c r="G29" s="18"/>
      <c r="H29" s="15">
        <v>27.8721</v>
      </c>
      <c r="I29" s="18"/>
      <c r="J29" s="19">
        <v>49.518799999999999</v>
      </c>
      <c r="K29" s="19">
        <v>53.0075</v>
      </c>
      <c r="L29" s="18"/>
      <c r="M29" s="18">
        <f>IFERROR(Table21232425[[#This Row],[AIMD]]/Table21232425[[#This Row],[Ours-One-warp]], "NONE")</f>
        <v>0.56285895457886703</v>
      </c>
      <c r="N29" s="18">
        <f>IFERROR(Table21232425[[#This Row],[AIMD]]/Table21232425[[#This Row],[Ours]], "NONE")</f>
        <v>0.52581427156534455</v>
      </c>
      <c r="O29" s="18"/>
      <c r="P29" s="15">
        <v>174.28800000000001</v>
      </c>
      <c r="Q29" s="33">
        <v>107.232</v>
      </c>
    </row>
    <row r="30" spans="3:17" x14ac:dyDescent="0.3">
      <c r="C30" s="11" t="s">
        <v>1450</v>
      </c>
      <c r="D30" s="16">
        <v>5867547</v>
      </c>
      <c r="E30" s="16">
        <v>61171040</v>
      </c>
      <c r="F30" s="16">
        <v>959344</v>
      </c>
      <c r="G30" s="17"/>
      <c r="H30" s="15">
        <v>25.8689</v>
      </c>
      <c r="I30" s="17"/>
      <c r="J30" s="19">
        <v>43.008299999999998</v>
      </c>
      <c r="K30" s="19">
        <v>40.727499999999999</v>
      </c>
      <c r="L30" s="17"/>
      <c r="M30" s="17">
        <f>IFERROR(Table21232425[[#This Row],[AIMD]]/Table21232425[[#This Row],[Ours-One-warp]], "NONE")</f>
        <v>0.60148622475196656</v>
      </c>
      <c r="N30" s="17">
        <f>IFERROR(Table21232425[[#This Row],[AIMD]]/Table21232425[[#This Row],[Ours]], "NONE")</f>
        <v>0.6351703394512308</v>
      </c>
      <c r="O30" s="17"/>
      <c r="P30" s="15">
        <v>147.637</v>
      </c>
      <c r="Q30" s="33">
        <v>87.925899999999999</v>
      </c>
    </row>
    <row r="31" spans="3:17" x14ac:dyDescent="0.3">
      <c r="C31" s="9" t="s">
        <v>1445</v>
      </c>
      <c r="D31" s="16">
        <v>2148791</v>
      </c>
      <c r="E31" s="16">
        <v>155750262</v>
      </c>
      <c r="F31" s="16">
        <v>286585</v>
      </c>
      <c r="G31" s="17"/>
      <c r="H31" s="15">
        <v>51.270299999999999</v>
      </c>
      <c r="I31" s="17"/>
      <c r="J31" s="19">
        <v>37.480699999999999</v>
      </c>
      <c r="K31" s="19">
        <v>37.569600000000001</v>
      </c>
      <c r="L31" s="17"/>
      <c r="M31" s="17">
        <f>IFERROR(Table21232425[[#This Row],[AIMD]]/Table21232425[[#This Row],[Ours-One-warp]], "NONE")</f>
        <v>1.3679120187189673</v>
      </c>
      <c r="N31" s="17">
        <f>IFERROR(Table21232425[[#This Row],[AIMD]]/Table21232425[[#This Row],[Ours]], "NONE")</f>
        <v>1.3646751628976619</v>
      </c>
      <c r="O31" s="17"/>
      <c r="P31" s="15">
        <v>104.747</v>
      </c>
      <c r="Q31" s="33">
        <v>129.28899999999999</v>
      </c>
    </row>
    <row r="32" spans="3:17" x14ac:dyDescent="0.3">
      <c r="C32" s="9" t="s">
        <v>1422</v>
      </c>
      <c r="D32" s="16">
        <v>2622756</v>
      </c>
      <c r="E32" s="16">
        <v>94934908</v>
      </c>
      <c r="F32" s="16">
        <v>900354</v>
      </c>
      <c r="G32" s="17"/>
      <c r="H32" s="15">
        <v>35.748100000000001</v>
      </c>
      <c r="I32" s="17"/>
      <c r="J32" s="19">
        <v>30.4468</v>
      </c>
      <c r="K32" s="19">
        <v>28.107399999999998</v>
      </c>
      <c r="L32" s="17"/>
      <c r="M32" s="17">
        <f>IFERROR(Table21232425[[#This Row],[AIMD]]/Table21232425[[#This Row],[Ours-One-warp]], "NONE")</f>
        <v>1.1741168201584404</v>
      </c>
      <c r="N32" s="17">
        <f>IFERROR(Table21232425[[#This Row],[AIMD]]/Table21232425[[#This Row],[Ours]], "NONE")</f>
        <v>1.2718394444167729</v>
      </c>
      <c r="O32" s="17"/>
      <c r="P32" s="15">
        <v>63.441899999999997</v>
      </c>
      <c r="Q32" s="33">
        <v>75.4559</v>
      </c>
    </row>
    <row r="33" spans="3:17" x14ac:dyDescent="0.3">
      <c r="C33" s="9" t="s">
        <v>3916</v>
      </c>
      <c r="D33" s="11">
        <v>8730857</v>
      </c>
      <c r="E33" s="11">
        <v>654072972</v>
      </c>
      <c r="F33" s="11">
        <v>318268</v>
      </c>
      <c r="G33" s="10"/>
      <c r="H33" s="15">
        <v>96.2864</v>
      </c>
      <c r="I33" s="10"/>
      <c r="J33" s="19">
        <v>27.093399999999999</v>
      </c>
      <c r="K33" s="19">
        <v>22.132400000000001</v>
      </c>
      <c r="L33" s="10"/>
      <c r="M33" s="10">
        <f>IFERROR(Table21232425[[#This Row],[AIMD]]/Table21232425[[#This Row],[Ours-One-warp]], "NONE")</f>
        <v>3.5538692079989964</v>
      </c>
      <c r="N33" s="10">
        <f>IFERROR(Table21232425[[#This Row],[AIMD]]/Table21232425[[#This Row],[Ours]], "NONE")</f>
        <v>4.3504726102907956</v>
      </c>
      <c r="O33" s="10"/>
      <c r="P33" s="15">
        <v>184.405</v>
      </c>
      <c r="Q33" s="33">
        <v>113.123</v>
      </c>
    </row>
    <row r="34" spans="3:17" x14ac:dyDescent="0.3">
      <c r="C34" s="11" t="s">
        <v>1436</v>
      </c>
      <c r="D34" s="16">
        <v>3790750</v>
      </c>
      <c r="E34" s="16">
        <v>44273578</v>
      </c>
      <c r="F34" s="16">
        <v>866662</v>
      </c>
      <c r="G34" s="17"/>
      <c r="H34" s="15">
        <v>17.270800000000001</v>
      </c>
      <c r="I34" s="17"/>
      <c r="J34" s="19">
        <v>25.861699999999999</v>
      </c>
      <c r="K34" s="19">
        <v>26.9618</v>
      </c>
      <c r="L34" s="17"/>
      <c r="M34" s="17">
        <f>IFERROR(Table21232425[[#This Row],[AIMD]]/Table21232425[[#This Row],[Ours-One-warp]], "NONE")</f>
        <v>0.6678137941434632</v>
      </c>
      <c r="N34" s="17">
        <f>IFERROR(Table21232425[[#This Row],[AIMD]]/Table21232425[[#This Row],[Ours]], "NONE")</f>
        <v>0.64056554087635098</v>
      </c>
      <c r="O34" s="17"/>
      <c r="P34" s="15">
        <v>108.377</v>
      </c>
      <c r="Q34" s="33">
        <v>52.910699999999999</v>
      </c>
    </row>
    <row r="35" spans="3:17" x14ac:dyDescent="0.3">
      <c r="C35" s="9" t="s">
        <v>1405</v>
      </c>
      <c r="D35" s="16">
        <v>2093449</v>
      </c>
      <c r="E35" s="16">
        <v>52098498</v>
      </c>
      <c r="F35" s="16">
        <v>1140084</v>
      </c>
      <c r="G35" s="17"/>
      <c r="H35" s="15">
        <v>24.1252</v>
      </c>
      <c r="I35" s="17"/>
      <c r="J35" s="19">
        <v>17.2666</v>
      </c>
      <c r="K35" s="19">
        <v>16.309100000000001</v>
      </c>
      <c r="L35" s="17"/>
      <c r="M35" s="17">
        <f>IFERROR(Table21232425[[#This Row],[AIMD]]/Table21232425[[#This Row],[Ours-One-warp]], "NONE")</f>
        <v>1.3972177498754821</v>
      </c>
      <c r="N35" s="17">
        <f>IFERROR(Table21232425[[#This Row],[AIMD]]/Table21232425[[#This Row],[Ours]], "NONE")</f>
        <v>1.4792477819131649</v>
      </c>
      <c r="O35" s="17"/>
      <c r="P35" s="15">
        <v>39.370199999999997</v>
      </c>
      <c r="Q35" s="33">
        <v>34.154600000000002</v>
      </c>
    </row>
    <row r="36" spans="3:17" x14ac:dyDescent="0.3">
      <c r="C36" s="11" t="s">
        <v>2</v>
      </c>
      <c r="D36" s="16">
        <v>4382070</v>
      </c>
      <c r="E36" s="16">
        <v>38996662</v>
      </c>
      <c r="F36" s="16">
        <v>699764</v>
      </c>
      <c r="G36" s="17"/>
      <c r="H36" s="15">
        <v>13.194900000000001</v>
      </c>
      <c r="I36" s="17"/>
      <c r="J36" s="19">
        <v>15.4428</v>
      </c>
      <c r="K36" s="19">
        <v>15.9053</v>
      </c>
      <c r="L36" s="17"/>
      <c r="M36" s="17">
        <f>IFERROR(Table21232425[[#This Row],[AIMD]]/Table21232425[[#This Row],[Ours-One-warp]], "NONE")</f>
        <v>0.85443701919341053</v>
      </c>
      <c r="N36" s="17">
        <f>IFERROR(Table21232425[[#This Row],[AIMD]]/Table21232425[[#This Row],[Ours]], "NONE")</f>
        <v>0.82959139406361404</v>
      </c>
      <c r="O36" s="17"/>
      <c r="P36" s="15">
        <v>85.026600000000002</v>
      </c>
      <c r="Q36" s="33">
        <v>31.204499999999999</v>
      </c>
    </row>
    <row r="37" spans="3:17" x14ac:dyDescent="0.3">
      <c r="C37" s="11" t="s">
        <v>1</v>
      </c>
      <c r="D37" s="16">
        <v>18268991</v>
      </c>
      <c r="E37" s="16">
        <v>253780418</v>
      </c>
      <c r="F37" s="16">
        <v>612308</v>
      </c>
      <c r="G37" s="17"/>
      <c r="H37" s="15">
        <v>44.909399999999998</v>
      </c>
      <c r="I37" s="17"/>
      <c r="J37" s="19">
        <v>15.3881</v>
      </c>
      <c r="K37" s="19">
        <v>14.3226</v>
      </c>
      <c r="L37" s="17"/>
      <c r="M37" s="17">
        <f>IFERROR(Table21232425[[#This Row],[AIMD]]/Table21232425[[#This Row],[Ours-One-warp]], "NONE")</f>
        <v>2.9184499710815501</v>
      </c>
      <c r="N37" s="17">
        <f>IFERROR(Table21232425[[#This Row],[AIMD]]/Table21232425[[#This Row],[Ours]], "NONE")</f>
        <v>3.1355619789702986</v>
      </c>
      <c r="O37" s="17"/>
      <c r="P37" s="15">
        <v>66.899699999999996</v>
      </c>
      <c r="Q37" s="33">
        <v>34.919699999999999</v>
      </c>
    </row>
    <row r="38" spans="3:17" x14ac:dyDescent="0.3">
      <c r="C38" s="11" t="s">
        <v>1423</v>
      </c>
      <c r="D38" s="16">
        <v>7570051</v>
      </c>
      <c r="E38" s="16">
        <v>43881980</v>
      </c>
      <c r="F38" s="16">
        <v>5669991</v>
      </c>
      <c r="G38" s="17"/>
      <c r="H38" s="15">
        <v>20.281600000000001</v>
      </c>
      <c r="I38" s="17"/>
      <c r="J38" s="19">
        <v>13.518800000000001</v>
      </c>
      <c r="K38" s="19">
        <v>9.9819999999999993</v>
      </c>
      <c r="L38" s="17"/>
      <c r="M38" s="17">
        <f>IFERROR(Table21232425[[#This Row],[AIMD]]/Table21232425[[#This Row],[Ours-One-warp]], "NONE")</f>
        <v>1.5002515016125693</v>
      </c>
      <c r="N38" s="17">
        <f>IFERROR(Table21232425[[#This Row],[AIMD]]/Table21232425[[#This Row],[Ours]], "NONE")</f>
        <v>2.0318172710879585</v>
      </c>
      <c r="O38" s="17"/>
      <c r="P38" s="15">
        <v>32.528199999999998</v>
      </c>
      <c r="Q38" s="33">
        <v>23.797599999999999</v>
      </c>
    </row>
    <row r="39" spans="3:17" x14ac:dyDescent="0.3">
      <c r="C39" s="9" t="s">
        <v>1438</v>
      </c>
      <c r="D39" s="16">
        <v>7891015</v>
      </c>
      <c r="E39" s="16">
        <v>127830770</v>
      </c>
      <c r="F39" s="16">
        <v>3636005</v>
      </c>
      <c r="G39" s="17"/>
      <c r="H39" s="15">
        <v>29.214600000000001</v>
      </c>
      <c r="I39" s="17"/>
      <c r="J39" s="19">
        <v>12.387700000000001</v>
      </c>
      <c r="K39" s="19">
        <v>9.28383</v>
      </c>
      <c r="L39" s="17"/>
      <c r="M39" s="17">
        <f>IFERROR(Table21232425[[#This Row],[AIMD]]/Table21232425[[#This Row],[Ours-One-warp]], "NONE")</f>
        <v>2.3583554655020706</v>
      </c>
      <c r="N39" s="17">
        <f>IFERROR(Table21232425[[#This Row],[AIMD]]/Table21232425[[#This Row],[Ours]], "NONE")</f>
        <v>3.1468262559740969</v>
      </c>
      <c r="O39" s="17"/>
      <c r="P39" s="15">
        <v>40.956000000000003</v>
      </c>
      <c r="Q39" s="33">
        <v>23.016500000000001</v>
      </c>
    </row>
    <row r="40" spans="3:17" x14ac:dyDescent="0.3">
      <c r="C40" s="9" t="s">
        <v>1414</v>
      </c>
      <c r="D40" s="16">
        <v>3033373</v>
      </c>
      <c r="E40" s="16">
        <v>87691916</v>
      </c>
      <c r="F40" s="16">
        <v>275166</v>
      </c>
      <c r="G40" s="17"/>
      <c r="H40" s="15">
        <v>20.206800000000001</v>
      </c>
      <c r="I40" s="17"/>
      <c r="J40" s="19">
        <v>11.7338</v>
      </c>
      <c r="K40" s="19">
        <v>10.734999999999999</v>
      </c>
      <c r="L40" s="17"/>
      <c r="M40" s="17">
        <f>IFERROR(Table21232425[[#This Row],[AIMD]]/Table21232425[[#This Row],[Ours-One-warp]], "NONE")</f>
        <v>1.7221019618537901</v>
      </c>
      <c r="N40" s="17">
        <f>IFERROR(Table21232425[[#This Row],[AIMD]]/Table21232425[[#This Row],[Ours]], "NONE")</f>
        <v>1.8823288309268749</v>
      </c>
      <c r="O40" s="17"/>
      <c r="P40" s="15">
        <v>35.796399999999998</v>
      </c>
      <c r="Q40" s="33">
        <v>29.5398</v>
      </c>
    </row>
    <row r="41" spans="3:17" x14ac:dyDescent="0.3">
      <c r="C41" s="11" t="s">
        <v>1449</v>
      </c>
      <c r="D41" s="16">
        <v>4799646</v>
      </c>
      <c r="E41" s="16">
        <v>63844012</v>
      </c>
      <c r="F41" s="16">
        <v>1076572</v>
      </c>
      <c r="G41" s="17"/>
      <c r="H41" s="15">
        <v>14.297700000000001</v>
      </c>
      <c r="I41" s="17"/>
      <c r="J41" s="19">
        <v>9.3621800000000004</v>
      </c>
      <c r="K41" s="19">
        <v>8.47879</v>
      </c>
      <c r="L41" s="17"/>
      <c r="M41" s="17">
        <f>IFERROR(Table21232425[[#This Row],[AIMD]]/Table21232425[[#This Row],[Ours-One-warp]], "NONE")</f>
        <v>1.5271763627702095</v>
      </c>
      <c r="N41" s="17">
        <f>IFERROR(Table21232425[[#This Row],[AIMD]]/Table21232425[[#This Row],[Ours]], "NONE")</f>
        <v>1.6862901428151895</v>
      </c>
      <c r="O41" s="17"/>
      <c r="P41" s="15">
        <v>26.794</v>
      </c>
      <c r="Q41" s="33">
        <v>19.1342</v>
      </c>
    </row>
    <row r="42" spans="3:17" x14ac:dyDescent="0.3">
      <c r="C42" s="11" t="s">
        <v>4</v>
      </c>
      <c r="D42" s="16">
        <v>1203995</v>
      </c>
      <c r="E42" s="16">
        <v>40033816</v>
      </c>
      <c r="F42" s="16">
        <v>81090</v>
      </c>
      <c r="G42" s="17"/>
      <c r="H42" s="15">
        <v>8.9153500000000001</v>
      </c>
      <c r="I42" s="17"/>
      <c r="J42" s="19">
        <v>8.6795600000000004</v>
      </c>
      <c r="K42" s="19">
        <v>8.0913500000000003</v>
      </c>
      <c r="L42" s="17"/>
      <c r="M42" s="17">
        <f>IFERROR(Table21232425[[#This Row],[AIMD]]/Table21232425[[#This Row],[Ours-One-warp]], "NONE")</f>
        <v>1.0271661236283867</v>
      </c>
      <c r="N42" s="17">
        <f>IFERROR(Table21232425[[#This Row],[AIMD]]/Table21232425[[#This Row],[Ours]], "NONE")</f>
        <v>1.1018371470768167</v>
      </c>
      <c r="O42" s="17"/>
      <c r="P42" s="15">
        <v>21.028400000000001</v>
      </c>
      <c r="Q42" s="33">
        <v>18.9269</v>
      </c>
    </row>
    <row r="43" spans="3:17" x14ac:dyDescent="0.3">
      <c r="C43" s="11" t="s">
        <v>1391</v>
      </c>
      <c r="D43" s="16">
        <v>8482737</v>
      </c>
      <c r="E43" s="16">
        <v>23585644</v>
      </c>
      <c r="F43" s="16">
        <v>8421430</v>
      </c>
      <c r="G43" s="17"/>
      <c r="H43" s="15">
        <v>12.8208</v>
      </c>
      <c r="I43" s="17"/>
      <c r="J43" s="19">
        <v>7.9433100000000003</v>
      </c>
      <c r="K43" s="19">
        <v>5.97194</v>
      </c>
      <c r="L43" s="17"/>
      <c r="M43" s="17">
        <f>IFERROR(Table21232425[[#This Row],[AIMD]]/Table21232425[[#This Row],[Ours-One-warp]], "NONE")</f>
        <v>1.6140374730433533</v>
      </c>
      <c r="N43" s="17">
        <f>IFERROR(Table21232425[[#This Row],[AIMD]]/Table21232425[[#This Row],[Ours]], "NONE")</f>
        <v>2.1468400553254052</v>
      </c>
      <c r="O43" s="17"/>
      <c r="P43" s="15">
        <v>21.005199999999999</v>
      </c>
      <c r="Q43" s="33">
        <v>13.487500000000001</v>
      </c>
    </row>
    <row r="44" spans="3:17" x14ac:dyDescent="0.3">
      <c r="C44" s="11" t="s">
        <v>1447</v>
      </c>
      <c r="D44" s="16">
        <v>7489073</v>
      </c>
      <c r="E44" s="16">
        <v>224610814</v>
      </c>
      <c r="F44" s="16">
        <v>1053720</v>
      </c>
      <c r="G44" s="17"/>
      <c r="H44" s="15">
        <v>33.777000000000001</v>
      </c>
      <c r="I44" s="17"/>
      <c r="J44" s="19">
        <v>7.6435199999999996</v>
      </c>
      <c r="K44" s="19">
        <v>6.9564700000000004</v>
      </c>
      <c r="L44" s="17"/>
      <c r="M44" s="17">
        <f>IFERROR(Table21232425[[#This Row],[AIMD]]/Table21232425[[#This Row],[Ours-One-warp]], "NONE")</f>
        <v>4.419037302185381</v>
      </c>
      <c r="N44" s="17">
        <f>IFERROR(Table21232425[[#This Row],[AIMD]]/Table21232425[[#This Row],[Ours]], "NONE")</f>
        <v>4.8554798626314781</v>
      </c>
      <c r="O44" s="17"/>
      <c r="P44" s="15">
        <v>46.294699999999999</v>
      </c>
      <c r="Q44" s="33">
        <v>18.576899999999998</v>
      </c>
    </row>
    <row r="45" spans="3:17" x14ac:dyDescent="0.3">
      <c r="C45" s="11" t="s">
        <v>1431</v>
      </c>
      <c r="D45" s="16">
        <v>4579069</v>
      </c>
      <c r="E45" s="16">
        <v>12530086</v>
      </c>
      <c r="F45" s="16">
        <v>4043326</v>
      </c>
      <c r="G45" s="17"/>
      <c r="H45" s="15">
        <v>9.93445</v>
      </c>
      <c r="I45" s="17"/>
      <c r="J45" s="19">
        <v>7.4611400000000003</v>
      </c>
      <c r="K45" s="19">
        <v>3.4224100000000002</v>
      </c>
      <c r="L45" s="17"/>
      <c r="M45" s="17">
        <f>IFERROR(Table21232425[[#This Row],[AIMD]]/Table21232425[[#This Row],[Ours-One-warp]], "NONE")</f>
        <v>1.3314922384514967</v>
      </c>
      <c r="N45" s="17">
        <f>IFERROR(Table21232425[[#This Row],[AIMD]]/Table21232425[[#This Row],[Ours]], "NONE")</f>
        <v>2.9027644262376513</v>
      </c>
      <c r="O45" s="17"/>
      <c r="P45" s="15">
        <v>17.275200000000002</v>
      </c>
      <c r="Q45" s="33">
        <v>13.509499999999999</v>
      </c>
    </row>
    <row r="46" spans="3:17" x14ac:dyDescent="0.3">
      <c r="C46" s="11" t="s">
        <v>1461</v>
      </c>
      <c r="D46" s="16">
        <v>33777768</v>
      </c>
      <c r="E46" s="16">
        <v>274478882</v>
      </c>
      <c r="F46" s="16">
        <v>1057783</v>
      </c>
      <c r="G46" s="17"/>
      <c r="H46" s="15">
        <v>49.885399999999997</v>
      </c>
      <c r="I46" s="17"/>
      <c r="J46" s="19">
        <v>7.2931299999999997</v>
      </c>
      <c r="K46" s="19">
        <v>6.4779900000000001</v>
      </c>
      <c r="L46" s="17"/>
      <c r="M46" s="17">
        <f>IFERROR(Table21232425[[#This Row],[AIMD]]/Table21232425[[#This Row],[Ours-One-warp]], "NONE")</f>
        <v>6.8400535846748927</v>
      </c>
      <c r="N46" s="17">
        <f>IFERROR(Table21232425[[#This Row],[AIMD]]/Table21232425[[#This Row],[Ours]], "NONE")</f>
        <v>7.7007528569818717</v>
      </c>
      <c r="O46" s="17"/>
      <c r="P46" s="15">
        <v>64.147099999999995</v>
      </c>
      <c r="Q46" s="33">
        <v>16.392600000000002</v>
      </c>
    </row>
    <row r="47" spans="3:17" x14ac:dyDescent="0.3">
      <c r="C47" s="11" t="s">
        <v>1440</v>
      </c>
      <c r="D47" s="16">
        <v>5812931</v>
      </c>
      <c r="E47" s="16">
        <v>54238524</v>
      </c>
      <c r="F47" s="16">
        <v>3504033</v>
      </c>
      <c r="G47" s="17"/>
      <c r="H47" s="15">
        <v>13.315099999999999</v>
      </c>
      <c r="I47" s="17"/>
      <c r="J47" s="19">
        <v>6.9359400000000004</v>
      </c>
      <c r="K47" s="19">
        <v>6.5730300000000002</v>
      </c>
      <c r="L47" s="17"/>
      <c r="M47" s="17">
        <f>IFERROR(Table21232425[[#This Row],[AIMD]]/Table21232425[[#This Row],[Ours-One-warp]], "NONE")</f>
        <v>1.919725372480154</v>
      </c>
      <c r="N47" s="17">
        <f>IFERROR(Table21232425[[#This Row],[AIMD]]/Table21232425[[#This Row],[Ours]], "NONE")</f>
        <v>2.0257172110883412</v>
      </c>
      <c r="O47" s="17"/>
      <c r="P47" s="15">
        <v>21.657599999999999</v>
      </c>
      <c r="Q47" s="33">
        <v>12.660500000000001</v>
      </c>
    </row>
    <row r="48" spans="3:17" x14ac:dyDescent="0.3">
      <c r="C48" s="11" t="s">
        <v>1433</v>
      </c>
      <c r="D48" s="16">
        <v>2646291</v>
      </c>
      <c r="E48" s="16">
        <v>42433496</v>
      </c>
      <c r="F48" s="16">
        <v>850681</v>
      </c>
      <c r="G48" s="17"/>
      <c r="H48" s="15">
        <v>9.4838799999999992</v>
      </c>
      <c r="I48" s="17"/>
      <c r="J48" s="19">
        <v>6.4302599999999996</v>
      </c>
      <c r="K48" s="19">
        <v>6.3039300000000003</v>
      </c>
      <c r="L48" s="17"/>
      <c r="M48" s="17">
        <f>IFERROR(Table21232425[[#This Row],[AIMD]]/Table21232425[[#This Row],[Ours-One-warp]], "NONE")</f>
        <v>1.474882819668256</v>
      </c>
      <c r="N48" s="17">
        <f>IFERROR(Table21232425[[#This Row],[AIMD]]/Table21232425[[#This Row],[Ours]], "NONE")</f>
        <v>1.5044392942180511</v>
      </c>
      <c r="O48" s="17"/>
      <c r="P48" s="15">
        <v>17.998899999999999</v>
      </c>
      <c r="Q48" s="33">
        <v>12.2643</v>
      </c>
    </row>
    <row r="49" spans="3:17" x14ac:dyDescent="0.3">
      <c r="C49" s="11" t="s">
        <v>1448</v>
      </c>
      <c r="D49" s="16">
        <v>5267977</v>
      </c>
      <c r="E49" s="16">
        <v>55363430</v>
      </c>
      <c r="F49" s="16">
        <v>590528</v>
      </c>
      <c r="G49" s="17"/>
      <c r="H49" s="15">
        <v>11.521599999999999</v>
      </c>
      <c r="I49" s="17"/>
      <c r="J49" s="19">
        <v>6.0278999999999998</v>
      </c>
      <c r="K49" s="19">
        <v>5.3707500000000001</v>
      </c>
      <c r="L49" s="17"/>
      <c r="M49" s="17">
        <f>IFERROR(Table21232425[[#This Row],[AIMD]]/Table21232425[[#This Row],[Ours-One-warp]], "NONE")</f>
        <v>1.9113787554538064</v>
      </c>
      <c r="N49" s="17">
        <f>IFERROR(Table21232425[[#This Row],[AIMD]]/Table21232425[[#This Row],[Ours]], "NONE")</f>
        <v>2.1452497323465063</v>
      </c>
      <c r="O49" s="17"/>
      <c r="P49" s="15">
        <v>19.894400000000001</v>
      </c>
      <c r="Q49" s="33">
        <v>12.7842</v>
      </c>
    </row>
    <row r="50" spans="3:17" x14ac:dyDescent="0.3">
      <c r="C50" s="11" t="s">
        <v>1404</v>
      </c>
      <c r="D50" s="16">
        <v>2939627</v>
      </c>
      <c r="E50" s="16">
        <v>20974994</v>
      </c>
      <c r="F50" s="16">
        <v>916719</v>
      </c>
      <c r="G50" s="17"/>
      <c r="H50" s="15">
        <v>6.1429</v>
      </c>
      <c r="I50" s="17"/>
      <c r="J50" s="19">
        <v>5.4646299999999997</v>
      </c>
      <c r="K50" s="19">
        <v>2.6198299999999999</v>
      </c>
      <c r="L50" s="17"/>
      <c r="M50" s="17">
        <f>IFERROR(Table21232425[[#This Row],[AIMD]]/Table21232425[[#This Row],[Ours-One-warp]], "NONE")</f>
        <v>1.1241200227645789</v>
      </c>
      <c r="N50" s="17">
        <f>IFERROR(Table21232425[[#This Row],[AIMD]]/Table21232425[[#This Row],[Ours]], "NONE")</f>
        <v>2.3447704622055632</v>
      </c>
      <c r="O50" s="17"/>
      <c r="P50" s="15">
        <v>12.111800000000001</v>
      </c>
      <c r="Q50" s="33">
        <v>8.6874800000000008</v>
      </c>
    </row>
    <row r="51" spans="3:17" x14ac:dyDescent="0.3">
      <c r="C51" s="9" t="s">
        <v>11</v>
      </c>
      <c r="D51" s="16">
        <v>2394385</v>
      </c>
      <c r="E51" s="16">
        <v>9319130</v>
      </c>
      <c r="F51" s="16">
        <v>100029</v>
      </c>
      <c r="G51" s="17"/>
      <c r="H51" s="15">
        <v>3.6674500000000001</v>
      </c>
      <c r="I51" s="17"/>
      <c r="J51" s="19">
        <v>5.3077500000000004</v>
      </c>
      <c r="K51" s="19">
        <v>4.7541099999999998</v>
      </c>
      <c r="L51" s="17"/>
      <c r="M51" s="17">
        <f>IFERROR(Table21232425[[#This Row],[AIMD]]/Table21232425[[#This Row],[Ours-One-warp]], "NONE")</f>
        <v>0.69096133013046956</v>
      </c>
      <c r="N51" s="17">
        <f>IFERROR(Table21232425[[#This Row],[AIMD]]/Table21232425[[#This Row],[Ours]], "NONE")</f>
        <v>0.77142724926432082</v>
      </c>
      <c r="O51" s="17"/>
      <c r="P51" s="15">
        <v>9.1106300000000005</v>
      </c>
      <c r="Q51" s="33">
        <v>8.3824100000000001</v>
      </c>
    </row>
    <row r="52" spans="3:17" x14ac:dyDescent="0.3">
      <c r="C52" s="9" t="s">
        <v>1434</v>
      </c>
      <c r="D52" s="16">
        <v>7825669</v>
      </c>
      <c r="E52" s="16">
        <v>124492028</v>
      </c>
      <c r="F52" s="16">
        <v>204282</v>
      </c>
      <c r="G52" s="17"/>
      <c r="H52" s="15">
        <v>20.344200000000001</v>
      </c>
      <c r="I52" s="17"/>
      <c r="J52" s="19">
        <v>5.1050199999999997</v>
      </c>
      <c r="K52" s="19">
        <v>4.5610999999999997</v>
      </c>
      <c r="L52" s="17"/>
      <c r="M52" s="17">
        <f>IFERROR(Table21232425[[#This Row],[AIMD]]/Table21232425[[#This Row],[Ours-One-warp]], "NONE")</f>
        <v>3.9851361992705225</v>
      </c>
      <c r="N52" s="17">
        <f>IFERROR(Table21232425[[#This Row],[AIMD]]/Table21232425[[#This Row],[Ours]], "NONE")</f>
        <v>4.4603714016355704</v>
      </c>
      <c r="O52" s="17"/>
      <c r="P52" s="15">
        <v>27.559699999999999</v>
      </c>
      <c r="Q52" s="33">
        <v>12.151400000000001</v>
      </c>
    </row>
    <row r="53" spans="3:17" x14ac:dyDescent="0.3">
      <c r="C53" s="11" t="s">
        <v>1462</v>
      </c>
      <c r="D53" s="16">
        <v>33778221</v>
      </c>
      <c r="E53" s="16">
        <v>203595714</v>
      </c>
      <c r="F53" s="16">
        <v>29319</v>
      </c>
      <c r="G53" s="17"/>
      <c r="H53" s="15">
        <v>38.458199999999998</v>
      </c>
      <c r="I53" s="17"/>
      <c r="J53" s="19">
        <v>4.0526600000000004</v>
      </c>
      <c r="K53" s="19">
        <v>3.9600200000000001</v>
      </c>
      <c r="L53" s="17"/>
      <c r="M53" s="17">
        <f>IFERROR(Table21232425[[#This Row],[AIMD]]/Table21232425[[#This Row],[Ours-One-warp]], "NONE")</f>
        <v>9.4896191637097598</v>
      </c>
      <c r="N53" s="17">
        <f>IFERROR(Table21232425[[#This Row],[AIMD]]/Table21232425[[#This Row],[Ours]], "NONE")</f>
        <v>9.7116176180928377</v>
      </c>
      <c r="O53" s="17"/>
      <c r="P53" s="15">
        <v>48.626300000000001</v>
      </c>
      <c r="Q53" s="33">
        <v>10.3095</v>
      </c>
    </row>
    <row r="54" spans="3:17" x14ac:dyDescent="0.3">
      <c r="C54" s="11" t="s">
        <v>1425</v>
      </c>
      <c r="D54" s="16">
        <v>5005932</v>
      </c>
      <c r="E54" s="16">
        <v>33083838</v>
      </c>
      <c r="F54" s="16">
        <v>1208022</v>
      </c>
      <c r="G54" s="17"/>
      <c r="H54" s="15">
        <v>8.2819500000000001</v>
      </c>
      <c r="I54" s="17"/>
      <c r="J54" s="19">
        <v>3.4347300000000001</v>
      </c>
      <c r="K54" s="19">
        <v>2.77162</v>
      </c>
      <c r="L54" s="17"/>
      <c r="M54" s="17">
        <f>IFERROR(Table21232425[[#This Row],[AIMD]]/Table21232425[[#This Row],[Ours-One-warp]], "NONE")</f>
        <v>2.4112375645247224</v>
      </c>
      <c r="N54" s="17">
        <f>IFERROR(Table21232425[[#This Row],[AIMD]]/Table21232425[[#This Row],[Ours]], "NONE")</f>
        <v>2.9881260778894654</v>
      </c>
      <c r="O54" s="17"/>
      <c r="P54" s="15">
        <v>13.7127</v>
      </c>
      <c r="Q54" s="33">
        <v>7.2535600000000002</v>
      </c>
    </row>
    <row r="55" spans="3:17" x14ac:dyDescent="0.3">
      <c r="C55" s="11" t="s">
        <v>1346</v>
      </c>
      <c r="D55" s="11">
        <v>1696415</v>
      </c>
      <c r="E55" s="11">
        <v>22190596</v>
      </c>
      <c r="F55" s="11">
        <v>35455</v>
      </c>
      <c r="G55" s="10"/>
      <c r="H55" s="15">
        <v>4.0742399999999996</v>
      </c>
      <c r="I55" s="10"/>
      <c r="J55" s="19">
        <v>2.99647</v>
      </c>
      <c r="K55" s="19">
        <v>2.1886999999999999</v>
      </c>
      <c r="L55" s="10"/>
      <c r="M55" s="10">
        <f>IFERROR(Table21232425[[#This Row],[AIMD]]/Table21232425[[#This Row],[Ours-One-warp]], "NONE")</f>
        <v>1.3596798900039044</v>
      </c>
      <c r="N55" s="10">
        <f>IFERROR(Table21232425[[#This Row],[AIMD]]/Table21232425[[#This Row],[Ours]], "NONE")</f>
        <v>1.8614885548499109</v>
      </c>
      <c r="O55" s="10"/>
      <c r="P55" s="15">
        <v>8.1440000000000001</v>
      </c>
      <c r="Q55" s="33">
        <v>5.3334799999999998</v>
      </c>
    </row>
    <row r="56" spans="3:17" x14ac:dyDescent="0.3">
      <c r="C56" s="11" t="s">
        <v>1409</v>
      </c>
      <c r="D56" s="16">
        <v>3411795</v>
      </c>
      <c r="E56" s="16">
        <v>26854686</v>
      </c>
      <c r="F56" s="16">
        <v>2487058</v>
      </c>
      <c r="G56" s="17"/>
      <c r="H56" s="15">
        <v>7.0588100000000003</v>
      </c>
      <c r="I56" s="17"/>
      <c r="J56" s="19">
        <v>2.9226999999999999</v>
      </c>
      <c r="K56" s="19">
        <v>2.6902400000000002</v>
      </c>
      <c r="L56" s="17"/>
      <c r="M56" s="17">
        <f>IFERROR(Table21232425[[#This Row],[AIMD]]/Table21232425[[#This Row],[Ours-One-warp]], "NONE")</f>
        <v>2.4151674821226949</v>
      </c>
      <c r="N56" s="17">
        <f>IFERROR(Table21232425[[#This Row],[AIMD]]/Table21232425[[#This Row],[Ours]], "NONE")</f>
        <v>2.6238588378732008</v>
      </c>
      <c r="O56" s="17"/>
      <c r="P56" s="15">
        <v>10.404199999999999</v>
      </c>
      <c r="Q56" s="33">
        <v>5.2013299999999996</v>
      </c>
    </row>
    <row r="57" spans="3:17" x14ac:dyDescent="0.3">
      <c r="C57" s="11" t="s">
        <v>1411</v>
      </c>
      <c r="D57" s="16">
        <v>3496954</v>
      </c>
      <c r="E57" s="16">
        <v>27305086</v>
      </c>
      <c r="F57" s="16">
        <v>2187803</v>
      </c>
      <c r="G57" s="17"/>
      <c r="H57" s="15">
        <v>6.1342299999999996</v>
      </c>
      <c r="I57" s="17"/>
      <c r="J57" s="19">
        <v>2.8166000000000002</v>
      </c>
      <c r="K57" s="19">
        <v>2.01172</v>
      </c>
      <c r="L57" s="17"/>
      <c r="M57" s="17">
        <f>IFERROR(Table21232425[[#This Row],[AIMD]]/Table21232425[[#This Row],[Ours-One-warp]], "NONE")</f>
        <v>2.1778846836611514</v>
      </c>
      <c r="N57" s="17">
        <f>IFERROR(Table21232425[[#This Row],[AIMD]]/Table21232425[[#This Row],[Ours]], "NONE")</f>
        <v>3.049246416002227</v>
      </c>
      <c r="O57" s="17"/>
      <c r="P57" s="15">
        <v>8.6258499999999998</v>
      </c>
      <c r="Q57" s="33">
        <v>3.5013899999999998</v>
      </c>
    </row>
    <row r="58" spans="3:17" ht="21" customHeight="1" x14ac:dyDescent="0.3">
      <c r="C58" s="22" t="s">
        <v>3912</v>
      </c>
      <c r="D58" s="11">
        <v>4033138</v>
      </c>
      <c r="E58" s="11">
        <v>55866126</v>
      </c>
      <c r="F58" s="11">
        <v>2651</v>
      </c>
      <c r="G58" s="10"/>
      <c r="H58" s="15">
        <v>9.6798599999999997</v>
      </c>
      <c r="I58" s="10"/>
      <c r="J58" s="19">
        <v>2.69442</v>
      </c>
      <c r="K58" s="19">
        <v>2.4171499999999999</v>
      </c>
      <c r="L58" s="10"/>
      <c r="M58" s="10">
        <f>IFERROR(Table21232425[[#This Row],[AIMD]]/Table21232425[[#This Row],[Ours-One-warp]], "NONE")</f>
        <v>3.5925579531030793</v>
      </c>
      <c r="N58" s="10">
        <f>IFERROR(Table21232425[[#This Row],[AIMD]]/Table21232425[[#This Row],[Ours]], "NONE")</f>
        <v>4.0046583786690935</v>
      </c>
      <c r="O58" s="10"/>
      <c r="P58" s="15">
        <v>15.081099999999999</v>
      </c>
      <c r="Q58" s="33">
        <v>6.1078299999999999</v>
      </c>
    </row>
    <row r="59" spans="3:17" x14ac:dyDescent="0.3">
      <c r="C59" s="9" t="s">
        <v>3917</v>
      </c>
      <c r="D59" s="11">
        <v>1791489</v>
      </c>
      <c r="E59" s="11">
        <v>50888414</v>
      </c>
      <c r="F59" s="11">
        <v>238342</v>
      </c>
      <c r="G59" s="10"/>
      <c r="H59" s="15">
        <v>7.8057999999999996</v>
      </c>
      <c r="I59" s="10"/>
      <c r="J59" s="19">
        <v>2.2224599999999999</v>
      </c>
      <c r="K59" s="19">
        <v>1.9414100000000001</v>
      </c>
      <c r="L59" s="10"/>
      <c r="M59" s="10">
        <f>IFERROR(Table21232425[[#This Row],[AIMD]]/Table21232425[[#This Row],[Ours-One-warp]], "NONE")</f>
        <v>3.5122341909415691</v>
      </c>
      <c r="N59" s="10">
        <f>IFERROR(Table21232425[[#This Row],[AIMD]]/Table21232425[[#This Row],[Ours]], "NONE")</f>
        <v>4.0206859962604495</v>
      </c>
      <c r="O59" s="10"/>
      <c r="P59" s="15">
        <v>10.5923</v>
      </c>
      <c r="Q59" s="33">
        <v>3.9305300000000001</v>
      </c>
    </row>
    <row r="60" spans="3:17" x14ac:dyDescent="0.3">
      <c r="C60" s="11" t="s">
        <v>1408</v>
      </c>
      <c r="D60" s="16">
        <v>4063587</v>
      </c>
      <c r="E60" s="16">
        <v>17652554</v>
      </c>
      <c r="F60" s="16">
        <v>4059644</v>
      </c>
      <c r="G60" s="17"/>
      <c r="H60" s="15">
        <v>5.0246899999999997</v>
      </c>
      <c r="I60" s="17"/>
      <c r="J60" s="19">
        <v>2.1817600000000001</v>
      </c>
      <c r="K60" s="19">
        <v>1.0890200000000001</v>
      </c>
      <c r="L60" s="17"/>
      <c r="M60" s="17">
        <f>IFERROR(Table21232425[[#This Row],[AIMD]]/Table21232425[[#This Row],[Ours-One-warp]], "NONE")</f>
        <v>2.3030443311821647</v>
      </c>
      <c r="N60" s="17">
        <f>IFERROR(Table21232425[[#This Row],[AIMD]]/Table21232425[[#This Row],[Ours]], "NONE")</f>
        <v>4.6139556665625969</v>
      </c>
      <c r="O60" s="17"/>
      <c r="P60" s="15">
        <v>7.8556999999999997</v>
      </c>
      <c r="Q60" s="33">
        <v>3.5823700000000001</v>
      </c>
    </row>
    <row r="61" spans="3:17" x14ac:dyDescent="0.3">
      <c r="C61" s="11" t="s">
        <v>1437</v>
      </c>
      <c r="D61" s="16">
        <v>2981204</v>
      </c>
      <c r="E61" s="16">
        <v>42832752</v>
      </c>
      <c r="F61" s="16">
        <v>385104</v>
      </c>
      <c r="G61" s="17"/>
      <c r="H61" s="15">
        <v>7.46021</v>
      </c>
      <c r="I61" s="17"/>
      <c r="J61" s="19">
        <v>2.0866400000000001</v>
      </c>
      <c r="K61" s="19">
        <v>1.7655700000000001</v>
      </c>
      <c r="L61" s="17"/>
      <c r="M61" s="17">
        <f>IFERROR(Table21232425[[#This Row],[AIMD]]/Table21232425[[#This Row],[Ours-One-warp]], "NONE")</f>
        <v>3.5752262009738143</v>
      </c>
      <c r="N61" s="17">
        <f>IFERROR(Table21232425[[#This Row],[AIMD]]/Table21232425[[#This Row],[Ours]], "NONE")</f>
        <v>4.2253833039754864</v>
      </c>
      <c r="O61" s="17"/>
      <c r="P61" s="15">
        <v>10.631399999999999</v>
      </c>
      <c r="Q61" s="33">
        <v>4.0875300000000001</v>
      </c>
    </row>
    <row r="62" spans="3:17" x14ac:dyDescent="0.3">
      <c r="C62" s="9" t="s">
        <v>1402</v>
      </c>
      <c r="D62" s="16">
        <v>2132864</v>
      </c>
      <c r="E62" s="16">
        <v>17441248</v>
      </c>
      <c r="F62" s="16">
        <v>306136</v>
      </c>
      <c r="G62" s="17"/>
      <c r="H62" s="15">
        <v>2.9721099999999998</v>
      </c>
      <c r="I62" s="17"/>
      <c r="J62" s="19">
        <v>1.8173600000000001</v>
      </c>
      <c r="K62" s="19">
        <v>1.60989</v>
      </c>
      <c r="L62" s="17"/>
      <c r="M62" s="17">
        <f>IFERROR(Table21232425[[#This Row],[AIMD]]/Table21232425[[#This Row],[Ours-One-warp]], "NONE")</f>
        <v>1.6353997006647003</v>
      </c>
      <c r="N62" s="17">
        <f>IFERROR(Table21232425[[#This Row],[AIMD]]/Table21232425[[#This Row],[Ours]], "NONE")</f>
        <v>1.846157190863972</v>
      </c>
      <c r="O62" s="17"/>
      <c r="P62" s="15">
        <v>5.0183400000000002</v>
      </c>
      <c r="Q62" s="33">
        <v>1.84362</v>
      </c>
    </row>
    <row r="63" spans="3:17" x14ac:dyDescent="0.3">
      <c r="C63" s="9" t="s">
        <v>1371</v>
      </c>
      <c r="D63" s="16">
        <v>2140198</v>
      </c>
      <c r="E63" s="16">
        <v>34029892</v>
      </c>
      <c r="F63" s="16">
        <v>97848</v>
      </c>
      <c r="G63" s="17"/>
      <c r="H63" s="15">
        <v>5.1146700000000003</v>
      </c>
      <c r="I63" s="17"/>
      <c r="J63" s="19">
        <v>1.6494599999999999</v>
      </c>
      <c r="K63" s="19">
        <v>1.47448</v>
      </c>
      <c r="L63" s="17"/>
      <c r="M63" s="17">
        <f>IFERROR(Table21232425[[#This Row],[AIMD]]/Table21232425[[#This Row],[Ours-One-warp]], "NONE")</f>
        <v>3.1008148121203307</v>
      </c>
      <c r="N63" s="17">
        <f>IFERROR(Table21232425[[#This Row],[AIMD]]/Table21232425[[#This Row],[Ours]], "NONE")</f>
        <v>3.4687957788508492</v>
      </c>
      <c r="O63" s="17"/>
      <c r="P63" s="15">
        <v>7.4996799999999997</v>
      </c>
      <c r="Q63" s="33">
        <v>2.4290500000000002</v>
      </c>
    </row>
    <row r="64" spans="3:17" x14ac:dyDescent="0.3">
      <c r="C64" s="22" t="s">
        <v>3919</v>
      </c>
      <c r="D64" s="11">
        <v>2937612</v>
      </c>
      <c r="E64" s="11">
        <v>41919708</v>
      </c>
      <c r="F64" s="11">
        <v>4356</v>
      </c>
      <c r="G64" s="10"/>
      <c r="H64" s="15">
        <v>6.5472400000000004</v>
      </c>
      <c r="I64" s="10"/>
      <c r="J64" s="19">
        <v>1.40211</v>
      </c>
      <c r="K64" s="19">
        <v>1.10216</v>
      </c>
      <c r="L64" s="10"/>
      <c r="M64" s="10">
        <f>IFERROR(Table21232425[[#This Row],[AIMD]]/Table21232425[[#This Row],[Ours-One-warp]], "NONE")</f>
        <v>4.6695623025297595</v>
      </c>
      <c r="N64" s="10">
        <f>IFERROR(Table21232425[[#This Row],[AIMD]]/Table21232425[[#This Row],[Ours]], "NONE")</f>
        <v>5.9403716338825578</v>
      </c>
      <c r="O64" s="10"/>
      <c r="P64" s="15">
        <v>8.8136799999999997</v>
      </c>
      <c r="Q64" s="33">
        <v>2.6309900000000002</v>
      </c>
    </row>
    <row r="65" spans="3:20" x14ac:dyDescent="0.3">
      <c r="C65" s="22" t="s">
        <v>3920</v>
      </c>
      <c r="D65" s="11">
        <v>1632803</v>
      </c>
      <c r="E65" s="11">
        <v>44603928</v>
      </c>
      <c r="F65" s="11">
        <v>14854</v>
      </c>
      <c r="G65" s="10"/>
      <c r="H65" s="15">
        <v>5.7263500000000001</v>
      </c>
      <c r="I65" s="10"/>
      <c r="J65" s="19">
        <v>1.3987700000000001</v>
      </c>
      <c r="K65" s="19">
        <v>0.77605000000000002</v>
      </c>
      <c r="L65" s="10"/>
      <c r="M65" s="10">
        <f>IFERROR(Table21232425[[#This Row],[AIMD]]/Table21232425[[#This Row],[Ours-One-warp]], "NONE")</f>
        <v>4.0938467367758813</v>
      </c>
      <c r="N65" s="10">
        <f>IFERROR(Table21232425[[#This Row],[AIMD]]/Table21232425[[#This Row],[Ours]], "NONE")</f>
        <v>7.3788415694865019</v>
      </c>
      <c r="O65" s="10"/>
      <c r="P65" s="15">
        <v>7.9770099999999999</v>
      </c>
      <c r="Q65" s="33">
        <v>1.82558</v>
      </c>
    </row>
    <row r="66" spans="3:20" x14ac:dyDescent="0.3">
      <c r="D66" s="11"/>
      <c r="E66" s="11"/>
      <c r="F66" s="11"/>
      <c r="G66" s="10"/>
      <c r="H66" s="19"/>
      <c r="I66" s="10"/>
      <c r="J66" s="9"/>
      <c r="K66" s="9"/>
      <c r="L66" s="10"/>
      <c r="M66" s="10"/>
      <c r="N66" s="10"/>
      <c r="O66" s="10"/>
      <c r="S66" s="15"/>
      <c r="T66" s="9"/>
    </row>
    <row r="67" spans="3:20" x14ac:dyDescent="0.3">
      <c r="D67" s="11"/>
      <c r="E67" s="11"/>
      <c r="F67" s="11"/>
      <c r="G67" s="10"/>
      <c r="H67" s="19"/>
      <c r="I67" s="10"/>
      <c r="J67" s="9"/>
      <c r="K67" s="9"/>
      <c r="L67" s="10"/>
      <c r="M67" s="10"/>
      <c r="N67" s="10"/>
      <c r="O67" s="10"/>
      <c r="S67" s="15"/>
      <c r="T67" s="9"/>
    </row>
    <row r="68" spans="3:20" x14ac:dyDescent="0.3">
      <c r="D68" s="11"/>
      <c r="E68" s="11"/>
      <c r="F68" s="11"/>
      <c r="G68" s="10"/>
      <c r="H68" s="19"/>
      <c r="I68" s="10"/>
      <c r="J68" s="9"/>
      <c r="K68" s="9"/>
      <c r="L68" s="10"/>
      <c r="M68" s="10"/>
      <c r="N68" s="10"/>
      <c r="O68" s="10"/>
      <c r="S68" s="15"/>
      <c r="T68" s="9"/>
    </row>
    <row r="69" spans="3:20" x14ac:dyDescent="0.3">
      <c r="C69" s="11"/>
      <c r="D69" s="11"/>
      <c r="E69" s="11"/>
      <c r="F69" s="10"/>
      <c r="G69" s="20"/>
      <c r="H69" s="9"/>
      <c r="I69" s="20"/>
      <c r="J69" s="9"/>
      <c r="K69" s="19"/>
      <c r="L69" s="20"/>
      <c r="M69" s="20"/>
      <c r="N69" s="20"/>
      <c r="O69" s="20"/>
      <c r="S69" s="9"/>
    </row>
    <row r="70" spans="3:20" x14ac:dyDescent="0.3">
      <c r="C70" s="11"/>
      <c r="D70" s="11"/>
      <c r="E70" s="11"/>
      <c r="F70" s="10"/>
      <c r="G70" s="20"/>
      <c r="H70" s="9"/>
      <c r="I70" s="20"/>
      <c r="J70" s="9"/>
      <c r="K70" s="19"/>
      <c r="L70" s="20"/>
      <c r="M70" s="20"/>
      <c r="N70" s="20"/>
      <c r="O70" s="20"/>
      <c r="S70" s="9"/>
    </row>
    <row r="71" spans="3:20" x14ac:dyDescent="0.3">
      <c r="C71" s="11"/>
      <c r="D71" s="11"/>
      <c r="E71" s="11"/>
      <c r="F71" s="10"/>
      <c r="G71" s="20"/>
      <c r="H71" s="9"/>
      <c r="I71" s="20"/>
      <c r="J71" s="9"/>
      <c r="K71" s="19"/>
      <c r="L71" s="20"/>
      <c r="M71" s="20"/>
      <c r="N71" s="20"/>
      <c r="O71" s="20"/>
      <c r="S71" s="9"/>
    </row>
    <row r="72" spans="3:20" x14ac:dyDescent="0.3">
      <c r="C72" s="11"/>
      <c r="D72" s="11"/>
      <c r="E72" s="11"/>
      <c r="F72" s="10"/>
      <c r="G72" s="20"/>
      <c r="H72" s="9"/>
      <c r="I72" s="20"/>
      <c r="J72" s="9"/>
      <c r="K72" s="19"/>
      <c r="L72" s="20"/>
      <c r="M72" s="20"/>
      <c r="N72" s="20"/>
      <c r="O72" s="20"/>
      <c r="S72" s="9"/>
    </row>
    <row r="73" spans="3:20" x14ac:dyDescent="0.3">
      <c r="C73" s="11"/>
      <c r="D73" s="11"/>
      <c r="E73" s="11"/>
      <c r="F73" s="10"/>
      <c r="G73" s="20"/>
      <c r="H73" s="9"/>
      <c r="I73" s="20"/>
      <c r="J73" s="9"/>
      <c r="K73" s="19"/>
      <c r="L73" s="20"/>
      <c r="M73" s="20"/>
      <c r="N73" s="20"/>
      <c r="O73" s="20"/>
      <c r="S73" s="9"/>
    </row>
    <row r="74" spans="3:20" x14ac:dyDescent="0.3">
      <c r="C74" s="11"/>
      <c r="D74" s="11"/>
      <c r="E74" s="11"/>
      <c r="F74" s="10"/>
      <c r="G74" s="10"/>
      <c r="H74" s="9"/>
      <c r="I74" s="10"/>
      <c r="J74" s="9"/>
      <c r="K74" s="9"/>
      <c r="L74" s="10"/>
      <c r="M74" s="10"/>
      <c r="N74" s="10"/>
      <c r="O74" s="10"/>
      <c r="S74" s="9"/>
    </row>
    <row r="75" spans="3:20" x14ac:dyDescent="0.3">
      <c r="C75" s="11"/>
      <c r="D75" s="11"/>
      <c r="E75" s="11"/>
      <c r="F75" s="10"/>
      <c r="G75" s="10"/>
      <c r="H75" s="9"/>
      <c r="I75" s="10"/>
      <c r="J75" s="9"/>
      <c r="K75" s="9"/>
      <c r="L75" s="10"/>
      <c r="M75" s="10"/>
      <c r="N75" s="10"/>
      <c r="O75" s="10"/>
      <c r="S75" s="9"/>
    </row>
    <row r="76" spans="3:20" x14ac:dyDescent="0.3">
      <c r="C76" s="11"/>
      <c r="D76" s="11"/>
      <c r="E76" s="11"/>
      <c r="F76" s="10"/>
      <c r="G76" s="10"/>
      <c r="H76" s="9"/>
      <c r="I76" s="10"/>
      <c r="J76" s="9"/>
      <c r="K76" s="9"/>
      <c r="L76" s="10"/>
      <c r="M76" s="10"/>
      <c r="N76" s="10"/>
      <c r="O76" s="10"/>
      <c r="S76" s="9"/>
    </row>
    <row r="77" spans="3:20" x14ac:dyDescent="0.3">
      <c r="C77" s="11"/>
      <c r="D77" s="11"/>
      <c r="E77" s="11"/>
      <c r="F77" s="10"/>
      <c r="G77" s="10"/>
      <c r="H77" s="9"/>
      <c r="I77" s="10"/>
      <c r="J77" s="9"/>
      <c r="K77" s="9"/>
      <c r="L77" s="10"/>
      <c r="M77" s="10"/>
      <c r="N77" s="10"/>
      <c r="O77" s="10"/>
      <c r="S77" s="9"/>
    </row>
    <row r="78" spans="3:20" x14ac:dyDescent="0.3">
      <c r="C78" s="11"/>
      <c r="D78" s="11"/>
      <c r="E78" s="11"/>
      <c r="F78" s="10"/>
      <c r="G78" s="10"/>
      <c r="H78" s="9"/>
      <c r="I78" s="10"/>
      <c r="J78" s="9"/>
      <c r="K78" s="9"/>
      <c r="L78" s="10"/>
      <c r="M78" s="10"/>
      <c r="N78" s="10"/>
      <c r="O78" s="10"/>
      <c r="S78" s="9"/>
    </row>
    <row r="79" spans="3:20" x14ac:dyDescent="0.3">
      <c r="C79" s="11"/>
      <c r="D79" s="11"/>
      <c r="E79" s="11"/>
      <c r="F79" s="10"/>
      <c r="G79" s="10"/>
      <c r="H79" s="9"/>
      <c r="I79" s="10"/>
      <c r="J79" s="9"/>
      <c r="K79" s="9"/>
      <c r="L79" s="10"/>
      <c r="M79" s="10"/>
      <c r="N79" s="10"/>
      <c r="O79" s="10"/>
      <c r="S79" s="9"/>
    </row>
    <row r="80" spans="3:20" x14ac:dyDescent="0.3">
      <c r="C80" s="11"/>
      <c r="D80" s="11"/>
      <c r="E80" s="11"/>
      <c r="F80" s="10"/>
      <c r="G80" s="10"/>
      <c r="H80" s="9"/>
      <c r="I80" s="10"/>
      <c r="J80" s="9"/>
      <c r="K80" s="9"/>
      <c r="L80" s="10"/>
      <c r="M80" s="10"/>
      <c r="N80" s="10"/>
      <c r="O80" s="10"/>
      <c r="S80" s="9"/>
    </row>
    <row r="81" spans="3:19" x14ac:dyDescent="0.3">
      <c r="C81" s="11"/>
      <c r="D81" s="11"/>
      <c r="E81" s="11"/>
      <c r="F81" s="10"/>
      <c r="G81" s="10"/>
      <c r="H81" s="9"/>
      <c r="I81" s="10"/>
      <c r="J81" s="9"/>
      <c r="K81" s="9"/>
      <c r="L81" s="10"/>
      <c r="M81" s="10"/>
      <c r="N81" s="10"/>
      <c r="O81" s="10"/>
      <c r="S81" s="9"/>
    </row>
    <row r="82" spans="3:19" x14ac:dyDescent="0.3">
      <c r="C82" s="11"/>
      <c r="D82" s="11"/>
      <c r="E82" s="11"/>
      <c r="F82" s="10"/>
      <c r="G82" s="10"/>
      <c r="H82" s="9"/>
      <c r="I82" s="10"/>
      <c r="J82" s="9"/>
      <c r="K82" s="9"/>
      <c r="L82" s="10"/>
      <c r="M82" s="10"/>
      <c r="N82" s="10"/>
      <c r="O82" s="10"/>
      <c r="S82" s="9"/>
    </row>
    <row r="83" spans="3:19" x14ac:dyDescent="0.3">
      <c r="C83" s="11"/>
      <c r="D83" s="11"/>
      <c r="E83" s="11"/>
      <c r="F83" s="10"/>
      <c r="G83" s="10"/>
      <c r="H83" s="9"/>
      <c r="I83" s="10"/>
      <c r="J83" s="9"/>
      <c r="K83" s="9"/>
      <c r="L83" s="10"/>
      <c r="M83" s="10"/>
      <c r="N83" s="10"/>
      <c r="O83" s="10"/>
      <c r="S83" s="9"/>
    </row>
    <row r="84" spans="3:19" x14ac:dyDescent="0.3">
      <c r="C84" s="11"/>
      <c r="D84" s="11"/>
      <c r="E84" s="11"/>
      <c r="F84" s="10"/>
      <c r="G84" s="10"/>
      <c r="H84" s="9"/>
      <c r="I84" s="10"/>
      <c r="J84" s="9"/>
      <c r="K84" s="9"/>
      <c r="L84" s="10"/>
      <c r="M84" s="10"/>
      <c r="N84" s="10"/>
      <c r="O84" s="10"/>
      <c r="S84" s="9"/>
    </row>
    <row r="85" spans="3:19" x14ac:dyDescent="0.3">
      <c r="C85" s="11"/>
      <c r="D85" s="11"/>
      <c r="E85" s="11"/>
      <c r="F85" s="10"/>
      <c r="G85" s="10"/>
      <c r="H85" s="9"/>
      <c r="I85" s="10"/>
      <c r="J85" s="9"/>
      <c r="K85" s="9"/>
      <c r="L85" s="10"/>
      <c r="M85" s="10"/>
      <c r="N85" s="10"/>
      <c r="O85" s="10"/>
      <c r="S85" s="9"/>
    </row>
    <row r="86" spans="3:19" x14ac:dyDescent="0.3">
      <c r="C86" s="11"/>
      <c r="D86" s="11"/>
      <c r="E86" s="11"/>
      <c r="F86" s="10"/>
      <c r="G86" s="10"/>
      <c r="H86" s="9"/>
      <c r="I86" s="10"/>
      <c r="J86" s="9"/>
      <c r="K86" s="9"/>
      <c r="L86" s="10"/>
      <c r="M86" s="10"/>
      <c r="N86" s="10"/>
      <c r="O86" s="10"/>
      <c r="S86" s="9"/>
    </row>
    <row r="87" spans="3:19" x14ac:dyDescent="0.3">
      <c r="C87" s="11"/>
      <c r="D87" s="11"/>
      <c r="E87" s="11"/>
      <c r="F87" s="10"/>
      <c r="G87" s="10"/>
      <c r="H87" s="9"/>
      <c r="I87" s="10"/>
      <c r="J87" s="9"/>
      <c r="K87" s="9"/>
      <c r="L87" s="10"/>
      <c r="M87" s="10"/>
      <c r="N87" s="10"/>
      <c r="O87" s="10"/>
      <c r="S87" s="9"/>
    </row>
    <row r="88" spans="3:19" x14ac:dyDescent="0.3">
      <c r="C88" s="11"/>
      <c r="D88" s="11"/>
      <c r="E88" s="11"/>
      <c r="F88" s="10"/>
      <c r="G88" s="10"/>
      <c r="H88" s="9"/>
      <c r="I88" s="10"/>
      <c r="J88" s="9"/>
      <c r="K88" s="9"/>
      <c r="L88" s="10"/>
      <c r="M88" s="10"/>
      <c r="N88" s="10"/>
      <c r="O88" s="10"/>
      <c r="S88" s="9"/>
    </row>
    <row r="90" spans="3:19" x14ac:dyDescent="0.3">
      <c r="E90" s="3"/>
    </row>
    <row r="91" spans="3:19" x14ac:dyDescent="0.3">
      <c r="E91" s="3"/>
    </row>
    <row r="92" spans="3:19" x14ac:dyDescent="0.3">
      <c r="E92" s="3"/>
    </row>
    <row r="93" spans="3:19" x14ac:dyDescent="0.3">
      <c r="E93" s="3"/>
    </row>
    <row r="94" spans="3:19" x14ac:dyDescent="0.3">
      <c r="E94" s="3"/>
    </row>
    <row r="95" spans="3:19" x14ac:dyDescent="0.3">
      <c r="E95" s="3"/>
    </row>
    <row r="96" spans="3:19" x14ac:dyDescent="0.3">
      <c r="E96" s="3"/>
    </row>
    <row r="97" spans="5:5" x14ac:dyDescent="0.3">
      <c r="E97" s="3"/>
    </row>
    <row r="98" spans="5:5" x14ac:dyDescent="0.3">
      <c r="E98" s="3"/>
    </row>
    <row r="99" spans="5:5" x14ac:dyDescent="0.3">
      <c r="E99" s="3"/>
    </row>
    <row r="100" spans="5:5" x14ac:dyDescent="0.3">
      <c r="E100" s="3"/>
    </row>
    <row r="101" spans="5:5" x14ac:dyDescent="0.3">
      <c r="E101" s="3"/>
    </row>
    <row r="102" spans="5:5" x14ac:dyDescent="0.3">
      <c r="E102" s="3"/>
    </row>
    <row r="103" spans="5:5" x14ac:dyDescent="0.3">
      <c r="E103" s="3"/>
    </row>
    <row r="104" spans="5:5" x14ac:dyDescent="0.3">
      <c r="E104" s="3"/>
    </row>
    <row r="105" spans="5:5" x14ac:dyDescent="0.3">
      <c r="E105" s="3"/>
    </row>
    <row r="106" spans="5:5" x14ac:dyDescent="0.3">
      <c r="E106" s="3"/>
    </row>
    <row r="107" spans="5:5" x14ac:dyDescent="0.3">
      <c r="E107" s="3"/>
    </row>
    <row r="108" spans="5:5" x14ac:dyDescent="0.3">
      <c r="E108" s="3"/>
    </row>
    <row r="109" spans="5:5" x14ac:dyDescent="0.3">
      <c r="E109" s="3"/>
    </row>
    <row r="110" spans="5:5" x14ac:dyDescent="0.3">
      <c r="E110" s="3"/>
    </row>
    <row r="111" spans="5:5" x14ac:dyDescent="0.3">
      <c r="E111" s="3"/>
    </row>
    <row r="112" spans="5:5" x14ac:dyDescent="0.3">
      <c r="E112" s="3"/>
    </row>
    <row r="113" spans="5:5" x14ac:dyDescent="0.3">
      <c r="E113" s="3"/>
    </row>
    <row r="114" spans="5:5" x14ac:dyDescent="0.3">
      <c r="E114" s="3"/>
    </row>
    <row r="115" spans="5:5" x14ac:dyDescent="0.3">
      <c r="E115" s="3"/>
    </row>
    <row r="116" spans="5:5" x14ac:dyDescent="0.3">
      <c r="E116" s="3"/>
    </row>
    <row r="117" spans="5:5" x14ac:dyDescent="0.3">
      <c r="E117" s="3"/>
    </row>
    <row r="118" spans="5:5" x14ac:dyDescent="0.3">
      <c r="E118" s="3"/>
    </row>
    <row r="119" spans="5:5" x14ac:dyDescent="0.3">
      <c r="E119" s="3"/>
    </row>
    <row r="120" spans="5:5" x14ac:dyDescent="0.3">
      <c r="E120" s="3"/>
    </row>
    <row r="121" spans="5:5" x14ac:dyDescent="0.3">
      <c r="E121" s="3"/>
    </row>
    <row r="122" spans="5:5" x14ac:dyDescent="0.3">
      <c r="E122" s="3"/>
    </row>
    <row r="123" spans="5:5" x14ac:dyDescent="0.3">
      <c r="E123" s="3"/>
    </row>
    <row r="124" spans="5:5" x14ac:dyDescent="0.3">
      <c r="E124" s="3"/>
    </row>
    <row r="125" spans="5:5" x14ac:dyDescent="0.3">
      <c r="E125" s="3"/>
    </row>
    <row r="126" spans="5:5" x14ac:dyDescent="0.3">
      <c r="E126" s="3"/>
    </row>
    <row r="127" spans="5:5" x14ac:dyDescent="0.3">
      <c r="E127" s="3"/>
    </row>
    <row r="128" spans="5:5" x14ac:dyDescent="0.3">
      <c r="E128" s="3"/>
    </row>
    <row r="129" spans="5:5" x14ac:dyDescent="0.3">
      <c r="E129" s="3"/>
    </row>
    <row r="130" spans="5:5" x14ac:dyDescent="0.3">
      <c r="E130" s="3"/>
    </row>
    <row r="131" spans="5:5" x14ac:dyDescent="0.3">
      <c r="E131" s="3"/>
    </row>
    <row r="132" spans="5:5" x14ac:dyDescent="0.3">
      <c r="E132" s="3"/>
    </row>
    <row r="133" spans="5:5" x14ac:dyDescent="0.3">
      <c r="E133" s="3"/>
    </row>
    <row r="134" spans="5:5" x14ac:dyDescent="0.3">
      <c r="E134" s="3"/>
    </row>
    <row r="135" spans="5:5" x14ac:dyDescent="0.3">
      <c r="E135" s="3"/>
    </row>
    <row r="136" spans="5:5" x14ac:dyDescent="0.3">
      <c r="E136" s="3"/>
    </row>
  </sheetData>
  <phoneticPr fontId="5" type="noConversion"/>
  <pageMargins left="0.7" right="0.7" top="0.75" bottom="0.75" header="0.3" footer="0.3"/>
  <pageSetup orientation="portrait" horizontalDpi="0" verticalDpi="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0C5CA-5409-4743-B00F-A89249A535C5}">
  <sheetPr codeName="Sheet6"/>
  <dimension ref="B1:N139"/>
  <sheetViews>
    <sheetView workbookViewId="0">
      <selection activeCell="B6" sqref="B6:B57"/>
    </sheetView>
  </sheetViews>
  <sheetFormatPr baseColWidth="10" defaultRowHeight="22" x14ac:dyDescent="0.3"/>
  <cols>
    <col min="2" max="2" width="34.83203125" bestFit="1" customWidth="1"/>
    <col min="3" max="3" width="13.5" style="9" bestFit="1" customWidth="1"/>
    <col min="4" max="4" width="34.83203125" style="9" bestFit="1" customWidth="1"/>
    <col min="5" max="5" width="16.83203125" style="9" customWidth="1"/>
    <col min="6" max="6" width="16.6640625" style="9" bestFit="1" customWidth="1"/>
    <col min="7" max="7" width="13.1640625" style="9" bestFit="1" customWidth="1"/>
    <col min="8" max="8" width="11" style="9" customWidth="1"/>
    <col min="9" max="12" width="11.1640625" style="9" bestFit="1" customWidth="1"/>
    <col min="13" max="13" width="10.83203125" style="14"/>
    <col min="14" max="14" width="15.1640625" bestFit="1" customWidth="1"/>
  </cols>
  <sheetData>
    <row r="1" spans="2:14" x14ac:dyDescent="0.3">
      <c r="C1" s="9" t="s">
        <v>3902</v>
      </c>
      <c r="D1" s="9" t="s">
        <v>3924</v>
      </c>
    </row>
    <row r="2" spans="2:14" x14ac:dyDescent="0.3">
      <c r="C2" s="9" t="s">
        <v>3904</v>
      </c>
      <c r="D2" s="9" t="s">
        <v>3923</v>
      </c>
    </row>
    <row r="3" spans="2:14" x14ac:dyDescent="0.3">
      <c r="C3" s="9" t="s">
        <v>3921</v>
      </c>
      <c r="D3" s="9" t="s">
        <v>3922</v>
      </c>
    </row>
    <row r="4" spans="2:14" x14ac:dyDescent="0.3">
      <c r="I4" s="183" t="s">
        <v>3911</v>
      </c>
      <c r="J4" s="183"/>
      <c r="K4" s="183"/>
      <c r="L4" s="183"/>
      <c r="N4" s="31"/>
    </row>
    <row r="5" spans="2:14" x14ac:dyDescent="0.3">
      <c r="C5" s="12" t="s">
        <v>20</v>
      </c>
      <c r="D5" s="12" t="s">
        <v>19</v>
      </c>
      <c r="E5" s="12" t="s">
        <v>13</v>
      </c>
      <c r="F5" s="12" t="s">
        <v>14</v>
      </c>
      <c r="G5" s="12" t="s">
        <v>15</v>
      </c>
      <c r="H5" s="12" t="s">
        <v>21</v>
      </c>
      <c r="I5" s="13" t="s">
        <v>3910</v>
      </c>
      <c r="J5" s="13" t="s">
        <v>3905</v>
      </c>
      <c r="K5" s="13" t="s">
        <v>3906</v>
      </c>
      <c r="L5" s="13" t="s">
        <v>3907</v>
      </c>
      <c r="M5" s="13" t="s">
        <v>3908</v>
      </c>
      <c r="N5" s="12" t="s">
        <v>24</v>
      </c>
    </row>
    <row r="6" spans="2:14" x14ac:dyDescent="0.3">
      <c r="B6" s="30" t="s">
        <v>4</v>
      </c>
      <c r="C6" s="25"/>
      <c r="D6" s="9" t="s">
        <v>3900</v>
      </c>
      <c r="E6" s="11">
        <v>1069126</v>
      </c>
      <c r="F6" s="11">
        <v>112613306</v>
      </c>
      <c r="G6" s="11">
        <v>11467</v>
      </c>
      <c r="H6" s="10"/>
      <c r="I6" s="20"/>
      <c r="J6" s="21" t="s">
        <v>3904</v>
      </c>
      <c r="K6" s="21" t="s">
        <v>3904</v>
      </c>
      <c r="L6" s="21" t="s">
        <v>3904</v>
      </c>
      <c r="M6" s="21" t="s">
        <v>3904</v>
      </c>
      <c r="N6" s="14"/>
    </row>
    <row r="7" spans="2:14" x14ac:dyDescent="0.3">
      <c r="B7" s="29" t="s">
        <v>3920</v>
      </c>
      <c r="C7" s="24">
        <v>1</v>
      </c>
      <c r="D7" s="11" t="s">
        <v>4</v>
      </c>
      <c r="E7" s="16">
        <v>1203995</v>
      </c>
      <c r="F7" s="16">
        <v>40033816</v>
      </c>
      <c r="G7" s="16">
        <v>81090</v>
      </c>
      <c r="H7" s="17"/>
      <c r="I7" s="4"/>
      <c r="J7" s="21">
        <v>4.1769999999999996</v>
      </c>
      <c r="K7" s="21">
        <v>2.742</v>
      </c>
      <c r="L7" s="21">
        <v>2.6520000000000001</v>
      </c>
      <c r="M7" s="21">
        <v>1.3240000000000001</v>
      </c>
      <c r="N7" s="15"/>
    </row>
    <row r="8" spans="2:14" x14ac:dyDescent="0.3">
      <c r="B8" s="30" t="s">
        <v>1346</v>
      </c>
      <c r="C8" s="25" t="s">
        <v>3918</v>
      </c>
      <c r="D8" s="22" t="s">
        <v>3920</v>
      </c>
      <c r="E8" s="11">
        <v>1632803</v>
      </c>
      <c r="F8" s="11">
        <v>44603928</v>
      </c>
      <c r="G8" s="11">
        <v>14854</v>
      </c>
      <c r="H8" s="10"/>
      <c r="I8" s="20"/>
      <c r="J8" s="21">
        <v>0.14199999999999999</v>
      </c>
      <c r="K8" s="21">
        <v>0.11600000000000001</v>
      </c>
      <c r="L8" s="21">
        <v>0.247</v>
      </c>
      <c r="M8" s="21">
        <v>0.22900000000000001</v>
      </c>
      <c r="N8" s="15"/>
    </row>
    <row r="9" spans="2:14" x14ac:dyDescent="0.3">
      <c r="B9" s="29" t="s">
        <v>3917</v>
      </c>
      <c r="C9" s="26" t="s">
        <v>3918</v>
      </c>
      <c r="D9" s="11" t="s">
        <v>1346</v>
      </c>
      <c r="E9" s="11">
        <v>1696415</v>
      </c>
      <c r="F9" s="11">
        <v>22190596</v>
      </c>
      <c r="G9" s="11">
        <v>35455</v>
      </c>
      <c r="H9" s="10"/>
      <c r="I9" s="20"/>
      <c r="J9" s="21">
        <v>0.51</v>
      </c>
      <c r="K9" s="21">
        <v>0.40899999999999997</v>
      </c>
      <c r="L9" s="21">
        <v>0.69899999999999995</v>
      </c>
      <c r="M9" s="21">
        <v>0.36499999999999999</v>
      </c>
      <c r="N9" s="14"/>
    </row>
    <row r="10" spans="2:14" x14ac:dyDescent="0.3">
      <c r="B10" s="29" t="s">
        <v>1405</v>
      </c>
      <c r="C10" s="26" t="s">
        <v>3918</v>
      </c>
      <c r="D10" s="9" t="s">
        <v>3917</v>
      </c>
      <c r="E10" s="11">
        <v>1791489</v>
      </c>
      <c r="F10" s="11">
        <v>50888414</v>
      </c>
      <c r="G10" s="11">
        <v>238342</v>
      </c>
      <c r="H10" s="10"/>
      <c r="I10" s="20"/>
      <c r="J10" s="21">
        <v>0.21299999999999999</v>
      </c>
      <c r="K10" s="21">
        <v>0.186</v>
      </c>
      <c r="L10" s="21">
        <v>0.371</v>
      </c>
      <c r="M10" s="21">
        <v>0.32800000000000001</v>
      </c>
      <c r="N10" s="15"/>
    </row>
    <row r="11" spans="2:14" x14ac:dyDescent="0.3">
      <c r="B11" s="29" t="s">
        <v>1402</v>
      </c>
      <c r="C11" s="25"/>
      <c r="D11" s="9" t="s">
        <v>1405</v>
      </c>
      <c r="E11" s="16">
        <v>2093449</v>
      </c>
      <c r="F11" s="16">
        <v>52098498</v>
      </c>
      <c r="G11" s="16">
        <v>1140084</v>
      </c>
      <c r="H11" s="17"/>
      <c r="I11" s="4"/>
      <c r="J11" s="21" t="s">
        <v>3904</v>
      </c>
      <c r="K11" s="21" t="s">
        <v>3904</v>
      </c>
      <c r="L11" s="21" t="s">
        <v>3904</v>
      </c>
      <c r="M11" s="21" t="s">
        <v>3904</v>
      </c>
      <c r="N11" s="15"/>
    </row>
    <row r="12" spans="2:14" x14ac:dyDescent="0.3">
      <c r="B12" s="29" t="s">
        <v>1371</v>
      </c>
      <c r="C12" s="25"/>
      <c r="D12" s="9" t="s">
        <v>1427</v>
      </c>
      <c r="E12" s="11">
        <v>2105723</v>
      </c>
      <c r="F12" s="11">
        <v>100093818</v>
      </c>
      <c r="G12" s="11">
        <v>218818</v>
      </c>
      <c r="H12" s="10"/>
      <c r="I12" s="20"/>
      <c r="J12" s="21" t="s">
        <v>3904</v>
      </c>
      <c r="K12" s="21" t="s">
        <v>3904</v>
      </c>
      <c r="L12" s="21" t="s">
        <v>3904</v>
      </c>
      <c r="M12" s="21" t="s">
        <v>3904</v>
      </c>
      <c r="N12" s="14"/>
    </row>
    <row r="13" spans="2:14" x14ac:dyDescent="0.3">
      <c r="B13" s="29" t="s">
        <v>1445</v>
      </c>
      <c r="C13" s="25"/>
      <c r="D13" s="9" t="s">
        <v>1402</v>
      </c>
      <c r="E13" s="16">
        <v>2132864</v>
      </c>
      <c r="F13" s="16">
        <v>17441248</v>
      </c>
      <c r="G13" s="16">
        <v>306136</v>
      </c>
      <c r="H13" s="17"/>
      <c r="I13" s="4"/>
      <c r="J13" s="21">
        <v>9.0999999999999998E-2</v>
      </c>
      <c r="K13" s="21">
        <v>0.114</v>
      </c>
      <c r="L13" s="21">
        <v>0.20399999999999999</v>
      </c>
      <c r="M13" s="21">
        <v>0.183</v>
      </c>
      <c r="N13" s="15"/>
    </row>
    <row r="14" spans="2:14" x14ac:dyDescent="0.3">
      <c r="B14" s="30" t="s">
        <v>1454</v>
      </c>
      <c r="C14" s="25"/>
      <c r="D14" s="9" t="s">
        <v>1371</v>
      </c>
      <c r="E14" s="16">
        <v>2140198</v>
      </c>
      <c r="F14" s="16">
        <v>34029892</v>
      </c>
      <c r="G14" s="16">
        <v>97848</v>
      </c>
      <c r="H14" s="17"/>
      <c r="I14" s="4"/>
      <c r="J14" s="21">
        <v>0.16600000000000001</v>
      </c>
      <c r="K14" s="21">
        <v>0.16200000000000001</v>
      </c>
      <c r="L14" s="21">
        <v>0.253</v>
      </c>
      <c r="M14" s="21">
        <v>0.22600000000000001</v>
      </c>
      <c r="N14" s="15"/>
    </row>
    <row r="15" spans="2:14" x14ac:dyDescent="0.3">
      <c r="B15" s="30" t="s">
        <v>3</v>
      </c>
      <c r="C15" s="25"/>
      <c r="D15" s="9" t="s">
        <v>1445</v>
      </c>
      <c r="E15" s="16">
        <v>2148791</v>
      </c>
      <c r="F15" s="16">
        <v>155750262</v>
      </c>
      <c r="G15" s="16">
        <v>286585</v>
      </c>
      <c r="H15" s="17"/>
      <c r="I15" s="4"/>
      <c r="J15" s="21" t="s">
        <v>3904</v>
      </c>
      <c r="K15" s="21" t="s">
        <v>3904</v>
      </c>
      <c r="L15" s="21" t="s">
        <v>3904</v>
      </c>
      <c r="M15" s="21" t="s">
        <v>3904</v>
      </c>
      <c r="N15" s="15"/>
    </row>
    <row r="16" spans="2:14" x14ac:dyDescent="0.3">
      <c r="B16" s="29" t="s">
        <v>11</v>
      </c>
      <c r="C16" s="24"/>
      <c r="D16" s="11" t="s">
        <v>1454</v>
      </c>
      <c r="E16" s="16">
        <v>2166661</v>
      </c>
      <c r="F16" s="16">
        <v>79411962</v>
      </c>
      <c r="G16" s="16">
        <v>95524</v>
      </c>
      <c r="H16" s="18"/>
      <c r="I16" s="4"/>
      <c r="J16" s="21">
        <v>145.26400000000001</v>
      </c>
      <c r="K16" s="21">
        <v>215.80799999999999</v>
      </c>
      <c r="L16" s="21">
        <v>253.22499999999999</v>
      </c>
      <c r="M16" s="21">
        <v>58.789000000000001</v>
      </c>
      <c r="N16" s="15"/>
    </row>
    <row r="17" spans="2:14" x14ac:dyDescent="0.3">
      <c r="B17" s="30" t="s">
        <v>7</v>
      </c>
      <c r="C17" s="24"/>
      <c r="D17" s="11" t="s">
        <v>3</v>
      </c>
      <c r="E17" s="16">
        <v>2212663</v>
      </c>
      <c r="F17" s="16">
        <v>58330960</v>
      </c>
      <c r="G17" s="16">
        <v>137021</v>
      </c>
      <c r="H17" s="17"/>
      <c r="I17" s="4"/>
      <c r="J17" s="21">
        <v>21.494</v>
      </c>
      <c r="K17" s="21">
        <v>15.771000000000001</v>
      </c>
      <c r="L17" s="21">
        <v>33.183</v>
      </c>
      <c r="M17" s="21">
        <v>11.351000000000001</v>
      </c>
      <c r="N17" s="15"/>
    </row>
    <row r="18" spans="2:14" x14ac:dyDescent="0.3">
      <c r="B18" s="29" t="s">
        <v>1422</v>
      </c>
      <c r="C18" s="24"/>
      <c r="D18" s="11" t="s">
        <v>1424</v>
      </c>
      <c r="E18" s="11">
        <v>2302925</v>
      </c>
      <c r="F18" s="11">
        <v>45676552</v>
      </c>
      <c r="G18" s="11">
        <v>27937</v>
      </c>
      <c r="H18" s="10"/>
      <c r="I18" s="20"/>
      <c r="J18" s="21" t="s">
        <v>3902</v>
      </c>
      <c r="K18" s="21" t="s">
        <v>3904</v>
      </c>
      <c r="L18" s="21" t="s">
        <v>3902</v>
      </c>
      <c r="M18" s="21" t="s">
        <v>3904</v>
      </c>
      <c r="N18" s="14"/>
    </row>
    <row r="19" spans="2:14" x14ac:dyDescent="0.3">
      <c r="B19" s="30" t="s">
        <v>1433</v>
      </c>
      <c r="C19" s="26" t="s">
        <v>3918</v>
      </c>
      <c r="D19" s="9" t="s">
        <v>11</v>
      </c>
      <c r="E19" s="16">
        <v>2394385</v>
      </c>
      <c r="F19" s="16">
        <v>9319130</v>
      </c>
      <c r="G19" s="16">
        <v>100029</v>
      </c>
      <c r="H19" s="17"/>
      <c r="I19" s="4"/>
      <c r="J19" s="21">
        <v>0.98399999999999999</v>
      </c>
      <c r="K19" s="21">
        <v>0.872</v>
      </c>
      <c r="L19" s="21">
        <v>0.90200000000000002</v>
      </c>
      <c r="M19" s="21">
        <v>0.59299999999999997</v>
      </c>
      <c r="N19" s="15"/>
    </row>
    <row r="20" spans="2:14" x14ac:dyDescent="0.3">
      <c r="B20" s="29" t="s">
        <v>1412</v>
      </c>
      <c r="C20" s="24"/>
      <c r="D20" s="11" t="s">
        <v>7</v>
      </c>
      <c r="E20" s="16">
        <v>2584164</v>
      </c>
      <c r="F20" s="16">
        <v>56367036</v>
      </c>
      <c r="G20" s="16">
        <v>44065</v>
      </c>
      <c r="H20" s="18"/>
      <c r="I20" s="4"/>
      <c r="J20" s="21">
        <v>9.4819999999999993</v>
      </c>
      <c r="K20" s="21">
        <v>8.1989999999999998</v>
      </c>
      <c r="L20" s="21">
        <v>10.891999999999999</v>
      </c>
      <c r="M20" s="21">
        <v>6.55</v>
      </c>
      <c r="N20" s="15"/>
    </row>
    <row r="21" spans="2:14" x14ac:dyDescent="0.3">
      <c r="B21" s="29" t="s">
        <v>3919</v>
      </c>
      <c r="C21" s="25"/>
      <c r="D21" s="9" t="s">
        <v>1422</v>
      </c>
      <c r="E21" s="16">
        <v>2622756</v>
      </c>
      <c r="F21" s="16">
        <v>94934908</v>
      </c>
      <c r="G21" s="16">
        <v>900354</v>
      </c>
      <c r="H21" s="17"/>
      <c r="I21" s="4"/>
      <c r="J21" s="21" t="s">
        <v>3904</v>
      </c>
      <c r="K21" s="21" t="s">
        <v>3904</v>
      </c>
      <c r="L21" s="21" t="s">
        <v>3904</v>
      </c>
      <c r="M21" s="21" t="s">
        <v>3904</v>
      </c>
      <c r="N21" s="15"/>
    </row>
    <row r="22" spans="2:14" x14ac:dyDescent="0.3">
      <c r="B22" s="30" t="s">
        <v>1404</v>
      </c>
      <c r="C22" s="24"/>
      <c r="D22" s="11" t="s">
        <v>1433</v>
      </c>
      <c r="E22" s="16">
        <v>2646291</v>
      </c>
      <c r="F22" s="16">
        <v>42433496</v>
      </c>
      <c r="G22" s="16">
        <v>850681</v>
      </c>
      <c r="H22" s="17"/>
      <c r="I22" s="4"/>
      <c r="J22" s="21">
        <v>1.24</v>
      </c>
      <c r="K22" s="21">
        <v>1.151</v>
      </c>
      <c r="L22" s="21">
        <v>1.9730000000000001</v>
      </c>
      <c r="M22" s="21">
        <v>1.53</v>
      </c>
      <c r="N22" s="15"/>
    </row>
    <row r="23" spans="2:14" x14ac:dyDescent="0.3">
      <c r="B23" s="30" t="s">
        <v>1437</v>
      </c>
      <c r="C23" s="25"/>
      <c r="D23" s="9" t="s">
        <v>1412</v>
      </c>
      <c r="E23" s="11">
        <v>2863439</v>
      </c>
      <c r="F23" s="11">
        <v>16293088</v>
      </c>
      <c r="G23" s="11">
        <v>146311</v>
      </c>
      <c r="H23" s="10"/>
      <c r="I23" s="20"/>
      <c r="J23" s="21">
        <v>75.808999999999997</v>
      </c>
      <c r="K23" s="21">
        <v>68.242999999999995</v>
      </c>
      <c r="L23" s="21">
        <v>72.906999999999996</v>
      </c>
      <c r="M23" s="21">
        <v>49.180999999999997</v>
      </c>
      <c r="N23" s="14"/>
    </row>
    <row r="24" spans="2:14" x14ac:dyDescent="0.3">
      <c r="B24" s="29" t="s">
        <v>1414</v>
      </c>
      <c r="C24" s="25" t="s">
        <v>3918</v>
      </c>
      <c r="D24" s="22" t="s">
        <v>3919</v>
      </c>
      <c r="E24" s="11">
        <v>2937612</v>
      </c>
      <c r="F24" s="11">
        <v>41919708</v>
      </c>
      <c r="G24" s="11">
        <v>4356</v>
      </c>
      <c r="H24" s="10"/>
      <c r="I24" s="20"/>
      <c r="J24" s="21">
        <v>0.20499999999999999</v>
      </c>
      <c r="K24" s="21">
        <v>0.17</v>
      </c>
      <c r="L24" s="21">
        <v>0.377</v>
      </c>
      <c r="M24" s="21">
        <v>0.32200000000000001</v>
      </c>
      <c r="N24" s="15"/>
    </row>
    <row r="25" spans="2:14" x14ac:dyDescent="0.3">
      <c r="B25" s="30" t="s">
        <v>6</v>
      </c>
      <c r="C25" s="24"/>
      <c r="D25" s="11" t="s">
        <v>1404</v>
      </c>
      <c r="E25" s="16">
        <v>2939627</v>
      </c>
      <c r="F25" s="16">
        <v>20974994</v>
      </c>
      <c r="G25" s="16">
        <v>916719</v>
      </c>
      <c r="H25" s="17"/>
      <c r="I25" s="4"/>
      <c r="J25" s="21">
        <v>0.68</v>
      </c>
      <c r="K25" s="21" t="s">
        <v>3904</v>
      </c>
      <c r="L25" s="21">
        <v>0.434</v>
      </c>
      <c r="M25" s="21" t="s">
        <v>3904</v>
      </c>
      <c r="N25" s="15"/>
    </row>
    <row r="26" spans="2:14" x14ac:dyDescent="0.3">
      <c r="B26" s="29" t="s">
        <v>1452</v>
      </c>
      <c r="C26" s="24"/>
      <c r="D26" s="11" t="s">
        <v>1437</v>
      </c>
      <c r="E26" s="16">
        <v>2981204</v>
      </c>
      <c r="F26" s="16">
        <v>42832752</v>
      </c>
      <c r="G26" s="16">
        <v>385104</v>
      </c>
      <c r="H26" s="17"/>
      <c r="I26" s="4"/>
      <c r="J26" s="21">
        <v>0.24099999999999999</v>
      </c>
      <c r="K26" s="21">
        <v>0.26500000000000001</v>
      </c>
      <c r="L26" s="21">
        <v>0.4</v>
      </c>
      <c r="M26" s="21">
        <v>0.35699999999999998</v>
      </c>
      <c r="N26" s="15"/>
    </row>
    <row r="27" spans="2:14" x14ac:dyDescent="0.3">
      <c r="B27" s="29" t="s">
        <v>1451</v>
      </c>
      <c r="C27" s="25"/>
      <c r="D27" s="9" t="s">
        <v>1414</v>
      </c>
      <c r="E27" s="16">
        <v>3033373</v>
      </c>
      <c r="F27" s="16">
        <v>87691916</v>
      </c>
      <c r="G27" s="16">
        <v>275166</v>
      </c>
      <c r="H27" s="17"/>
      <c r="I27" s="4"/>
      <c r="J27" s="21">
        <v>1.633</v>
      </c>
      <c r="K27" s="21">
        <v>1.081</v>
      </c>
      <c r="L27" s="21">
        <v>2.6019999999999999</v>
      </c>
      <c r="M27" s="21">
        <v>1.4690000000000001</v>
      </c>
      <c r="N27" s="15"/>
    </row>
    <row r="28" spans="2:14" x14ac:dyDescent="0.3">
      <c r="B28" s="29" t="s">
        <v>1442</v>
      </c>
      <c r="C28" s="27" t="s">
        <v>3918</v>
      </c>
      <c r="D28" s="11" t="s">
        <v>6</v>
      </c>
      <c r="E28" s="16">
        <v>3072441</v>
      </c>
      <c r="F28" s="16">
        <v>234369798</v>
      </c>
      <c r="G28" s="16">
        <v>33313</v>
      </c>
      <c r="H28" s="18"/>
      <c r="I28" s="4"/>
      <c r="J28" s="21">
        <v>21.37</v>
      </c>
      <c r="K28" s="21">
        <v>17.181999999999999</v>
      </c>
      <c r="L28" s="21">
        <v>27.956</v>
      </c>
      <c r="M28" s="21">
        <v>15.967000000000001</v>
      </c>
      <c r="N28" s="15"/>
    </row>
    <row r="29" spans="2:14" x14ac:dyDescent="0.3">
      <c r="B29" s="30" t="s">
        <v>1409</v>
      </c>
      <c r="C29" s="25"/>
      <c r="D29" s="9" t="s">
        <v>1452</v>
      </c>
      <c r="E29" s="11">
        <v>3175009</v>
      </c>
      <c r="F29" s="11">
        <v>206621674</v>
      </c>
      <c r="G29" s="11">
        <v>369566</v>
      </c>
      <c r="H29" s="10"/>
      <c r="I29" s="20"/>
      <c r="J29" s="21" t="s">
        <v>3904</v>
      </c>
      <c r="K29" s="21" t="s">
        <v>3904</v>
      </c>
      <c r="L29" s="21" t="s">
        <v>3904</v>
      </c>
      <c r="M29" s="21" t="s">
        <v>3904</v>
      </c>
      <c r="N29" s="14"/>
    </row>
    <row r="30" spans="2:14" x14ac:dyDescent="0.3">
      <c r="B30" s="30" t="s">
        <v>1411</v>
      </c>
      <c r="C30" s="25"/>
      <c r="D30" s="9" t="s">
        <v>1451</v>
      </c>
      <c r="E30" s="16">
        <v>3333397</v>
      </c>
      <c r="F30" s="16">
        <v>200923810</v>
      </c>
      <c r="G30" s="16">
        <v>399358</v>
      </c>
      <c r="H30" s="18"/>
      <c r="I30" s="4"/>
      <c r="J30" s="21" t="s">
        <v>3904</v>
      </c>
      <c r="K30" s="21" t="s">
        <v>3904</v>
      </c>
      <c r="L30" s="21" t="s">
        <v>3904</v>
      </c>
      <c r="M30" s="21" t="s">
        <v>3904</v>
      </c>
      <c r="N30" s="15"/>
    </row>
    <row r="31" spans="2:14" x14ac:dyDescent="0.3">
      <c r="B31" s="29" t="s">
        <v>10</v>
      </c>
      <c r="C31" s="25"/>
      <c r="D31" s="9" t="s">
        <v>1442</v>
      </c>
      <c r="E31" s="16">
        <v>3370462</v>
      </c>
      <c r="F31" s="16">
        <v>143901836</v>
      </c>
      <c r="G31" s="16">
        <v>282591</v>
      </c>
      <c r="H31" s="18"/>
      <c r="I31" s="4"/>
      <c r="J31" s="21" t="s">
        <v>3904</v>
      </c>
      <c r="K31" s="21" t="s">
        <v>3904</v>
      </c>
      <c r="L31" s="21" t="s">
        <v>3904</v>
      </c>
      <c r="M31" s="21" t="s">
        <v>3904</v>
      </c>
      <c r="N31" s="15"/>
    </row>
    <row r="32" spans="2:14" x14ac:dyDescent="0.3">
      <c r="B32" s="30" t="s">
        <v>1436</v>
      </c>
      <c r="C32" s="24"/>
      <c r="D32" s="11" t="s">
        <v>1409</v>
      </c>
      <c r="E32" s="16">
        <v>3411795</v>
      </c>
      <c r="F32" s="16">
        <v>26854686</v>
      </c>
      <c r="G32" s="16">
        <v>2487058</v>
      </c>
      <c r="H32" s="17"/>
      <c r="I32" s="4"/>
      <c r="J32" s="21">
        <v>0.13100000000000001</v>
      </c>
      <c r="K32" s="21" t="s">
        <v>3904</v>
      </c>
      <c r="L32" s="21">
        <v>0.34200000000000003</v>
      </c>
      <c r="M32" s="21" t="s">
        <v>3904</v>
      </c>
      <c r="N32" s="15"/>
    </row>
    <row r="33" spans="2:14" x14ac:dyDescent="0.3">
      <c r="B33" s="29" t="s">
        <v>1443</v>
      </c>
      <c r="C33" s="24"/>
      <c r="D33" s="11" t="s">
        <v>1411</v>
      </c>
      <c r="E33" s="16">
        <v>3496954</v>
      </c>
      <c r="F33" s="16">
        <v>27305086</v>
      </c>
      <c r="G33" s="16">
        <v>2187803</v>
      </c>
      <c r="H33" s="17"/>
      <c r="I33" s="4"/>
      <c r="J33" s="21">
        <v>0.129</v>
      </c>
      <c r="K33" s="21" t="s">
        <v>3904</v>
      </c>
      <c r="L33" s="21">
        <v>0.23799999999999999</v>
      </c>
      <c r="M33" s="21" t="s">
        <v>3904</v>
      </c>
      <c r="N33" s="15"/>
    </row>
    <row r="34" spans="2:14" x14ac:dyDescent="0.3">
      <c r="B34" s="29" t="s">
        <v>3912</v>
      </c>
      <c r="C34" s="25"/>
      <c r="D34" s="9" t="s">
        <v>10</v>
      </c>
      <c r="E34" s="16">
        <v>3603726</v>
      </c>
      <c r="F34" s="16">
        <v>155093964</v>
      </c>
      <c r="G34" s="16">
        <v>434234</v>
      </c>
      <c r="H34" s="18"/>
      <c r="I34" s="4"/>
      <c r="J34" s="21" t="s">
        <v>3904</v>
      </c>
      <c r="K34" s="21" t="s">
        <v>3904</v>
      </c>
      <c r="L34" s="21" t="s">
        <v>3904</v>
      </c>
      <c r="M34" s="21" t="s">
        <v>3904</v>
      </c>
      <c r="N34" s="15"/>
    </row>
    <row r="35" spans="2:14" x14ac:dyDescent="0.3">
      <c r="B35" s="30" t="s">
        <v>1408</v>
      </c>
      <c r="C35" s="24"/>
      <c r="D35" s="11" t="s">
        <v>1436</v>
      </c>
      <c r="E35" s="16">
        <v>3790750</v>
      </c>
      <c r="F35" s="16">
        <v>44273578</v>
      </c>
      <c r="G35" s="16">
        <v>866662</v>
      </c>
      <c r="H35" s="17"/>
      <c r="I35" s="4"/>
      <c r="J35" s="21">
        <v>6.5010000000000003</v>
      </c>
      <c r="K35" s="21" t="s">
        <v>3904</v>
      </c>
      <c r="L35" s="21">
        <v>10.079000000000001</v>
      </c>
      <c r="M35" s="21" t="s">
        <v>3904</v>
      </c>
      <c r="N35" s="15"/>
    </row>
    <row r="36" spans="2:14" x14ac:dyDescent="0.3">
      <c r="B36" s="30" t="s">
        <v>2</v>
      </c>
      <c r="C36" s="25"/>
      <c r="D36" s="9" t="s">
        <v>1443</v>
      </c>
      <c r="E36" s="16">
        <v>3924218</v>
      </c>
      <c r="F36" s="16">
        <v>152878772</v>
      </c>
      <c r="G36" s="16">
        <v>254555</v>
      </c>
      <c r="H36" s="18"/>
      <c r="I36" s="4"/>
      <c r="J36" s="21" t="s">
        <v>3904</v>
      </c>
      <c r="K36" s="21" t="s">
        <v>3904</v>
      </c>
      <c r="L36" s="21" t="s">
        <v>3904</v>
      </c>
      <c r="M36" s="21" t="s">
        <v>3904</v>
      </c>
      <c r="N36" s="15"/>
    </row>
    <row r="37" spans="2:14" x14ac:dyDescent="0.3">
      <c r="B37" s="30" t="s">
        <v>1431</v>
      </c>
      <c r="C37" s="26" t="s">
        <v>3918</v>
      </c>
      <c r="D37" s="22" t="s">
        <v>3912</v>
      </c>
      <c r="E37" s="11">
        <v>4033138</v>
      </c>
      <c r="F37" s="11">
        <v>55866126</v>
      </c>
      <c r="G37" s="11">
        <v>2651</v>
      </c>
      <c r="H37" s="10"/>
      <c r="I37" s="20"/>
      <c r="J37" s="21">
        <v>0.48</v>
      </c>
      <c r="K37" s="21">
        <v>0.379</v>
      </c>
      <c r="L37" s="21">
        <v>1.0289999999999999</v>
      </c>
      <c r="M37" s="21">
        <v>0.58399999999999996</v>
      </c>
      <c r="N37" s="14"/>
    </row>
    <row r="38" spans="2:14" x14ac:dyDescent="0.3">
      <c r="B38" s="30" t="s">
        <v>1449</v>
      </c>
      <c r="C38" s="24"/>
      <c r="D38" s="11" t="s">
        <v>1408</v>
      </c>
      <c r="E38" s="16">
        <v>4063587</v>
      </c>
      <c r="F38" s="16">
        <v>17652554</v>
      </c>
      <c r="G38" s="16">
        <v>4059644</v>
      </c>
      <c r="H38" s="17"/>
      <c r="I38" s="4"/>
      <c r="J38" s="21" t="s">
        <v>3904</v>
      </c>
      <c r="K38" s="21" t="s">
        <v>3904</v>
      </c>
      <c r="L38" s="21" t="s">
        <v>3904</v>
      </c>
      <c r="M38" s="21" t="s">
        <v>3904</v>
      </c>
      <c r="N38" s="15"/>
    </row>
    <row r="39" spans="2:14" x14ac:dyDescent="0.3">
      <c r="B39" s="30" t="s">
        <v>1425</v>
      </c>
      <c r="C39" s="24"/>
      <c r="D39" s="11" t="s">
        <v>2</v>
      </c>
      <c r="E39" s="16">
        <v>4382070</v>
      </c>
      <c r="F39" s="16">
        <v>38996662</v>
      </c>
      <c r="G39" s="16">
        <v>699764</v>
      </c>
      <c r="H39" s="17"/>
      <c r="I39" s="4"/>
      <c r="J39" s="21">
        <v>3.7519999999999998</v>
      </c>
      <c r="K39" s="21">
        <v>3.448</v>
      </c>
      <c r="L39" s="21">
        <v>5.2539999999999996</v>
      </c>
      <c r="M39" s="21">
        <v>3.528</v>
      </c>
      <c r="N39" s="15"/>
    </row>
    <row r="40" spans="2:14" x14ac:dyDescent="0.3">
      <c r="B40" s="30" t="s">
        <v>1448</v>
      </c>
      <c r="C40" s="24"/>
      <c r="D40" s="11" t="s">
        <v>1460</v>
      </c>
      <c r="E40" s="11">
        <v>4512099</v>
      </c>
      <c r="F40" s="11">
        <v>163921732</v>
      </c>
      <c r="G40" s="11">
        <v>288044</v>
      </c>
      <c r="H40" s="10"/>
      <c r="I40" s="20"/>
      <c r="J40" s="21" t="s">
        <v>3902</v>
      </c>
      <c r="K40" s="21" t="s">
        <v>3904</v>
      </c>
      <c r="L40" s="21" t="s">
        <v>3902</v>
      </c>
      <c r="M40" s="21" t="s">
        <v>3904</v>
      </c>
      <c r="N40" s="14"/>
    </row>
    <row r="41" spans="2:14" x14ac:dyDescent="0.3">
      <c r="B41" s="30" t="s">
        <v>1440</v>
      </c>
      <c r="C41" s="24"/>
      <c r="D41" s="11" t="s">
        <v>1431</v>
      </c>
      <c r="E41" s="16">
        <v>4579069</v>
      </c>
      <c r="F41" s="16">
        <v>12530086</v>
      </c>
      <c r="G41" s="16">
        <v>4043326</v>
      </c>
      <c r="H41" s="17"/>
      <c r="I41" s="4"/>
      <c r="J41" s="21">
        <v>0.72199999999999998</v>
      </c>
      <c r="K41" s="21" t="s">
        <v>3904</v>
      </c>
      <c r="L41" s="21">
        <v>0.09</v>
      </c>
      <c r="M41" s="21" t="s">
        <v>3904</v>
      </c>
      <c r="N41" s="15"/>
    </row>
    <row r="42" spans="2:14" x14ac:dyDescent="0.3">
      <c r="B42" s="30" t="s">
        <v>1456</v>
      </c>
      <c r="C42" s="24"/>
      <c r="D42" s="11" t="s">
        <v>1449</v>
      </c>
      <c r="E42" s="16">
        <v>4799646</v>
      </c>
      <c r="F42" s="16">
        <v>63844012</v>
      </c>
      <c r="G42" s="16">
        <v>1076572</v>
      </c>
      <c r="H42" s="17"/>
      <c r="I42" s="4"/>
      <c r="J42" s="21">
        <v>1.9530000000000001</v>
      </c>
      <c r="K42" s="21" t="s">
        <v>3904</v>
      </c>
      <c r="L42" s="21">
        <v>3.9249999999999998</v>
      </c>
      <c r="M42" s="21" t="s">
        <v>3904</v>
      </c>
      <c r="N42" s="15"/>
    </row>
    <row r="43" spans="2:14" x14ac:dyDescent="0.3">
      <c r="B43" s="30" t="s">
        <v>1450</v>
      </c>
      <c r="C43" s="24"/>
      <c r="D43" s="11" t="s">
        <v>1435</v>
      </c>
      <c r="E43" s="11">
        <v>4846609</v>
      </c>
      <c r="F43" s="11">
        <v>85702474</v>
      </c>
      <c r="G43" s="11">
        <v>20333</v>
      </c>
      <c r="H43" s="10"/>
      <c r="I43" s="20"/>
      <c r="J43" s="21" t="s">
        <v>3904</v>
      </c>
      <c r="K43" s="21" t="s">
        <v>3904</v>
      </c>
      <c r="L43" s="21" t="s">
        <v>3904</v>
      </c>
      <c r="M43" s="21" t="s">
        <v>3904</v>
      </c>
      <c r="N43" s="14"/>
    </row>
    <row r="44" spans="2:14" x14ac:dyDescent="0.3">
      <c r="B44" s="29" t="s">
        <v>1446</v>
      </c>
      <c r="C44" s="24"/>
      <c r="D44" s="11" t="s">
        <v>1425</v>
      </c>
      <c r="E44" s="16">
        <v>5005932</v>
      </c>
      <c r="F44" s="16">
        <v>33083838</v>
      </c>
      <c r="G44" s="16">
        <v>1208022</v>
      </c>
      <c r="H44" s="17"/>
      <c r="I44" s="4"/>
      <c r="J44" s="21">
        <v>0.52200000000000002</v>
      </c>
      <c r="K44" s="21">
        <v>0.48899999999999999</v>
      </c>
      <c r="L44" s="21">
        <v>0.84399999999999997</v>
      </c>
      <c r="M44" s="21">
        <v>0.65900000000000003</v>
      </c>
      <c r="N44" s="15"/>
    </row>
    <row r="45" spans="2:14" x14ac:dyDescent="0.3">
      <c r="B45" s="30" t="s">
        <v>1447</v>
      </c>
      <c r="C45" s="24"/>
      <c r="D45" s="11" t="s">
        <v>1417</v>
      </c>
      <c r="E45" s="11">
        <v>5203763</v>
      </c>
      <c r="F45" s="11">
        <v>97419242</v>
      </c>
      <c r="G45" s="11">
        <v>15016</v>
      </c>
      <c r="H45" s="10"/>
      <c r="I45" s="20"/>
      <c r="J45" s="21" t="s">
        <v>3904</v>
      </c>
      <c r="K45" s="21" t="s">
        <v>3904</v>
      </c>
      <c r="L45" s="21" t="s">
        <v>3904</v>
      </c>
      <c r="M45" s="21" t="s">
        <v>3904</v>
      </c>
      <c r="N45" s="14"/>
    </row>
    <row r="46" spans="2:14" x14ac:dyDescent="0.3">
      <c r="B46" s="30" t="s">
        <v>1423</v>
      </c>
      <c r="C46" s="24"/>
      <c r="D46" s="11" t="s">
        <v>1448</v>
      </c>
      <c r="E46" s="16">
        <v>5267977</v>
      </c>
      <c r="F46" s="16">
        <v>55363430</v>
      </c>
      <c r="G46" s="16">
        <v>590528</v>
      </c>
      <c r="H46" s="17"/>
      <c r="I46" s="4"/>
      <c r="J46" s="21">
        <v>0.72399999999999998</v>
      </c>
      <c r="K46" s="21" t="s">
        <v>3904</v>
      </c>
      <c r="L46" s="21">
        <v>1.27</v>
      </c>
      <c r="M46" s="21" t="s">
        <v>3904</v>
      </c>
      <c r="N46" s="15"/>
    </row>
    <row r="47" spans="2:14" x14ac:dyDescent="0.3">
      <c r="B47" s="29" t="s">
        <v>1434</v>
      </c>
      <c r="C47" s="24"/>
      <c r="D47" s="11" t="s">
        <v>1440</v>
      </c>
      <c r="E47" s="16">
        <v>5812931</v>
      </c>
      <c r="F47" s="16">
        <v>54238524</v>
      </c>
      <c r="G47" s="16">
        <v>3504033</v>
      </c>
      <c r="H47" s="17"/>
      <c r="I47" s="4"/>
      <c r="J47" s="21">
        <v>0.84899999999999998</v>
      </c>
      <c r="K47" s="21" t="s">
        <v>3904</v>
      </c>
      <c r="L47" s="21">
        <v>1.7130000000000001</v>
      </c>
      <c r="M47" s="21" t="s">
        <v>3904</v>
      </c>
      <c r="N47" s="15"/>
    </row>
    <row r="48" spans="2:14" x14ac:dyDescent="0.3">
      <c r="B48" s="29" t="s">
        <v>1438</v>
      </c>
      <c r="C48" s="24"/>
      <c r="D48" s="11" t="s">
        <v>1456</v>
      </c>
      <c r="E48" s="16">
        <v>5829441</v>
      </c>
      <c r="F48" s="16">
        <v>110439216</v>
      </c>
      <c r="G48" s="16">
        <v>818185</v>
      </c>
      <c r="H48" s="17"/>
      <c r="I48" s="4"/>
      <c r="J48" s="21">
        <v>20.798999999999999</v>
      </c>
      <c r="K48" s="21" t="s">
        <v>3904</v>
      </c>
      <c r="L48" s="21">
        <v>23.251999999999999</v>
      </c>
      <c r="M48" s="21" t="s">
        <v>3904</v>
      </c>
      <c r="N48" s="15"/>
    </row>
    <row r="49" spans="2:14" x14ac:dyDescent="0.3">
      <c r="B49" s="30" t="s">
        <v>1391</v>
      </c>
      <c r="C49" s="24"/>
      <c r="D49" s="11" t="s">
        <v>1450</v>
      </c>
      <c r="E49" s="16">
        <v>5867547</v>
      </c>
      <c r="F49" s="16">
        <v>61171040</v>
      </c>
      <c r="G49" s="16">
        <v>959344</v>
      </c>
      <c r="H49" s="17"/>
      <c r="I49" s="4"/>
      <c r="J49" s="21">
        <v>12.081</v>
      </c>
      <c r="K49" s="21" t="s">
        <v>3904</v>
      </c>
      <c r="L49" s="21">
        <v>15.237</v>
      </c>
      <c r="M49" s="21" t="s">
        <v>3904</v>
      </c>
      <c r="N49" s="15"/>
    </row>
    <row r="50" spans="2:14" x14ac:dyDescent="0.3">
      <c r="B50" s="30" t="s">
        <v>5</v>
      </c>
      <c r="C50" s="25"/>
      <c r="D50" s="9" t="s">
        <v>1446</v>
      </c>
      <c r="E50" s="16">
        <v>6100692</v>
      </c>
      <c r="F50" s="16">
        <v>199729748</v>
      </c>
      <c r="G50" s="16">
        <v>2732817</v>
      </c>
      <c r="H50" s="17"/>
      <c r="I50" s="4"/>
      <c r="J50" s="21">
        <v>2.476</v>
      </c>
      <c r="K50" s="21" t="s">
        <v>3904</v>
      </c>
      <c r="L50" s="21">
        <v>11.188000000000001</v>
      </c>
      <c r="M50" s="21" t="s">
        <v>3904</v>
      </c>
      <c r="N50" s="15"/>
    </row>
    <row r="51" spans="2:14" x14ac:dyDescent="0.3">
      <c r="B51" s="30" t="s">
        <v>1455</v>
      </c>
      <c r="C51" s="24"/>
      <c r="D51" s="11" t="s">
        <v>1447</v>
      </c>
      <c r="E51" s="16">
        <v>7489073</v>
      </c>
      <c r="F51" s="16">
        <v>224610814</v>
      </c>
      <c r="G51" s="16">
        <v>1053720</v>
      </c>
      <c r="H51" s="17"/>
      <c r="I51" s="4"/>
      <c r="J51" s="21">
        <v>2.1139999999999999</v>
      </c>
      <c r="K51" s="21">
        <v>1.9219999999999999</v>
      </c>
      <c r="L51" s="21">
        <v>2.8140000000000001</v>
      </c>
      <c r="M51" s="21">
        <v>2.6080000000000001</v>
      </c>
      <c r="N51" s="15"/>
    </row>
    <row r="52" spans="2:14" x14ac:dyDescent="0.3">
      <c r="B52" s="30" t="s">
        <v>1</v>
      </c>
      <c r="C52" s="24"/>
      <c r="D52" s="11" t="s">
        <v>1423</v>
      </c>
      <c r="E52" s="16">
        <v>7570051</v>
      </c>
      <c r="F52" s="16">
        <v>43881980</v>
      </c>
      <c r="G52" s="16">
        <v>5669991</v>
      </c>
      <c r="H52" s="17"/>
      <c r="I52" s="4"/>
      <c r="J52" s="21" t="s">
        <v>3904</v>
      </c>
      <c r="K52" s="21" t="s">
        <v>3904</v>
      </c>
      <c r="L52" s="21" t="s">
        <v>3904</v>
      </c>
      <c r="M52" s="21" t="s">
        <v>3904</v>
      </c>
      <c r="N52" s="15"/>
    </row>
    <row r="53" spans="2:14" x14ac:dyDescent="0.3">
      <c r="B53" s="29" t="s">
        <v>3915</v>
      </c>
      <c r="C53" s="25"/>
      <c r="D53" s="9" t="s">
        <v>1434</v>
      </c>
      <c r="E53" s="16">
        <v>7825669</v>
      </c>
      <c r="F53" s="16">
        <v>124492028</v>
      </c>
      <c r="G53" s="16">
        <v>204282</v>
      </c>
      <c r="H53" s="17"/>
      <c r="I53" s="4"/>
      <c r="J53" s="21">
        <v>0.61799999999999999</v>
      </c>
      <c r="K53" s="21">
        <v>0.54400000000000004</v>
      </c>
      <c r="L53" s="21">
        <v>1.131</v>
      </c>
      <c r="M53" s="21">
        <v>1.0069999999999999</v>
      </c>
      <c r="N53" s="15"/>
    </row>
    <row r="54" spans="2:14" x14ac:dyDescent="0.3">
      <c r="B54" s="29" t="s">
        <v>18</v>
      </c>
      <c r="C54" s="25"/>
      <c r="D54" s="9" t="s">
        <v>1438</v>
      </c>
      <c r="E54" s="16">
        <v>7891015</v>
      </c>
      <c r="F54" s="16">
        <v>127830770</v>
      </c>
      <c r="G54" s="16">
        <v>3636005</v>
      </c>
      <c r="H54" s="17"/>
      <c r="I54" s="4"/>
      <c r="J54" s="21">
        <v>0.79900000000000004</v>
      </c>
      <c r="K54" s="21" t="s">
        <v>3904</v>
      </c>
      <c r="L54" s="21">
        <v>1.4339999999999999</v>
      </c>
      <c r="M54" s="21" t="s">
        <v>3904</v>
      </c>
      <c r="N54" s="15"/>
    </row>
    <row r="55" spans="2:14" x14ac:dyDescent="0.3">
      <c r="B55" s="30" t="s">
        <v>1461</v>
      </c>
      <c r="C55" s="24"/>
      <c r="D55" s="11" t="s">
        <v>1391</v>
      </c>
      <c r="E55" s="16">
        <v>8482737</v>
      </c>
      <c r="F55" s="16">
        <v>23585644</v>
      </c>
      <c r="G55" s="16">
        <v>8421430</v>
      </c>
      <c r="H55" s="17"/>
      <c r="I55" s="4"/>
      <c r="J55" s="21" t="s">
        <v>3904</v>
      </c>
      <c r="K55" s="21" t="s">
        <v>3904</v>
      </c>
      <c r="L55" s="21" t="s">
        <v>3904</v>
      </c>
      <c r="M55" s="21" t="s">
        <v>3904</v>
      </c>
      <c r="N55" s="15"/>
    </row>
    <row r="56" spans="2:14" x14ac:dyDescent="0.3">
      <c r="B56" s="30" t="s">
        <v>1462</v>
      </c>
      <c r="C56" s="26" t="s">
        <v>3918</v>
      </c>
      <c r="D56" s="9" t="s">
        <v>3916</v>
      </c>
      <c r="E56" s="11">
        <v>8730857</v>
      </c>
      <c r="F56" s="11">
        <v>654072972</v>
      </c>
      <c r="G56" s="11">
        <v>318268</v>
      </c>
      <c r="H56" s="10"/>
      <c r="I56" s="20"/>
      <c r="J56" s="21">
        <v>7.7720000000000002</v>
      </c>
      <c r="K56" s="21">
        <v>8.5809999999999995</v>
      </c>
      <c r="L56" s="21">
        <v>8.9489999999999998</v>
      </c>
      <c r="M56" s="21">
        <v>8.6280000000000001</v>
      </c>
      <c r="N56" s="15"/>
    </row>
    <row r="57" spans="2:14" x14ac:dyDescent="0.3">
      <c r="B57" s="32" t="s">
        <v>3913</v>
      </c>
      <c r="C57" s="24"/>
      <c r="D57" s="11" t="s">
        <v>5</v>
      </c>
      <c r="E57" s="16">
        <v>8730857</v>
      </c>
      <c r="F57" s="16">
        <v>654072972</v>
      </c>
      <c r="G57" s="16">
        <v>318268</v>
      </c>
      <c r="H57" s="17"/>
      <c r="I57" s="4"/>
      <c r="J57" s="21">
        <v>7.81</v>
      </c>
      <c r="K57" s="21">
        <v>8.5980000000000008</v>
      </c>
      <c r="L57" s="21">
        <v>8.9730000000000008</v>
      </c>
      <c r="M57" s="21">
        <v>8.6539999999999999</v>
      </c>
      <c r="N57" s="15"/>
    </row>
    <row r="58" spans="2:14" x14ac:dyDescent="0.3">
      <c r="C58" s="24"/>
      <c r="D58" s="11" t="s">
        <v>1455</v>
      </c>
      <c r="E58" s="16">
        <v>8833229</v>
      </c>
      <c r="F58" s="16">
        <v>105882456</v>
      </c>
      <c r="G58" s="16">
        <v>2126384</v>
      </c>
      <c r="H58" s="17"/>
      <c r="I58" s="4"/>
      <c r="J58" s="21">
        <v>29.678000000000001</v>
      </c>
      <c r="K58" s="21" t="s">
        <v>3904</v>
      </c>
      <c r="L58" s="21">
        <v>37.465000000000003</v>
      </c>
      <c r="M58" s="21" t="s">
        <v>3904</v>
      </c>
      <c r="N58" s="15"/>
    </row>
    <row r="59" spans="2:14" x14ac:dyDescent="0.3">
      <c r="C59" s="25"/>
      <c r="D59" s="9" t="s">
        <v>16</v>
      </c>
      <c r="E59" s="11">
        <v>13593032</v>
      </c>
      <c r="F59" s="11">
        <v>669183050</v>
      </c>
      <c r="G59" s="11">
        <v>1052326</v>
      </c>
      <c r="H59" s="10"/>
      <c r="I59" s="20"/>
      <c r="J59" s="21" t="s">
        <v>3904</v>
      </c>
      <c r="K59" s="21" t="s">
        <v>3904</v>
      </c>
      <c r="L59" s="21" t="s">
        <v>3904</v>
      </c>
      <c r="M59" s="21" t="s">
        <v>3904</v>
      </c>
      <c r="N59" s="15"/>
    </row>
    <row r="60" spans="2:14" x14ac:dyDescent="0.3">
      <c r="C60" s="24"/>
      <c r="D60" s="11" t="s">
        <v>1</v>
      </c>
      <c r="E60" s="16">
        <v>18268991</v>
      </c>
      <c r="F60" s="16">
        <v>253780418</v>
      </c>
      <c r="G60" s="16">
        <v>612308</v>
      </c>
      <c r="H60" s="17"/>
      <c r="I60" s="4"/>
      <c r="J60" s="21">
        <v>2.1680000000000001</v>
      </c>
      <c r="K60" s="21" t="s">
        <v>3904</v>
      </c>
      <c r="L60" s="21">
        <v>3.5870000000000002</v>
      </c>
      <c r="M60" s="21" t="s">
        <v>3904</v>
      </c>
      <c r="N60" s="15"/>
    </row>
    <row r="61" spans="2:14" ht="21" customHeight="1" x14ac:dyDescent="0.3">
      <c r="C61" s="25"/>
      <c r="D61" s="9" t="s">
        <v>3901</v>
      </c>
      <c r="E61" s="11">
        <v>18483186</v>
      </c>
      <c r="F61" s="11">
        <v>523574516</v>
      </c>
      <c r="G61" s="11">
        <v>194955</v>
      </c>
      <c r="H61" s="10"/>
      <c r="I61" s="20"/>
      <c r="J61" s="21" t="s">
        <v>3904</v>
      </c>
      <c r="K61" s="21" t="s">
        <v>3904</v>
      </c>
      <c r="L61" s="21" t="s">
        <v>3904</v>
      </c>
      <c r="M61" s="21" t="s">
        <v>3904</v>
      </c>
      <c r="N61" s="14"/>
    </row>
    <row r="62" spans="2:14" x14ac:dyDescent="0.3">
      <c r="C62" s="26" t="s">
        <v>3918</v>
      </c>
      <c r="D62" s="9" t="s">
        <v>3915</v>
      </c>
      <c r="E62" s="11">
        <v>25921548</v>
      </c>
      <c r="F62" s="11">
        <v>1086367222</v>
      </c>
      <c r="G62" s="11">
        <v>4271341</v>
      </c>
      <c r="H62" s="10"/>
      <c r="I62" s="20"/>
      <c r="J62" s="21">
        <v>21.931000000000001</v>
      </c>
      <c r="K62" s="21" t="s">
        <v>3904</v>
      </c>
      <c r="L62" s="21">
        <v>26.890999999999998</v>
      </c>
      <c r="M62" s="21" t="s">
        <v>3904</v>
      </c>
      <c r="N62" s="15"/>
    </row>
    <row r="63" spans="2:14" x14ac:dyDescent="0.3">
      <c r="C63" s="25"/>
      <c r="D63" s="9" t="s">
        <v>18</v>
      </c>
      <c r="E63" s="16">
        <v>27665730</v>
      </c>
      <c r="F63" s="16">
        <v>281227494</v>
      </c>
      <c r="G63" s="16">
        <v>11571953</v>
      </c>
      <c r="H63" s="17"/>
      <c r="I63" s="4"/>
      <c r="J63" s="21" t="s">
        <v>3904</v>
      </c>
      <c r="K63" s="21" t="s">
        <v>3904</v>
      </c>
      <c r="L63" s="21" t="s">
        <v>3904</v>
      </c>
      <c r="M63" s="21" t="s">
        <v>3904</v>
      </c>
      <c r="N63" s="15"/>
    </row>
    <row r="64" spans="2:14" x14ac:dyDescent="0.3">
      <c r="C64" s="24"/>
      <c r="D64" s="11" t="s">
        <v>1461</v>
      </c>
      <c r="E64" s="16">
        <v>33777768</v>
      </c>
      <c r="F64" s="16">
        <v>274478882</v>
      </c>
      <c r="G64" s="16">
        <v>1057783</v>
      </c>
      <c r="H64" s="17"/>
      <c r="I64" s="4"/>
      <c r="J64" s="21">
        <v>1.7909999999999999</v>
      </c>
      <c r="K64" s="21" t="s">
        <v>3904</v>
      </c>
      <c r="L64" s="21">
        <v>2.6080000000000001</v>
      </c>
      <c r="M64" s="21" t="s">
        <v>3904</v>
      </c>
      <c r="N64" s="15"/>
    </row>
    <row r="65" spans="3:14" x14ac:dyDescent="0.3">
      <c r="C65" s="24"/>
      <c r="D65" s="11" t="s">
        <v>1462</v>
      </c>
      <c r="E65" s="16">
        <v>33778221</v>
      </c>
      <c r="F65" s="16">
        <v>203595714</v>
      </c>
      <c r="G65" s="16">
        <v>29319</v>
      </c>
      <c r="H65" s="17"/>
      <c r="I65" s="4"/>
      <c r="J65" s="21">
        <v>1.0309999999999999</v>
      </c>
      <c r="K65" s="21">
        <v>2.15</v>
      </c>
      <c r="L65" s="21">
        <v>0.91100000000000003</v>
      </c>
      <c r="M65" s="21">
        <v>0.91900000000000004</v>
      </c>
      <c r="N65" s="15"/>
    </row>
    <row r="66" spans="3:14" x14ac:dyDescent="0.3">
      <c r="C66" s="26" t="s">
        <v>3918</v>
      </c>
      <c r="D66" s="9" t="s">
        <v>3913</v>
      </c>
      <c r="E66" s="11">
        <v>58655849</v>
      </c>
      <c r="F66" s="11">
        <v>522642066</v>
      </c>
      <c r="G66" s="11">
        <v>278489</v>
      </c>
      <c r="H66" s="10"/>
      <c r="I66" s="20"/>
      <c r="J66" s="21">
        <v>11.068</v>
      </c>
      <c r="K66" s="21">
        <v>10.817</v>
      </c>
      <c r="L66" s="21">
        <v>14.901999999999999</v>
      </c>
      <c r="M66" s="21">
        <v>7.96</v>
      </c>
      <c r="N66" s="15"/>
    </row>
    <row r="67" spans="3:14" x14ac:dyDescent="0.3">
      <c r="C67" s="26" t="s">
        <v>3918</v>
      </c>
      <c r="D67" s="11" t="s">
        <v>1465</v>
      </c>
      <c r="E67" s="11">
        <v>68349466</v>
      </c>
      <c r="F67" s="11">
        <v>3623698684</v>
      </c>
      <c r="G67" s="11">
        <v>5214</v>
      </c>
      <c r="H67" s="10"/>
      <c r="I67" s="20"/>
      <c r="J67" s="21">
        <v>43.326999999999998</v>
      </c>
      <c r="K67" s="21">
        <v>32.698</v>
      </c>
      <c r="L67" s="21">
        <v>56.228000000000002</v>
      </c>
      <c r="M67" s="21">
        <v>38.268999999999998</v>
      </c>
      <c r="N67" s="14"/>
    </row>
    <row r="68" spans="3:14" x14ac:dyDescent="0.3">
      <c r="C68" s="26" t="s">
        <v>3918</v>
      </c>
      <c r="D68" s="9" t="s">
        <v>3914</v>
      </c>
      <c r="E68" s="11">
        <v>147925593</v>
      </c>
      <c r="F68" s="11">
        <v>893533906</v>
      </c>
      <c r="G68" s="11">
        <v>308477</v>
      </c>
      <c r="H68" s="10"/>
      <c r="I68" s="20"/>
      <c r="J68" s="21">
        <v>7.56</v>
      </c>
      <c r="K68" s="21">
        <v>5.0179999999999998</v>
      </c>
      <c r="L68" s="21">
        <v>13.837999999999999</v>
      </c>
      <c r="M68" s="21">
        <v>8.1780000000000008</v>
      </c>
      <c r="N68" s="15"/>
    </row>
    <row r="69" spans="3:14" x14ac:dyDescent="0.3">
      <c r="C69" s="25"/>
      <c r="E69" s="11"/>
      <c r="F69" s="11"/>
      <c r="G69" s="11"/>
      <c r="H69" s="10"/>
      <c r="I69" s="20"/>
      <c r="J69" s="21"/>
      <c r="K69" s="23"/>
      <c r="L69" s="23"/>
      <c r="M69" s="23"/>
      <c r="N69" s="15"/>
    </row>
    <row r="70" spans="3:14" x14ac:dyDescent="0.3">
      <c r="C70" s="25"/>
      <c r="E70" s="11"/>
      <c r="F70" s="11"/>
      <c r="G70" s="11"/>
      <c r="H70" s="10"/>
      <c r="I70" s="20"/>
      <c r="J70" s="21"/>
      <c r="K70" s="23"/>
      <c r="L70" s="23"/>
      <c r="M70" s="23"/>
      <c r="N70" s="15"/>
    </row>
    <row r="71" spans="3:14" x14ac:dyDescent="0.3">
      <c r="C71" s="25"/>
      <c r="E71" s="11"/>
      <c r="F71" s="11"/>
      <c r="G71" s="11"/>
      <c r="H71" s="10"/>
      <c r="I71" s="20"/>
      <c r="J71" s="21"/>
      <c r="K71" s="23"/>
      <c r="L71" s="23"/>
      <c r="M71" s="23"/>
      <c r="N71" s="15"/>
    </row>
    <row r="72" spans="3:14" x14ac:dyDescent="0.3">
      <c r="D72" s="11"/>
      <c r="E72" s="11"/>
      <c r="F72" s="11"/>
      <c r="G72" s="10"/>
      <c r="H72" s="20"/>
      <c r="I72" s="21"/>
      <c r="J72" s="21"/>
      <c r="K72" s="21"/>
      <c r="L72" s="21"/>
      <c r="N72" s="9"/>
    </row>
    <row r="73" spans="3:14" x14ac:dyDescent="0.3">
      <c r="D73" s="11"/>
      <c r="E73" s="11"/>
      <c r="F73" s="11"/>
      <c r="G73" s="10"/>
      <c r="H73" s="20"/>
      <c r="I73" s="21"/>
      <c r="J73" s="21"/>
      <c r="K73" s="21"/>
      <c r="L73" s="21"/>
      <c r="N73" s="9"/>
    </row>
    <row r="74" spans="3:14" x14ac:dyDescent="0.3">
      <c r="D74" s="11"/>
      <c r="E74" s="11"/>
      <c r="F74" s="11"/>
      <c r="G74" s="10"/>
      <c r="H74" s="20"/>
      <c r="I74" s="21"/>
      <c r="J74" s="21"/>
      <c r="K74" s="21"/>
      <c r="L74" s="21"/>
      <c r="N74" s="9"/>
    </row>
    <row r="75" spans="3:14" x14ac:dyDescent="0.3">
      <c r="D75" s="11"/>
      <c r="E75" s="11"/>
      <c r="F75" s="11"/>
      <c r="G75" s="10"/>
      <c r="H75" s="20"/>
      <c r="I75" s="21"/>
      <c r="J75" s="21"/>
      <c r="K75" s="21"/>
      <c r="L75" s="21"/>
      <c r="N75" s="9"/>
    </row>
    <row r="76" spans="3:14" x14ac:dyDescent="0.3">
      <c r="D76" s="11"/>
      <c r="E76" s="11"/>
      <c r="F76" s="11"/>
      <c r="G76" s="10"/>
      <c r="H76" s="20"/>
      <c r="I76" s="21"/>
      <c r="J76" s="21"/>
      <c r="K76" s="21"/>
      <c r="L76" s="21"/>
      <c r="N76" s="9"/>
    </row>
    <row r="77" spans="3:14" x14ac:dyDescent="0.3">
      <c r="D77" s="11"/>
      <c r="E77" s="11"/>
      <c r="F77" s="11"/>
      <c r="G77" s="10"/>
      <c r="H77" s="10"/>
      <c r="I77" s="1"/>
      <c r="N77" s="9"/>
    </row>
    <row r="78" spans="3:14" x14ac:dyDescent="0.3">
      <c r="D78" s="11"/>
      <c r="E78" s="11"/>
      <c r="F78" s="11"/>
      <c r="G78" s="10"/>
      <c r="H78" s="10"/>
      <c r="I78" s="1"/>
      <c r="N78" s="9"/>
    </row>
    <row r="79" spans="3:14" x14ac:dyDescent="0.3">
      <c r="D79" s="11"/>
      <c r="E79" s="11"/>
      <c r="F79" s="11"/>
      <c r="G79" s="10"/>
      <c r="H79" s="10"/>
      <c r="I79" s="1"/>
      <c r="N79" s="9"/>
    </row>
    <row r="80" spans="3:14" x14ac:dyDescent="0.3">
      <c r="D80" s="11"/>
      <c r="E80" s="11"/>
      <c r="F80" s="11"/>
      <c r="G80" s="10"/>
      <c r="H80" s="10"/>
      <c r="I80" s="1"/>
      <c r="N80" s="9"/>
    </row>
    <row r="81" spans="4:14" x14ac:dyDescent="0.3">
      <c r="D81" s="11"/>
      <c r="E81" s="11"/>
      <c r="F81" s="11"/>
      <c r="G81" s="10"/>
      <c r="H81" s="10"/>
      <c r="I81" s="1"/>
      <c r="N81" s="9"/>
    </row>
    <row r="82" spans="4:14" x14ac:dyDescent="0.3">
      <c r="D82" s="11"/>
      <c r="E82" s="11"/>
      <c r="F82" s="11"/>
      <c r="G82" s="10"/>
      <c r="H82" s="10"/>
      <c r="I82" s="1"/>
      <c r="N82" s="9"/>
    </row>
    <row r="83" spans="4:14" x14ac:dyDescent="0.3">
      <c r="D83" s="11"/>
      <c r="E83" s="11"/>
      <c r="F83" s="11"/>
      <c r="G83" s="10"/>
      <c r="H83" s="10"/>
      <c r="I83" s="1"/>
      <c r="N83" s="9"/>
    </row>
    <row r="84" spans="4:14" x14ac:dyDescent="0.3">
      <c r="D84" s="11"/>
      <c r="E84" s="11"/>
      <c r="F84" s="11"/>
      <c r="G84" s="10"/>
      <c r="H84" s="10"/>
      <c r="I84" s="1"/>
      <c r="N84" s="9"/>
    </row>
    <row r="85" spans="4:14" x14ac:dyDescent="0.3">
      <c r="D85" s="11"/>
      <c r="E85" s="11"/>
      <c r="F85" s="11"/>
      <c r="G85" s="10"/>
      <c r="H85" s="10"/>
      <c r="I85" s="1"/>
      <c r="N85" s="9"/>
    </row>
    <row r="86" spans="4:14" x14ac:dyDescent="0.3">
      <c r="D86" s="11"/>
      <c r="E86" s="11"/>
      <c r="F86" s="11"/>
      <c r="G86" s="10"/>
      <c r="H86" s="10"/>
      <c r="I86" s="1"/>
      <c r="N86" s="9"/>
    </row>
    <row r="87" spans="4:14" x14ac:dyDescent="0.3">
      <c r="D87" s="11"/>
      <c r="E87" s="11"/>
      <c r="F87" s="11"/>
      <c r="G87" s="10"/>
      <c r="H87" s="10"/>
      <c r="I87" s="1"/>
      <c r="N87" s="9"/>
    </row>
    <row r="88" spans="4:14" x14ac:dyDescent="0.3">
      <c r="D88" s="11"/>
      <c r="E88" s="11"/>
      <c r="F88" s="11"/>
      <c r="G88" s="10"/>
      <c r="H88" s="10"/>
      <c r="I88" s="1"/>
      <c r="N88" s="9"/>
    </row>
    <row r="89" spans="4:14" x14ac:dyDescent="0.3">
      <c r="D89" s="11"/>
      <c r="E89" s="11"/>
      <c r="F89" s="11"/>
      <c r="G89" s="10"/>
      <c r="H89" s="10"/>
      <c r="I89" s="1"/>
      <c r="N89" s="9"/>
    </row>
    <row r="90" spans="4:14" x14ac:dyDescent="0.3">
      <c r="D90" s="11"/>
      <c r="E90" s="11"/>
      <c r="F90" s="11"/>
      <c r="G90" s="10"/>
      <c r="H90" s="10"/>
      <c r="I90" s="1"/>
      <c r="N90" s="9"/>
    </row>
    <row r="91" spans="4:14" x14ac:dyDescent="0.3">
      <c r="D91" s="11"/>
      <c r="E91" s="11"/>
      <c r="F91" s="11"/>
      <c r="G91" s="10"/>
      <c r="H91" s="10"/>
      <c r="I91" s="1"/>
      <c r="N91" s="9"/>
    </row>
    <row r="93" spans="4:14" x14ac:dyDescent="0.3">
      <c r="F93" s="3"/>
    </row>
    <row r="94" spans="4:14" x14ac:dyDescent="0.3">
      <c r="F94" s="3"/>
    </row>
    <row r="95" spans="4:14" x14ac:dyDescent="0.3">
      <c r="F95" s="3"/>
    </row>
    <row r="96" spans="4:14" x14ac:dyDescent="0.3">
      <c r="F96" s="3"/>
    </row>
    <row r="97" spans="6:6" x14ac:dyDescent="0.3">
      <c r="F97" s="3"/>
    </row>
    <row r="98" spans="6:6" x14ac:dyDescent="0.3">
      <c r="F98" s="3"/>
    </row>
    <row r="99" spans="6:6" x14ac:dyDescent="0.3">
      <c r="F99" s="3"/>
    </row>
    <row r="100" spans="6:6" x14ac:dyDescent="0.3">
      <c r="F100" s="3"/>
    </row>
    <row r="101" spans="6:6" x14ac:dyDescent="0.3">
      <c r="F101" s="3"/>
    </row>
    <row r="102" spans="6:6" x14ac:dyDescent="0.3">
      <c r="F102" s="3"/>
    </row>
    <row r="103" spans="6:6" x14ac:dyDescent="0.3">
      <c r="F103" s="3"/>
    </row>
    <row r="104" spans="6:6" x14ac:dyDescent="0.3">
      <c r="F104" s="3"/>
    </row>
    <row r="105" spans="6:6" x14ac:dyDescent="0.3">
      <c r="F105" s="3"/>
    </row>
    <row r="106" spans="6:6" x14ac:dyDescent="0.3">
      <c r="F106" s="3"/>
    </row>
    <row r="107" spans="6:6" x14ac:dyDescent="0.3">
      <c r="F107" s="3"/>
    </row>
    <row r="108" spans="6:6" x14ac:dyDescent="0.3">
      <c r="F108" s="3"/>
    </row>
    <row r="109" spans="6:6" x14ac:dyDescent="0.3">
      <c r="F109" s="3"/>
    </row>
    <row r="110" spans="6:6" x14ac:dyDescent="0.3">
      <c r="F110" s="3"/>
    </row>
    <row r="111" spans="6:6" x14ac:dyDescent="0.3">
      <c r="F111" s="3"/>
    </row>
    <row r="112" spans="6:6" x14ac:dyDescent="0.3">
      <c r="F112" s="3"/>
    </row>
    <row r="113" spans="6:6" x14ac:dyDescent="0.3">
      <c r="F113" s="3"/>
    </row>
    <row r="114" spans="6:6" x14ac:dyDescent="0.3">
      <c r="F114" s="3"/>
    </row>
    <row r="115" spans="6:6" x14ac:dyDescent="0.3">
      <c r="F115" s="3"/>
    </row>
    <row r="116" spans="6:6" x14ac:dyDescent="0.3">
      <c r="F116" s="3"/>
    </row>
    <row r="117" spans="6:6" x14ac:dyDescent="0.3">
      <c r="F117" s="3"/>
    </row>
    <row r="118" spans="6:6" x14ac:dyDescent="0.3">
      <c r="F118" s="3"/>
    </row>
    <row r="119" spans="6:6" x14ac:dyDescent="0.3">
      <c r="F119" s="3"/>
    </row>
    <row r="120" spans="6:6" x14ac:dyDescent="0.3">
      <c r="F120" s="3"/>
    </row>
    <row r="121" spans="6:6" x14ac:dyDescent="0.3">
      <c r="F121" s="3"/>
    </row>
    <row r="122" spans="6:6" x14ac:dyDescent="0.3">
      <c r="F122" s="3"/>
    </row>
    <row r="123" spans="6:6" x14ac:dyDescent="0.3">
      <c r="F123" s="3"/>
    </row>
    <row r="124" spans="6:6" x14ac:dyDescent="0.3">
      <c r="F124" s="3"/>
    </row>
    <row r="125" spans="6:6" x14ac:dyDescent="0.3">
      <c r="F125" s="3"/>
    </row>
    <row r="126" spans="6:6" x14ac:dyDescent="0.3">
      <c r="F126" s="3"/>
    </row>
    <row r="127" spans="6:6" x14ac:dyDescent="0.3">
      <c r="F127" s="3"/>
    </row>
    <row r="128" spans="6:6" x14ac:dyDescent="0.3">
      <c r="F128" s="3"/>
    </row>
    <row r="129" spans="6:6" x14ac:dyDescent="0.3">
      <c r="F129" s="3"/>
    </row>
    <row r="130" spans="6:6" x14ac:dyDescent="0.3">
      <c r="F130" s="3"/>
    </row>
    <row r="131" spans="6:6" x14ac:dyDescent="0.3">
      <c r="F131" s="3"/>
    </row>
    <row r="132" spans="6:6" x14ac:dyDescent="0.3">
      <c r="F132" s="3"/>
    </row>
    <row r="133" spans="6:6" x14ac:dyDescent="0.3">
      <c r="F133" s="3"/>
    </row>
    <row r="134" spans="6:6" x14ac:dyDescent="0.3">
      <c r="F134" s="3"/>
    </row>
    <row r="135" spans="6:6" x14ac:dyDescent="0.3">
      <c r="F135" s="3"/>
    </row>
    <row r="136" spans="6:6" x14ac:dyDescent="0.3">
      <c r="F136" s="3"/>
    </row>
    <row r="137" spans="6:6" x14ac:dyDescent="0.3">
      <c r="F137" s="3"/>
    </row>
    <row r="138" spans="6:6" x14ac:dyDescent="0.3">
      <c r="F138" s="3"/>
    </row>
    <row r="139" spans="6:6" x14ac:dyDescent="0.3">
      <c r="F139" s="3"/>
    </row>
  </sheetData>
  <mergeCells count="1">
    <mergeCell ref="I4:L4"/>
  </mergeCell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A6B9E-ABC5-4B40-92CF-6BB06A0E284B}">
  <dimension ref="C1:AC136"/>
  <sheetViews>
    <sheetView topLeftCell="C1" workbookViewId="0">
      <selection activeCell="H17" sqref="H17"/>
    </sheetView>
  </sheetViews>
  <sheetFormatPr baseColWidth="10" defaultRowHeight="22" x14ac:dyDescent="0.3"/>
  <cols>
    <col min="3" max="3" width="34.83203125" style="9" bestFit="1" customWidth="1"/>
    <col min="4" max="4" width="16.83203125" style="9" customWidth="1"/>
    <col min="5" max="5" width="16.6640625" style="9" bestFit="1" customWidth="1"/>
    <col min="6" max="6" width="13.1640625" style="9" customWidth="1"/>
    <col min="7" max="7" width="13.5" style="9" customWidth="1"/>
    <col min="8" max="8" width="13.6640625" bestFit="1" customWidth="1"/>
    <col min="9" max="9" width="13.83203125" customWidth="1"/>
    <col min="10" max="10" width="20.83203125" style="9" customWidth="1"/>
    <col min="11" max="11" width="23.6640625" style="9" customWidth="1"/>
    <col min="12" max="12" width="17.33203125" customWidth="1"/>
    <col min="13" max="13" width="14.6640625" style="43" bestFit="1" customWidth="1"/>
    <col min="14" max="14" width="23.83203125" customWidth="1"/>
    <col min="15" max="15" width="15.1640625" bestFit="1" customWidth="1"/>
    <col min="19" max="19" width="18.33203125" bestFit="1" customWidth="1"/>
    <col min="21" max="21" width="12.6640625" bestFit="1" customWidth="1"/>
  </cols>
  <sheetData>
    <row r="1" spans="3:23" x14ac:dyDescent="0.3">
      <c r="C1" s="9" t="s">
        <v>3933</v>
      </c>
    </row>
    <row r="4" spans="3:23" ht="27" x14ac:dyDescent="0.35">
      <c r="H4" s="184"/>
      <c r="I4" s="184"/>
      <c r="J4" s="184"/>
      <c r="K4" s="184"/>
      <c r="L4" s="37"/>
      <c r="M4" s="61"/>
      <c r="N4" s="61"/>
    </row>
    <row r="5" spans="3:23" x14ac:dyDescent="0.3">
      <c r="C5" s="13" t="s">
        <v>25</v>
      </c>
      <c r="D5" s="12" t="s">
        <v>13</v>
      </c>
      <c r="E5" s="12" t="s">
        <v>14</v>
      </c>
      <c r="F5" s="12" t="s">
        <v>15</v>
      </c>
      <c r="G5" s="13" t="s">
        <v>3932</v>
      </c>
      <c r="H5" s="13" t="s">
        <v>3948</v>
      </c>
      <c r="I5" s="13" t="s">
        <v>3949</v>
      </c>
      <c r="J5" s="13" t="s">
        <v>22</v>
      </c>
      <c r="K5" s="13" t="s">
        <v>23</v>
      </c>
      <c r="L5" s="13" t="s">
        <v>24</v>
      </c>
      <c r="M5" s="44" t="s">
        <v>3946</v>
      </c>
      <c r="N5" s="13" t="s">
        <v>3947</v>
      </c>
      <c r="O5" s="12" t="s">
        <v>21</v>
      </c>
    </row>
    <row r="6" spans="3:23" hidden="1" x14ac:dyDescent="0.3">
      <c r="C6" s="9" t="s">
        <v>16</v>
      </c>
      <c r="D6" s="11">
        <v>13593032</v>
      </c>
      <c r="E6" s="11">
        <v>669183050</v>
      </c>
      <c r="F6" s="11">
        <v>1052326</v>
      </c>
      <c r="G6" s="10"/>
      <c r="H6" s="28"/>
      <c r="I6" s="28"/>
      <c r="J6" s="10"/>
      <c r="K6" s="10"/>
      <c r="L6" s="9"/>
      <c r="M6" s="45"/>
      <c r="N6" s="25"/>
      <c r="O6" s="25"/>
    </row>
    <row r="7" spans="3:23" hidden="1" x14ac:dyDescent="0.3">
      <c r="C7" s="9" t="s">
        <v>3901</v>
      </c>
      <c r="D7" s="11">
        <v>18483186</v>
      </c>
      <c r="E7" s="11">
        <v>523574516</v>
      </c>
      <c r="F7" s="11">
        <v>194955</v>
      </c>
      <c r="G7" s="10"/>
      <c r="H7" s="28"/>
      <c r="I7" s="28"/>
      <c r="J7" s="10"/>
      <c r="K7" s="10"/>
      <c r="L7" s="9"/>
      <c r="M7" s="45"/>
      <c r="N7" s="25"/>
      <c r="O7" s="25"/>
    </row>
    <row r="8" spans="3:23" hidden="1" x14ac:dyDescent="0.3">
      <c r="C8" s="11" t="s">
        <v>1460</v>
      </c>
      <c r="D8" s="11">
        <v>4512099</v>
      </c>
      <c r="E8" s="11">
        <v>163921732</v>
      </c>
      <c r="F8" s="11">
        <v>288044</v>
      </c>
      <c r="G8" s="10"/>
      <c r="H8" s="28"/>
      <c r="I8" s="28"/>
      <c r="J8" s="10"/>
      <c r="K8" s="10"/>
      <c r="L8" s="9"/>
      <c r="M8" s="45"/>
      <c r="N8" s="25"/>
      <c r="O8" s="25"/>
    </row>
    <row r="9" spans="3:23" hidden="1" x14ac:dyDescent="0.3">
      <c r="C9" s="9" t="s">
        <v>3900</v>
      </c>
      <c r="D9" s="11">
        <v>1069126</v>
      </c>
      <c r="E9" s="11">
        <v>112613306</v>
      </c>
      <c r="F9" s="11">
        <v>11467</v>
      </c>
      <c r="G9" s="10"/>
      <c r="H9" s="28"/>
      <c r="I9" s="28"/>
      <c r="J9" s="10"/>
      <c r="K9" s="10"/>
      <c r="L9" s="9"/>
      <c r="M9" s="45"/>
      <c r="N9" s="25"/>
      <c r="O9" s="25"/>
    </row>
    <row r="10" spans="3:23" hidden="1" x14ac:dyDescent="0.3">
      <c r="C10" s="9" t="s">
        <v>1427</v>
      </c>
      <c r="D10" s="11">
        <v>2105723</v>
      </c>
      <c r="E10" s="11">
        <v>100093818</v>
      </c>
      <c r="F10" s="11">
        <v>218818</v>
      </c>
      <c r="G10" s="10"/>
      <c r="H10" s="28"/>
      <c r="I10" s="28"/>
      <c r="J10" s="10"/>
      <c r="K10" s="10"/>
      <c r="L10" s="9"/>
      <c r="M10" s="45"/>
      <c r="N10" s="25"/>
      <c r="O10" s="25"/>
    </row>
    <row r="11" spans="3:23" hidden="1" x14ac:dyDescent="0.3">
      <c r="C11" s="11" t="s">
        <v>1424</v>
      </c>
      <c r="D11" s="11">
        <v>2302925</v>
      </c>
      <c r="E11" s="11">
        <v>45676552</v>
      </c>
      <c r="F11" s="11">
        <v>27937</v>
      </c>
      <c r="G11" s="10"/>
      <c r="H11" s="28"/>
      <c r="I11" s="28"/>
      <c r="J11" s="10"/>
      <c r="K11" s="10"/>
      <c r="L11" s="9"/>
      <c r="M11" s="45"/>
      <c r="N11" s="25"/>
      <c r="O11" s="25"/>
    </row>
    <row r="12" spans="3:23" hidden="1" x14ac:dyDescent="0.3">
      <c r="C12" s="11" t="s">
        <v>1465</v>
      </c>
      <c r="D12" s="11">
        <v>68349466</v>
      </c>
      <c r="E12" s="11">
        <v>3623698684</v>
      </c>
      <c r="F12" s="11">
        <v>5214</v>
      </c>
      <c r="G12" s="10"/>
      <c r="H12" s="28"/>
      <c r="I12" s="28"/>
      <c r="J12" s="10"/>
      <c r="K12" s="10"/>
      <c r="L12" s="9"/>
      <c r="M12" s="45"/>
      <c r="N12" s="25"/>
      <c r="O12" s="25"/>
    </row>
    <row r="13" spans="3:23" hidden="1" x14ac:dyDescent="0.3">
      <c r="C13" s="9" t="s">
        <v>3914</v>
      </c>
      <c r="D13" s="11">
        <v>147925593</v>
      </c>
      <c r="E13" s="11">
        <v>893533906</v>
      </c>
      <c r="F13" s="11">
        <v>308477</v>
      </c>
      <c r="G13" s="10"/>
      <c r="H13" s="28"/>
      <c r="I13" s="28"/>
      <c r="J13" s="10"/>
      <c r="K13" s="10"/>
      <c r="L13" s="9"/>
      <c r="M13" s="45"/>
      <c r="N13" s="25"/>
      <c r="O13" s="25"/>
    </row>
    <row r="14" spans="3:23" hidden="1" x14ac:dyDescent="0.3">
      <c r="C14" s="11" t="s">
        <v>1417</v>
      </c>
      <c r="D14" s="11">
        <v>5203763</v>
      </c>
      <c r="E14" s="11">
        <v>97419242</v>
      </c>
      <c r="F14" s="11">
        <v>15016</v>
      </c>
      <c r="G14" s="10"/>
      <c r="H14" s="28"/>
      <c r="I14" s="28"/>
      <c r="J14" s="10"/>
      <c r="K14" s="10"/>
      <c r="L14" s="9"/>
      <c r="M14" s="45"/>
      <c r="N14" s="25"/>
      <c r="O14" s="25"/>
    </row>
    <row r="15" spans="3:23" hidden="1" x14ac:dyDescent="0.3">
      <c r="C15" s="11" t="s">
        <v>1435</v>
      </c>
      <c r="D15" s="11">
        <v>4846609</v>
      </c>
      <c r="E15" s="11">
        <v>85702474</v>
      </c>
      <c r="F15" s="11">
        <v>20333</v>
      </c>
      <c r="G15" s="10"/>
      <c r="H15" s="28"/>
      <c r="I15" s="28"/>
      <c r="J15" s="10"/>
      <c r="K15" s="10"/>
      <c r="L15" s="9"/>
      <c r="M15" s="45"/>
      <c r="N15" s="25"/>
      <c r="O15" s="25"/>
    </row>
    <row r="16" spans="3:23" ht="24" x14ac:dyDescent="0.3">
      <c r="C16" s="22" t="s">
        <v>3912</v>
      </c>
      <c r="D16" s="38">
        <v>4033138</v>
      </c>
      <c r="E16" s="38">
        <v>55866126</v>
      </c>
      <c r="F16" s="38">
        <v>2651</v>
      </c>
      <c r="G16" s="39">
        <v>287</v>
      </c>
      <c r="H16" s="41">
        <v>215</v>
      </c>
      <c r="I16" s="76">
        <v>0.92</v>
      </c>
      <c r="J16" s="41"/>
      <c r="K16" s="67"/>
      <c r="L16" s="62"/>
      <c r="M16" s="62"/>
      <c r="N16" s="34"/>
      <c r="O16" s="34"/>
      <c r="S16" s="35"/>
      <c r="U16" s="2"/>
      <c r="W16" s="2"/>
    </row>
    <row r="17" spans="3:23" ht="24" x14ac:dyDescent="0.3">
      <c r="C17" s="22" t="s">
        <v>3919</v>
      </c>
      <c r="D17" s="38">
        <v>2937612</v>
      </c>
      <c r="E17" s="38">
        <v>41919708</v>
      </c>
      <c r="F17" s="38">
        <v>4356</v>
      </c>
      <c r="G17" s="39">
        <v>27593398</v>
      </c>
      <c r="H17" s="41"/>
      <c r="I17" s="40"/>
      <c r="J17" s="41"/>
      <c r="K17" s="67"/>
      <c r="L17" s="62"/>
      <c r="M17" s="62"/>
      <c r="N17" s="34"/>
      <c r="O17" s="34"/>
      <c r="S17" s="35"/>
      <c r="U17" s="2"/>
      <c r="W17" s="2"/>
    </row>
    <row r="18" spans="3:23" ht="24" x14ac:dyDescent="0.3">
      <c r="C18" s="22" t="s">
        <v>3920</v>
      </c>
      <c r="D18" s="38">
        <v>1632803</v>
      </c>
      <c r="E18" s="38">
        <v>44603928</v>
      </c>
      <c r="F18" s="38">
        <v>14854</v>
      </c>
      <c r="G18" s="39">
        <v>19376873</v>
      </c>
      <c r="H18" s="41"/>
      <c r="I18" s="40"/>
      <c r="J18" s="41"/>
      <c r="K18" s="67"/>
      <c r="L18" s="62"/>
      <c r="M18" s="62"/>
      <c r="N18" s="34"/>
      <c r="O18" s="34"/>
      <c r="S18" s="35"/>
      <c r="U18" s="2"/>
      <c r="W18" s="2"/>
    </row>
    <row r="19" spans="3:23" ht="24" x14ac:dyDescent="0.3">
      <c r="C19" s="11" t="s">
        <v>1462</v>
      </c>
      <c r="D19" s="38">
        <v>33778221</v>
      </c>
      <c r="E19" s="38">
        <v>203595714</v>
      </c>
      <c r="F19" s="38">
        <v>29319</v>
      </c>
      <c r="G19" s="39">
        <v>103359042</v>
      </c>
      <c r="H19" s="41"/>
      <c r="I19" s="40"/>
      <c r="J19" s="41"/>
      <c r="K19" s="67"/>
      <c r="L19" s="62"/>
      <c r="M19" s="62"/>
      <c r="N19" s="34"/>
      <c r="O19" s="34"/>
      <c r="S19" s="35"/>
      <c r="U19" s="2"/>
      <c r="W19" s="2"/>
    </row>
    <row r="20" spans="3:23" ht="24" x14ac:dyDescent="0.3">
      <c r="C20" s="11" t="s">
        <v>6</v>
      </c>
      <c r="D20" s="38">
        <v>3072441</v>
      </c>
      <c r="E20" s="38">
        <v>234369798</v>
      </c>
      <c r="F20" s="38">
        <v>33313</v>
      </c>
      <c r="G20" s="39">
        <v>2270456447</v>
      </c>
      <c r="H20" s="41"/>
      <c r="I20" s="40"/>
      <c r="J20" s="41"/>
      <c r="K20" s="41"/>
      <c r="L20" s="62"/>
      <c r="M20" s="65"/>
      <c r="N20" s="34"/>
      <c r="O20" s="34"/>
      <c r="S20" s="35"/>
      <c r="U20" s="2"/>
      <c r="W20" s="2"/>
    </row>
    <row r="21" spans="3:23" ht="24" x14ac:dyDescent="0.3">
      <c r="C21" s="11" t="s">
        <v>1346</v>
      </c>
      <c r="D21" s="38">
        <v>1696415</v>
      </c>
      <c r="E21" s="38">
        <v>22190596</v>
      </c>
      <c r="F21" s="38">
        <v>35455</v>
      </c>
      <c r="G21" s="39">
        <v>37322355</v>
      </c>
      <c r="H21" s="41"/>
      <c r="I21" s="40"/>
      <c r="J21" s="41"/>
      <c r="K21" s="67"/>
      <c r="L21" s="62"/>
      <c r="M21" s="62"/>
      <c r="N21" s="34"/>
      <c r="O21" s="34"/>
      <c r="S21" s="35"/>
      <c r="U21" s="2"/>
      <c r="W21" s="2"/>
    </row>
    <row r="22" spans="3:23" ht="24" x14ac:dyDescent="0.3">
      <c r="C22" s="11" t="s">
        <v>7</v>
      </c>
      <c r="D22" s="38">
        <v>2584164</v>
      </c>
      <c r="E22" s="38">
        <v>56367036</v>
      </c>
      <c r="F22" s="38">
        <v>44065</v>
      </c>
      <c r="G22" s="39">
        <v>918563917</v>
      </c>
      <c r="H22" s="41"/>
      <c r="I22" s="40"/>
      <c r="J22" s="41"/>
      <c r="K22" s="41"/>
      <c r="L22" s="62"/>
      <c r="M22" s="65"/>
      <c r="N22" s="34"/>
      <c r="O22" s="34"/>
      <c r="S22" s="35"/>
      <c r="U22" s="2"/>
      <c r="W22" s="2"/>
    </row>
    <row r="23" spans="3:23" ht="24" x14ac:dyDescent="0.3">
      <c r="C23" s="11" t="s">
        <v>4</v>
      </c>
      <c r="D23" s="38">
        <v>1203995</v>
      </c>
      <c r="E23" s="38">
        <v>40033816</v>
      </c>
      <c r="F23" s="38">
        <v>81090</v>
      </c>
      <c r="G23" s="39">
        <v>148294115</v>
      </c>
      <c r="H23" s="41"/>
      <c r="I23" s="40"/>
      <c r="J23" s="41"/>
      <c r="K23" s="66"/>
      <c r="L23" s="62"/>
      <c r="M23" s="62"/>
      <c r="N23" s="34"/>
      <c r="O23" s="34"/>
      <c r="S23" s="35"/>
      <c r="U23" s="2"/>
      <c r="W23" s="2"/>
    </row>
    <row r="24" spans="3:23" ht="24" x14ac:dyDescent="0.3">
      <c r="C24" s="9" t="s">
        <v>1371</v>
      </c>
      <c r="D24" s="38">
        <v>2140198</v>
      </c>
      <c r="E24" s="38">
        <v>34029892</v>
      </c>
      <c r="F24" s="38">
        <v>97848</v>
      </c>
      <c r="G24" s="39">
        <v>19365288</v>
      </c>
      <c r="H24" s="41"/>
      <c r="I24" s="40"/>
      <c r="J24" s="41"/>
      <c r="K24" s="67"/>
      <c r="L24" s="62"/>
      <c r="M24" s="62"/>
      <c r="N24" s="34"/>
      <c r="O24" s="34"/>
      <c r="S24" s="35"/>
      <c r="U24" s="2"/>
      <c r="W24" s="2"/>
    </row>
    <row r="25" spans="3:23" ht="24" x14ac:dyDescent="0.3">
      <c r="C25" s="9" t="s">
        <v>11</v>
      </c>
      <c r="D25" s="38">
        <v>2394385</v>
      </c>
      <c r="E25" s="38">
        <v>9319130</v>
      </c>
      <c r="F25" s="38">
        <v>100029</v>
      </c>
      <c r="G25" s="39">
        <v>86333306</v>
      </c>
      <c r="H25" s="41"/>
      <c r="I25" s="40"/>
      <c r="J25" s="41"/>
      <c r="K25" s="67"/>
      <c r="L25" s="62"/>
      <c r="M25" s="62"/>
      <c r="N25" s="34"/>
      <c r="O25" s="34"/>
      <c r="S25" s="35"/>
      <c r="U25" s="2"/>
      <c r="W25" s="2"/>
    </row>
    <row r="26" spans="3:23" ht="24" x14ac:dyDescent="0.3">
      <c r="C26" s="11" t="s">
        <v>3</v>
      </c>
      <c r="D26" s="38">
        <v>2212663</v>
      </c>
      <c r="E26" s="38">
        <v>58330960</v>
      </c>
      <c r="F26" s="38">
        <v>137021</v>
      </c>
      <c r="G26" s="39">
        <v>1569924556</v>
      </c>
      <c r="H26" s="41"/>
      <c r="I26" s="40"/>
      <c r="J26" s="41"/>
      <c r="K26" s="41"/>
      <c r="L26" s="62"/>
      <c r="M26" s="65"/>
      <c r="N26" s="34"/>
      <c r="O26" s="34"/>
      <c r="S26" s="35"/>
      <c r="U26" s="2"/>
      <c r="W26" s="2"/>
    </row>
    <row r="27" spans="3:23" ht="24" x14ac:dyDescent="0.3">
      <c r="C27" s="9" t="s">
        <v>1434</v>
      </c>
      <c r="D27" s="38">
        <v>7825669</v>
      </c>
      <c r="E27" s="38">
        <v>124492028</v>
      </c>
      <c r="F27" s="38">
        <v>204282</v>
      </c>
      <c r="G27" s="39">
        <v>74995873</v>
      </c>
      <c r="H27" s="66"/>
      <c r="I27" s="40"/>
      <c r="J27" s="41"/>
      <c r="K27" s="40"/>
      <c r="L27" s="62"/>
      <c r="M27" s="62"/>
      <c r="N27" s="34"/>
      <c r="O27" s="34"/>
      <c r="S27" s="35"/>
      <c r="U27" s="2"/>
      <c r="W27" s="2"/>
    </row>
    <row r="28" spans="3:23" ht="24" x14ac:dyDescent="0.3">
      <c r="C28" s="9" t="s">
        <v>3917</v>
      </c>
      <c r="D28" s="38">
        <v>1791489</v>
      </c>
      <c r="E28" s="38">
        <v>50888414</v>
      </c>
      <c r="F28" s="38">
        <v>238342</v>
      </c>
      <c r="G28" s="39">
        <v>27229873</v>
      </c>
      <c r="H28" s="41"/>
      <c r="I28" s="40"/>
      <c r="J28" s="41"/>
      <c r="K28" s="67"/>
      <c r="L28" s="62"/>
      <c r="M28" s="62"/>
      <c r="N28" s="34"/>
      <c r="O28" s="34"/>
      <c r="S28" s="35"/>
      <c r="U28" s="2"/>
      <c r="W28" s="2"/>
    </row>
    <row r="29" spans="3:23" ht="24" x14ac:dyDescent="0.3">
      <c r="C29" s="9" t="s">
        <v>1443</v>
      </c>
      <c r="D29" s="38">
        <v>3924218</v>
      </c>
      <c r="E29" s="38">
        <v>152878772</v>
      </c>
      <c r="F29" s="38">
        <v>254555</v>
      </c>
      <c r="G29" s="39">
        <v>36008128</v>
      </c>
      <c r="H29" s="41"/>
      <c r="I29" s="40"/>
      <c r="J29" s="41"/>
      <c r="K29" s="41"/>
      <c r="L29" s="63"/>
      <c r="M29" s="65"/>
      <c r="N29" s="34"/>
      <c r="O29" s="34"/>
      <c r="S29" s="35"/>
      <c r="U29" s="2"/>
      <c r="W29" s="2"/>
    </row>
    <row r="30" spans="3:23" ht="24" x14ac:dyDescent="0.3">
      <c r="C30" s="9" t="s">
        <v>1414</v>
      </c>
      <c r="D30" s="38">
        <v>3033373</v>
      </c>
      <c r="E30" s="38">
        <v>87691916</v>
      </c>
      <c r="F30" s="38">
        <v>275166</v>
      </c>
      <c r="G30" s="39">
        <v>118034566</v>
      </c>
      <c r="H30" s="41"/>
      <c r="I30" s="40"/>
      <c r="J30" s="41"/>
      <c r="K30" s="66"/>
      <c r="L30" s="62"/>
      <c r="M30" s="62"/>
      <c r="N30" s="34"/>
      <c r="O30" s="34"/>
      <c r="S30" s="35"/>
      <c r="U30" s="2"/>
      <c r="W30" s="2"/>
    </row>
    <row r="31" spans="3:23" ht="24" x14ac:dyDescent="0.3">
      <c r="C31" s="9" t="s">
        <v>3913</v>
      </c>
      <c r="D31" s="38">
        <v>58655849</v>
      </c>
      <c r="E31" s="38">
        <v>522642066</v>
      </c>
      <c r="F31" s="38">
        <v>278489</v>
      </c>
      <c r="G31" s="39">
        <v>1117416174</v>
      </c>
      <c r="H31" s="41"/>
      <c r="I31" s="40"/>
      <c r="J31" s="41"/>
      <c r="K31" s="41"/>
      <c r="L31" s="62"/>
      <c r="M31" s="65"/>
      <c r="N31" s="34"/>
      <c r="O31" s="34"/>
      <c r="S31" s="35"/>
      <c r="U31" s="2"/>
      <c r="W31" s="2"/>
    </row>
    <row r="32" spans="3:23" ht="24" x14ac:dyDescent="0.3">
      <c r="C32" s="9" t="s">
        <v>1442</v>
      </c>
      <c r="D32" s="38">
        <v>3370462</v>
      </c>
      <c r="E32" s="38">
        <v>143901836</v>
      </c>
      <c r="F32" s="38">
        <v>282591</v>
      </c>
      <c r="G32" s="39">
        <v>563203047</v>
      </c>
      <c r="H32" s="41"/>
      <c r="I32" s="40"/>
      <c r="J32" s="41"/>
      <c r="K32" s="41"/>
      <c r="L32" s="64"/>
      <c r="M32" s="65"/>
      <c r="N32" s="34"/>
      <c r="O32" s="34"/>
      <c r="S32" s="35"/>
      <c r="U32" s="2"/>
      <c r="W32" s="2"/>
    </row>
    <row r="33" spans="3:29" ht="24" x14ac:dyDescent="0.3">
      <c r="C33" s="9" t="s">
        <v>1445</v>
      </c>
      <c r="D33" s="38">
        <v>2148791</v>
      </c>
      <c r="E33" s="38">
        <v>155750262</v>
      </c>
      <c r="F33" s="38">
        <v>286585</v>
      </c>
      <c r="G33" s="39">
        <v>147929073</v>
      </c>
      <c r="H33" s="41"/>
      <c r="I33" s="40"/>
      <c r="J33" s="41"/>
      <c r="K33" s="41"/>
      <c r="L33" s="62"/>
      <c r="M33" s="65"/>
      <c r="N33" s="34"/>
      <c r="O33" s="34"/>
      <c r="S33" s="35"/>
      <c r="U33" s="2"/>
      <c r="W33" s="2"/>
    </row>
    <row r="34" spans="3:29" ht="24" x14ac:dyDescent="0.3">
      <c r="C34" s="9" t="s">
        <v>1402</v>
      </c>
      <c r="D34" s="38">
        <v>2132864</v>
      </c>
      <c r="E34" s="38">
        <v>17441248</v>
      </c>
      <c r="F34" s="38">
        <v>306136</v>
      </c>
      <c r="G34" s="39">
        <v>11329220</v>
      </c>
      <c r="H34" s="41"/>
      <c r="I34" s="40"/>
      <c r="J34" s="41"/>
      <c r="K34" s="67"/>
      <c r="L34" s="62"/>
      <c r="M34" s="62"/>
      <c r="N34" s="34"/>
      <c r="O34" s="34"/>
      <c r="S34" s="35"/>
      <c r="U34" s="2"/>
      <c r="W34" s="2"/>
    </row>
    <row r="35" spans="3:29" ht="24" x14ac:dyDescent="0.3">
      <c r="C35" s="11" t="s">
        <v>5</v>
      </c>
      <c r="D35" s="38">
        <v>8730857</v>
      </c>
      <c r="E35" s="38">
        <v>654072972</v>
      </c>
      <c r="F35" s="38">
        <v>318268</v>
      </c>
      <c r="G35" s="39">
        <v>417032363</v>
      </c>
      <c r="H35" s="41"/>
      <c r="I35" s="40"/>
      <c r="J35" s="41"/>
      <c r="K35" s="66"/>
      <c r="L35" s="62"/>
      <c r="M35" s="62"/>
      <c r="N35" s="34"/>
      <c r="O35" s="34"/>
      <c r="S35" s="35"/>
      <c r="U35" s="2"/>
      <c r="W35" s="2"/>
    </row>
    <row r="36" spans="3:29" ht="24" x14ac:dyDescent="0.3">
      <c r="C36" s="9" t="s">
        <v>1452</v>
      </c>
      <c r="D36" s="38">
        <v>3175009</v>
      </c>
      <c r="E36" s="38">
        <v>206621674</v>
      </c>
      <c r="F36" s="38">
        <v>369566</v>
      </c>
      <c r="G36" s="39">
        <v>67547002</v>
      </c>
      <c r="H36" s="40"/>
      <c r="I36" s="40"/>
      <c r="J36" s="41"/>
      <c r="K36" s="41"/>
      <c r="L36" s="63"/>
      <c r="M36" s="65"/>
      <c r="N36" s="34"/>
      <c r="O36" s="34"/>
      <c r="S36" s="35"/>
      <c r="U36" s="2"/>
      <c r="W36" s="2"/>
    </row>
    <row r="37" spans="3:29" ht="24" x14ac:dyDescent="0.3">
      <c r="C37" s="11" t="s">
        <v>1437</v>
      </c>
      <c r="D37" s="38">
        <v>2981204</v>
      </c>
      <c r="E37" s="38">
        <v>42832752</v>
      </c>
      <c r="F37" s="38">
        <v>385104</v>
      </c>
      <c r="G37" s="39">
        <v>35290880</v>
      </c>
      <c r="H37" s="41"/>
      <c r="I37" s="40"/>
      <c r="J37" s="41"/>
      <c r="K37" s="67"/>
      <c r="L37" s="62"/>
      <c r="M37" s="62"/>
      <c r="N37" s="34"/>
      <c r="O37" s="34"/>
      <c r="S37" s="35"/>
      <c r="U37" s="2"/>
      <c r="W37" s="2"/>
    </row>
    <row r="38" spans="3:29" ht="24" x14ac:dyDescent="0.3">
      <c r="C38" s="9" t="s">
        <v>1451</v>
      </c>
      <c r="D38" s="38">
        <v>3333397</v>
      </c>
      <c r="E38" s="38">
        <v>200923810</v>
      </c>
      <c r="F38" s="38">
        <v>399358</v>
      </c>
      <c r="G38" s="39">
        <v>1902943357</v>
      </c>
      <c r="H38" s="41"/>
      <c r="I38" s="40"/>
      <c r="J38" s="41"/>
      <c r="K38" s="41"/>
      <c r="L38" s="62"/>
      <c r="M38" s="65"/>
      <c r="N38" s="34"/>
      <c r="O38" s="34"/>
      <c r="S38" s="35"/>
      <c r="U38" s="2"/>
      <c r="W38" s="2"/>
    </row>
    <row r="39" spans="3:29" ht="24" x14ac:dyDescent="0.3">
      <c r="C39" s="9" t="s">
        <v>10</v>
      </c>
      <c r="D39" s="38">
        <v>3603726</v>
      </c>
      <c r="E39" s="38">
        <v>155093964</v>
      </c>
      <c r="F39" s="38">
        <v>434234</v>
      </c>
      <c r="G39" s="39">
        <v>1237624958</v>
      </c>
      <c r="H39" s="41"/>
      <c r="I39" s="40"/>
      <c r="J39" s="41"/>
      <c r="K39" s="41"/>
      <c r="L39" s="63"/>
      <c r="M39" s="65"/>
      <c r="N39" s="34"/>
      <c r="O39" s="34"/>
      <c r="S39" s="35"/>
      <c r="U39" s="2"/>
      <c r="W39" s="2"/>
      <c r="AA39" s="2"/>
      <c r="AC39" s="2"/>
    </row>
    <row r="40" spans="3:29" ht="24" x14ac:dyDescent="0.3">
      <c r="C40" s="11" t="s">
        <v>1448</v>
      </c>
      <c r="D40" s="38">
        <v>5267977</v>
      </c>
      <c r="E40" s="38">
        <v>55363430</v>
      </c>
      <c r="F40" s="38">
        <v>590528</v>
      </c>
      <c r="G40" s="39">
        <v>99655585</v>
      </c>
      <c r="H40" s="41"/>
      <c r="I40" s="40"/>
      <c r="J40" s="41"/>
      <c r="K40" s="67"/>
      <c r="L40" s="62"/>
      <c r="M40" s="62"/>
      <c r="N40" s="34"/>
      <c r="O40" s="34"/>
      <c r="S40" s="35"/>
      <c r="U40" s="2"/>
      <c r="W40" s="2"/>
      <c r="AA40" s="2"/>
      <c r="AC40" s="2"/>
    </row>
    <row r="41" spans="3:29" ht="24" x14ac:dyDescent="0.3">
      <c r="C41" s="11" t="s">
        <v>1</v>
      </c>
      <c r="D41" s="38">
        <v>18268991</v>
      </c>
      <c r="E41" s="38">
        <v>253780418</v>
      </c>
      <c r="F41" s="38">
        <v>612308</v>
      </c>
      <c r="G41" s="39">
        <v>240680701</v>
      </c>
      <c r="H41" s="41"/>
      <c r="I41" s="40"/>
      <c r="J41" s="41"/>
      <c r="K41" s="66"/>
      <c r="L41" s="62"/>
      <c r="M41" s="62"/>
      <c r="N41" s="34"/>
      <c r="O41" s="34"/>
      <c r="S41" s="35"/>
      <c r="U41" s="2"/>
      <c r="W41" s="2"/>
      <c r="AA41" s="2"/>
      <c r="AC41" s="2"/>
    </row>
    <row r="42" spans="3:29" ht="24" x14ac:dyDescent="0.3">
      <c r="C42" s="11" t="s">
        <v>2</v>
      </c>
      <c r="D42" s="38">
        <v>4382070</v>
      </c>
      <c r="E42" s="38">
        <v>38996662</v>
      </c>
      <c r="F42" s="38">
        <v>699764</v>
      </c>
      <c r="G42" s="39">
        <v>287608260</v>
      </c>
      <c r="H42" s="41"/>
      <c r="I42" s="40"/>
      <c r="J42" s="41"/>
      <c r="K42" s="66"/>
      <c r="L42" s="62"/>
      <c r="M42" s="62"/>
      <c r="N42" s="34"/>
      <c r="O42" s="34"/>
      <c r="S42" s="35"/>
      <c r="U42" s="2"/>
      <c r="W42" s="2"/>
      <c r="AA42" s="2"/>
      <c r="AC42" s="2"/>
    </row>
    <row r="43" spans="3:29" ht="24" x14ac:dyDescent="0.3">
      <c r="C43" s="11" t="s">
        <v>1456</v>
      </c>
      <c r="D43" s="38">
        <v>5829441</v>
      </c>
      <c r="E43" s="38">
        <v>110439216</v>
      </c>
      <c r="F43" s="38">
        <v>818185</v>
      </c>
      <c r="G43" s="39">
        <v>1508704249</v>
      </c>
      <c r="H43" s="41"/>
      <c r="I43" s="40"/>
      <c r="J43" s="41"/>
      <c r="K43" s="41"/>
      <c r="L43" s="62"/>
      <c r="M43" s="65"/>
      <c r="N43" s="34"/>
      <c r="O43" s="34"/>
      <c r="S43" s="35"/>
      <c r="U43" s="2"/>
      <c r="W43" s="2"/>
      <c r="AA43" s="2"/>
      <c r="AC43" s="2"/>
    </row>
    <row r="44" spans="3:29" ht="24" x14ac:dyDescent="0.3">
      <c r="C44" s="11" t="s">
        <v>1433</v>
      </c>
      <c r="D44" s="38">
        <v>2646291</v>
      </c>
      <c r="E44" s="38">
        <v>42433496</v>
      </c>
      <c r="F44" s="38">
        <v>850681</v>
      </c>
      <c r="G44" s="39">
        <v>110149144</v>
      </c>
      <c r="H44" s="41"/>
      <c r="I44" s="40"/>
      <c r="J44" s="41"/>
      <c r="K44" s="67"/>
      <c r="L44" s="62"/>
      <c r="M44" s="62"/>
      <c r="N44" s="34"/>
      <c r="O44" s="34"/>
      <c r="S44" s="35"/>
      <c r="U44" s="2"/>
      <c r="W44" s="2"/>
      <c r="AA44" s="2"/>
      <c r="AC44" s="2"/>
    </row>
    <row r="45" spans="3:29" ht="24" x14ac:dyDescent="0.3">
      <c r="C45" s="11" t="s">
        <v>1436</v>
      </c>
      <c r="D45" s="38">
        <v>3790750</v>
      </c>
      <c r="E45" s="38">
        <v>44273578</v>
      </c>
      <c r="F45" s="38">
        <v>866662</v>
      </c>
      <c r="G45" s="39">
        <v>489911259</v>
      </c>
      <c r="H45" s="41"/>
      <c r="I45" s="40"/>
      <c r="J45" s="41"/>
      <c r="K45" s="66"/>
      <c r="L45" s="62"/>
      <c r="M45" s="62"/>
      <c r="N45" s="34"/>
      <c r="O45" s="34"/>
      <c r="S45" s="35"/>
      <c r="U45" s="2"/>
      <c r="W45" s="2"/>
      <c r="AA45" s="2"/>
      <c r="AC45" s="2"/>
    </row>
    <row r="46" spans="3:29" ht="24" x14ac:dyDescent="0.3">
      <c r="C46" s="9" t="s">
        <v>1422</v>
      </c>
      <c r="D46" s="38">
        <v>2622756</v>
      </c>
      <c r="E46" s="38">
        <v>94934908</v>
      </c>
      <c r="F46" s="38">
        <v>900354</v>
      </c>
      <c r="G46" s="39">
        <v>104704438</v>
      </c>
      <c r="H46" s="41"/>
      <c r="I46" s="40"/>
      <c r="J46" s="41"/>
      <c r="K46" s="41"/>
      <c r="L46" s="62"/>
      <c r="M46" s="65"/>
      <c r="N46" s="34"/>
      <c r="O46" s="34"/>
      <c r="S46" s="35"/>
      <c r="U46" s="2"/>
      <c r="W46" s="2"/>
      <c r="AA46" s="2"/>
      <c r="AC46" s="2"/>
    </row>
    <row r="47" spans="3:29" ht="24" x14ac:dyDescent="0.3">
      <c r="C47" s="11" t="s">
        <v>1404</v>
      </c>
      <c r="D47" s="38">
        <v>2939627</v>
      </c>
      <c r="E47" s="38">
        <v>20974994</v>
      </c>
      <c r="F47" s="38">
        <v>916719</v>
      </c>
      <c r="G47" s="39">
        <v>49558992</v>
      </c>
      <c r="H47" s="41"/>
      <c r="I47" s="40"/>
      <c r="J47" s="41"/>
      <c r="K47" s="40"/>
      <c r="L47" s="62"/>
      <c r="M47" s="65"/>
      <c r="N47" s="34"/>
      <c r="O47" s="34"/>
      <c r="S47" s="35"/>
      <c r="U47" s="2"/>
      <c r="W47" s="2"/>
      <c r="AA47" s="2"/>
      <c r="AC47" s="2"/>
    </row>
    <row r="48" spans="3:29" ht="24" x14ac:dyDescent="0.3">
      <c r="C48" s="11" t="s">
        <v>1450</v>
      </c>
      <c r="D48" s="38">
        <v>5867547</v>
      </c>
      <c r="E48" s="38">
        <v>61171040</v>
      </c>
      <c r="F48" s="38">
        <v>959344</v>
      </c>
      <c r="G48" s="39">
        <v>994503898</v>
      </c>
      <c r="H48" s="41"/>
      <c r="I48" s="40"/>
      <c r="J48" s="41"/>
      <c r="K48" s="41"/>
      <c r="L48" s="62"/>
      <c r="M48" s="65"/>
      <c r="N48" s="34"/>
      <c r="O48" s="34"/>
      <c r="S48" s="35"/>
      <c r="U48" s="2"/>
      <c r="W48" s="2"/>
      <c r="AA48" s="2"/>
      <c r="AC48" s="2"/>
    </row>
    <row r="49" spans="3:29" ht="24" x14ac:dyDescent="0.3">
      <c r="C49" s="11" t="s">
        <v>1447</v>
      </c>
      <c r="D49" s="38">
        <v>7489073</v>
      </c>
      <c r="E49" s="38">
        <v>224610814</v>
      </c>
      <c r="F49" s="38">
        <v>1053720</v>
      </c>
      <c r="G49" s="39">
        <v>148627058</v>
      </c>
      <c r="H49" s="41"/>
      <c r="I49" s="40"/>
      <c r="J49" s="41"/>
      <c r="K49" s="66"/>
      <c r="L49" s="62"/>
      <c r="M49" s="62"/>
      <c r="N49" s="34"/>
      <c r="O49" s="34"/>
      <c r="S49" s="35"/>
      <c r="U49" s="2"/>
      <c r="W49" s="2"/>
      <c r="AA49" s="2"/>
      <c r="AC49" s="2"/>
    </row>
    <row r="50" spans="3:29" ht="24" x14ac:dyDescent="0.3">
      <c r="C50" s="11" t="s">
        <v>1461</v>
      </c>
      <c r="D50" s="38">
        <v>33777768</v>
      </c>
      <c r="E50" s="38">
        <v>274478882</v>
      </c>
      <c r="F50" s="38">
        <v>1057783</v>
      </c>
      <c r="G50" s="39">
        <v>152479402</v>
      </c>
      <c r="H50" s="41"/>
      <c r="I50" s="40"/>
      <c r="J50" s="41"/>
      <c r="K50" s="67"/>
      <c r="L50" s="62"/>
      <c r="M50" s="62"/>
      <c r="N50" s="34"/>
      <c r="O50" s="34"/>
      <c r="S50" s="35"/>
      <c r="U50" s="2"/>
      <c r="W50" s="2"/>
      <c r="AA50" s="2"/>
      <c r="AC50" s="2"/>
    </row>
    <row r="51" spans="3:29" ht="24" x14ac:dyDescent="0.3">
      <c r="C51" s="11" t="s">
        <v>1449</v>
      </c>
      <c r="D51" s="38">
        <v>4799646</v>
      </c>
      <c r="E51" s="38">
        <v>63844012</v>
      </c>
      <c r="F51" s="38">
        <v>1076572</v>
      </c>
      <c r="G51" s="39">
        <v>157475935</v>
      </c>
      <c r="H51" s="41"/>
      <c r="I51" s="40"/>
      <c r="J51" s="41"/>
      <c r="K51" s="66"/>
      <c r="L51" s="62"/>
      <c r="M51" s="62"/>
      <c r="N51" s="34"/>
      <c r="O51" s="34"/>
      <c r="S51" s="35"/>
      <c r="U51" s="2"/>
      <c r="W51" s="2"/>
      <c r="AA51" s="2"/>
      <c r="AC51" s="2"/>
    </row>
    <row r="52" spans="3:29" ht="24" x14ac:dyDescent="0.3">
      <c r="C52" s="9" t="s">
        <v>1405</v>
      </c>
      <c r="D52" s="38">
        <v>2093449</v>
      </c>
      <c r="E52" s="38">
        <v>52098498</v>
      </c>
      <c r="F52" s="38">
        <v>1140084</v>
      </c>
      <c r="G52" s="39">
        <v>7254227</v>
      </c>
      <c r="H52" s="41"/>
      <c r="I52" s="40"/>
      <c r="J52" s="41"/>
      <c r="K52" s="41"/>
      <c r="L52" s="62"/>
      <c r="M52" s="65"/>
      <c r="N52" s="34"/>
      <c r="O52" s="34"/>
      <c r="S52" s="35"/>
      <c r="U52" s="2"/>
      <c r="W52" s="2"/>
      <c r="AA52" s="2"/>
      <c r="AC52" s="2"/>
    </row>
    <row r="53" spans="3:29" ht="24" x14ac:dyDescent="0.3">
      <c r="C53" s="11" t="s">
        <v>1425</v>
      </c>
      <c r="D53" s="38">
        <v>5005932</v>
      </c>
      <c r="E53" s="38">
        <v>33083838</v>
      </c>
      <c r="F53" s="38">
        <v>1208022</v>
      </c>
      <c r="G53" s="39">
        <v>48080344</v>
      </c>
      <c r="H53" s="41"/>
      <c r="I53" s="40"/>
      <c r="J53" s="41"/>
      <c r="K53" s="40"/>
      <c r="L53" s="62"/>
      <c r="M53" s="65"/>
      <c r="N53" s="34"/>
      <c r="O53" s="34"/>
      <c r="S53" s="35"/>
      <c r="U53" s="2"/>
      <c r="W53" s="2"/>
      <c r="AA53" s="2"/>
      <c r="AC53" s="2"/>
    </row>
    <row r="54" spans="3:29" ht="24" x14ac:dyDescent="0.3">
      <c r="C54" s="11" t="s">
        <v>1455</v>
      </c>
      <c r="D54" s="38">
        <v>8833229</v>
      </c>
      <c r="E54" s="38">
        <v>105882456</v>
      </c>
      <c r="F54" s="38">
        <v>2126384</v>
      </c>
      <c r="G54" s="39">
        <v>2115046340</v>
      </c>
      <c r="H54" s="41"/>
      <c r="I54" s="40"/>
      <c r="J54" s="41"/>
      <c r="K54" s="41"/>
      <c r="L54" s="63"/>
      <c r="M54" s="65"/>
      <c r="N54" s="34"/>
      <c r="O54" s="34"/>
      <c r="S54" s="35"/>
      <c r="U54" s="2"/>
      <c r="W54" s="2"/>
      <c r="AA54" s="2"/>
      <c r="AC54" s="2"/>
    </row>
    <row r="55" spans="3:29" ht="24" x14ac:dyDescent="0.3">
      <c r="C55" s="11" t="s">
        <v>1411</v>
      </c>
      <c r="D55" s="38">
        <v>3496954</v>
      </c>
      <c r="E55" s="38">
        <v>27305086</v>
      </c>
      <c r="F55" s="38">
        <v>2187803</v>
      </c>
      <c r="G55" s="39">
        <v>12230903</v>
      </c>
      <c r="H55" s="41"/>
      <c r="I55" s="40"/>
      <c r="J55" s="41"/>
      <c r="K55" s="40"/>
      <c r="L55" s="65"/>
      <c r="M55" s="62"/>
      <c r="N55" s="34"/>
      <c r="O55" s="34"/>
      <c r="S55" s="35"/>
      <c r="U55" s="2"/>
      <c r="W55" s="2"/>
      <c r="AA55" s="2"/>
      <c r="AC55" s="2"/>
    </row>
    <row r="56" spans="3:29" ht="24" x14ac:dyDescent="0.3">
      <c r="C56" s="11" t="s">
        <v>1409</v>
      </c>
      <c r="D56" s="38">
        <v>3411795</v>
      </c>
      <c r="E56" s="38">
        <v>26854686</v>
      </c>
      <c r="F56" s="38">
        <v>2487058</v>
      </c>
      <c r="G56" s="39">
        <v>8209611</v>
      </c>
      <c r="H56" s="41"/>
      <c r="I56" s="40"/>
      <c r="J56" s="41"/>
      <c r="K56" s="40"/>
      <c r="L56" s="62"/>
      <c r="M56" s="65"/>
      <c r="N56" s="34"/>
      <c r="O56" s="34"/>
      <c r="S56" s="35"/>
      <c r="U56" s="2"/>
      <c r="W56" s="2"/>
      <c r="AA56" s="2"/>
      <c r="AC56" s="2"/>
    </row>
    <row r="57" spans="3:29" ht="24" x14ac:dyDescent="0.3">
      <c r="C57" s="9" t="s">
        <v>1446</v>
      </c>
      <c r="D57" s="38">
        <v>6100692</v>
      </c>
      <c r="E57" s="38">
        <v>199729748</v>
      </c>
      <c r="F57" s="38">
        <v>2732817</v>
      </c>
      <c r="G57" s="39">
        <v>97362094</v>
      </c>
      <c r="H57" s="41"/>
      <c r="I57" s="40"/>
      <c r="J57" s="41"/>
      <c r="K57" s="41"/>
      <c r="L57" s="65"/>
      <c r="M57" s="62"/>
      <c r="N57" s="34"/>
      <c r="O57" s="34"/>
      <c r="S57" s="35"/>
      <c r="U57" s="2"/>
      <c r="W57" s="2"/>
      <c r="AA57" s="2"/>
      <c r="AC57" s="2"/>
    </row>
    <row r="58" spans="3:29" ht="21" customHeight="1" x14ac:dyDescent="0.3">
      <c r="C58" s="11" t="s">
        <v>1440</v>
      </c>
      <c r="D58" s="38">
        <v>5812931</v>
      </c>
      <c r="E58" s="38">
        <v>54238524</v>
      </c>
      <c r="F58" s="38">
        <v>3504033</v>
      </c>
      <c r="G58" s="39">
        <v>72022415</v>
      </c>
      <c r="H58" s="41"/>
      <c r="I58" s="40"/>
      <c r="J58" s="41"/>
      <c r="K58" s="41"/>
      <c r="L58" s="62"/>
      <c r="M58" s="65"/>
      <c r="N58" s="34"/>
      <c r="O58" s="34"/>
      <c r="S58" s="35"/>
      <c r="U58" s="2"/>
      <c r="W58" s="2"/>
      <c r="AA58" s="2"/>
      <c r="AC58" s="2"/>
    </row>
    <row r="59" spans="3:29" ht="24" x14ac:dyDescent="0.3">
      <c r="C59" s="9" t="s">
        <v>1438</v>
      </c>
      <c r="D59" s="38">
        <v>7891015</v>
      </c>
      <c r="E59" s="38">
        <v>127830770</v>
      </c>
      <c r="F59" s="38">
        <v>3636005</v>
      </c>
      <c r="G59" s="39">
        <v>52252646</v>
      </c>
      <c r="H59" s="41"/>
      <c r="I59" s="40"/>
      <c r="J59" s="41"/>
      <c r="K59" s="41"/>
      <c r="L59" s="62"/>
      <c r="M59" s="65"/>
      <c r="N59" s="34"/>
      <c r="O59" s="34"/>
      <c r="S59" s="35"/>
      <c r="U59" s="2"/>
      <c r="W59" s="2"/>
      <c r="AA59" s="2"/>
      <c r="AC59" s="2"/>
    </row>
    <row r="60" spans="3:29" ht="24" x14ac:dyDescent="0.3">
      <c r="C60" s="11" t="s">
        <v>1431</v>
      </c>
      <c r="D60" s="38">
        <v>4579069</v>
      </c>
      <c r="E60" s="38">
        <v>12530086</v>
      </c>
      <c r="F60" s="38">
        <v>4043326</v>
      </c>
      <c r="G60" s="39">
        <v>6015927</v>
      </c>
      <c r="H60" s="41"/>
      <c r="I60" s="40"/>
      <c r="J60" s="41"/>
      <c r="K60" s="40"/>
      <c r="L60" s="62"/>
      <c r="M60" s="65"/>
      <c r="N60" s="34"/>
      <c r="O60" s="34"/>
      <c r="S60" s="35"/>
      <c r="U60" s="2"/>
      <c r="W60" s="2"/>
      <c r="AA60" s="2"/>
      <c r="AC60" s="2"/>
    </row>
    <row r="61" spans="3:29" ht="24" x14ac:dyDescent="0.3">
      <c r="C61" s="11" t="s">
        <v>1408</v>
      </c>
      <c r="D61" s="38">
        <v>4063587</v>
      </c>
      <c r="E61" s="38">
        <v>17652554</v>
      </c>
      <c r="F61" s="38">
        <v>4059644</v>
      </c>
      <c r="G61" s="39">
        <v>8823479</v>
      </c>
      <c r="H61" s="41"/>
      <c r="I61" s="40"/>
      <c r="J61" s="41"/>
      <c r="K61" s="40"/>
      <c r="L61" s="62"/>
      <c r="M61" s="65"/>
      <c r="N61" s="34"/>
      <c r="O61" s="34"/>
      <c r="S61" s="35"/>
      <c r="U61" s="2"/>
      <c r="W61" s="2"/>
      <c r="AA61" s="2"/>
      <c r="AC61" s="2"/>
    </row>
    <row r="62" spans="3:29" ht="24" x14ac:dyDescent="0.3">
      <c r="C62" s="9" t="s">
        <v>3915</v>
      </c>
      <c r="D62" s="38">
        <v>25921548</v>
      </c>
      <c r="E62" s="38">
        <v>1086367222</v>
      </c>
      <c r="F62" s="38">
        <v>4271341</v>
      </c>
      <c r="G62" s="39">
        <v>568730123</v>
      </c>
      <c r="H62" s="41"/>
      <c r="I62" s="40"/>
      <c r="J62" s="41"/>
      <c r="K62" s="41"/>
      <c r="L62" s="62"/>
      <c r="M62" s="65"/>
      <c r="N62" s="34"/>
      <c r="O62" s="34"/>
      <c r="S62" s="35"/>
      <c r="U62" s="2"/>
      <c r="W62" s="2"/>
      <c r="AA62" s="2"/>
      <c r="AC62" s="2"/>
    </row>
    <row r="63" spans="3:29" ht="24" x14ac:dyDescent="0.3">
      <c r="C63" s="11" t="s">
        <v>1423</v>
      </c>
      <c r="D63" s="38">
        <v>7570051</v>
      </c>
      <c r="E63" s="38">
        <v>43881980</v>
      </c>
      <c r="F63" s="38">
        <v>5669991</v>
      </c>
      <c r="G63" s="39">
        <v>41148109</v>
      </c>
      <c r="H63" s="41"/>
      <c r="I63" s="40"/>
      <c r="J63" s="41"/>
      <c r="K63" s="41"/>
      <c r="L63" s="62"/>
      <c r="M63" s="65"/>
      <c r="N63" s="34"/>
      <c r="O63" s="34"/>
      <c r="S63" s="35"/>
      <c r="U63" s="2"/>
      <c r="W63" s="2"/>
      <c r="AA63" s="2"/>
      <c r="AC63" s="2"/>
    </row>
    <row r="64" spans="3:29" ht="24" x14ac:dyDescent="0.3">
      <c r="C64" s="11" t="s">
        <v>1391</v>
      </c>
      <c r="D64" s="38">
        <v>8482737</v>
      </c>
      <c r="E64" s="38">
        <v>23585644</v>
      </c>
      <c r="F64" s="38">
        <v>8421430</v>
      </c>
      <c r="G64" s="39">
        <v>12043741</v>
      </c>
      <c r="H64" s="41"/>
      <c r="I64" s="40"/>
      <c r="J64" s="41"/>
      <c r="K64" s="40"/>
      <c r="L64" s="62"/>
      <c r="M64" s="65"/>
      <c r="N64" s="34"/>
      <c r="O64" s="34"/>
      <c r="S64" s="35"/>
      <c r="U64" s="2"/>
      <c r="W64" s="2"/>
      <c r="AA64" s="2"/>
      <c r="AC64" s="2"/>
    </row>
    <row r="65" spans="3:29" ht="24" x14ac:dyDescent="0.3">
      <c r="C65" s="9" t="s">
        <v>18</v>
      </c>
      <c r="D65" s="38">
        <v>27665730</v>
      </c>
      <c r="E65" s="38">
        <v>281227494</v>
      </c>
      <c r="F65" s="38">
        <v>11571953</v>
      </c>
      <c r="G65" s="39">
        <v>134221196</v>
      </c>
      <c r="H65" s="41"/>
      <c r="I65" s="40"/>
      <c r="J65" s="41"/>
      <c r="K65" s="41"/>
      <c r="L65" s="65"/>
      <c r="M65" s="62"/>
      <c r="N65" s="34"/>
      <c r="O65" s="34"/>
      <c r="S65" s="35"/>
      <c r="U65" s="2"/>
      <c r="W65" s="2"/>
      <c r="AA65" s="2"/>
      <c r="AC65" s="2"/>
    </row>
    <row r="66" spans="3:29" x14ac:dyDescent="0.3">
      <c r="D66" s="11"/>
      <c r="E66" s="11"/>
      <c r="F66" s="11"/>
      <c r="G66" s="10"/>
      <c r="H66" s="19"/>
      <c r="I66" s="9"/>
      <c r="J66" s="10"/>
      <c r="K66" s="10"/>
      <c r="O66" s="15"/>
      <c r="P66" s="9"/>
    </row>
    <row r="67" spans="3:29" x14ac:dyDescent="0.3">
      <c r="D67" s="11"/>
      <c r="E67" s="11"/>
      <c r="F67" s="11"/>
      <c r="G67" s="10"/>
      <c r="H67" s="19"/>
      <c r="I67" s="9"/>
      <c r="J67" s="10"/>
      <c r="K67" s="10"/>
      <c r="O67" s="15"/>
      <c r="P67" s="9"/>
    </row>
    <row r="68" spans="3:29" x14ac:dyDescent="0.3">
      <c r="D68" s="11"/>
      <c r="E68" s="11"/>
      <c r="F68" s="11"/>
      <c r="G68" s="10"/>
      <c r="H68" s="19"/>
      <c r="I68" s="9"/>
      <c r="J68" s="10"/>
      <c r="K68" s="10"/>
      <c r="O68" s="15"/>
      <c r="P68" s="9"/>
    </row>
    <row r="69" spans="3:29" x14ac:dyDescent="0.3">
      <c r="C69" s="11"/>
      <c r="D69" s="11"/>
      <c r="E69" s="11"/>
      <c r="F69" s="10"/>
      <c r="G69" s="20"/>
      <c r="H69" s="9"/>
      <c r="I69" s="19"/>
      <c r="J69" s="20"/>
      <c r="K69" s="20"/>
      <c r="O69" s="9"/>
    </row>
    <row r="70" spans="3:29" x14ac:dyDescent="0.3">
      <c r="C70" s="11"/>
      <c r="D70" s="11"/>
      <c r="E70" s="11"/>
      <c r="F70" s="10"/>
      <c r="G70" s="20"/>
      <c r="H70" s="9"/>
      <c r="I70" s="19"/>
      <c r="J70" s="20"/>
      <c r="K70" s="20"/>
      <c r="O70" s="9"/>
    </row>
    <row r="71" spans="3:29" x14ac:dyDescent="0.3">
      <c r="C71" s="11"/>
      <c r="D71" s="11"/>
      <c r="E71" s="11"/>
      <c r="F71" s="10"/>
      <c r="G71" s="20"/>
      <c r="H71" s="9"/>
      <c r="I71" s="19"/>
      <c r="J71" s="20"/>
      <c r="K71" s="20"/>
      <c r="O71" s="9"/>
    </row>
    <row r="72" spans="3:29" x14ac:dyDescent="0.3">
      <c r="C72" s="11"/>
      <c r="D72" s="11"/>
      <c r="E72" s="11"/>
      <c r="F72" s="10"/>
      <c r="G72" s="20"/>
      <c r="H72" s="9"/>
      <c r="I72" s="19"/>
      <c r="J72" s="20"/>
      <c r="K72" s="20"/>
      <c r="O72" s="9"/>
    </row>
    <row r="73" spans="3:29" x14ac:dyDescent="0.3">
      <c r="C73" s="11"/>
      <c r="D73" s="11"/>
      <c r="E73" s="11"/>
      <c r="F73" s="10"/>
      <c r="G73" s="20"/>
      <c r="H73" s="9"/>
      <c r="I73" s="19"/>
      <c r="J73" s="20"/>
      <c r="K73" s="20"/>
      <c r="O73" s="9"/>
    </row>
    <row r="74" spans="3:29" x14ac:dyDescent="0.3">
      <c r="C74" s="11"/>
      <c r="D74" s="11"/>
      <c r="E74" s="11"/>
      <c r="F74" s="10"/>
      <c r="G74" s="10"/>
      <c r="H74" s="9"/>
      <c r="I74" s="9"/>
      <c r="J74" s="10"/>
      <c r="K74" s="10"/>
      <c r="O74" s="9"/>
    </row>
    <row r="75" spans="3:29" x14ac:dyDescent="0.3">
      <c r="C75" s="11"/>
      <c r="D75" s="11"/>
      <c r="E75" s="11"/>
      <c r="F75" s="10"/>
      <c r="G75" s="10"/>
      <c r="H75" s="9"/>
      <c r="I75" s="9"/>
      <c r="J75" s="10"/>
      <c r="K75" s="10"/>
      <c r="O75" s="9"/>
    </row>
    <row r="76" spans="3:29" x14ac:dyDescent="0.3">
      <c r="C76" s="11"/>
      <c r="D76" s="11"/>
      <c r="E76" s="11"/>
      <c r="F76" s="10"/>
      <c r="G76" s="10"/>
      <c r="H76" s="9"/>
      <c r="I76" s="9"/>
      <c r="J76" s="10"/>
      <c r="K76" s="10"/>
      <c r="O76" s="9"/>
    </row>
    <row r="77" spans="3:29" x14ac:dyDescent="0.3">
      <c r="C77" s="11"/>
      <c r="D77" s="11"/>
      <c r="E77" s="11"/>
      <c r="F77" s="10"/>
      <c r="G77" s="10"/>
      <c r="H77" s="9"/>
      <c r="I77" s="9"/>
      <c r="J77" s="10"/>
      <c r="K77" s="10"/>
      <c r="O77" s="9"/>
    </row>
    <row r="78" spans="3:29" x14ac:dyDescent="0.3">
      <c r="C78" s="11"/>
      <c r="D78" s="11"/>
      <c r="E78" s="11"/>
      <c r="F78" s="10"/>
      <c r="G78" s="10"/>
      <c r="H78" s="9"/>
      <c r="I78" s="9"/>
      <c r="J78" s="10"/>
      <c r="K78" s="10"/>
      <c r="O78" s="9"/>
    </row>
    <row r="79" spans="3:29" x14ac:dyDescent="0.3">
      <c r="C79" s="11"/>
      <c r="D79" s="11"/>
      <c r="E79" s="11"/>
      <c r="F79" s="10"/>
      <c r="G79" s="10"/>
      <c r="H79" s="9"/>
      <c r="I79" s="9"/>
      <c r="J79" s="10"/>
      <c r="K79" s="10"/>
      <c r="O79" s="9"/>
    </row>
    <row r="80" spans="3:29" x14ac:dyDescent="0.3">
      <c r="C80" s="11"/>
      <c r="D80" s="11"/>
      <c r="E80" s="11"/>
      <c r="F80" s="10"/>
      <c r="G80" s="10"/>
      <c r="H80" s="9"/>
      <c r="I80" s="9"/>
      <c r="J80" s="10"/>
      <c r="K80" s="10"/>
      <c r="O80" s="9"/>
    </row>
    <row r="81" spans="3:15" x14ac:dyDescent="0.3">
      <c r="C81" s="11"/>
      <c r="D81" s="11"/>
      <c r="E81" s="11"/>
      <c r="F81" s="10"/>
      <c r="G81" s="10"/>
      <c r="H81" s="9"/>
      <c r="I81" s="9"/>
      <c r="J81" s="10"/>
      <c r="K81" s="10"/>
      <c r="O81" s="9"/>
    </row>
    <row r="82" spans="3:15" x14ac:dyDescent="0.3">
      <c r="C82" s="11"/>
      <c r="D82" s="11"/>
      <c r="E82" s="11"/>
      <c r="F82" s="10"/>
      <c r="G82" s="10"/>
      <c r="H82" s="9"/>
      <c r="I82" s="9"/>
      <c r="J82" s="10"/>
      <c r="K82" s="10"/>
      <c r="O82" s="9"/>
    </row>
    <row r="83" spans="3:15" x14ac:dyDescent="0.3">
      <c r="C83" s="11"/>
      <c r="D83" s="11"/>
      <c r="E83" s="11"/>
      <c r="F83" s="10"/>
      <c r="G83" s="10"/>
      <c r="H83" s="9"/>
      <c r="I83" s="9"/>
      <c r="J83" s="10"/>
      <c r="K83" s="10"/>
      <c r="O83" s="9"/>
    </row>
    <row r="84" spans="3:15" x14ac:dyDescent="0.3">
      <c r="C84" s="11"/>
      <c r="D84" s="11"/>
      <c r="E84" s="11"/>
      <c r="F84" s="10"/>
      <c r="G84" s="10"/>
      <c r="H84" s="9"/>
      <c r="I84" s="9"/>
      <c r="J84" s="10"/>
      <c r="K84" s="10"/>
      <c r="O84" s="9"/>
    </row>
    <row r="85" spans="3:15" x14ac:dyDescent="0.3">
      <c r="C85" s="11"/>
      <c r="D85" s="11"/>
      <c r="E85" s="11"/>
      <c r="F85" s="10"/>
      <c r="G85" s="10"/>
      <c r="H85" s="9"/>
      <c r="I85" s="9"/>
      <c r="J85" s="10"/>
      <c r="K85" s="10"/>
      <c r="O85" s="9"/>
    </row>
    <row r="86" spans="3:15" x14ac:dyDescent="0.3">
      <c r="C86" s="11"/>
      <c r="D86" s="11"/>
      <c r="E86" s="11"/>
      <c r="F86" s="10"/>
      <c r="G86" s="10"/>
      <c r="H86" s="9"/>
      <c r="I86" s="9"/>
      <c r="J86" s="10"/>
      <c r="K86" s="10"/>
      <c r="O86" s="9"/>
    </row>
    <row r="87" spans="3:15" x14ac:dyDescent="0.3">
      <c r="C87" s="11"/>
      <c r="D87" s="11"/>
      <c r="E87" s="11"/>
      <c r="F87" s="10"/>
      <c r="G87" s="10"/>
      <c r="H87" s="9"/>
      <c r="I87" s="9"/>
      <c r="J87" s="10"/>
      <c r="K87" s="10"/>
      <c r="O87" s="9"/>
    </row>
    <row r="88" spans="3:15" x14ac:dyDescent="0.3">
      <c r="C88" s="11"/>
      <c r="D88" s="11"/>
      <c r="E88" s="11"/>
      <c r="F88" s="10"/>
      <c r="G88" s="10"/>
      <c r="H88" s="9"/>
      <c r="I88" s="9"/>
      <c r="J88" s="10"/>
      <c r="K88" s="10"/>
      <c r="O88" s="9"/>
    </row>
    <row r="90" spans="3:15" x14ac:dyDescent="0.3">
      <c r="E90" s="3"/>
    </row>
    <row r="91" spans="3:15" x14ac:dyDescent="0.3">
      <c r="E91" s="3"/>
    </row>
    <row r="92" spans="3:15" x14ac:dyDescent="0.3">
      <c r="E92" s="3"/>
    </row>
    <row r="93" spans="3:15" x14ac:dyDescent="0.3">
      <c r="E93" s="3"/>
    </row>
    <row r="94" spans="3:15" x14ac:dyDescent="0.3">
      <c r="E94" s="3"/>
    </row>
    <row r="95" spans="3:15" x14ac:dyDescent="0.3">
      <c r="E95" s="3"/>
    </row>
    <row r="96" spans="3:15" x14ac:dyDescent="0.3">
      <c r="E96" s="3"/>
    </row>
    <row r="97" spans="5:5" x14ac:dyDescent="0.3">
      <c r="E97" s="3"/>
    </row>
    <row r="98" spans="5:5" x14ac:dyDescent="0.3">
      <c r="E98" s="3"/>
    </row>
    <row r="99" spans="5:5" x14ac:dyDescent="0.3">
      <c r="E99" s="3"/>
    </row>
    <row r="100" spans="5:5" x14ac:dyDescent="0.3">
      <c r="E100" s="3"/>
    </row>
    <row r="101" spans="5:5" x14ac:dyDescent="0.3">
      <c r="E101" s="3"/>
    </row>
    <row r="102" spans="5:5" x14ac:dyDescent="0.3">
      <c r="E102" s="3"/>
    </row>
    <row r="103" spans="5:5" x14ac:dyDescent="0.3">
      <c r="E103" s="3"/>
    </row>
    <row r="104" spans="5:5" x14ac:dyDescent="0.3">
      <c r="E104" s="3"/>
    </row>
    <row r="105" spans="5:5" x14ac:dyDescent="0.3">
      <c r="E105" s="3"/>
    </row>
    <row r="106" spans="5:5" x14ac:dyDescent="0.3">
      <c r="E106" s="3"/>
    </row>
    <row r="107" spans="5:5" x14ac:dyDescent="0.3">
      <c r="E107" s="3"/>
    </row>
    <row r="108" spans="5:5" x14ac:dyDescent="0.3">
      <c r="E108" s="3"/>
    </row>
    <row r="109" spans="5:5" x14ac:dyDescent="0.3">
      <c r="E109" s="3"/>
    </row>
    <row r="110" spans="5:5" x14ac:dyDescent="0.3">
      <c r="E110" s="3"/>
    </row>
    <row r="111" spans="5:5" x14ac:dyDescent="0.3">
      <c r="E111" s="3"/>
    </row>
    <row r="112" spans="5:5" x14ac:dyDescent="0.3">
      <c r="E112" s="3"/>
    </row>
    <row r="113" spans="5:5" x14ac:dyDescent="0.3">
      <c r="E113" s="3"/>
    </row>
    <row r="114" spans="5:5" x14ac:dyDescent="0.3">
      <c r="E114" s="3"/>
    </row>
    <row r="115" spans="5:5" x14ac:dyDescent="0.3">
      <c r="E115" s="3"/>
    </row>
    <row r="116" spans="5:5" x14ac:dyDescent="0.3">
      <c r="E116" s="3"/>
    </row>
    <row r="117" spans="5:5" x14ac:dyDescent="0.3">
      <c r="E117" s="3"/>
    </row>
    <row r="118" spans="5:5" x14ac:dyDescent="0.3">
      <c r="E118" s="3"/>
    </row>
    <row r="119" spans="5:5" x14ac:dyDescent="0.3">
      <c r="E119" s="3"/>
    </row>
    <row r="120" spans="5:5" x14ac:dyDescent="0.3">
      <c r="E120" s="3"/>
    </row>
    <row r="121" spans="5:5" x14ac:dyDescent="0.3">
      <c r="E121" s="3"/>
    </row>
    <row r="122" spans="5:5" x14ac:dyDescent="0.3">
      <c r="E122" s="3"/>
    </row>
    <row r="123" spans="5:5" x14ac:dyDescent="0.3">
      <c r="E123" s="3"/>
    </row>
    <row r="124" spans="5:5" x14ac:dyDescent="0.3">
      <c r="E124" s="3"/>
    </row>
    <row r="125" spans="5:5" x14ac:dyDescent="0.3">
      <c r="E125" s="3"/>
    </row>
    <row r="126" spans="5:5" x14ac:dyDescent="0.3">
      <c r="E126" s="3"/>
    </row>
    <row r="127" spans="5:5" x14ac:dyDescent="0.3">
      <c r="E127" s="3"/>
    </row>
    <row r="128" spans="5:5" x14ac:dyDescent="0.3">
      <c r="E128" s="3"/>
    </row>
    <row r="129" spans="5:5" x14ac:dyDescent="0.3">
      <c r="E129" s="3"/>
    </row>
    <row r="130" spans="5:5" x14ac:dyDescent="0.3">
      <c r="E130" s="3"/>
    </row>
    <row r="131" spans="5:5" x14ac:dyDescent="0.3">
      <c r="E131" s="3"/>
    </row>
    <row r="132" spans="5:5" x14ac:dyDescent="0.3">
      <c r="E132" s="3"/>
    </row>
    <row r="133" spans="5:5" x14ac:dyDescent="0.3">
      <c r="E133" s="3"/>
    </row>
    <row r="134" spans="5:5" x14ac:dyDescent="0.3">
      <c r="E134" s="3"/>
    </row>
    <row r="135" spans="5:5" x14ac:dyDescent="0.3">
      <c r="E135" s="3"/>
    </row>
    <row r="136" spans="5:5" x14ac:dyDescent="0.3">
      <c r="E136" s="3"/>
    </row>
  </sheetData>
  <mergeCells count="1">
    <mergeCell ref="H4:K4"/>
  </mergeCells>
  <pageMargins left="0.7" right="0.7" top="0.75" bottom="0.75" header="0.3" footer="0.3"/>
  <pageSetup orientation="portrait" horizontalDpi="0" verticalDpi="0"/>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1B558-CB63-1041-92D8-2C5545B9A63F}">
  <dimension ref="A4:E30"/>
  <sheetViews>
    <sheetView workbookViewId="0">
      <selection activeCell="B28" sqref="B28"/>
    </sheetView>
  </sheetViews>
  <sheetFormatPr baseColWidth="10" defaultRowHeight="16" x14ac:dyDescent="0.2"/>
  <cols>
    <col min="1" max="1" width="28.5" bestFit="1" customWidth="1"/>
    <col min="2" max="2" width="26.6640625" bestFit="1" customWidth="1"/>
    <col min="3" max="3" width="13" bestFit="1" customWidth="1"/>
    <col min="4" max="4" width="15.5" customWidth="1"/>
    <col min="5" max="5" width="11.83203125" bestFit="1" customWidth="1"/>
  </cols>
  <sheetData>
    <row r="4" spans="1:5" ht="22" x14ac:dyDescent="0.3">
      <c r="A4" s="97" t="s">
        <v>25</v>
      </c>
      <c r="B4" s="97" t="s">
        <v>13</v>
      </c>
      <c r="C4" s="97" t="s">
        <v>14</v>
      </c>
      <c r="D4" s="97" t="s">
        <v>3975</v>
      </c>
      <c r="E4" s="97" t="s">
        <v>15</v>
      </c>
    </row>
    <row r="5" spans="1:5" ht="22" x14ac:dyDescent="0.3">
      <c r="A5" s="128" t="s">
        <v>1346</v>
      </c>
      <c r="B5" s="127">
        <v>1696415</v>
      </c>
      <c r="C5" s="127">
        <v>22190596</v>
      </c>
      <c r="D5" s="127">
        <v>13.080877025963575</v>
      </c>
      <c r="E5" s="127">
        <v>35455</v>
      </c>
    </row>
    <row r="6" spans="1:5" ht="22" x14ac:dyDescent="0.3">
      <c r="A6" s="128" t="s">
        <v>1</v>
      </c>
      <c r="B6" s="127">
        <v>18268991</v>
      </c>
      <c r="C6" s="127">
        <v>253780418</v>
      </c>
      <c r="D6" s="127">
        <v>13.891320982094742</v>
      </c>
      <c r="E6" s="127">
        <v>612308</v>
      </c>
    </row>
    <row r="7" spans="1:5" ht="22" x14ac:dyDescent="0.3">
      <c r="A7" s="128" t="s">
        <v>1461</v>
      </c>
      <c r="B7" s="127">
        <v>33777768</v>
      </c>
      <c r="C7" s="127">
        <v>274478882</v>
      </c>
      <c r="D7" s="127">
        <v>8.1260218851642296</v>
      </c>
      <c r="E7" s="127">
        <v>1057783</v>
      </c>
    </row>
    <row r="8" spans="1:5" ht="22" x14ac:dyDescent="0.3">
      <c r="A8" s="128" t="s">
        <v>1391</v>
      </c>
      <c r="B8" s="127">
        <v>8482737</v>
      </c>
      <c r="C8" s="127">
        <v>23585644</v>
      </c>
      <c r="D8" s="127">
        <v>2.7804285338564663</v>
      </c>
      <c r="E8" s="127">
        <v>8421430</v>
      </c>
    </row>
    <row r="9" spans="1:5" ht="22" x14ac:dyDescent="0.3">
      <c r="A9" s="128" t="s">
        <v>1440</v>
      </c>
      <c r="B9" s="127">
        <v>5812931</v>
      </c>
      <c r="C9" s="127">
        <v>54238524</v>
      </c>
      <c r="D9" s="127">
        <v>9.3306670937604448</v>
      </c>
      <c r="E9" s="127">
        <v>3504033</v>
      </c>
    </row>
    <row r="10" spans="1:5" ht="22" x14ac:dyDescent="0.3">
      <c r="A10" s="128" t="s">
        <v>1450</v>
      </c>
      <c r="B10" s="127">
        <v>5867547</v>
      </c>
      <c r="C10" s="127">
        <v>61171040</v>
      </c>
      <c r="D10" s="127">
        <v>10.425317428220003</v>
      </c>
      <c r="E10" s="127">
        <v>959344</v>
      </c>
    </row>
    <row r="11" spans="1:5" ht="22" x14ac:dyDescent="0.3">
      <c r="A11" s="128" t="s">
        <v>1455</v>
      </c>
      <c r="B11" s="127">
        <v>8833229</v>
      </c>
      <c r="C11" s="127">
        <v>105882456</v>
      </c>
      <c r="D11" s="127">
        <v>11.986834712425093</v>
      </c>
      <c r="E11" s="127">
        <v>2126384</v>
      </c>
    </row>
    <row r="12" spans="1:5" ht="22" x14ac:dyDescent="0.3">
      <c r="A12" s="128" t="s">
        <v>1409</v>
      </c>
      <c r="B12" s="127">
        <v>3411795</v>
      </c>
      <c r="C12" s="127">
        <v>26854686</v>
      </c>
      <c r="D12" s="127">
        <v>7.8711311787490166</v>
      </c>
      <c r="E12" s="127">
        <v>2487058</v>
      </c>
    </row>
    <row r="13" spans="1:5" ht="22" x14ac:dyDescent="0.3">
      <c r="A13" s="128" t="s">
        <v>1449</v>
      </c>
      <c r="B13" s="127">
        <v>4799646</v>
      </c>
      <c r="C13" s="127">
        <v>63844012</v>
      </c>
      <c r="D13" s="127">
        <v>13.301816842325454</v>
      </c>
      <c r="E13" s="127">
        <v>1076572</v>
      </c>
    </row>
    <row r="14" spans="1:5" ht="22" x14ac:dyDescent="0.3">
      <c r="A14" s="128" t="s">
        <v>1437</v>
      </c>
      <c r="B14" s="127">
        <v>2981204</v>
      </c>
      <c r="C14" s="127">
        <v>42832752</v>
      </c>
      <c r="D14" s="127">
        <v>14.367601814568879</v>
      </c>
      <c r="E14" s="127">
        <v>385104</v>
      </c>
    </row>
    <row r="15" spans="1:5" ht="22" x14ac:dyDescent="0.3">
      <c r="A15" s="128" t="s">
        <v>1408</v>
      </c>
      <c r="B15" s="127">
        <v>4063587</v>
      </c>
      <c r="C15" s="127">
        <v>17652554</v>
      </c>
      <c r="D15" s="127">
        <v>4.344081718934528</v>
      </c>
      <c r="E15" s="127">
        <v>4059644</v>
      </c>
    </row>
    <row r="16" spans="1:5" ht="22" x14ac:dyDescent="0.3">
      <c r="A16" s="128" t="s">
        <v>1436</v>
      </c>
      <c r="B16" s="127">
        <v>3790750</v>
      </c>
      <c r="C16" s="127">
        <v>44273578</v>
      </c>
      <c r="D16" s="127">
        <v>11.679371628305745</v>
      </c>
      <c r="E16" s="127">
        <v>866662</v>
      </c>
    </row>
    <row r="17" spans="1:5" ht="22" x14ac:dyDescent="0.3">
      <c r="A17" s="128" t="s">
        <v>1433</v>
      </c>
      <c r="B17" s="127">
        <v>2646291</v>
      </c>
      <c r="C17" s="127">
        <v>42433496</v>
      </c>
      <c r="D17" s="127">
        <f>Table2123242526[[#This Row],[E]]/Table2123242526[[#This Row],[V]]</f>
        <v>18.945078267367318</v>
      </c>
      <c r="E17" s="127">
        <v>850681</v>
      </c>
    </row>
    <row r="18" spans="1:5" ht="22" x14ac:dyDescent="0.3">
      <c r="A18" s="128" t="s">
        <v>1448</v>
      </c>
      <c r="B18" s="127">
        <v>5267977</v>
      </c>
      <c r="C18" s="127">
        <v>55363430</v>
      </c>
      <c r="D18" s="127">
        <v>10.509428951569074</v>
      </c>
      <c r="E18" s="127">
        <v>590528</v>
      </c>
    </row>
    <row r="19" spans="1:5" ht="22" x14ac:dyDescent="0.3">
      <c r="A19" s="128" t="s">
        <v>1431</v>
      </c>
      <c r="B19" s="127">
        <v>4579069</v>
      </c>
      <c r="C19" s="127">
        <v>12530086</v>
      </c>
      <c r="D19" s="127">
        <v>2.7363828760824527</v>
      </c>
      <c r="E19" s="127">
        <v>4043326</v>
      </c>
    </row>
    <row r="20" spans="1:5" ht="22" x14ac:dyDescent="0.3">
      <c r="A20" s="128" t="s">
        <v>1423</v>
      </c>
      <c r="B20" s="127">
        <v>7570051</v>
      </c>
      <c r="C20" s="127">
        <v>43881980</v>
      </c>
      <c r="D20" s="127">
        <v>5.7967878948239582</v>
      </c>
      <c r="E20" s="127">
        <v>5669991</v>
      </c>
    </row>
    <row r="21" spans="1:5" ht="22" x14ac:dyDescent="0.3">
      <c r="A21" s="128" t="s">
        <v>1411</v>
      </c>
      <c r="B21" s="127">
        <v>3496954</v>
      </c>
      <c r="C21" s="127">
        <v>27305086</v>
      </c>
      <c r="D21" s="127">
        <v>7.808248550023821</v>
      </c>
      <c r="E21" s="127">
        <v>2187803</v>
      </c>
    </row>
    <row r="22" spans="1:5" ht="22" x14ac:dyDescent="0.3">
      <c r="A22" s="128" t="s">
        <v>1425</v>
      </c>
      <c r="B22" s="127">
        <v>5005932</v>
      </c>
      <c r="C22" s="127">
        <v>33083838</v>
      </c>
      <c r="D22" s="127">
        <v>6.6089267692809255</v>
      </c>
      <c r="E22" s="127">
        <v>1208022</v>
      </c>
    </row>
    <row r="23" spans="1:5" ht="22" x14ac:dyDescent="0.3">
      <c r="A23" s="129" t="s">
        <v>3912</v>
      </c>
      <c r="B23" s="127">
        <v>4033138</v>
      </c>
      <c r="C23" s="127">
        <v>55866126</v>
      </c>
      <c r="D23" s="127">
        <v>13.851776457934244</v>
      </c>
      <c r="E23" s="127">
        <v>2651</v>
      </c>
    </row>
    <row r="24" spans="1:5" ht="22" x14ac:dyDescent="0.3">
      <c r="A24" s="129" t="s">
        <v>3919</v>
      </c>
      <c r="B24" s="127">
        <v>2937612</v>
      </c>
      <c r="C24" s="127">
        <v>41919708</v>
      </c>
      <c r="D24" s="127">
        <v>14.269994812112696</v>
      </c>
      <c r="E24" s="127">
        <v>4356</v>
      </c>
    </row>
    <row r="25" spans="1:5" ht="22" x14ac:dyDescent="0.3">
      <c r="A25" s="129" t="s">
        <v>18</v>
      </c>
      <c r="B25" s="127">
        <v>27665730</v>
      </c>
      <c r="C25" s="127">
        <v>281227494</v>
      </c>
      <c r="D25" s="127">
        <v>10.165193327629526</v>
      </c>
      <c r="E25" s="127">
        <v>11571953</v>
      </c>
    </row>
    <row r="26" spans="1:5" ht="22" x14ac:dyDescent="0.3">
      <c r="A26" s="129" t="s">
        <v>1438</v>
      </c>
      <c r="B26" s="127">
        <v>7891015</v>
      </c>
      <c r="C26" s="127">
        <v>127830770</v>
      </c>
      <c r="D26" s="127">
        <f>Table2123242526[[#This Row],[E]]/Table2123242526[[#This Row],[V]]</f>
        <v>11.679371628305745</v>
      </c>
      <c r="E26" s="127">
        <v>3636005</v>
      </c>
    </row>
    <row r="27" spans="1:5" ht="22" x14ac:dyDescent="0.3">
      <c r="A27" s="129" t="s">
        <v>1434</v>
      </c>
      <c r="B27" s="127">
        <v>7825669</v>
      </c>
      <c r="C27" s="127">
        <v>124492028</v>
      </c>
      <c r="D27" s="127">
        <f>Table2123242526[[#This Row],[E]]/Table2123242526[[#This Row],[V]]</f>
        <v>16.199534533897097</v>
      </c>
      <c r="E27" s="127">
        <v>204282</v>
      </c>
    </row>
    <row r="28" spans="1:5" ht="22" x14ac:dyDescent="0.3">
      <c r="A28" s="129"/>
      <c r="B28" s="127"/>
      <c r="C28" s="127"/>
      <c r="D28" s="127"/>
      <c r="E28" s="127"/>
    </row>
    <row r="29" spans="1:5" ht="22" x14ac:dyDescent="0.3">
      <c r="A29" s="128"/>
      <c r="B29" s="127"/>
      <c r="C29" s="127"/>
      <c r="D29" s="127"/>
      <c r="E29" s="127"/>
    </row>
    <row r="30" spans="1:5" ht="22" x14ac:dyDescent="0.3">
      <c r="A30" s="128"/>
      <c r="B30" s="127"/>
      <c r="C30" s="127"/>
      <c r="D30" s="127"/>
      <c r="E30" s="127"/>
    </row>
  </sheetData>
  <phoneticPr fontId="5" type="noConversion"/>
  <pageMargins left="0.7" right="0.7" top="0.75" bottom="0.75" header="0.3" footer="0.3"/>
  <pageSetup orientation="portrait" horizontalDpi="0" verticalDpi="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D2386-67EB-F941-BA5E-416188AC71BD}">
  <sheetPr codeName="Sheet8"/>
  <dimension ref="C1:AM1326"/>
  <sheetViews>
    <sheetView topLeftCell="Y1" workbookViewId="0">
      <selection activeCell="AK7" sqref="AK7:AM11"/>
    </sheetView>
  </sheetViews>
  <sheetFormatPr baseColWidth="10" defaultRowHeight="22" x14ac:dyDescent="0.3"/>
  <cols>
    <col min="3" max="3" width="10.83203125" style="6"/>
    <col min="4" max="4" width="37" style="6" customWidth="1"/>
    <col min="5" max="5" width="10.83203125" style="6"/>
    <col min="6" max="6" width="11.1640625" style="6" bestFit="1" customWidth="1"/>
    <col min="7" max="7" width="12.83203125" style="6" bestFit="1" customWidth="1"/>
    <col min="8" max="8" width="11" style="6" bestFit="1" customWidth="1"/>
    <col min="9" max="9" width="38.33203125" style="6" customWidth="1"/>
    <col min="24" max="24" width="34.83203125" style="9" bestFit="1" customWidth="1"/>
    <col min="25" max="25" width="16.83203125" style="9" customWidth="1"/>
    <col min="26" max="26" width="16.6640625" style="9" bestFit="1" customWidth="1"/>
    <col min="27" max="27" width="16.6640625" style="9" customWidth="1"/>
    <col min="28" max="28" width="13.1640625" style="9" customWidth="1"/>
    <col min="29" max="29" width="13.5" style="9" customWidth="1"/>
  </cols>
  <sheetData>
    <row r="1" spans="3:39" ht="23" x14ac:dyDescent="0.3">
      <c r="C1" s="8" t="s">
        <v>19</v>
      </c>
      <c r="D1" s="8" t="s">
        <v>20</v>
      </c>
      <c r="E1" s="8" t="s">
        <v>21</v>
      </c>
      <c r="F1" s="8" t="s">
        <v>22</v>
      </c>
      <c r="G1" s="8" t="s">
        <v>23</v>
      </c>
      <c r="H1" s="8" t="s">
        <v>3899</v>
      </c>
      <c r="I1" s="8" t="s">
        <v>3898</v>
      </c>
      <c r="J1" s="8" t="s">
        <v>24</v>
      </c>
      <c r="X1" s="98" t="s">
        <v>25</v>
      </c>
      <c r="Y1" s="97" t="s">
        <v>13</v>
      </c>
      <c r="Z1" s="97" t="s">
        <v>14</v>
      </c>
      <c r="AA1" s="97" t="s">
        <v>3975</v>
      </c>
      <c r="AB1" s="97" t="s">
        <v>15</v>
      </c>
      <c r="AC1" s="96" t="s">
        <v>3976</v>
      </c>
      <c r="AE1" s="35"/>
    </row>
    <row r="2" spans="3:39" ht="23" hidden="1" x14ac:dyDescent="0.3">
      <c r="C2" s="6" t="s">
        <v>1795</v>
      </c>
      <c r="D2" s="6" t="s">
        <v>69</v>
      </c>
      <c r="E2" s="6" t="s">
        <v>70</v>
      </c>
      <c r="F2" s="7">
        <v>105153952</v>
      </c>
      <c r="G2" s="7">
        <v>3301876564</v>
      </c>
      <c r="H2" s="6">
        <f t="shared" ref="H2:H65" si="0">G2/F2</f>
        <v>31.400403895423732</v>
      </c>
      <c r="I2" s="3" t="s">
        <v>1466</v>
      </c>
      <c r="J2" s="6" t="str">
        <f t="shared" ref="J2:J65" si="1">"http://konect.cc/files/download.tsv."&amp;I2&amp;".tar.bz2"</f>
        <v>http://konect.cc/files/download.tsv.dimacs10-uk-2007-05.tar.bz2</v>
      </c>
      <c r="L2" s="5"/>
      <c r="Q2" t="s">
        <v>3962</v>
      </c>
      <c r="R2" t="s">
        <v>3961</v>
      </c>
      <c r="X2" s="9" t="s">
        <v>1405</v>
      </c>
      <c r="Y2" s="38">
        <v>2093449</v>
      </c>
      <c r="Z2" s="38">
        <v>52098498</v>
      </c>
      <c r="AA2" s="38">
        <f>Table4[[#This Row],[E]]/Table4[[#This Row],[V]]</f>
        <v>24.886442421095524</v>
      </c>
      <c r="AB2" s="38">
        <v>1140084</v>
      </c>
      <c r="AC2" s="38">
        <v>2</v>
      </c>
      <c r="AE2" s="35"/>
    </row>
    <row r="3" spans="3:39" ht="23" hidden="1" x14ac:dyDescent="0.3">
      <c r="C3" s="6" t="s">
        <v>2243</v>
      </c>
      <c r="D3" s="6" t="s">
        <v>31</v>
      </c>
      <c r="E3" s="6" t="s">
        <v>68</v>
      </c>
      <c r="F3" s="7">
        <v>68349466</v>
      </c>
      <c r="G3" s="7">
        <v>2586147869</v>
      </c>
      <c r="H3" s="6">
        <f t="shared" si="0"/>
        <v>37.837133489821269</v>
      </c>
      <c r="I3" s="3" t="s">
        <v>1465</v>
      </c>
      <c r="J3" s="6" t="str">
        <f t="shared" si="1"/>
        <v>http://konect.cc/files/download.tsv.friendster.tar.bz2</v>
      </c>
      <c r="L3" s="5"/>
      <c r="X3" s="11" t="s">
        <v>1447</v>
      </c>
      <c r="Y3" s="38">
        <v>7489073</v>
      </c>
      <c r="Z3" s="38">
        <v>224610814</v>
      </c>
      <c r="AA3" s="38">
        <f>Table4[[#This Row],[E]]/Table4[[#This Row],[V]]</f>
        <v>29.991804593171945</v>
      </c>
      <c r="AB3" s="38">
        <v>1053720</v>
      </c>
      <c r="AC3" s="38">
        <v>2</v>
      </c>
      <c r="AE3" s="35"/>
    </row>
    <row r="4" spans="3:39" ht="23" hidden="1" x14ac:dyDescent="0.3">
      <c r="C4" s="6" t="s">
        <v>3875</v>
      </c>
      <c r="D4" s="6" t="s">
        <v>67</v>
      </c>
      <c r="E4" s="6" t="s">
        <v>68</v>
      </c>
      <c r="F4" s="7">
        <v>52579682</v>
      </c>
      <c r="G4" s="7">
        <v>1963263821</v>
      </c>
      <c r="H4" s="6">
        <f t="shared" si="0"/>
        <v>37.338830253861175</v>
      </c>
      <c r="I4" s="3" t="s">
        <v>1464</v>
      </c>
      <c r="J4" s="6" t="str">
        <f t="shared" si="1"/>
        <v>http://konect.cc/files/download.tsv.twitter_mpi.tar.bz2</v>
      </c>
      <c r="L4" s="5"/>
      <c r="X4" s="9" t="s">
        <v>1446</v>
      </c>
      <c r="Y4" s="38">
        <v>6100692</v>
      </c>
      <c r="Z4" s="38">
        <v>199729748</v>
      </c>
      <c r="AA4" s="38">
        <f>Table4[[#This Row],[E]]/Table4[[#This Row],[V]]</f>
        <v>32.738867656324892</v>
      </c>
      <c r="AB4" s="38">
        <v>2732817</v>
      </c>
      <c r="AC4" s="38">
        <v>2</v>
      </c>
      <c r="AE4" s="35"/>
    </row>
    <row r="5" spans="3:39" ht="23" hidden="1" x14ac:dyDescent="0.3">
      <c r="C5" s="6" t="s">
        <v>3873</v>
      </c>
      <c r="D5" s="6" t="s">
        <v>63</v>
      </c>
      <c r="E5" s="6" t="s">
        <v>64</v>
      </c>
      <c r="F5" s="7">
        <v>50757442</v>
      </c>
      <c r="G5" s="7">
        <v>572591272</v>
      </c>
      <c r="H5" s="6">
        <f t="shared" si="0"/>
        <v>11.280932400021262</v>
      </c>
      <c r="I5" s="3" t="s">
        <v>17</v>
      </c>
      <c r="J5" s="6" t="str">
        <f t="shared" si="1"/>
        <v>http://konect.cc/files/download.tsv.edit-enwiki.tar.bz2</v>
      </c>
      <c r="L5" s="5"/>
      <c r="X5" s="9" t="s">
        <v>3915</v>
      </c>
      <c r="Y5" s="38">
        <v>25921548</v>
      </c>
      <c r="Z5" s="38">
        <v>1086367222</v>
      </c>
      <c r="AA5" s="38">
        <f>Table4[[#This Row],[E]]/Table4[[#This Row],[V]]</f>
        <v>41.909812716431901</v>
      </c>
      <c r="AB5" s="38">
        <v>4271341</v>
      </c>
      <c r="AC5" s="38">
        <v>2</v>
      </c>
      <c r="AE5" s="35"/>
    </row>
    <row r="6" spans="3:39" ht="23" x14ac:dyDescent="0.3">
      <c r="C6" s="6" t="s">
        <v>3874</v>
      </c>
      <c r="D6" s="6" t="s">
        <v>65</v>
      </c>
      <c r="E6" s="6" t="s">
        <v>66</v>
      </c>
      <c r="F6" s="7">
        <v>41652230</v>
      </c>
      <c r="G6" s="7">
        <v>1468365182</v>
      </c>
      <c r="H6" s="6">
        <f t="shared" si="0"/>
        <v>35.252978820101589</v>
      </c>
      <c r="I6" s="3" t="s">
        <v>1463</v>
      </c>
      <c r="J6" s="6" t="str">
        <f t="shared" si="1"/>
        <v>http://konect.cc/files/download.tsv.twitter.tar.bz2</v>
      </c>
      <c r="L6" s="5"/>
      <c r="X6" s="11" t="s">
        <v>1431</v>
      </c>
      <c r="Y6" s="103">
        <v>4579069</v>
      </c>
      <c r="Z6" s="103">
        <v>12530086</v>
      </c>
      <c r="AA6" s="103">
        <f>Table4[[#This Row],[E]]/Table4[[#This Row],[V]]</f>
        <v>2.7363828760824527</v>
      </c>
      <c r="AB6" s="103">
        <v>4043326</v>
      </c>
      <c r="AC6" s="103">
        <v>1</v>
      </c>
      <c r="AE6" s="35"/>
    </row>
    <row r="7" spans="3:39" ht="23" x14ac:dyDescent="0.3">
      <c r="C7" s="6" t="s">
        <v>3712</v>
      </c>
      <c r="D7" s="3" t="s">
        <v>46</v>
      </c>
      <c r="E7" s="6" t="s">
        <v>36</v>
      </c>
      <c r="F7" s="7">
        <v>40421974</v>
      </c>
      <c r="G7" s="7">
        <v>140613762</v>
      </c>
      <c r="H7" s="6">
        <f t="shared" si="0"/>
        <v>3.4786465896000034</v>
      </c>
      <c r="I7" s="3" t="s">
        <v>1453</v>
      </c>
      <c r="J7" s="6" t="str">
        <f t="shared" si="1"/>
        <v>http://konect.cc/files/download.tsv.trackers-trackers.tar.bz2</v>
      </c>
      <c r="L7" s="5"/>
      <c r="X7" s="11" t="s">
        <v>1391</v>
      </c>
      <c r="Y7" s="103">
        <v>8482737</v>
      </c>
      <c r="Z7" s="103">
        <v>23585644</v>
      </c>
      <c r="AA7" s="103">
        <f>Table4[[#This Row],[E]]/Table4[[#This Row],[V]]</f>
        <v>2.7804285338564663</v>
      </c>
      <c r="AB7" s="103">
        <v>8421430</v>
      </c>
      <c r="AC7" s="103">
        <v>1</v>
      </c>
      <c r="AE7" s="35"/>
      <c r="AK7" s="47">
        <v>331.87</v>
      </c>
      <c r="AL7" s="140">
        <v>280.97000000000003</v>
      </c>
      <c r="AM7" s="140" t="s">
        <v>4002</v>
      </c>
    </row>
    <row r="8" spans="3:39" ht="23" x14ac:dyDescent="0.3">
      <c r="C8" s="6" t="s">
        <v>3871</v>
      </c>
      <c r="D8" s="6" t="s">
        <v>61</v>
      </c>
      <c r="E8" s="6" t="s">
        <v>60</v>
      </c>
      <c r="F8" s="7">
        <v>38289740</v>
      </c>
      <c r="G8" s="7">
        <v>301183605</v>
      </c>
      <c r="H8" s="6">
        <f t="shared" si="0"/>
        <v>7.8659088570462998</v>
      </c>
      <c r="I8" s="3" t="s">
        <v>1461</v>
      </c>
      <c r="J8" s="6" t="str">
        <f t="shared" si="1"/>
        <v>http://konect.cc/files/download.tsv.delicious-ti.tar.bz2</v>
      </c>
      <c r="L8" s="5"/>
      <c r="X8" s="11" t="s">
        <v>1408</v>
      </c>
      <c r="Y8" s="103">
        <v>4063587</v>
      </c>
      <c r="Z8" s="103">
        <v>17652554</v>
      </c>
      <c r="AA8" s="103">
        <f>Table4[[#This Row],[E]]/Table4[[#This Row],[V]]</f>
        <v>4.344081718934528</v>
      </c>
      <c r="AB8" s="103">
        <v>4059644</v>
      </c>
      <c r="AC8" s="103">
        <v>1</v>
      </c>
      <c r="AE8" s="35"/>
      <c r="AK8" s="47">
        <v>234.39</v>
      </c>
      <c r="AL8" s="140">
        <v>175.57</v>
      </c>
      <c r="AM8" s="140" t="s">
        <v>4006</v>
      </c>
    </row>
    <row r="9" spans="3:39" ht="23" x14ac:dyDescent="0.3">
      <c r="C9" s="6" t="s">
        <v>3872</v>
      </c>
      <c r="D9" s="6" t="s">
        <v>62</v>
      </c>
      <c r="E9" s="6" t="s">
        <v>60</v>
      </c>
      <c r="F9" s="7">
        <v>34611302</v>
      </c>
      <c r="G9" s="7">
        <v>301186579</v>
      </c>
      <c r="H9" s="6">
        <f t="shared" si="0"/>
        <v>8.7019719454645195</v>
      </c>
      <c r="I9" s="3" t="s">
        <v>1462</v>
      </c>
      <c r="J9" s="6" t="str">
        <f t="shared" si="1"/>
        <v>http://konect.cc/files/download.tsv.delicious-ui.tar.bz2</v>
      </c>
      <c r="L9" s="5"/>
      <c r="X9" s="11" t="s">
        <v>1423</v>
      </c>
      <c r="Y9" s="103">
        <v>7570051</v>
      </c>
      <c r="Z9" s="103">
        <v>43881980</v>
      </c>
      <c r="AA9" s="103">
        <f>Table4[[#This Row],[E]]/Table4[[#This Row],[V]]</f>
        <v>5.7967878948239582</v>
      </c>
      <c r="AB9" s="103">
        <v>5669991</v>
      </c>
      <c r="AC9" s="103">
        <v>1</v>
      </c>
      <c r="AE9" s="35"/>
      <c r="AK9" s="47">
        <v>149.72999999999999</v>
      </c>
      <c r="AL9" s="140">
        <v>429.71</v>
      </c>
      <c r="AM9" s="140" t="s">
        <v>4003</v>
      </c>
    </row>
    <row r="10" spans="3:39" ht="23" x14ac:dyDescent="0.3">
      <c r="C10" s="6" t="s">
        <v>3835</v>
      </c>
      <c r="D10" s="3" t="s">
        <v>164</v>
      </c>
      <c r="E10" s="6" t="s">
        <v>98</v>
      </c>
      <c r="F10" s="7">
        <v>23947347</v>
      </c>
      <c r="G10" s="7">
        <v>57708624</v>
      </c>
      <c r="H10" s="6">
        <f t="shared" si="0"/>
        <v>2.4098128281182882</v>
      </c>
      <c r="I10" s="3" t="s">
        <v>1430</v>
      </c>
      <c r="J10" s="6" t="str">
        <f t="shared" si="1"/>
        <v>http://konect.cc/files/download.tsv.dimacs9-USA.tar.bz2</v>
      </c>
      <c r="L10" s="5"/>
      <c r="X10" s="11" t="s">
        <v>1425</v>
      </c>
      <c r="Y10" s="103">
        <v>5005932</v>
      </c>
      <c r="Z10" s="103">
        <v>33083838</v>
      </c>
      <c r="AA10" s="103">
        <f>Table4[[#This Row],[E]]/Table4[[#This Row],[V]]</f>
        <v>6.6089267692809255</v>
      </c>
      <c r="AB10" s="103">
        <v>1208022</v>
      </c>
      <c r="AC10" s="103">
        <v>1</v>
      </c>
      <c r="AE10" s="35"/>
      <c r="AK10" s="47">
        <v>42.43</v>
      </c>
      <c r="AL10" s="140">
        <v>177.48</v>
      </c>
      <c r="AM10" s="140" t="s">
        <v>4004</v>
      </c>
    </row>
    <row r="11" spans="3:39" ht="23" x14ac:dyDescent="0.3">
      <c r="C11" s="6" t="s">
        <v>3866</v>
      </c>
      <c r="D11" s="3" t="s">
        <v>53</v>
      </c>
      <c r="E11" s="6" t="s">
        <v>54</v>
      </c>
      <c r="F11" s="7">
        <v>18483186</v>
      </c>
      <c r="G11" s="7">
        <v>261787258</v>
      </c>
      <c r="H11" s="6">
        <f t="shared" si="0"/>
        <v>14.163535334222141</v>
      </c>
      <c r="I11" s="3" t="s">
        <v>1457</v>
      </c>
      <c r="J11" s="6" t="str">
        <f t="shared" si="1"/>
        <v>http://konect.cc/files/download.tsv.dimacs10-uk-2002.tar.bz2</v>
      </c>
      <c r="L11" s="5"/>
      <c r="X11" s="11" t="s">
        <v>1411</v>
      </c>
      <c r="Y11" s="103">
        <v>3496954</v>
      </c>
      <c r="Z11" s="103">
        <v>27305086</v>
      </c>
      <c r="AA11" s="103">
        <f>Table4[[#This Row],[E]]/Table4[[#This Row],[V]]</f>
        <v>7.808248550023821</v>
      </c>
      <c r="AB11" s="103">
        <v>2187803</v>
      </c>
      <c r="AC11" s="103">
        <v>1</v>
      </c>
      <c r="AE11" s="35"/>
      <c r="AK11" s="47">
        <v>191.64</v>
      </c>
      <c r="AL11" s="140">
        <v>41.58</v>
      </c>
      <c r="AM11" s="140" t="s">
        <v>4005</v>
      </c>
    </row>
    <row r="12" spans="3:39" ht="23" x14ac:dyDescent="0.3">
      <c r="C12" s="6" t="s">
        <v>3863</v>
      </c>
      <c r="D12" s="3" t="s">
        <v>49</v>
      </c>
      <c r="E12" s="6" t="s">
        <v>50</v>
      </c>
      <c r="F12" s="7">
        <v>18268992</v>
      </c>
      <c r="G12" s="7">
        <v>172183984</v>
      </c>
      <c r="H12" s="6">
        <f t="shared" si="0"/>
        <v>9.4249307241472327</v>
      </c>
      <c r="I12" s="3" t="s">
        <v>1</v>
      </c>
      <c r="J12" s="6" t="str">
        <f t="shared" si="1"/>
        <v>http://konect.cc/files/download.tsv.dbpedia-link.tar.bz2</v>
      </c>
      <c r="L12" s="5"/>
      <c r="X12" s="11" t="s">
        <v>1409</v>
      </c>
      <c r="Y12" s="103">
        <v>3411795</v>
      </c>
      <c r="Z12" s="103">
        <v>26854686</v>
      </c>
      <c r="AA12" s="103">
        <f>Table4[[#This Row],[E]]/Table4[[#This Row],[V]]</f>
        <v>7.8711311787490166</v>
      </c>
      <c r="AB12" s="103">
        <v>2487058</v>
      </c>
      <c r="AC12" s="103">
        <v>1</v>
      </c>
      <c r="AE12" s="35"/>
    </row>
    <row r="13" spans="3:39" ht="23" x14ac:dyDescent="0.3">
      <c r="C13" s="6" t="s">
        <v>3250</v>
      </c>
      <c r="D13" s="3" t="s">
        <v>142</v>
      </c>
      <c r="E13" s="6" t="s">
        <v>98</v>
      </c>
      <c r="F13" s="7">
        <v>14081816</v>
      </c>
      <c r="G13" s="7">
        <v>33866826</v>
      </c>
      <c r="H13" s="6">
        <f t="shared" si="0"/>
        <v>2.4050041557140074</v>
      </c>
      <c r="I13" s="3" t="s">
        <v>1410</v>
      </c>
      <c r="J13" s="6" t="str">
        <f t="shared" si="1"/>
        <v>http://konect.cc/files/download.tsv.dimacs9-CTR.tar.bz2</v>
      </c>
      <c r="L13" s="5"/>
      <c r="X13" s="11" t="s">
        <v>1461</v>
      </c>
      <c r="Y13" s="103">
        <v>33777768</v>
      </c>
      <c r="Z13" s="103">
        <v>274478882</v>
      </c>
      <c r="AA13" s="103">
        <f>Table4[[#This Row],[E]]/Table4[[#This Row],[V]]</f>
        <v>8.1260218851642296</v>
      </c>
      <c r="AB13" s="103">
        <v>1057783</v>
      </c>
      <c r="AC13" s="103">
        <v>1</v>
      </c>
      <c r="AE13" s="35"/>
    </row>
    <row r="14" spans="3:39" ht="23" x14ac:dyDescent="0.3">
      <c r="C14" s="6" t="s">
        <v>3869</v>
      </c>
      <c r="D14" s="3" t="s">
        <v>57</v>
      </c>
      <c r="E14" s="6" t="s">
        <v>33</v>
      </c>
      <c r="F14" s="7">
        <v>13593032</v>
      </c>
      <c r="G14" s="7">
        <v>437217424</v>
      </c>
      <c r="H14" s="6">
        <f t="shared" si="0"/>
        <v>32.164819739996197</v>
      </c>
      <c r="I14" s="3" t="s">
        <v>16</v>
      </c>
      <c r="J14" s="6" t="str">
        <f t="shared" si="1"/>
        <v>http://konect.cc/files/download.tsv.wikipedia_link_en.tar.bz2</v>
      </c>
      <c r="L14" s="5"/>
      <c r="X14" s="11" t="s">
        <v>1440</v>
      </c>
      <c r="Y14" s="103">
        <v>5812931</v>
      </c>
      <c r="Z14" s="103">
        <v>54238524</v>
      </c>
      <c r="AA14" s="103">
        <f>Table4[[#This Row],[E]]/Table4[[#This Row],[V]]</f>
        <v>9.3306670937604448</v>
      </c>
      <c r="AB14" s="103">
        <v>3504033</v>
      </c>
      <c r="AC14" s="103">
        <v>1</v>
      </c>
      <c r="AE14" s="35"/>
    </row>
    <row r="15" spans="3:39" ht="23" x14ac:dyDescent="0.3">
      <c r="C15" s="6" t="s">
        <v>3867</v>
      </c>
      <c r="D15" s="6" t="s">
        <v>27</v>
      </c>
      <c r="E15" s="6" t="s">
        <v>36</v>
      </c>
      <c r="F15" s="7">
        <v>11514053</v>
      </c>
      <c r="G15" s="7">
        <v>327037487</v>
      </c>
      <c r="H15" s="6">
        <f t="shared" si="0"/>
        <v>28.403333474320469</v>
      </c>
      <c r="I15" s="3" t="s">
        <v>5</v>
      </c>
      <c r="J15" s="6" t="str">
        <f t="shared" si="1"/>
        <v>http://konect.cc/files/download.tsv.orkut-groupmemberships.tar.bz2</v>
      </c>
      <c r="L15" s="5"/>
      <c r="X15" s="9" t="s">
        <v>18</v>
      </c>
      <c r="Y15" s="103">
        <v>27665730</v>
      </c>
      <c r="Z15" s="103">
        <v>281227494</v>
      </c>
      <c r="AA15" s="103">
        <f>Table4[[#This Row],[E]]/Table4[[#This Row],[V]]</f>
        <v>10.165193327629526</v>
      </c>
      <c r="AB15" s="103">
        <v>11571953</v>
      </c>
      <c r="AC15" s="103">
        <v>1</v>
      </c>
      <c r="AE15" s="35"/>
    </row>
    <row r="16" spans="3:39" ht="23" x14ac:dyDescent="0.3">
      <c r="C16" s="6" t="s">
        <v>3854</v>
      </c>
      <c r="D16" s="3" t="s">
        <v>26</v>
      </c>
      <c r="E16" s="6" t="s">
        <v>36</v>
      </c>
      <c r="F16" s="7">
        <v>10690276</v>
      </c>
      <c r="G16" s="7">
        <v>112307385</v>
      </c>
      <c r="H16" s="6">
        <f t="shared" si="0"/>
        <v>10.505564589726214</v>
      </c>
      <c r="I16" s="3" t="s">
        <v>1447</v>
      </c>
      <c r="J16" s="6" t="str">
        <f t="shared" si="1"/>
        <v>http://konect.cc/files/download.tsv.livejournal-groupmemberships.tar.bz2</v>
      </c>
      <c r="L16" s="5"/>
      <c r="X16" s="11" t="s">
        <v>1450</v>
      </c>
      <c r="Y16" s="103">
        <v>5867547</v>
      </c>
      <c r="Z16" s="103">
        <v>61171040</v>
      </c>
      <c r="AA16" s="103">
        <f>Table4[[#This Row],[E]]/Table4[[#This Row],[V]]</f>
        <v>10.425317428220003</v>
      </c>
      <c r="AB16" s="103">
        <v>959344</v>
      </c>
      <c r="AC16" s="103">
        <v>1</v>
      </c>
      <c r="AE16" s="35"/>
    </row>
    <row r="17" spans="3:31" ht="23" x14ac:dyDescent="0.3">
      <c r="C17" s="6" t="s">
        <v>3864</v>
      </c>
      <c r="D17" s="6" t="s">
        <v>51</v>
      </c>
      <c r="E17" s="6" t="s">
        <v>38</v>
      </c>
      <c r="F17" s="7">
        <v>9628383</v>
      </c>
      <c r="G17" s="7">
        <v>114683619</v>
      </c>
      <c r="H17" s="6">
        <f t="shared" si="0"/>
        <v>11.910994712196223</v>
      </c>
      <c r="I17" s="3" t="s">
        <v>1455</v>
      </c>
      <c r="J17" s="6" t="str">
        <f t="shared" si="1"/>
        <v>http://konect.cc/files/download.tsv.edit-frwiki.tar.bz2</v>
      </c>
      <c r="L17" s="5"/>
      <c r="X17" s="11" t="s">
        <v>1448</v>
      </c>
      <c r="Y17" s="103">
        <v>5267977</v>
      </c>
      <c r="Z17" s="103">
        <v>55363430</v>
      </c>
      <c r="AA17" s="103">
        <f>Table4[[#This Row],[E]]/Table4[[#This Row],[V]]</f>
        <v>10.509428951569074</v>
      </c>
      <c r="AB17" s="103">
        <v>590528</v>
      </c>
      <c r="AC17" s="103">
        <v>1</v>
      </c>
      <c r="AE17" s="35"/>
    </row>
    <row r="18" spans="3:31" ht="23" x14ac:dyDescent="0.3">
      <c r="C18" s="6" t="s">
        <v>3791</v>
      </c>
      <c r="D18" s="3" t="s">
        <v>115</v>
      </c>
      <c r="E18" s="6" t="s">
        <v>116</v>
      </c>
      <c r="F18" s="7">
        <v>9374206</v>
      </c>
      <c r="G18" s="7">
        <v>12656613</v>
      </c>
      <c r="H18" s="6">
        <f t="shared" si="0"/>
        <v>1.3501530689639207</v>
      </c>
      <c r="I18" s="3" t="s">
        <v>3894</v>
      </c>
      <c r="J18" s="6" t="str">
        <f t="shared" si="1"/>
        <v>http://konect.cc/files/download.tsv.munmun_twitterex_ui.tar.bz2</v>
      </c>
      <c r="L18" s="5"/>
      <c r="X18" s="11" t="s">
        <v>1436</v>
      </c>
      <c r="Y18" s="103">
        <v>3790750</v>
      </c>
      <c r="Z18" s="103">
        <v>44273578</v>
      </c>
      <c r="AA18" s="103">
        <f>Table4[[#This Row],[E]]/Table4[[#This Row],[V]]</f>
        <v>11.679371628305745</v>
      </c>
      <c r="AB18" s="103">
        <v>866662</v>
      </c>
      <c r="AC18" s="103">
        <v>1</v>
      </c>
      <c r="AE18" s="35"/>
    </row>
    <row r="19" spans="3:31" ht="23" x14ac:dyDescent="0.3">
      <c r="C19" s="6" t="s">
        <v>3795</v>
      </c>
      <c r="D19" s="3" t="s">
        <v>121</v>
      </c>
      <c r="E19" s="6" t="s">
        <v>38</v>
      </c>
      <c r="F19" s="7">
        <v>8486200</v>
      </c>
      <c r="G19" s="7">
        <v>15072104</v>
      </c>
      <c r="H19" s="6">
        <f t="shared" si="0"/>
        <v>1.7760722113549057</v>
      </c>
      <c r="I19" s="3" t="s">
        <v>1391</v>
      </c>
      <c r="J19" s="6" t="str">
        <f t="shared" si="1"/>
        <v>http://konect.cc/files/download.tsv.edit-cebwiki.tar.bz2</v>
      </c>
      <c r="L19" s="5"/>
      <c r="X19" s="11" t="s">
        <v>1455</v>
      </c>
      <c r="Y19" s="103">
        <v>8833229</v>
      </c>
      <c r="Z19" s="103">
        <v>105882456</v>
      </c>
      <c r="AA19" s="103">
        <f>Table4[[#This Row],[E]]/Table4[[#This Row],[V]]</f>
        <v>11.986834712425093</v>
      </c>
      <c r="AB19" s="103">
        <v>2126384</v>
      </c>
      <c r="AC19" s="103">
        <v>1</v>
      </c>
      <c r="AE19" s="35"/>
    </row>
    <row r="20" spans="3:31" ht="23" x14ac:dyDescent="0.3">
      <c r="C20" s="6" t="s">
        <v>1858</v>
      </c>
      <c r="D20" s="6" t="s">
        <v>30</v>
      </c>
      <c r="E20" s="6" t="s">
        <v>58</v>
      </c>
      <c r="F20" s="7">
        <v>8341043</v>
      </c>
      <c r="G20" s="7">
        <v>737869083</v>
      </c>
      <c r="H20" s="6">
        <f t="shared" si="0"/>
        <v>88.462448041569857</v>
      </c>
      <c r="I20" s="3" t="s">
        <v>1459</v>
      </c>
      <c r="J20" s="6" t="str">
        <f t="shared" si="1"/>
        <v>http://konect.cc/files/download.tsv.bag-pubmed.tar.bz2</v>
      </c>
      <c r="L20" s="5"/>
      <c r="X20" s="11" t="s">
        <v>1346</v>
      </c>
      <c r="Y20" s="103">
        <v>1696415</v>
      </c>
      <c r="Z20" s="103">
        <v>22190596</v>
      </c>
      <c r="AA20" s="103">
        <f>Table4[[#This Row],[E]]/Table4[[#This Row],[V]]</f>
        <v>13.080877025963575</v>
      </c>
      <c r="AB20" s="103">
        <v>35455</v>
      </c>
      <c r="AC20" s="103">
        <v>1</v>
      </c>
      <c r="AE20" s="35"/>
    </row>
    <row r="21" spans="3:31" ht="23" x14ac:dyDescent="0.3">
      <c r="C21" s="6" t="s">
        <v>3843</v>
      </c>
      <c r="D21" s="3" t="s">
        <v>170</v>
      </c>
      <c r="E21" s="6" t="s">
        <v>33</v>
      </c>
      <c r="F21" s="7">
        <v>7891015</v>
      </c>
      <c r="G21" s="7">
        <v>69540354</v>
      </c>
      <c r="H21" s="6">
        <f t="shared" si="0"/>
        <v>8.8125993931072237</v>
      </c>
      <c r="I21" s="3" t="s">
        <v>1438</v>
      </c>
      <c r="J21" s="6" t="str">
        <f t="shared" si="1"/>
        <v>http://konect.cc/files/download.tsv.wikipedia_link_ceb.tar.bz2</v>
      </c>
      <c r="L21" s="5"/>
      <c r="X21" s="11" t="s">
        <v>1449</v>
      </c>
      <c r="Y21" s="103">
        <v>4799646</v>
      </c>
      <c r="Z21" s="103">
        <v>63844012</v>
      </c>
      <c r="AA21" s="103">
        <f>Table4[[#This Row],[E]]/Table4[[#This Row],[V]]</f>
        <v>13.301816842325454</v>
      </c>
      <c r="AB21" s="103">
        <v>1076572</v>
      </c>
      <c r="AC21" s="103">
        <v>1</v>
      </c>
      <c r="AE21" s="35"/>
    </row>
    <row r="22" spans="3:31" ht="23" x14ac:dyDescent="0.3">
      <c r="C22" s="6" t="s">
        <v>3839</v>
      </c>
      <c r="D22" s="3" t="s">
        <v>80</v>
      </c>
      <c r="E22" s="6" t="s">
        <v>96</v>
      </c>
      <c r="F22" s="7">
        <v>7827192</v>
      </c>
      <c r="G22" s="7">
        <v>65905159</v>
      </c>
      <c r="H22" s="6">
        <f t="shared" si="0"/>
        <v>8.4200258534606025</v>
      </c>
      <c r="I22" s="3" t="s">
        <v>1434</v>
      </c>
      <c r="J22" s="6" t="str">
        <f t="shared" si="1"/>
        <v>http://konect.cc/files/download.tsv.zhishi-all.tar.bz2</v>
      </c>
      <c r="L22" s="5"/>
      <c r="X22" s="11" t="s">
        <v>1</v>
      </c>
      <c r="Y22" s="103">
        <v>18268991</v>
      </c>
      <c r="Z22" s="103">
        <v>253780418</v>
      </c>
      <c r="AA22" s="103">
        <f>Table4[[#This Row],[E]]/Table4[[#This Row],[V]]</f>
        <v>13.891320982094742</v>
      </c>
      <c r="AB22" s="103">
        <v>612308</v>
      </c>
      <c r="AC22" s="103">
        <v>1</v>
      </c>
      <c r="AE22" s="35"/>
    </row>
    <row r="23" spans="3:31" ht="23" x14ac:dyDescent="0.3">
      <c r="C23" s="6" t="s">
        <v>3827</v>
      </c>
      <c r="D23" s="3" t="s">
        <v>156</v>
      </c>
      <c r="E23" s="6" t="s">
        <v>38</v>
      </c>
      <c r="F23" s="7">
        <v>7751738</v>
      </c>
      <c r="G23" s="7">
        <v>36357003</v>
      </c>
      <c r="H23" s="6">
        <f t="shared" si="0"/>
        <v>4.6901743841187615</v>
      </c>
      <c r="I23" s="3" t="s">
        <v>1423</v>
      </c>
      <c r="J23" s="6" t="str">
        <f t="shared" si="1"/>
        <v>http://konect.cc/files/download.tsv.edit-svwiki.tar.bz2</v>
      </c>
      <c r="L23" s="5"/>
      <c r="X23" s="11" t="s">
        <v>1437</v>
      </c>
      <c r="Y23" s="103">
        <v>2981204</v>
      </c>
      <c r="Z23" s="103">
        <v>42832752</v>
      </c>
      <c r="AA23" s="103">
        <f>Table4[[#This Row],[E]]/Table4[[#This Row],[V]]</f>
        <v>14.367601814568879</v>
      </c>
      <c r="AB23" s="103">
        <v>385104</v>
      </c>
      <c r="AC23" s="103">
        <v>1</v>
      </c>
      <c r="AE23" s="35"/>
    </row>
    <row r="24" spans="3:31" ht="23" x14ac:dyDescent="0.3">
      <c r="C24" s="6" t="s">
        <v>3765</v>
      </c>
      <c r="D24" s="3" t="s">
        <v>71</v>
      </c>
      <c r="E24" s="6" t="s">
        <v>36</v>
      </c>
      <c r="F24" s="7">
        <v>7577304</v>
      </c>
      <c r="G24" s="7">
        <v>12282059</v>
      </c>
      <c r="H24" s="6">
        <f t="shared" si="0"/>
        <v>1.6209009167376682</v>
      </c>
      <c r="I24" s="3" t="s">
        <v>1361</v>
      </c>
      <c r="J24" s="6" t="str">
        <f t="shared" si="1"/>
        <v>http://konect.cc/files/download.tsv.dblp-author.tar.bz2</v>
      </c>
      <c r="L24" s="5"/>
      <c r="X24" s="9" t="s">
        <v>1371</v>
      </c>
      <c r="Y24" s="103">
        <v>2140198</v>
      </c>
      <c r="Z24" s="103">
        <v>34029892</v>
      </c>
      <c r="AA24" s="103">
        <f>Table4[[#This Row],[E]]/Table4[[#This Row],[V]]</f>
        <v>15.900347537938078</v>
      </c>
      <c r="AB24" s="103">
        <v>97848</v>
      </c>
      <c r="AC24" s="103">
        <v>1</v>
      </c>
      <c r="AE24" s="35"/>
    </row>
    <row r="25" spans="3:31" ht="23" x14ac:dyDescent="0.3">
      <c r="C25" s="6" t="s">
        <v>3865</v>
      </c>
      <c r="D25" s="6" t="s">
        <v>52</v>
      </c>
      <c r="E25" s="6" t="s">
        <v>38</v>
      </c>
      <c r="F25" s="7">
        <v>6935516</v>
      </c>
      <c r="G25" s="7">
        <v>129885939</v>
      </c>
      <c r="H25" s="6">
        <f t="shared" si="0"/>
        <v>18.727653284917807</v>
      </c>
      <c r="I25" s="3" t="s">
        <v>1456</v>
      </c>
      <c r="J25" s="6" t="str">
        <f t="shared" si="1"/>
        <v>http://konect.cc/files/download.tsv.edit-dewiki.tar.bz2</v>
      </c>
      <c r="L25" s="5"/>
      <c r="X25" s="9" t="s">
        <v>1434</v>
      </c>
      <c r="Y25" s="103">
        <v>7825669</v>
      </c>
      <c r="Z25" s="103">
        <v>124492028</v>
      </c>
      <c r="AA25" s="103">
        <f>Table4[[#This Row],[E]]/Table4[[#This Row],[V]]</f>
        <v>15.90816427323977</v>
      </c>
      <c r="AB25" s="103">
        <v>204282</v>
      </c>
      <c r="AC25" s="103">
        <v>1</v>
      </c>
      <c r="AE25" s="35"/>
    </row>
    <row r="26" spans="3:31" ht="23" x14ac:dyDescent="0.3">
      <c r="C26" s="6" t="s">
        <v>3857</v>
      </c>
      <c r="D26" s="3" t="s">
        <v>40</v>
      </c>
      <c r="E26" s="6" t="s">
        <v>38</v>
      </c>
      <c r="F26" s="7">
        <v>6888897</v>
      </c>
      <c r="G26" s="7">
        <v>67426422</v>
      </c>
      <c r="H26" s="6">
        <f t="shared" si="0"/>
        <v>9.7876948951334306</v>
      </c>
      <c r="I26" s="3" t="s">
        <v>1450</v>
      </c>
      <c r="J26" s="6" t="str">
        <f t="shared" si="1"/>
        <v>http://konect.cc/files/download.tsv.edit-eswiki.tar.bz2</v>
      </c>
      <c r="L26" s="5"/>
      <c r="X26" s="11" t="s">
        <v>1433</v>
      </c>
      <c r="Y26" s="103">
        <v>2646291</v>
      </c>
      <c r="Z26" s="103">
        <v>42433496</v>
      </c>
      <c r="AA26" s="103">
        <f>Table4[[#This Row],[E]]/Table4[[#This Row],[V]]</f>
        <v>16.035083065316702</v>
      </c>
      <c r="AB26" s="103">
        <v>850681</v>
      </c>
      <c r="AC26" s="103">
        <v>1</v>
      </c>
      <c r="AE26" s="35"/>
    </row>
    <row r="27" spans="3:31" ht="23" x14ac:dyDescent="0.3">
      <c r="C27" s="6" t="s">
        <v>3774</v>
      </c>
      <c r="D27" s="3" t="s">
        <v>97</v>
      </c>
      <c r="E27" s="6" t="s">
        <v>98</v>
      </c>
      <c r="F27" s="7">
        <v>6262104</v>
      </c>
      <c r="G27" s="7">
        <v>15119284</v>
      </c>
      <c r="H27" s="6">
        <f t="shared" si="0"/>
        <v>2.4144095977965234</v>
      </c>
      <c r="I27" s="3" t="s">
        <v>1372</v>
      </c>
      <c r="J27" s="6" t="str">
        <f t="shared" si="1"/>
        <v>http://konect.cc/files/download.tsv.dimacs9-W.tar.bz2</v>
      </c>
      <c r="L27" s="5"/>
      <c r="X27" s="9" t="s">
        <v>1438</v>
      </c>
      <c r="Y27" s="103">
        <v>7891015</v>
      </c>
      <c r="Z27" s="103">
        <v>127830770</v>
      </c>
      <c r="AA27" s="103">
        <f>Table4[[#This Row],[E]]/Table4[[#This Row],[V]]</f>
        <v>16.199534533897097</v>
      </c>
      <c r="AB27" s="103">
        <v>3636005</v>
      </c>
      <c r="AC27" s="103">
        <v>1</v>
      </c>
      <c r="AE27" s="35"/>
    </row>
    <row r="28" spans="3:31" ht="23" hidden="1" x14ac:dyDescent="0.3">
      <c r="C28" s="6" t="s">
        <v>3852</v>
      </c>
      <c r="D28" s="3" t="s">
        <v>32</v>
      </c>
      <c r="E28" s="6" t="s">
        <v>33</v>
      </c>
      <c r="F28" s="7">
        <v>6100692</v>
      </c>
      <c r="G28" s="7">
        <v>106749786</v>
      </c>
      <c r="H28" s="6">
        <f t="shared" si="0"/>
        <v>17.497979901296443</v>
      </c>
      <c r="I28" s="3" t="s">
        <v>1446</v>
      </c>
      <c r="J28" s="6" t="str">
        <f t="shared" si="1"/>
        <v>http://konect.cc/files/download.tsv.wikipedia_link_sv.tar.bz2</v>
      </c>
      <c r="L28" s="5"/>
      <c r="X28" s="9" t="s">
        <v>3912</v>
      </c>
      <c r="Y28" s="103">
        <v>4033138</v>
      </c>
      <c r="Z28" s="103">
        <v>55866126</v>
      </c>
      <c r="AA28" s="103">
        <f>Table4[[#This Row],[E]]/Table4[[#This Row],[V]]</f>
        <v>13.851776457934244</v>
      </c>
      <c r="AB28" s="103">
        <v>2651</v>
      </c>
      <c r="AC28" s="103">
        <v>0</v>
      </c>
      <c r="AE28" s="35"/>
    </row>
    <row r="29" spans="3:31" ht="23" hidden="1" x14ac:dyDescent="0.3">
      <c r="C29" s="6" t="s">
        <v>3845</v>
      </c>
      <c r="D29" s="3" t="s">
        <v>172</v>
      </c>
      <c r="E29" s="6" t="s">
        <v>38</v>
      </c>
      <c r="F29" s="7">
        <v>5892253</v>
      </c>
      <c r="G29" s="7">
        <v>44788448</v>
      </c>
      <c r="H29" s="6">
        <f t="shared" si="0"/>
        <v>7.6012431916959438</v>
      </c>
      <c r="I29" s="3" t="s">
        <v>1440</v>
      </c>
      <c r="J29" s="6" t="str">
        <f t="shared" si="1"/>
        <v>http://konect.cc/files/download.tsv.edit-enwiktionary.tar.bz2</v>
      </c>
      <c r="L29" s="5"/>
      <c r="X29" s="9" t="s">
        <v>3919</v>
      </c>
      <c r="Y29" s="103">
        <v>2937612</v>
      </c>
      <c r="Z29" s="103">
        <v>41919708</v>
      </c>
      <c r="AA29" s="103">
        <f>Table4[[#This Row],[E]]/Table4[[#This Row],[V]]</f>
        <v>14.269994812112696</v>
      </c>
      <c r="AB29" s="103">
        <v>4356</v>
      </c>
      <c r="AC29" s="103">
        <v>0</v>
      </c>
      <c r="AE29" s="35"/>
    </row>
    <row r="30" spans="3:31" ht="23" hidden="1" x14ac:dyDescent="0.3">
      <c r="C30" s="6" t="s">
        <v>3855</v>
      </c>
      <c r="D30" s="3" t="s">
        <v>37</v>
      </c>
      <c r="E30" s="6" t="s">
        <v>38</v>
      </c>
      <c r="F30" s="7">
        <v>5746517</v>
      </c>
      <c r="G30" s="7">
        <v>65690151</v>
      </c>
      <c r="H30" s="6">
        <f t="shared" si="0"/>
        <v>11.431298471752541</v>
      </c>
      <c r="I30" s="3" t="s">
        <v>1448</v>
      </c>
      <c r="J30" s="6" t="str">
        <f t="shared" si="1"/>
        <v>http://konect.cc/files/download.tsv.edit-ruwiki.tar.bz2</v>
      </c>
      <c r="L30" s="5"/>
      <c r="X30" s="9" t="s">
        <v>11</v>
      </c>
      <c r="Y30" s="38">
        <v>2394385</v>
      </c>
      <c r="Z30" s="38">
        <v>9319130</v>
      </c>
      <c r="AA30" s="38">
        <f>Table4[[#This Row],[E]]/Table4[[#This Row],[V]]</f>
        <v>3.8920766710449657</v>
      </c>
      <c r="AB30" s="38">
        <v>100029</v>
      </c>
      <c r="AC30" s="38">
        <v>0</v>
      </c>
      <c r="AE30" s="35"/>
    </row>
    <row r="31" spans="3:31" ht="23" hidden="1" x14ac:dyDescent="0.3">
      <c r="C31" s="6" t="s">
        <v>3870</v>
      </c>
      <c r="D31" s="6" t="s">
        <v>59</v>
      </c>
      <c r="E31" s="6" t="s">
        <v>60</v>
      </c>
      <c r="F31" s="7">
        <v>5345180</v>
      </c>
      <c r="G31" s="7">
        <v>301186579</v>
      </c>
      <c r="H31" s="6">
        <f t="shared" si="0"/>
        <v>56.347322073344586</v>
      </c>
      <c r="I31" s="3" t="s">
        <v>1460</v>
      </c>
      <c r="J31" s="6" t="str">
        <f t="shared" si="1"/>
        <v>http://konect.cc/files/download.tsv.delicious-ut.tar.bz2</v>
      </c>
      <c r="L31" s="5"/>
      <c r="X31" s="11" t="s">
        <v>1462</v>
      </c>
      <c r="Y31" s="38">
        <v>33778221</v>
      </c>
      <c r="Z31" s="38">
        <v>203595714</v>
      </c>
      <c r="AA31" s="38">
        <f>Table4[[#This Row],[E]]/Table4[[#This Row],[V]]</f>
        <v>6.0274256006555227</v>
      </c>
      <c r="AB31" s="38">
        <v>29319</v>
      </c>
      <c r="AC31" s="38">
        <v>0</v>
      </c>
      <c r="AE31" s="124"/>
    </row>
    <row r="32" spans="3:31" ht="23" hidden="1" x14ac:dyDescent="0.3">
      <c r="C32" s="6" t="s">
        <v>3829</v>
      </c>
      <c r="D32" s="3" t="s">
        <v>158</v>
      </c>
      <c r="E32" s="6" t="s">
        <v>38</v>
      </c>
      <c r="F32" s="7">
        <v>5339125</v>
      </c>
      <c r="G32" s="7">
        <v>36369331</v>
      </c>
      <c r="H32" s="6">
        <f t="shared" si="0"/>
        <v>6.8118523166249147</v>
      </c>
      <c r="I32" s="3" t="s">
        <v>1425</v>
      </c>
      <c r="J32" s="6" t="str">
        <f t="shared" si="1"/>
        <v>http://konect.cc/files/download.tsv.edit-zhwiki.tar.bz2</v>
      </c>
      <c r="L32" s="5"/>
      <c r="X32" s="11" t="s">
        <v>1404</v>
      </c>
      <c r="Y32" s="38">
        <v>2939627</v>
      </c>
      <c r="Z32" s="38">
        <v>20974994</v>
      </c>
      <c r="AA32" s="38">
        <f>Table4[[#This Row],[E]]/Table4[[#This Row],[V]]</f>
        <v>7.1352569560695969</v>
      </c>
      <c r="AB32" s="38">
        <v>916719</v>
      </c>
      <c r="AC32" s="38">
        <v>0</v>
      </c>
      <c r="AE32" s="35"/>
    </row>
    <row r="33" spans="3:31" ht="23" hidden="1" x14ac:dyDescent="0.3">
      <c r="C33" s="6" t="s">
        <v>3820</v>
      </c>
      <c r="D33" s="3" t="s">
        <v>150</v>
      </c>
      <c r="E33" s="6" t="s">
        <v>88</v>
      </c>
      <c r="F33" s="7">
        <v>5204176</v>
      </c>
      <c r="G33" s="7">
        <v>49174464</v>
      </c>
      <c r="H33" s="6">
        <f t="shared" si="0"/>
        <v>9.4490393868308828</v>
      </c>
      <c r="I33" s="3" t="s">
        <v>1417</v>
      </c>
      <c r="J33" s="6" t="str">
        <f t="shared" si="1"/>
        <v>http://konect.cc/files/download.tsv.livejournal-links.tar.bz2</v>
      </c>
      <c r="L33" s="5"/>
      <c r="X33" s="9" t="s">
        <v>1402</v>
      </c>
      <c r="Y33" s="38">
        <v>2132864</v>
      </c>
      <c r="Z33" s="38">
        <v>17441248</v>
      </c>
      <c r="AA33" s="38">
        <f>Table4[[#This Row],[E]]/Table4[[#This Row],[V]]</f>
        <v>8.1773840244853861</v>
      </c>
      <c r="AB33" s="38">
        <v>306136</v>
      </c>
      <c r="AC33" s="38">
        <v>0</v>
      </c>
      <c r="AE33" s="35"/>
    </row>
    <row r="34" spans="3:31" ht="23" hidden="1" x14ac:dyDescent="0.3">
      <c r="C34" s="6" t="s">
        <v>3856</v>
      </c>
      <c r="D34" s="6" t="s">
        <v>39</v>
      </c>
      <c r="E34" s="6" t="s">
        <v>38</v>
      </c>
      <c r="F34" s="7">
        <v>5200968</v>
      </c>
      <c r="G34" s="7">
        <v>67613396</v>
      </c>
      <c r="H34" s="6">
        <f t="shared" si="0"/>
        <v>13.000156124782926</v>
      </c>
      <c r="I34" s="3" t="s">
        <v>1449</v>
      </c>
      <c r="J34" s="6" t="str">
        <f t="shared" si="1"/>
        <v>http://konect.cc/files/download.tsv.edit-itwiki.tar.bz2</v>
      </c>
      <c r="L34" s="5"/>
      <c r="X34" s="11" t="s">
        <v>2</v>
      </c>
      <c r="Y34" s="38">
        <v>4382070</v>
      </c>
      <c r="Z34" s="38">
        <v>38996662</v>
      </c>
      <c r="AA34" s="38">
        <f>Table4[[#This Row],[E]]/Table4[[#This Row],[V]]</f>
        <v>8.8991417298217517</v>
      </c>
      <c r="AB34" s="38">
        <v>699764</v>
      </c>
      <c r="AC34" s="38">
        <v>0</v>
      </c>
      <c r="AE34" s="35"/>
    </row>
    <row r="35" spans="3:31" ht="23" hidden="1" x14ac:dyDescent="0.3">
      <c r="C35" s="6" t="s">
        <v>3840</v>
      </c>
      <c r="D35" s="3" t="s">
        <v>26</v>
      </c>
      <c r="E35" s="6" t="s">
        <v>98</v>
      </c>
      <c r="F35" s="7">
        <v>4846609</v>
      </c>
      <c r="G35" s="7">
        <v>68475391</v>
      </c>
      <c r="H35" s="6">
        <f t="shared" si="0"/>
        <v>14.128515628143306</v>
      </c>
      <c r="I35" s="3" t="s">
        <v>1435</v>
      </c>
      <c r="J35" s="6" t="str">
        <f t="shared" si="1"/>
        <v>http://konect.cc/files/download.tsv.soc-LiveJournal1.tar.bz2</v>
      </c>
      <c r="L35" s="5"/>
      <c r="X35" s="9" t="s">
        <v>3913</v>
      </c>
      <c r="Y35" s="38">
        <v>58655849</v>
      </c>
      <c r="Z35" s="38">
        <v>522642066</v>
      </c>
      <c r="AA35" s="38">
        <f>Table4[[#This Row],[E]]/Table4[[#This Row],[V]]</f>
        <v>8.9103145706747853</v>
      </c>
      <c r="AB35" s="38">
        <v>278489</v>
      </c>
      <c r="AC35" s="38">
        <v>0</v>
      </c>
      <c r="AE35" s="35"/>
    </row>
    <row r="36" spans="3:31" ht="23" hidden="1" x14ac:dyDescent="0.3">
      <c r="C36" s="6" t="s">
        <v>3826</v>
      </c>
      <c r="D36" s="6" t="s">
        <v>155</v>
      </c>
      <c r="E36" s="6" t="s">
        <v>38</v>
      </c>
      <c r="F36" s="7">
        <v>4784188</v>
      </c>
      <c r="G36" s="7">
        <v>35846280</v>
      </c>
      <c r="H36" s="6">
        <f t="shared" si="0"/>
        <v>7.4926570611355574</v>
      </c>
      <c r="I36" s="3" t="s">
        <v>2</v>
      </c>
      <c r="J36" s="6" t="str">
        <f t="shared" si="1"/>
        <v>http://konect.cc/files/download.tsv.edit-ptwiki.tar.bz2</v>
      </c>
      <c r="L36" s="5"/>
      <c r="X36" s="11" t="s">
        <v>1456</v>
      </c>
      <c r="Y36" s="38">
        <v>5829441</v>
      </c>
      <c r="Z36" s="38">
        <v>110439216</v>
      </c>
      <c r="AA36" s="38">
        <f>Table4[[#This Row],[E]]/Table4[[#This Row],[V]]</f>
        <v>18.945078267367318</v>
      </c>
      <c r="AB36" s="38">
        <v>818185</v>
      </c>
      <c r="AC36" s="38"/>
      <c r="AE36" s="35"/>
    </row>
    <row r="37" spans="3:31" ht="23" hidden="1" x14ac:dyDescent="0.3">
      <c r="C37" s="6" t="s">
        <v>3836</v>
      </c>
      <c r="D37" s="3" t="s">
        <v>165</v>
      </c>
      <c r="E37" s="6" t="s">
        <v>38</v>
      </c>
      <c r="F37" s="7">
        <v>4589850</v>
      </c>
      <c r="G37" s="7">
        <v>40578944</v>
      </c>
      <c r="H37" s="6">
        <f t="shared" si="0"/>
        <v>8.8410174624443059</v>
      </c>
      <c r="I37" s="3" t="s">
        <v>1431</v>
      </c>
      <c r="J37" s="6" t="str">
        <f t="shared" si="1"/>
        <v>http://konect.cc/files/download.tsv.edit-shwiki.tar.bz2</v>
      </c>
      <c r="L37" s="5"/>
      <c r="X37" s="11" t="s">
        <v>7</v>
      </c>
      <c r="Y37" s="38">
        <v>2584164</v>
      </c>
      <c r="Z37" s="38">
        <v>56367036</v>
      </c>
      <c r="AA37" s="38">
        <f>Table4[[#This Row],[E]]/Table4[[#This Row],[V]]</f>
        <v>21.812484037390817</v>
      </c>
      <c r="AB37" s="38">
        <v>44065</v>
      </c>
      <c r="AC37" s="38"/>
      <c r="AE37" s="35"/>
    </row>
    <row r="38" spans="3:31" ht="23" hidden="1" x14ac:dyDescent="0.3">
      <c r="C38" s="6" t="s">
        <v>3812</v>
      </c>
      <c r="D38" s="3" t="s">
        <v>140</v>
      </c>
      <c r="E38" s="6" t="s">
        <v>38</v>
      </c>
      <c r="F38" s="7">
        <v>4064239</v>
      </c>
      <c r="G38" s="7">
        <v>22720139</v>
      </c>
      <c r="H38" s="6">
        <f t="shared" si="0"/>
        <v>5.5902566261482161</v>
      </c>
      <c r="I38" s="3" t="s">
        <v>1408</v>
      </c>
      <c r="J38" s="6" t="str">
        <f t="shared" si="1"/>
        <v>http://konect.cc/files/download.tsv.edit-mgwiktionary.tar.bz2</v>
      </c>
      <c r="L38" s="5"/>
      <c r="X38" s="11" t="s">
        <v>3</v>
      </c>
      <c r="Y38" s="38">
        <v>2212663</v>
      </c>
      <c r="Z38" s="38">
        <v>58330960</v>
      </c>
      <c r="AA38" s="38">
        <f>Table4[[#This Row],[E]]/Table4[[#This Row],[V]]</f>
        <v>26.362333532038093</v>
      </c>
      <c r="AB38" s="38">
        <v>137021</v>
      </c>
      <c r="AC38" s="38"/>
      <c r="AE38" s="35"/>
    </row>
    <row r="39" spans="3:31" ht="23" hidden="1" x14ac:dyDescent="0.3">
      <c r="C39" s="6" t="s">
        <v>3841</v>
      </c>
      <c r="D39" s="3" t="s">
        <v>168</v>
      </c>
      <c r="E39" s="6" t="s">
        <v>38</v>
      </c>
      <c r="F39" s="7">
        <v>4021196</v>
      </c>
      <c r="G39" s="7">
        <v>41592827</v>
      </c>
      <c r="H39" s="6">
        <f t="shared" si="0"/>
        <v>10.343397088826309</v>
      </c>
      <c r="I39" s="3" t="s">
        <v>1436</v>
      </c>
      <c r="J39" s="6" t="str">
        <f t="shared" si="1"/>
        <v>http://konect.cc/files/download.tsv.edit-nlwiki.tar.bz2</v>
      </c>
      <c r="L39" s="5"/>
      <c r="X39" s="22" t="s">
        <v>3920</v>
      </c>
      <c r="Y39" s="38">
        <v>1632803</v>
      </c>
      <c r="Z39" s="38">
        <v>44603928</v>
      </c>
      <c r="AA39" s="38">
        <f>Table4[[#This Row],[E]]/Table4[[#This Row],[V]]</f>
        <v>27.31739713854029</v>
      </c>
      <c r="AB39" s="38">
        <v>14854</v>
      </c>
      <c r="AC39" s="38"/>
      <c r="AE39" s="35"/>
    </row>
    <row r="40" spans="3:31" ht="23" hidden="1" x14ac:dyDescent="0.3">
      <c r="C40" s="6" t="s">
        <v>2956</v>
      </c>
      <c r="D40" s="3" t="s">
        <v>29</v>
      </c>
      <c r="E40" s="6" t="s">
        <v>50</v>
      </c>
      <c r="F40" s="7">
        <v>3966924</v>
      </c>
      <c r="G40" s="7">
        <v>13820853</v>
      </c>
      <c r="H40" s="6">
        <f t="shared" si="0"/>
        <v>3.4840226331535469</v>
      </c>
      <c r="I40" s="3" t="s">
        <v>1366</v>
      </c>
      <c r="J40" s="6" t="str">
        <f t="shared" si="1"/>
        <v>http://konect.cc/files/download.tsv.dbpedia-all.tar.bz2</v>
      </c>
      <c r="L40" s="5"/>
      <c r="X40" s="9" t="s">
        <v>3917</v>
      </c>
      <c r="Y40" s="38">
        <v>1791489</v>
      </c>
      <c r="Z40" s="38">
        <v>50888414</v>
      </c>
      <c r="AA40" s="38">
        <f>Table4[[#This Row],[E]]/Table4[[#This Row],[V]]</f>
        <v>28.405652504704186</v>
      </c>
      <c r="AB40" s="38">
        <v>238342</v>
      </c>
      <c r="AC40" s="38"/>
      <c r="AE40" s="35"/>
    </row>
    <row r="41" spans="3:31" ht="23" hidden="1" x14ac:dyDescent="0.3">
      <c r="C41" s="6" t="s">
        <v>3849</v>
      </c>
      <c r="D41" s="3" t="s">
        <v>176</v>
      </c>
      <c r="E41" s="6" t="s">
        <v>33</v>
      </c>
      <c r="F41" s="7">
        <v>3924218</v>
      </c>
      <c r="G41" s="7">
        <v>106265500</v>
      </c>
      <c r="H41" s="6">
        <f t="shared" si="0"/>
        <v>27.079407922801433</v>
      </c>
      <c r="I41" s="3" t="s">
        <v>1443</v>
      </c>
      <c r="J41" s="6" t="str">
        <f t="shared" si="1"/>
        <v>http://konect.cc/files/download.tsv.wikipedia_link_sh.tar.bz2</v>
      </c>
      <c r="L41" s="5"/>
      <c r="X41" s="9" t="s">
        <v>1414</v>
      </c>
      <c r="Y41" s="38">
        <v>3033373</v>
      </c>
      <c r="Z41" s="38">
        <v>87691916</v>
      </c>
      <c r="AA41" s="38">
        <f>Table4[[#This Row],[E]]/Table4[[#This Row],[V]]</f>
        <v>28.909044815787574</v>
      </c>
      <c r="AB41" s="38">
        <v>275166</v>
      </c>
      <c r="AC41" s="38"/>
      <c r="AE41" s="35"/>
    </row>
    <row r="42" spans="3:31" ht="23" hidden="1" x14ac:dyDescent="0.3">
      <c r="C42" s="6" t="s">
        <v>3776</v>
      </c>
      <c r="D42" s="3" t="s">
        <v>100</v>
      </c>
      <c r="E42" s="6" t="s">
        <v>101</v>
      </c>
      <c r="F42" s="7">
        <v>3774768</v>
      </c>
      <c r="G42" s="7">
        <v>16518947</v>
      </c>
      <c r="H42" s="6">
        <f t="shared" si="0"/>
        <v>4.3761489447828321</v>
      </c>
      <c r="I42" s="3" t="s">
        <v>1374</v>
      </c>
      <c r="J42" s="6" t="str">
        <f t="shared" si="1"/>
        <v>http://konect.cc/files/download.tsv.patentcite.tar.bz2</v>
      </c>
      <c r="L42" s="5"/>
      <c r="X42" s="11" t="s">
        <v>4</v>
      </c>
      <c r="Y42" s="38">
        <v>1203995</v>
      </c>
      <c r="Z42" s="38">
        <v>40033816</v>
      </c>
      <c r="AA42" s="38">
        <f>Table4[[#This Row],[E]]/Table4[[#This Row],[V]]</f>
        <v>33.250815825647116</v>
      </c>
      <c r="AB42" s="38">
        <v>81090</v>
      </c>
      <c r="AC42" s="38"/>
      <c r="AE42" s="35"/>
    </row>
    <row r="43" spans="3:31" ht="23" hidden="1" x14ac:dyDescent="0.3">
      <c r="C43" s="6" t="s">
        <v>3801</v>
      </c>
      <c r="D43" s="3" t="s">
        <v>127</v>
      </c>
      <c r="E43" s="6" t="s">
        <v>38</v>
      </c>
      <c r="F43" s="7">
        <v>3732366</v>
      </c>
      <c r="G43" s="7">
        <v>17908113</v>
      </c>
      <c r="H43" s="6">
        <f t="shared" si="0"/>
        <v>4.798059193551758</v>
      </c>
      <c r="I43" s="3" t="s">
        <v>1398</v>
      </c>
      <c r="J43" s="6" t="str">
        <f t="shared" si="1"/>
        <v>http://konect.cc/files/download.tsv.edit-fawiki.tar.bz2</v>
      </c>
      <c r="L43" s="5"/>
      <c r="X43" s="9" t="s">
        <v>1422</v>
      </c>
      <c r="Y43" s="38">
        <v>2622756</v>
      </c>
      <c r="Z43" s="38">
        <v>94934908</v>
      </c>
      <c r="AA43" s="38">
        <f>Table4[[#This Row],[E]]/Table4[[#This Row],[V]]</f>
        <v>36.196622179112353</v>
      </c>
      <c r="AB43" s="38">
        <v>900354</v>
      </c>
      <c r="AC43" s="38"/>
      <c r="AE43" s="35"/>
    </row>
    <row r="44" spans="3:31" ht="23" hidden="1" x14ac:dyDescent="0.3">
      <c r="C44" s="6" t="s">
        <v>3848</v>
      </c>
      <c r="D44" s="3" t="s">
        <v>175</v>
      </c>
      <c r="E44" s="6" t="s">
        <v>33</v>
      </c>
      <c r="F44" s="7">
        <v>3603726</v>
      </c>
      <c r="G44" s="7">
        <v>96865851</v>
      </c>
      <c r="H44" s="6">
        <f t="shared" si="0"/>
        <v>26.879360695013993</v>
      </c>
      <c r="I44" s="3" t="s">
        <v>10</v>
      </c>
      <c r="J44" s="6" t="str">
        <f t="shared" si="1"/>
        <v>http://konect.cc/files/download.tsv.wikipedia_link_de.tar.bz2</v>
      </c>
      <c r="L44" s="5"/>
      <c r="X44" s="9" t="s">
        <v>1443</v>
      </c>
      <c r="Y44" s="38">
        <v>3924218</v>
      </c>
      <c r="Z44" s="38">
        <v>152878772</v>
      </c>
      <c r="AA44" s="38">
        <f>Table4[[#This Row],[E]]/Table4[[#This Row],[V]]</f>
        <v>38.957767381934438</v>
      </c>
      <c r="AB44" s="38">
        <v>254555</v>
      </c>
      <c r="AC44" s="38"/>
      <c r="AE44" s="35"/>
    </row>
    <row r="45" spans="3:31" ht="23" hidden="1" x14ac:dyDescent="0.3">
      <c r="C45" s="6" t="s">
        <v>3738</v>
      </c>
      <c r="D45" s="3" t="s">
        <v>3739</v>
      </c>
      <c r="E45" s="6" t="s">
        <v>98</v>
      </c>
      <c r="F45" s="7">
        <v>3598623</v>
      </c>
      <c r="G45" s="7">
        <v>8708058</v>
      </c>
      <c r="H45" s="6">
        <f t="shared" si="0"/>
        <v>2.4198305851988384</v>
      </c>
      <c r="I45" s="3" t="s">
        <v>1342</v>
      </c>
      <c r="J45" s="6" t="str">
        <f t="shared" si="1"/>
        <v>http://konect.cc/files/download.tsv.dimacs9-E.tar.bz2</v>
      </c>
      <c r="L45" s="5"/>
      <c r="X45" s="9" t="s">
        <v>1442</v>
      </c>
      <c r="Y45" s="38">
        <v>3370462</v>
      </c>
      <c r="Z45" s="38">
        <v>143901836</v>
      </c>
      <c r="AA45" s="38">
        <f>Table4[[#This Row],[E]]/Table4[[#This Row],[V]]</f>
        <v>42.694988402183441</v>
      </c>
      <c r="AB45" s="38">
        <v>282591</v>
      </c>
      <c r="AC45" s="38"/>
      <c r="AE45" s="35"/>
    </row>
    <row r="46" spans="3:31" ht="23" hidden="1" x14ac:dyDescent="0.3">
      <c r="C46" s="6" t="s">
        <v>3814</v>
      </c>
      <c r="D46" s="3" t="s">
        <v>143</v>
      </c>
      <c r="E46" s="6" t="s">
        <v>38</v>
      </c>
      <c r="F46" s="7">
        <v>3585652</v>
      </c>
      <c r="G46" s="7">
        <v>25286492</v>
      </c>
      <c r="H46" s="6">
        <f t="shared" si="0"/>
        <v>7.0521322203047037</v>
      </c>
      <c r="I46" s="3" t="s">
        <v>1411</v>
      </c>
      <c r="J46" s="6" t="str">
        <f t="shared" si="1"/>
        <v>http://konect.cc/files/download.tsv.edit-viwiki.tar.bz2</v>
      </c>
      <c r="L46" s="5"/>
      <c r="X46" s="9" t="s">
        <v>10</v>
      </c>
      <c r="Y46" s="38">
        <v>3603726</v>
      </c>
      <c r="Z46" s="38">
        <v>155093964</v>
      </c>
      <c r="AA46" s="38">
        <f>Table4[[#This Row],[E]]/Table4[[#This Row],[V]]</f>
        <v>43.037113254448315</v>
      </c>
      <c r="AB46" s="38">
        <v>434234</v>
      </c>
      <c r="AC46" s="38"/>
      <c r="AE46" s="35"/>
    </row>
    <row r="47" spans="3:31" ht="23" hidden="1" x14ac:dyDescent="0.3">
      <c r="C47" s="6" t="s">
        <v>3842</v>
      </c>
      <c r="D47" s="3" t="s">
        <v>169</v>
      </c>
      <c r="E47" s="6" t="s">
        <v>38</v>
      </c>
      <c r="F47" s="7">
        <v>3570948</v>
      </c>
      <c r="G47" s="7">
        <v>41998340</v>
      </c>
      <c r="H47" s="6">
        <f t="shared" si="0"/>
        <v>11.761117776007939</v>
      </c>
      <c r="I47" s="3" t="s">
        <v>1437</v>
      </c>
      <c r="J47" s="6" t="str">
        <f t="shared" si="1"/>
        <v>http://konect.cc/files/download.tsv.edit-jawiki.tar.bz2</v>
      </c>
      <c r="L47" s="5"/>
      <c r="X47" s="9" t="s">
        <v>1451</v>
      </c>
      <c r="Y47" s="38">
        <v>3333397</v>
      </c>
      <c r="Z47" s="38">
        <v>200923810</v>
      </c>
      <c r="AA47" s="38">
        <f>Table4[[#This Row],[E]]/Table4[[#This Row],[V]]</f>
        <v>60.275991728557983</v>
      </c>
      <c r="AB47" s="38">
        <v>399358</v>
      </c>
      <c r="AC47" s="38"/>
      <c r="AE47" s="35"/>
    </row>
    <row r="48" spans="3:31" ht="23" hidden="1" x14ac:dyDescent="0.3">
      <c r="C48" s="6" t="s">
        <v>3813</v>
      </c>
      <c r="D48" s="3" t="s">
        <v>141</v>
      </c>
      <c r="E48" s="6" t="s">
        <v>38</v>
      </c>
      <c r="F48" s="7">
        <v>3433145</v>
      </c>
      <c r="G48" s="7">
        <v>23443737</v>
      </c>
      <c r="H48" s="6">
        <f t="shared" si="0"/>
        <v>6.8286474937702897</v>
      </c>
      <c r="I48" s="3" t="s">
        <v>1409</v>
      </c>
      <c r="J48" s="6" t="str">
        <f t="shared" si="1"/>
        <v>http://konect.cc/files/download.tsv.edit-frwiktionary.tar.bz2</v>
      </c>
      <c r="L48" s="5"/>
      <c r="X48" s="9" t="s">
        <v>1452</v>
      </c>
      <c r="Y48" s="38">
        <v>3175009</v>
      </c>
      <c r="Z48" s="38">
        <v>206621674</v>
      </c>
      <c r="AA48" s="38">
        <f>Table4[[#This Row],[E]]/Table4[[#This Row],[V]]</f>
        <v>65.077508126748612</v>
      </c>
      <c r="AB48" s="38">
        <v>369566</v>
      </c>
      <c r="AC48" s="38"/>
      <c r="AE48" s="35"/>
    </row>
    <row r="49" spans="3:31" ht="23" hidden="1" x14ac:dyDescent="0.3">
      <c r="C49" s="6" t="s">
        <v>3751</v>
      </c>
      <c r="D49" s="3" t="s">
        <v>3752</v>
      </c>
      <c r="E49" s="6" t="s">
        <v>2405</v>
      </c>
      <c r="F49" s="7">
        <v>3376972</v>
      </c>
      <c r="G49" s="7">
        <v>5838041</v>
      </c>
      <c r="H49" s="6">
        <f t="shared" si="0"/>
        <v>1.728779806288</v>
      </c>
      <c r="I49" s="3" t="s">
        <v>1351</v>
      </c>
      <c r="J49" s="6" t="str">
        <f t="shared" si="1"/>
        <v>http://konect.cc/files/download.tsv.amazon-ratings.tar.bz2</v>
      </c>
      <c r="L49" s="5"/>
      <c r="X49" s="9" t="s">
        <v>1445</v>
      </c>
      <c r="Y49" s="38">
        <v>2148791</v>
      </c>
      <c r="Z49" s="38">
        <v>155750262</v>
      </c>
      <c r="AA49" s="38">
        <f>Table4[[#This Row],[E]]/Table4[[#This Row],[V]]</f>
        <v>72.482741225181968</v>
      </c>
      <c r="AB49" s="38">
        <v>286585</v>
      </c>
      <c r="AC49" s="38"/>
      <c r="AE49" s="35"/>
    </row>
    <row r="50" spans="3:31" ht="23" hidden="1" x14ac:dyDescent="0.3">
      <c r="C50" s="6" t="s">
        <v>3847</v>
      </c>
      <c r="D50" s="3" t="s">
        <v>174</v>
      </c>
      <c r="E50" s="6" t="s">
        <v>33</v>
      </c>
      <c r="F50" s="7">
        <v>3370462</v>
      </c>
      <c r="G50" s="7">
        <v>93373056</v>
      </c>
      <c r="H50" s="6">
        <f t="shared" si="0"/>
        <v>27.70334037292217</v>
      </c>
      <c r="I50" s="3" t="s">
        <v>1442</v>
      </c>
      <c r="J50" s="6" t="str">
        <f t="shared" si="1"/>
        <v>http://konect.cc/files/download.tsv.wikipedia_link_ru.tar.bz2</v>
      </c>
      <c r="L50" s="5"/>
      <c r="X50" s="11" t="s">
        <v>5</v>
      </c>
      <c r="Y50" s="38">
        <v>8730857</v>
      </c>
      <c r="Z50" s="38">
        <v>654072972</v>
      </c>
      <c r="AA50" s="38">
        <f>Table4[[#This Row],[E]]/Table4[[#This Row],[V]]</f>
        <v>74.915093902007555</v>
      </c>
      <c r="AB50" s="38">
        <v>318268</v>
      </c>
      <c r="AC50" s="38"/>
      <c r="AE50" s="35"/>
    </row>
    <row r="51" spans="3:31" ht="23" hidden="1" x14ac:dyDescent="0.3">
      <c r="C51" s="6" t="s">
        <v>3859</v>
      </c>
      <c r="D51" s="3" t="s">
        <v>44</v>
      </c>
      <c r="E51" s="6" t="s">
        <v>33</v>
      </c>
      <c r="F51" s="7">
        <v>3333397</v>
      </c>
      <c r="G51" s="7">
        <v>123709902</v>
      </c>
      <c r="H51" s="6">
        <f t="shared" si="0"/>
        <v>37.112261755800468</v>
      </c>
      <c r="I51" s="3" t="s">
        <v>1451</v>
      </c>
      <c r="J51" s="6" t="str">
        <f t="shared" si="1"/>
        <v>http://konect.cc/files/download.tsv.wikipedia_link_fr.tar.bz2</v>
      </c>
      <c r="L51" s="5"/>
      <c r="X51" s="11" t="s">
        <v>6</v>
      </c>
      <c r="Y51" s="38">
        <v>3072441</v>
      </c>
      <c r="Z51" s="38">
        <v>234369798</v>
      </c>
      <c r="AA51" s="38">
        <f>Table4[[#This Row],[E]]/Table4[[#This Row],[V]]</f>
        <v>76.281301414738309</v>
      </c>
      <c r="AB51" s="38">
        <v>33313</v>
      </c>
      <c r="AC51" s="38"/>
      <c r="AE51" s="124"/>
    </row>
    <row r="52" spans="3:31" ht="23" x14ac:dyDescent="0.3">
      <c r="C52" s="6" t="s">
        <v>3777</v>
      </c>
      <c r="D52" s="3" t="s">
        <v>74</v>
      </c>
      <c r="E52" s="6" t="s">
        <v>102</v>
      </c>
      <c r="F52" s="7">
        <v>3223589</v>
      </c>
      <c r="G52" s="7">
        <v>9375374</v>
      </c>
      <c r="H52" s="6">
        <f t="shared" si="0"/>
        <v>2.9083651793079079</v>
      </c>
      <c r="I52" s="3" t="s">
        <v>1375</v>
      </c>
      <c r="J52" s="6" t="str">
        <f t="shared" si="1"/>
        <v>http://konect.cc/files/download.tsv.youtube-u-growth.tar.bz2</v>
      </c>
      <c r="L52" s="5"/>
      <c r="AE52" s="35"/>
    </row>
    <row r="53" spans="3:31" ht="23" x14ac:dyDescent="0.3">
      <c r="C53" s="6" t="s">
        <v>3860</v>
      </c>
      <c r="D53" s="6" t="s">
        <v>45</v>
      </c>
      <c r="E53" s="6" t="s">
        <v>33</v>
      </c>
      <c r="F53" s="7">
        <v>3175009</v>
      </c>
      <c r="G53" s="7">
        <v>139586199</v>
      </c>
      <c r="H53" s="6">
        <f t="shared" si="0"/>
        <v>43.964032542899879</v>
      </c>
      <c r="I53" s="3" t="s">
        <v>1452</v>
      </c>
      <c r="J53" s="6" t="str">
        <f t="shared" si="1"/>
        <v>http://konect.cc/files/download.tsv.wikipedia_link_sr.tar.bz2</v>
      </c>
      <c r="L53" s="5"/>
      <c r="AE53" s="35"/>
    </row>
    <row r="54" spans="3:31" ht="23" x14ac:dyDescent="0.3">
      <c r="C54" s="6" t="s">
        <v>3808</v>
      </c>
      <c r="D54" s="3" t="s">
        <v>136</v>
      </c>
      <c r="E54" s="6" t="s">
        <v>38</v>
      </c>
      <c r="F54" s="7">
        <v>3153084</v>
      </c>
      <c r="G54" s="7">
        <v>19770083</v>
      </c>
      <c r="H54" s="6">
        <f t="shared" si="0"/>
        <v>6.2700781203418625</v>
      </c>
      <c r="I54" s="3" t="s">
        <v>1404</v>
      </c>
      <c r="J54" s="6" t="str">
        <f t="shared" si="1"/>
        <v>http://konect.cc/files/download.tsv.edit-arwiki.tar.bz2</v>
      </c>
      <c r="L54" s="5"/>
      <c r="AE54" s="35"/>
    </row>
    <row r="55" spans="3:31" ht="23" x14ac:dyDescent="0.3">
      <c r="C55" s="6" t="s">
        <v>3858</v>
      </c>
      <c r="D55" s="3" t="s">
        <v>27</v>
      </c>
      <c r="E55" s="6" t="s">
        <v>43</v>
      </c>
      <c r="F55" s="7">
        <v>3072441</v>
      </c>
      <c r="G55" s="7">
        <v>117184899</v>
      </c>
      <c r="H55" s="6">
        <f t="shared" si="0"/>
        <v>38.140650707369154</v>
      </c>
      <c r="I55" s="3" t="s">
        <v>6</v>
      </c>
      <c r="J55" s="6" t="str">
        <f t="shared" si="1"/>
        <v>http://konect.cc/files/download.tsv.orkut-links.tar.bz2</v>
      </c>
      <c r="L55" s="5"/>
      <c r="AE55" s="35"/>
    </row>
    <row r="56" spans="3:31" ht="23" x14ac:dyDescent="0.3">
      <c r="C56" s="6" t="s">
        <v>3817</v>
      </c>
      <c r="D56" s="3" t="s">
        <v>147</v>
      </c>
      <c r="E56" s="6" t="s">
        <v>33</v>
      </c>
      <c r="F56" s="7">
        <v>3033373</v>
      </c>
      <c r="G56" s="7">
        <v>46656045</v>
      </c>
      <c r="H56" s="6">
        <f t="shared" si="0"/>
        <v>15.380912601252797</v>
      </c>
      <c r="I56" s="3" t="s">
        <v>1414</v>
      </c>
      <c r="J56" s="6" t="str">
        <f t="shared" si="1"/>
        <v>http://konect.cc/files/download.tsv.wikipedia_link_es.tar.bz2</v>
      </c>
      <c r="L56" s="5"/>
      <c r="AE56" s="35"/>
    </row>
    <row r="57" spans="3:31" ht="23" x14ac:dyDescent="0.3">
      <c r="C57" s="6" t="s">
        <v>3815</v>
      </c>
      <c r="D57" s="3" t="s">
        <v>144</v>
      </c>
      <c r="E57" s="6" t="s">
        <v>145</v>
      </c>
      <c r="F57" s="7">
        <v>2987535</v>
      </c>
      <c r="G57" s="7">
        <v>24981163</v>
      </c>
      <c r="H57" s="6">
        <f t="shared" si="0"/>
        <v>8.3617976023711851</v>
      </c>
      <c r="I57" s="3" t="s">
        <v>1412</v>
      </c>
      <c r="J57" s="6" t="str">
        <f t="shared" si="1"/>
        <v>http://konect.cc/files/download.tsv.wiki_talk_en.tar.bz2</v>
      </c>
      <c r="L57" s="5"/>
      <c r="AE57" s="124"/>
    </row>
    <row r="58" spans="3:31" ht="23" x14ac:dyDescent="0.3">
      <c r="C58" s="6" t="s">
        <v>3792</v>
      </c>
      <c r="D58" s="3" t="s">
        <v>117</v>
      </c>
      <c r="E58" s="6" t="s">
        <v>118</v>
      </c>
      <c r="F58" s="7">
        <v>2919613</v>
      </c>
      <c r="G58" s="7">
        <v>12887063</v>
      </c>
      <c r="H58" s="6">
        <f t="shared" si="0"/>
        <v>4.4139627409523108</v>
      </c>
      <c r="I58" s="3" t="s">
        <v>3895</v>
      </c>
      <c r="J58" s="6" t="str">
        <f t="shared" si="1"/>
        <v>http://konect.cc/files/download.tsv.munmun_twitterex_at.tar.bz2</v>
      </c>
      <c r="L58" s="5"/>
      <c r="AE58" s="35"/>
    </row>
    <row r="59" spans="3:31" ht="23" x14ac:dyDescent="0.3">
      <c r="C59" s="6" t="s">
        <v>3744</v>
      </c>
      <c r="D59" s="3" t="s">
        <v>3745</v>
      </c>
      <c r="E59" s="6" t="s">
        <v>38</v>
      </c>
      <c r="F59" s="7">
        <v>2877072</v>
      </c>
      <c r="G59" s="7">
        <v>6145080</v>
      </c>
      <c r="H59" s="6">
        <f t="shared" si="0"/>
        <v>2.1358798111413271</v>
      </c>
      <c r="I59" s="3" t="s">
        <v>1345</v>
      </c>
      <c r="J59" s="6" t="str">
        <f t="shared" si="1"/>
        <v>http://konect.cc/files/download.tsv.edit-warwiki.tar.bz2</v>
      </c>
      <c r="L59" s="5"/>
      <c r="AE59" s="35"/>
    </row>
    <row r="60" spans="3:31" ht="23" x14ac:dyDescent="0.3">
      <c r="C60" s="6" t="s">
        <v>3838</v>
      </c>
      <c r="D60" s="3" t="s">
        <v>167</v>
      </c>
      <c r="E60" s="6" t="s">
        <v>38</v>
      </c>
      <c r="F60" s="7">
        <v>2872213</v>
      </c>
      <c r="G60" s="7">
        <v>40744770</v>
      </c>
      <c r="H60" s="6">
        <f t="shared" si="0"/>
        <v>14.185845548362883</v>
      </c>
      <c r="I60" s="3" t="s">
        <v>1433</v>
      </c>
      <c r="J60" s="6" t="str">
        <f t="shared" si="1"/>
        <v>http://konect.cc/files/download.tsv.edit-plwiki.tar.bz2</v>
      </c>
      <c r="L60" s="5"/>
      <c r="AE60" s="35"/>
    </row>
    <row r="61" spans="3:31" ht="23" x14ac:dyDescent="0.3">
      <c r="C61" s="6" t="s">
        <v>3690</v>
      </c>
      <c r="D61" s="3" t="s">
        <v>3691</v>
      </c>
      <c r="E61" s="6" t="s">
        <v>38</v>
      </c>
      <c r="F61" s="7">
        <v>2766389</v>
      </c>
      <c r="G61" s="7">
        <v>4035910</v>
      </c>
      <c r="H61" s="6">
        <f t="shared" si="0"/>
        <v>1.4589090688258231</v>
      </c>
      <c r="I61" s="3" t="s">
        <v>1318</v>
      </c>
      <c r="J61" s="6" t="str">
        <f t="shared" si="1"/>
        <v>http://konect.cc/files/download.tsv.edit-enwikinews.tar.bz2</v>
      </c>
      <c r="L61" s="5"/>
      <c r="AE61" s="35"/>
    </row>
    <row r="62" spans="3:31" ht="23" x14ac:dyDescent="0.3">
      <c r="C62" s="6" t="s">
        <v>3692</v>
      </c>
      <c r="D62" s="3" t="s">
        <v>3693</v>
      </c>
      <c r="E62" s="6" t="s">
        <v>98</v>
      </c>
      <c r="F62" s="7">
        <v>2758119</v>
      </c>
      <c r="G62" s="7">
        <v>6794808</v>
      </c>
      <c r="H62" s="6">
        <f t="shared" si="0"/>
        <v>2.4635659302589916</v>
      </c>
      <c r="I62" s="3" t="s">
        <v>1319</v>
      </c>
      <c r="J62" s="6" t="str">
        <f t="shared" si="1"/>
        <v>http://konect.cc/files/download.tsv.dimacs9-LKS.tar.bz2</v>
      </c>
      <c r="L62" s="5"/>
      <c r="AE62" s="35"/>
    </row>
    <row r="63" spans="3:31" ht="23" x14ac:dyDescent="0.3">
      <c r="C63" s="6" t="s">
        <v>3825</v>
      </c>
      <c r="D63" s="3" t="s">
        <v>154</v>
      </c>
      <c r="E63" s="6" t="s">
        <v>33</v>
      </c>
      <c r="F63" s="7">
        <v>2622756</v>
      </c>
      <c r="G63" s="7">
        <v>59168169</v>
      </c>
      <c r="H63" s="6">
        <f t="shared" si="0"/>
        <v>22.559540041086553</v>
      </c>
      <c r="I63" s="3" t="s">
        <v>1422</v>
      </c>
      <c r="J63" s="6" t="str">
        <f t="shared" si="1"/>
        <v>http://konect.cc/files/download.tsv.wikipedia_link_nl.tar.bz2</v>
      </c>
      <c r="L63" s="5"/>
      <c r="AE63" s="35"/>
    </row>
    <row r="64" spans="3:31" ht="23" x14ac:dyDescent="0.3">
      <c r="C64" s="6" t="s">
        <v>2189</v>
      </c>
      <c r="D64" s="3" t="s">
        <v>41</v>
      </c>
      <c r="E64" s="6" t="s">
        <v>42</v>
      </c>
      <c r="F64" s="7">
        <v>2601977</v>
      </c>
      <c r="G64" s="7">
        <v>63497050</v>
      </c>
      <c r="H64" s="6">
        <f t="shared" si="0"/>
        <v>24.403386348149887</v>
      </c>
      <c r="I64" s="3" t="s">
        <v>7</v>
      </c>
      <c r="J64" s="6" t="str">
        <f t="shared" si="1"/>
        <v>http://konect.cc/files/download.tsv.sx-stackoverflow.tar.bz2</v>
      </c>
      <c r="L64" s="5"/>
      <c r="AE64" s="35"/>
    </row>
    <row r="65" spans="3:31" ht="23" x14ac:dyDescent="0.3">
      <c r="C65" s="6" t="s">
        <v>3703</v>
      </c>
      <c r="D65" s="3" t="s">
        <v>1531</v>
      </c>
      <c r="E65" s="6" t="s">
        <v>83</v>
      </c>
      <c r="F65" s="7">
        <v>2523386</v>
      </c>
      <c r="G65" s="7">
        <v>7918801</v>
      </c>
      <c r="H65" s="6">
        <f t="shared" si="0"/>
        <v>3.1381647516471913</v>
      </c>
      <c r="I65" s="3" t="s">
        <v>1325</v>
      </c>
      <c r="J65" s="6" t="str">
        <f t="shared" si="1"/>
        <v>http://konect.cc/files/download.tsv.flixster.tar.bz2</v>
      </c>
      <c r="L65" s="5"/>
      <c r="AE65" s="35"/>
    </row>
    <row r="66" spans="3:31" ht="23" x14ac:dyDescent="0.3">
      <c r="C66" s="6" t="s">
        <v>3784</v>
      </c>
      <c r="D66" s="3" t="s">
        <v>109</v>
      </c>
      <c r="E66" s="6" t="s">
        <v>33</v>
      </c>
      <c r="F66" s="7">
        <v>2452715</v>
      </c>
      <c r="G66" s="7">
        <v>18854882</v>
      </c>
      <c r="H66" s="6">
        <f t="shared" ref="H66:H129" si="2">G66/F66</f>
        <v>7.687351363692887</v>
      </c>
      <c r="I66" s="3" t="s">
        <v>1382</v>
      </c>
      <c r="J66" s="6" t="str">
        <f t="shared" ref="J66:J129" si="3">"http://konect.cc/files/download.tsv."&amp;I66&amp;".tar.bz2"</f>
        <v>http://konect.cc/files/download.tsv.zhishi-hudong-relatedpages.tar.bz2</v>
      </c>
      <c r="L66" s="5"/>
      <c r="Y66" s="11"/>
      <c r="Z66" s="11"/>
      <c r="AA66" s="11"/>
      <c r="AB66" s="11"/>
      <c r="AC66" s="10"/>
      <c r="AE66" s="35"/>
    </row>
    <row r="67" spans="3:31" ht="23" x14ac:dyDescent="0.3">
      <c r="C67" s="6" t="s">
        <v>2959</v>
      </c>
      <c r="D67" s="3" t="s">
        <v>2960</v>
      </c>
      <c r="E67" s="6" t="s">
        <v>38</v>
      </c>
      <c r="F67" s="7">
        <v>2409110</v>
      </c>
      <c r="G67" s="7">
        <v>6523303</v>
      </c>
      <c r="H67" s="6">
        <f t="shared" si="2"/>
        <v>2.7077646931854504</v>
      </c>
      <c r="I67" s="3" t="s">
        <v>1348</v>
      </c>
      <c r="J67" s="6" t="str">
        <f t="shared" si="3"/>
        <v>http://konect.cc/files/download.tsv.edit-frwikisource.tar.bz2</v>
      </c>
      <c r="L67" s="5"/>
      <c r="Y67" s="11"/>
      <c r="Z67" s="11"/>
      <c r="AA67" s="11"/>
      <c r="AB67" s="11"/>
      <c r="AC67" s="10"/>
      <c r="AE67" s="35"/>
    </row>
    <row r="68" spans="3:31" ht="23" x14ac:dyDescent="0.3">
      <c r="C68" s="6" t="s">
        <v>3601</v>
      </c>
      <c r="D68" s="3" t="s">
        <v>3602</v>
      </c>
      <c r="E68" s="6" t="s">
        <v>3603</v>
      </c>
      <c r="F68" s="7">
        <v>2394385</v>
      </c>
      <c r="G68" s="7">
        <v>5021410</v>
      </c>
      <c r="H68" s="6">
        <f t="shared" si="2"/>
        <v>2.0971606487678462</v>
      </c>
      <c r="I68" s="3" t="s">
        <v>11</v>
      </c>
      <c r="J68" s="6" t="str">
        <f t="shared" si="3"/>
        <v>http://konect.cc/files/download.tsv.wiki-Talk.tar.bz2</v>
      </c>
      <c r="L68" s="5"/>
      <c r="Y68" s="11"/>
      <c r="Z68" s="11"/>
      <c r="AA68" s="11"/>
      <c r="AB68" s="11"/>
      <c r="AC68" s="10"/>
      <c r="AE68" s="35"/>
    </row>
    <row r="69" spans="3:31" ht="23" x14ac:dyDescent="0.3">
      <c r="C69" s="6" t="s">
        <v>3780</v>
      </c>
      <c r="D69" s="3" t="s">
        <v>105</v>
      </c>
      <c r="E69" s="6" t="s">
        <v>38</v>
      </c>
      <c r="F69" s="7">
        <v>2308975</v>
      </c>
      <c r="G69" s="7">
        <v>11441391</v>
      </c>
      <c r="H69" s="6">
        <f t="shared" si="2"/>
        <v>4.9551818447579556</v>
      </c>
      <c r="I69" s="3" t="s">
        <v>1378</v>
      </c>
      <c r="J69" s="6" t="str">
        <f t="shared" si="3"/>
        <v>http://konect.cc/files/download.tsv.edit-idwiki.tar.bz2</v>
      </c>
      <c r="L69" s="5"/>
      <c r="X69" s="11"/>
      <c r="Y69" s="11"/>
      <c r="Z69" s="11"/>
      <c r="AA69" s="11"/>
      <c r="AB69" s="10"/>
      <c r="AC69" s="20"/>
      <c r="AE69" s="35"/>
    </row>
    <row r="70" spans="3:31" ht="23" x14ac:dyDescent="0.3">
      <c r="C70" s="6" t="s">
        <v>3828</v>
      </c>
      <c r="D70" s="6" t="s">
        <v>72</v>
      </c>
      <c r="E70" s="6" t="s">
        <v>157</v>
      </c>
      <c r="F70" s="7">
        <v>2302925</v>
      </c>
      <c r="G70" s="7">
        <v>33140017</v>
      </c>
      <c r="H70" s="6">
        <f t="shared" si="2"/>
        <v>14.390402205890336</v>
      </c>
      <c r="I70" s="3" t="s">
        <v>1424</v>
      </c>
      <c r="J70" s="6" t="str">
        <f t="shared" si="3"/>
        <v>http://konect.cc/files/download.tsv.flickr-growth.tar.bz2</v>
      </c>
      <c r="L70" s="5"/>
      <c r="X70" s="11"/>
      <c r="Y70" s="11"/>
      <c r="Z70" s="11"/>
      <c r="AA70" s="11"/>
      <c r="AB70" s="10"/>
      <c r="AC70" s="20"/>
      <c r="AE70" s="35"/>
    </row>
    <row r="71" spans="3:31" ht="23" x14ac:dyDescent="0.3">
      <c r="C71" s="6" t="s">
        <v>3805</v>
      </c>
      <c r="D71" s="3" t="s">
        <v>131</v>
      </c>
      <c r="E71" s="6" t="s">
        <v>38</v>
      </c>
      <c r="F71" s="7">
        <v>2219329</v>
      </c>
      <c r="G71" s="7">
        <v>18633506</v>
      </c>
      <c r="H71" s="6">
        <f t="shared" si="2"/>
        <v>8.3960088837662195</v>
      </c>
      <c r="I71" s="3" t="s">
        <v>1402</v>
      </c>
      <c r="J71" s="6" t="str">
        <f t="shared" si="3"/>
        <v>http://konect.cc/files/download.tsv.edit-ukwiki.tar.bz2</v>
      </c>
      <c r="L71" s="5"/>
      <c r="X71" s="11"/>
      <c r="Y71" s="11"/>
      <c r="Z71" s="11"/>
      <c r="AA71" s="11"/>
      <c r="AB71" s="10"/>
      <c r="AC71" s="20"/>
      <c r="AE71" s="35"/>
    </row>
    <row r="72" spans="3:31" ht="23" x14ac:dyDescent="0.3">
      <c r="C72" s="6" t="s">
        <v>3853</v>
      </c>
      <c r="D72" s="3" t="s">
        <v>34</v>
      </c>
      <c r="E72" s="6" t="s">
        <v>35</v>
      </c>
      <c r="F72" s="7">
        <v>2212682</v>
      </c>
      <c r="G72" s="7">
        <v>59008831</v>
      </c>
      <c r="H72" s="6">
        <f t="shared" si="2"/>
        <v>26.668464334233295</v>
      </c>
      <c r="I72" s="3" t="s">
        <v>3</v>
      </c>
      <c r="J72" s="6" t="str">
        <f t="shared" si="3"/>
        <v>http://konect.cc/files/download.tsv.link-dynamic-frwiki.tar.bz2</v>
      </c>
      <c r="L72" s="5"/>
      <c r="X72" s="11"/>
      <c r="Y72" s="11"/>
      <c r="Z72" s="11"/>
      <c r="AA72" s="11"/>
      <c r="AB72" s="10"/>
      <c r="AC72" s="20"/>
      <c r="AE72" s="35"/>
    </row>
    <row r="73" spans="3:31" ht="23" x14ac:dyDescent="0.3">
      <c r="C73" s="6" t="s">
        <v>3417</v>
      </c>
      <c r="D73" s="3" t="s">
        <v>3418</v>
      </c>
      <c r="E73" s="6" t="s">
        <v>38</v>
      </c>
      <c r="F73" s="7">
        <v>2210887</v>
      </c>
      <c r="G73" s="7">
        <v>6561379</v>
      </c>
      <c r="H73" s="6">
        <f t="shared" si="2"/>
        <v>2.9677586416673489</v>
      </c>
      <c r="I73" s="3" t="s">
        <v>1350</v>
      </c>
      <c r="J73" s="6" t="str">
        <f t="shared" si="3"/>
        <v>http://konect.cc/files/download.tsv.edit-enwikisource.tar.bz2</v>
      </c>
      <c r="L73" s="5"/>
      <c r="X73" s="11"/>
      <c r="Y73" s="11"/>
      <c r="Z73" s="11"/>
      <c r="AA73" s="11"/>
      <c r="AB73" s="10"/>
      <c r="AC73" s="20"/>
      <c r="AE73" s="35"/>
    </row>
    <row r="74" spans="3:31" ht="23" x14ac:dyDescent="0.3">
      <c r="C74" s="6" t="s">
        <v>3861</v>
      </c>
      <c r="D74" s="3" t="s">
        <v>47</v>
      </c>
      <c r="E74" s="6" t="s">
        <v>35</v>
      </c>
      <c r="F74" s="7">
        <v>2166669</v>
      </c>
      <c r="G74" s="7">
        <v>86337879</v>
      </c>
      <c r="H74" s="6">
        <f t="shared" si="2"/>
        <v>39.848208932698071</v>
      </c>
      <c r="I74" s="3" t="s">
        <v>1454</v>
      </c>
      <c r="J74" s="6" t="str">
        <f t="shared" si="3"/>
        <v>http://konect.cc/files/download.tsv.link-dynamic-dewiki.tar.bz2</v>
      </c>
      <c r="L74" s="5"/>
      <c r="X74" s="11"/>
      <c r="Y74" s="11"/>
      <c r="Z74" s="11"/>
      <c r="AA74" s="11"/>
      <c r="AB74" s="10"/>
      <c r="AC74" s="10"/>
      <c r="AE74" s="35"/>
    </row>
    <row r="75" spans="3:31" ht="23" x14ac:dyDescent="0.3">
      <c r="C75" s="6" t="s">
        <v>3851</v>
      </c>
      <c r="D75" s="3" t="s">
        <v>178</v>
      </c>
      <c r="E75" s="6" t="s">
        <v>33</v>
      </c>
      <c r="F75" s="7">
        <v>2148791</v>
      </c>
      <c r="G75" s="7">
        <v>104719994</v>
      </c>
      <c r="H75" s="6">
        <f t="shared" si="2"/>
        <v>48.734378541235515</v>
      </c>
      <c r="I75" s="3" t="s">
        <v>1445</v>
      </c>
      <c r="J75" s="6" t="str">
        <f t="shared" si="3"/>
        <v>http://konect.cc/files/download.tsv.wikipedia_link_it.tar.bz2</v>
      </c>
      <c r="L75" s="5"/>
      <c r="X75" s="11"/>
      <c r="Y75" s="11"/>
      <c r="Z75" s="11"/>
      <c r="AA75" s="11"/>
      <c r="AB75" s="10"/>
      <c r="AC75" s="10"/>
      <c r="AE75" s="35"/>
    </row>
    <row r="76" spans="3:31" ht="23" x14ac:dyDescent="0.3">
      <c r="C76" s="6" t="s">
        <v>3773</v>
      </c>
      <c r="D76" s="3" t="s">
        <v>95</v>
      </c>
      <c r="E76" s="6" t="s">
        <v>96</v>
      </c>
      <c r="F76" s="7">
        <v>2141300</v>
      </c>
      <c r="G76" s="7">
        <v>17794839</v>
      </c>
      <c r="H76" s="6">
        <f t="shared" si="2"/>
        <v>8.3102970158315035</v>
      </c>
      <c r="I76" s="3" t="s">
        <v>1371</v>
      </c>
      <c r="J76" s="6" t="str">
        <f t="shared" si="3"/>
        <v>http://konect.cc/files/download.tsv.zhishi-baidu-internallink.tar.bz2</v>
      </c>
      <c r="L76" s="5"/>
      <c r="X76" s="11"/>
      <c r="Y76" s="11"/>
      <c r="Z76" s="11"/>
      <c r="AA76" s="11"/>
      <c r="AB76" s="10"/>
      <c r="AC76" s="10"/>
      <c r="AE76" s="35"/>
    </row>
    <row r="77" spans="3:31" ht="23" x14ac:dyDescent="0.3">
      <c r="C77" s="6" t="s">
        <v>3832</v>
      </c>
      <c r="D77" s="3" t="s">
        <v>161</v>
      </c>
      <c r="E77" s="6" t="s">
        <v>33</v>
      </c>
      <c r="F77" s="7">
        <v>2105723</v>
      </c>
      <c r="G77" s="7">
        <v>66969531</v>
      </c>
      <c r="H77" s="6">
        <f t="shared" si="2"/>
        <v>31.803580527923188</v>
      </c>
      <c r="I77" s="3" t="s">
        <v>1427</v>
      </c>
      <c r="J77" s="6" t="str">
        <f t="shared" si="3"/>
        <v>http://konect.cc/files/download.tsv.wikipedia_link_fa.tar.bz2</v>
      </c>
      <c r="L77" s="5"/>
      <c r="X77" s="11"/>
      <c r="Y77" s="11"/>
      <c r="Z77" s="11"/>
      <c r="AA77" s="11"/>
      <c r="AB77" s="10"/>
      <c r="AC77" s="10"/>
      <c r="AE77" s="35"/>
    </row>
    <row r="78" spans="3:31" ht="23" x14ac:dyDescent="0.3">
      <c r="C78" s="6" t="s">
        <v>3809</v>
      </c>
      <c r="D78" s="6" t="s">
        <v>137</v>
      </c>
      <c r="E78" s="6" t="s">
        <v>33</v>
      </c>
      <c r="F78" s="7">
        <v>2093450</v>
      </c>
      <c r="G78" s="7">
        <v>38631915</v>
      </c>
      <c r="H78" s="6">
        <f t="shared" si="2"/>
        <v>18.453707993981226</v>
      </c>
      <c r="I78" s="3" t="s">
        <v>1405</v>
      </c>
      <c r="J78" s="6" t="str">
        <f t="shared" si="3"/>
        <v>http://konect.cc/files/download.tsv.wikipedia_link_war.tar.bz2</v>
      </c>
      <c r="L78" s="5"/>
      <c r="X78" s="11"/>
      <c r="Y78" s="11"/>
      <c r="Z78" s="11"/>
      <c r="AA78" s="11"/>
      <c r="AB78" s="10"/>
      <c r="AC78" s="10"/>
      <c r="AE78" s="35"/>
    </row>
    <row r="79" spans="3:31" ht="23" x14ac:dyDescent="0.3">
      <c r="C79" s="6" t="s">
        <v>3531</v>
      </c>
      <c r="D79" s="3" t="s">
        <v>3532</v>
      </c>
      <c r="E79" s="6" t="s">
        <v>36</v>
      </c>
      <c r="F79" s="7">
        <v>2036440</v>
      </c>
      <c r="G79" s="7">
        <v>3795796</v>
      </c>
      <c r="H79" s="6">
        <f t="shared" si="2"/>
        <v>1.8639370666457151</v>
      </c>
      <c r="I79" s="3" t="s">
        <v>1237</v>
      </c>
      <c r="J79" s="6" t="str">
        <f t="shared" si="3"/>
        <v>http://konect.cc/files/download.tsv.wiki-en-cat.tar.bz2</v>
      </c>
      <c r="L79" s="5"/>
      <c r="X79" s="11"/>
      <c r="Y79" s="11"/>
      <c r="Z79" s="11"/>
      <c r="AA79" s="11"/>
      <c r="AB79" s="10"/>
      <c r="AC79" s="10"/>
      <c r="AE79" s="35"/>
    </row>
    <row r="80" spans="3:31" ht="23" x14ac:dyDescent="0.3">
      <c r="C80" s="6" t="s">
        <v>3760</v>
      </c>
      <c r="D80" s="3" t="s">
        <v>75</v>
      </c>
      <c r="E80" s="6" t="s">
        <v>58</v>
      </c>
      <c r="F80" s="7">
        <v>2025594</v>
      </c>
      <c r="G80" s="7">
        <v>14414659</v>
      </c>
      <c r="H80" s="6">
        <f t="shared" si="2"/>
        <v>7.1162626864021119</v>
      </c>
      <c r="I80" s="3" t="s">
        <v>1356</v>
      </c>
      <c r="J80" s="6" t="str">
        <f t="shared" si="3"/>
        <v>http://konect.cc/files/download.tsv.discogs_affiliation.tar.bz2</v>
      </c>
      <c r="L80" s="5"/>
      <c r="X80" s="11"/>
      <c r="Y80" s="11"/>
      <c r="Z80" s="11"/>
      <c r="AA80" s="11"/>
      <c r="AB80" s="10"/>
      <c r="AC80" s="10"/>
      <c r="AE80" s="35"/>
    </row>
    <row r="81" spans="3:31" ht="23" x14ac:dyDescent="0.3">
      <c r="C81" s="6" t="s">
        <v>3769</v>
      </c>
      <c r="D81" s="3" t="s">
        <v>90</v>
      </c>
      <c r="E81" s="6" t="s">
        <v>33</v>
      </c>
      <c r="F81" s="7">
        <v>1984484</v>
      </c>
      <c r="G81" s="7">
        <v>14869484</v>
      </c>
      <c r="H81" s="6">
        <f t="shared" si="2"/>
        <v>7.4928716986380337</v>
      </c>
      <c r="I81" s="3" t="s">
        <v>1365</v>
      </c>
      <c r="J81" s="6" t="str">
        <f t="shared" si="3"/>
        <v>http://konect.cc/files/download.tsv.zhishi-hudong-internallink.tar.bz2</v>
      </c>
      <c r="L81" s="5"/>
      <c r="X81" s="11"/>
      <c r="Y81" s="11"/>
      <c r="Z81" s="11"/>
      <c r="AA81" s="11"/>
      <c r="AB81" s="10"/>
      <c r="AC81" s="10"/>
      <c r="AE81" s="35"/>
    </row>
    <row r="82" spans="3:31" ht="23" x14ac:dyDescent="0.3">
      <c r="C82" s="6" t="s">
        <v>3490</v>
      </c>
      <c r="D82" s="3" t="s">
        <v>1529</v>
      </c>
      <c r="E82" s="6" t="s">
        <v>83</v>
      </c>
      <c r="F82" s="7">
        <v>1965206</v>
      </c>
      <c r="G82" s="7">
        <v>2766607</v>
      </c>
      <c r="H82" s="6">
        <f t="shared" si="2"/>
        <v>1.4077949080147323</v>
      </c>
      <c r="I82" s="3" t="s">
        <v>1218</v>
      </c>
      <c r="J82" s="6" t="str">
        <f t="shared" si="3"/>
        <v>http://konect.cc/files/download.tsv.roadNet-CA.tar.bz2</v>
      </c>
      <c r="L82" s="5"/>
      <c r="X82" s="11"/>
      <c r="Y82" s="11"/>
      <c r="Z82" s="11"/>
      <c r="AA82" s="11"/>
      <c r="AB82" s="10"/>
      <c r="AC82" s="10"/>
      <c r="AE82" s="35"/>
    </row>
    <row r="83" spans="3:31" x14ac:dyDescent="0.3">
      <c r="C83" s="6" t="s">
        <v>3250</v>
      </c>
      <c r="D83" s="3" t="s">
        <v>3616</v>
      </c>
      <c r="E83" s="6" t="s">
        <v>98</v>
      </c>
      <c r="F83" s="7">
        <v>1890815</v>
      </c>
      <c r="G83" s="7">
        <v>4630444</v>
      </c>
      <c r="H83" s="6">
        <f t="shared" si="2"/>
        <v>2.4489143570365162</v>
      </c>
      <c r="I83" s="3" t="s">
        <v>1280</v>
      </c>
      <c r="J83" s="6" t="str">
        <f t="shared" si="3"/>
        <v>http://konect.cc/files/download.tsv.dimacs9-CAL.tar.bz2</v>
      </c>
      <c r="L83" s="5"/>
      <c r="X83" s="11"/>
      <c r="Y83" s="11"/>
      <c r="Z83" s="11"/>
      <c r="AA83" s="11"/>
      <c r="AB83" s="10"/>
      <c r="AC83" s="10"/>
    </row>
    <row r="84" spans="3:31" x14ac:dyDescent="0.3">
      <c r="C84" s="6" t="s">
        <v>3844</v>
      </c>
      <c r="D84" s="3" t="s">
        <v>171</v>
      </c>
      <c r="E84" s="6" t="s">
        <v>157</v>
      </c>
      <c r="F84" s="7">
        <v>1870709</v>
      </c>
      <c r="G84" s="7">
        <v>39953145</v>
      </c>
      <c r="H84" s="6">
        <f t="shared" si="2"/>
        <v>21.357220711505637</v>
      </c>
      <c r="I84" s="3" t="s">
        <v>1439</v>
      </c>
      <c r="J84" s="6" t="str">
        <f t="shared" si="3"/>
        <v>http://konect.cc/files/download.tsv.wikipedia-growth.tar.bz2</v>
      </c>
      <c r="L84" s="5"/>
      <c r="X84" s="11"/>
      <c r="Y84" s="11"/>
      <c r="Z84" s="11"/>
      <c r="AA84" s="11"/>
      <c r="AB84" s="10"/>
      <c r="AC84" s="10"/>
    </row>
    <row r="85" spans="3:31" x14ac:dyDescent="0.3">
      <c r="C85" s="6" t="s">
        <v>3821</v>
      </c>
      <c r="D85" s="3" t="s">
        <v>71</v>
      </c>
      <c r="E85" s="6" t="s">
        <v>151</v>
      </c>
      <c r="F85" s="7">
        <v>1824701</v>
      </c>
      <c r="G85" s="7">
        <v>29487744</v>
      </c>
      <c r="H85" s="6">
        <f t="shared" si="2"/>
        <v>16.160315580470446</v>
      </c>
      <c r="I85" s="3" t="s">
        <v>1418</v>
      </c>
      <c r="J85" s="6" t="str">
        <f t="shared" si="3"/>
        <v>http://konect.cc/files/download.tsv.dblp_coauthor.tar.bz2</v>
      </c>
      <c r="L85" s="5"/>
      <c r="X85" s="11"/>
      <c r="Y85" s="11"/>
      <c r="Z85" s="11"/>
      <c r="AA85" s="11"/>
      <c r="AB85" s="10"/>
      <c r="AC85" s="10"/>
    </row>
    <row r="86" spans="3:31" x14ac:dyDescent="0.3">
      <c r="C86" s="6" t="s">
        <v>3772</v>
      </c>
      <c r="D86" s="3" t="s">
        <v>94</v>
      </c>
      <c r="E86" s="6" t="s">
        <v>38</v>
      </c>
      <c r="F86" s="7">
        <v>1798416</v>
      </c>
      <c r="G86" s="7">
        <v>9945745</v>
      </c>
      <c r="H86" s="6">
        <f t="shared" si="2"/>
        <v>5.5302805357603582</v>
      </c>
      <c r="I86" s="3" t="s">
        <v>1370</v>
      </c>
      <c r="J86" s="6" t="str">
        <f t="shared" si="3"/>
        <v>http://konect.cc/files/download.tsv.edit-rowiki.tar.bz2</v>
      </c>
      <c r="L86" s="5"/>
      <c r="X86" s="11"/>
      <c r="Y86" s="11"/>
      <c r="Z86" s="11"/>
      <c r="AA86" s="11"/>
      <c r="AB86" s="10"/>
      <c r="AC86" s="10"/>
    </row>
    <row r="87" spans="3:31" x14ac:dyDescent="0.3">
      <c r="C87" s="6" t="s">
        <v>3837</v>
      </c>
      <c r="D87" s="3" t="s">
        <v>166</v>
      </c>
      <c r="E87" s="6" t="s">
        <v>33</v>
      </c>
      <c r="F87" s="7">
        <v>1786381</v>
      </c>
      <c r="G87" s="7">
        <v>72614837</v>
      </c>
      <c r="H87" s="6">
        <f t="shared" si="2"/>
        <v>40.649131960091381</v>
      </c>
      <c r="I87" s="3" t="s">
        <v>1432</v>
      </c>
      <c r="J87" s="6" t="str">
        <f t="shared" si="3"/>
        <v>http://konect.cc/files/download.tsv.wikipedia_link_zh.tar.bz2</v>
      </c>
      <c r="L87" s="5"/>
      <c r="X87" s="11"/>
      <c r="Y87" s="11"/>
      <c r="Z87" s="11"/>
      <c r="AA87" s="11"/>
      <c r="AB87" s="10"/>
      <c r="AC87" s="10"/>
    </row>
    <row r="88" spans="3:31" x14ac:dyDescent="0.3">
      <c r="C88" s="6" t="s">
        <v>3846</v>
      </c>
      <c r="D88" s="3" t="s">
        <v>173</v>
      </c>
      <c r="E88" s="6" t="s">
        <v>33</v>
      </c>
      <c r="F88" s="7">
        <v>1767268</v>
      </c>
      <c r="G88" s="7">
        <v>83202622</v>
      </c>
      <c r="H88" s="6">
        <f t="shared" si="2"/>
        <v>47.079798876005221</v>
      </c>
      <c r="I88" s="3" t="s">
        <v>1441</v>
      </c>
      <c r="J88" s="6" t="str">
        <f t="shared" si="3"/>
        <v>http://konect.cc/files/download.tsv.wikipedia_link_ja.tar.bz2</v>
      </c>
      <c r="L88" s="5"/>
      <c r="X88" s="11"/>
      <c r="Y88" s="11"/>
      <c r="Z88" s="11"/>
      <c r="AA88" s="11"/>
      <c r="AB88" s="10"/>
      <c r="AC88" s="10"/>
    </row>
    <row r="89" spans="3:31" x14ac:dyDescent="0.3">
      <c r="C89" s="6" t="s">
        <v>3756</v>
      </c>
      <c r="D89" s="3" t="s">
        <v>3757</v>
      </c>
      <c r="E89" s="6" t="s">
        <v>58</v>
      </c>
      <c r="F89" s="7">
        <v>1754838</v>
      </c>
      <c r="G89" s="7">
        <v>19033891</v>
      </c>
      <c r="H89" s="6">
        <f t="shared" si="2"/>
        <v>10.846523154843922</v>
      </c>
      <c r="I89" s="3" t="s">
        <v>1354</v>
      </c>
      <c r="J89" s="6" t="str">
        <f t="shared" si="3"/>
        <v>http://konect.cc/files/download.tsv.discogs_genre.tar.bz2</v>
      </c>
      <c r="L89" s="5"/>
    </row>
    <row r="90" spans="3:31" x14ac:dyDescent="0.3">
      <c r="C90" s="6" t="s">
        <v>3822</v>
      </c>
      <c r="D90" s="3" t="s">
        <v>152</v>
      </c>
      <c r="E90" s="6" t="s">
        <v>33</v>
      </c>
      <c r="F90" s="7">
        <v>1744781</v>
      </c>
      <c r="G90" s="7">
        <v>57679728</v>
      </c>
      <c r="H90" s="6">
        <f t="shared" si="2"/>
        <v>33.058434267681733</v>
      </c>
      <c r="I90" s="3" t="s">
        <v>1419</v>
      </c>
      <c r="J90" s="6" t="str">
        <f t="shared" si="3"/>
        <v>http://konect.cc/files/download.tsv.wikipedia_link_pt.tar.bz2</v>
      </c>
      <c r="L90" s="5"/>
      <c r="Z90" s="3"/>
      <c r="AA90" s="3"/>
    </row>
    <row r="91" spans="3:31" x14ac:dyDescent="0.3">
      <c r="C91" s="6" t="s">
        <v>3850</v>
      </c>
      <c r="D91" s="6" t="s">
        <v>177</v>
      </c>
      <c r="E91" s="6" t="s">
        <v>58</v>
      </c>
      <c r="F91" s="7">
        <v>1729302</v>
      </c>
      <c r="G91" s="7">
        <v>151632178</v>
      </c>
      <c r="H91" s="6">
        <f t="shared" si="2"/>
        <v>87.684035524159455</v>
      </c>
      <c r="I91" s="3" t="s">
        <v>1444</v>
      </c>
      <c r="J91" s="6" t="str">
        <f t="shared" si="3"/>
        <v>http://konect.cc/files/download.tsv.gottron-trec.tar.bz2</v>
      </c>
      <c r="L91" s="5"/>
      <c r="Z91" s="3"/>
      <c r="AA91" s="3"/>
    </row>
    <row r="92" spans="3:31" x14ac:dyDescent="0.3">
      <c r="C92" s="6" t="s">
        <v>3767</v>
      </c>
      <c r="D92" s="3" t="s">
        <v>87</v>
      </c>
      <c r="E92" s="6" t="s">
        <v>88</v>
      </c>
      <c r="F92" s="7">
        <v>1715255</v>
      </c>
      <c r="G92" s="7">
        <v>15551250</v>
      </c>
      <c r="H92" s="6">
        <f t="shared" si="2"/>
        <v>9.0664361858732381</v>
      </c>
      <c r="I92" s="3" t="s">
        <v>1363</v>
      </c>
      <c r="J92" s="6" t="str">
        <f t="shared" si="3"/>
        <v>http://konect.cc/files/download.tsv.flickr-links.tar.bz2</v>
      </c>
      <c r="L92" s="5"/>
      <c r="Z92" s="3"/>
      <c r="AA92" s="3"/>
    </row>
    <row r="93" spans="3:31" x14ac:dyDescent="0.3">
      <c r="C93" s="6" t="s">
        <v>3746</v>
      </c>
      <c r="D93" s="3" t="s">
        <v>1532</v>
      </c>
      <c r="E93" s="6" t="s">
        <v>83</v>
      </c>
      <c r="F93" s="7">
        <v>1696415</v>
      </c>
      <c r="G93" s="7">
        <v>11095298</v>
      </c>
      <c r="H93" s="6">
        <f t="shared" si="2"/>
        <v>6.5404385129817877</v>
      </c>
      <c r="I93" s="3" t="s">
        <v>1346</v>
      </c>
      <c r="J93" s="6" t="str">
        <f t="shared" si="3"/>
        <v>http://konect.cc/files/download.tsv.as-skitter.tar.bz2</v>
      </c>
      <c r="L93" s="5"/>
      <c r="Z93" s="3"/>
      <c r="AA93" s="3"/>
    </row>
    <row r="94" spans="3:31" x14ac:dyDescent="0.3">
      <c r="C94" s="6" t="s">
        <v>3834</v>
      </c>
      <c r="D94" s="3" t="s">
        <v>163</v>
      </c>
      <c r="E94" s="6" t="s">
        <v>33</v>
      </c>
      <c r="F94" s="7">
        <v>1688608</v>
      </c>
      <c r="G94" s="7">
        <v>70256468</v>
      </c>
      <c r="H94" s="6">
        <f t="shared" si="2"/>
        <v>41.606144232409179</v>
      </c>
      <c r="I94" s="3" t="s">
        <v>1429</v>
      </c>
      <c r="J94" s="6" t="str">
        <f t="shared" si="3"/>
        <v>http://konect.cc/files/download.tsv.wikipedia_link_pl.tar.bz2</v>
      </c>
      <c r="L94" s="5"/>
      <c r="Z94" s="3"/>
      <c r="AA94" s="3"/>
    </row>
    <row r="95" spans="3:31" x14ac:dyDescent="0.3">
      <c r="C95" s="6" t="s">
        <v>3788</v>
      </c>
      <c r="D95" s="3" t="s">
        <v>113</v>
      </c>
      <c r="E95" s="6" t="s">
        <v>38</v>
      </c>
      <c r="F95" s="7">
        <v>1687395</v>
      </c>
      <c r="G95" s="7">
        <v>13472951</v>
      </c>
      <c r="H95" s="6">
        <f t="shared" si="2"/>
        <v>7.984467774291141</v>
      </c>
      <c r="I95" s="3" t="s">
        <v>1386</v>
      </c>
      <c r="J95" s="6" t="str">
        <f t="shared" si="3"/>
        <v>http://konect.cc/files/download.tsv.edit-trwiki.tar.bz2</v>
      </c>
      <c r="L95" s="5"/>
      <c r="Z95" s="3"/>
      <c r="AA95" s="3"/>
    </row>
    <row r="96" spans="3:31" x14ac:dyDescent="0.3">
      <c r="C96" s="6" t="s">
        <v>3659</v>
      </c>
      <c r="D96" s="3" t="s">
        <v>78</v>
      </c>
      <c r="E96" s="6" t="s">
        <v>98</v>
      </c>
      <c r="F96" s="7">
        <v>1632803</v>
      </c>
      <c r="G96" s="7">
        <v>30622564</v>
      </c>
      <c r="H96" s="6">
        <f t="shared" si="2"/>
        <v>18.754598074599325</v>
      </c>
      <c r="I96" s="3" t="s">
        <v>1396</v>
      </c>
      <c r="J96" s="6" t="str">
        <f t="shared" si="3"/>
        <v>http://konect.cc/files/download.tsv.soc-pokec-relationships.tar.bz2</v>
      </c>
      <c r="L96" s="5"/>
      <c r="Z96" s="3"/>
      <c r="AA96" s="3"/>
    </row>
    <row r="97" spans="3:27" x14ac:dyDescent="0.3">
      <c r="C97" s="6" t="s">
        <v>3868</v>
      </c>
      <c r="D97" s="6" t="s">
        <v>55</v>
      </c>
      <c r="E97" s="6" t="s">
        <v>56</v>
      </c>
      <c r="F97" s="7">
        <v>1625951</v>
      </c>
      <c r="G97" s="7">
        <v>256804235</v>
      </c>
      <c r="H97" s="6">
        <f t="shared" si="2"/>
        <v>157.94094348476676</v>
      </c>
      <c r="I97" s="3" t="s">
        <v>1458</v>
      </c>
      <c r="J97" s="6" t="str">
        <f t="shared" si="3"/>
        <v>http://konect.cc/files/download.tsv.yahoo-song.tar.bz2</v>
      </c>
      <c r="L97" s="5"/>
      <c r="Z97" s="3"/>
      <c r="AA97" s="3"/>
    </row>
    <row r="98" spans="3:27" x14ac:dyDescent="0.3">
      <c r="C98" s="6" t="s">
        <v>3778</v>
      </c>
      <c r="D98" s="3" t="s">
        <v>103</v>
      </c>
      <c r="E98" s="6" t="s">
        <v>58</v>
      </c>
      <c r="F98" s="7">
        <v>1618326</v>
      </c>
      <c r="G98" s="7">
        <v>24085580</v>
      </c>
      <c r="H98" s="6">
        <f t="shared" si="2"/>
        <v>14.883021097108989</v>
      </c>
      <c r="I98" s="3" t="s">
        <v>1376</v>
      </c>
      <c r="J98" s="6" t="str">
        <f t="shared" si="3"/>
        <v>http://konect.cc/files/download.tsv.discogs_style.tar.bz2</v>
      </c>
      <c r="L98" s="5"/>
      <c r="Z98" s="3"/>
      <c r="AA98" s="3"/>
    </row>
    <row r="99" spans="3:27" x14ac:dyDescent="0.3">
      <c r="C99" s="6" t="s">
        <v>3790</v>
      </c>
      <c r="D99" s="3" t="s">
        <v>114</v>
      </c>
      <c r="E99" s="6" t="s">
        <v>38</v>
      </c>
      <c r="F99" s="7">
        <v>1614822</v>
      </c>
      <c r="G99" s="7">
        <v>14237677</v>
      </c>
      <c r="H99" s="6">
        <f t="shared" si="2"/>
        <v>8.8168708377765483</v>
      </c>
      <c r="I99" s="3" t="s">
        <v>1388</v>
      </c>
      <c r="J99" s="6" t="str">
        <f t="shared" si="3"/>
        <v>http://konect.cc/files/download.tsv.edit-kowiki.tar.bz2</v>
      </c>
      <c r="L99" s="5"/>
      <c r="Z99" s="3"/>
      <c r="AA99" s="3"/>
    </row>
    <row r="100" spans="3:27" x14ac:dyDescent="0.3">
      <c r="C100" s="6" t="s">
        <v>3712</v>
      </c>
      <c r="D100" s="3" t="s">
        <v>3713</v>
      </c>
      <c r="E100" s="6" t="s">
        <v>98</v>
      </c>
      <c r="F100" s="7">
        <v>1601787</v>
      </c>
      <c r="G100" s="7">
        <v>8063026</v>
      </c>
      <c r="H100" s="6">
        <f t="shared" si="2"/>
        <v>5.033769159070463</v>
      </c>
      <c r="I100" s="3" t="s">
        <v>1330</v>
      </c>
      <c r="J100" s="6" t="str">
        <f t="shared" si="3"/>
        <v>http://konect.cc/files/download.tsv.trec-wt10g.tar.bz2</v>
      </c>
      <c r="L100" s="5"/>
      <c r="Z100" s="3"/>
      <c r="AA100" s="3"/>
    </row>
    <row r="101" spans="3:27" x14ac:dyDescent="0.3">
      <c r="C101" s="6" t="s">
        <v>3143</v>
      </c>
      <c r="D101" s="3" t="s">
        <v>3566</v>
      </c>
      <c r="E101" s="6" t="s">
        <v>98</v>
      </c>
      <c r="F101" s="7">
        <v>1524453</v>
      </c>
      <c r="G101" s="7">
        <v>3868020</v>
      </c>
      <c r="H101" s="6">
        <f t="shared" si="2"/>
        <v>2.5373166637475868</v>
      </c>
      <c r="I101" s="3" t="s">
        <v>1256</v>
      </c>
      <c r="J101" s="6" t="str">
        <f t="shared" si="3"/>
        <v>http://konect.cc/files/download.tsv.dimacs9-NE.tar.bz2</v>
      </c>
      <c r="L101" s="5"/>
      <c r="Z101" s="3"/>
      <c r="AA101" s="3"/>
    </row>
    <row r="102" spans="3:27" x14ac:dyDescent="0.3">
      <c r="C102" s="6" t="s">
        <v>3604</v>
      </c>
      <c r="D102" s="3" t="s">
        <v>3605</v>
      </c>
      <c r="E102" s="6" t="s">
        <v>116</v>
      </c>
      <c r="F102" s="7">
        <v>1502611</v>
      </c>
      <c r="G102" s="7">
        <v>2635885</v>
      </c>
      <c r="H102" s="6">
        <f t="shared" si="2"/>
        <v>1.7542031836583121</v>
      </c>
      <c r="I102" s="3" t="s">
        <v>3892</v>
      </c>
      <c r="J102" s="6" t="str">
        <f t="shared" si="3"/>
        <v>http://konect.cc/files/download.tsv.munmun_twitterex_ti.tar.bz2</v>
      </c>
      <c r="L102" s="5"/>
      <c r="Z102" s="3"/>
      <c r="AA102" s="3"/>
    </row>
    <row r="103" spans="3:27" x14ac:dyDescent="0.3">
      <c r="C103" s="6" t="s">
        <v>3797</v>
      </c>
      <c r="D103" s="3" t="s">
        <v>123</v>
      </c>
      <c r="E103" s="6" t="s">
        <v>38</v>
      </c>
      <c r="F103" s="7">
        <v>1433726</v>
      </c>
      <c r="G103" s="7">
        <v>17396142</v>
      </c>
      <c r="H103" s="6">
        <f t="shared" si="2"/>
        <v>12.133519235893051</v>
      </c>
      <c r="I103" s="3" t="s">
        <v>1393</v>
      </c>
      <c r="J103" s="6" t="str">
        <f t="shared" si="3"/>
        <v>http://konect.cc/files/download.tsv.edit-cawiki.tar.bz2</v>
      </c>
      <c r="L103" s="5"/>
      <c r="Z103" s="3"/>
      <c r="AA103" s="3"/>
    </row>
    <row r="104" spans="3:27" x14ac:dyDescent="0.3">
      <c r="C104" s="6" t="s">
        <v>3701</v>
      </c>
      <c r="D104" s="3" t="s">
        <v>3702</v>
      </c>
      <c r="E104" s="6" t="s">
        <v>145</v>
      </c>
      <c r="F104" s="7">
        <v>1420367</v>
      </c>
      <c r="G104" s="7">
        <v>4641928</v>
      </c>
      <c r="H104" s="6">
        <f t="shared" si="2"/>
        <v>3.2681187326937335</v>
      </c>
      <c r="I104" s="3" t="s">
        <v>1324</v>
      </c>
      <c r="J104" s="6" t="str">
        <f t="shared" si="3"/>
        <v>http://konect.cc/files/download.tsv.wiki_talk_fr.tar.bz2</v>
      </c>
      <c r="L104" s="5"/>
      <c r="Z104" s="3"/>
      <c r="AA104" s="3"/>
    </row>
    <row r="105" spans="3:27" x14ac:dyDescent="0.3">
      <c r="C105" s="6" t="s">
        <v>3786</v>
      </c>
      <c r="D105" s="3" t="s">
        <v>111</v>
      </c>
      <c r="E105" s="6" t="s">
        <v>38</v>
      </c>
      <c r="F105" s="7">
        <v>1416821</v>
      </c>
      <c r="G105" s="7">
        <v>13611993</v>
      </c>
      <c r="H105" s="6">
        <f t="shared" si="2"/>
        <v>9.6074190035297331</v>
      </c>
      <c r="I105" s="3" t="s">
        <v>1384</v>
      </c>
      <c r="J105" s="6" t="str">
        <f t="shared" si="3"/>
        <v>http://konect.cc/files/download.tsv.edit-srwiki.tar.bz2</v>
      </c>
      <c r="L105" s="5"/>
      <c r="Z105" s="3"/>
      <c r="AA105" s="3"/>
    </row>
    <row r="106" spans="3:27" x14ac:dyDescent="0.3">
      <c r="C106" s="6" t="s">
        <v>2261</v>
      </c>
      <c r="D106" s="3" t="s">
        <v>1528</v>
      </c>
      <c r="E106" s="6" t="s">
        <v>83</v>
      </c>
      <c r="F106" s="7">
        <v>1402673</v>
      </c>
      <c r="G106" s="7">
        <v>2777419</v>
      </c>
      <c r="H106" s="6">
        <f t="shared" si="2"/>
        <v>1.9800901564370312</v>
      </c>
      <c r="I106" s="3" t="s">
        <v>1216</v>
      </c>
      <c r="J106" s="6" t="str">
        <f t="shared" si="3"/>
        <v>http://konect.cc/files/download.tsv.hyves.tar.bz2</v>
      </c>
      <c r="L106" s="5"/>
      <c r="Z106" s="3"/>
      <c r="AA106" s="3"/>
    </row>
    <row r="107" spans="3:27" x14ac:dyDescent="0.3">
      <c r="C107" s="6" t="s">
        <v>3768</v>
      </c>
      <c r="D107" s="3" t="s">
        <v>89</v>
      </c>
      <c r="E107" s="6" t="s">
        <v>54</v>
      </c>
      <c r="F107" s="7">
        <v>1382867</v>
      </c>
      <c r="G107" s="7">
        <v>13591473</v>
      </c>
      <c r="H107" s="6">
        <f t="shared" si="2"/>
        <v>9.8284744664526666</v>
      </c>
      <c r="I107" s="3" t="s">
        <v>1364</v>
      </c>
      <c r="J107" s="6" t="str">
        <f t="shared" si="3"/>
        <v>http://konect.cc/files/download.tsv.dimacs10-in-2004.tar.bz2</v>
      </c>
      <c r="L107" s="5"/>
      <c r="Z107" s="3"/>
      <c r="AA107" s="3"/>
    </row>
    <row r="108" spans="3:27" x14ac:dyDescent="0.3">
      <c r="C108" s="6" t="s">
        <v>3407</v>
      </c>
      <c r="D108" s="3" t="s">
        <v>1524</v>
      </c>
      <c r="E108" s="6" t="s">
        <v>83</v>
      </c>
      <c r="F108" s="7">
        <v>1379917</v>
      </c>
      <c r="G108" s="7">
        <v>1921660</v>
      </c>
      <c r="H108" s="6">
        <f t="shared" si="2"/>
        <v>1.3925910036618145</v>
      </c>
      <c r="I108" s="3" t="s">
        <v>1171</v>
      </c>
      <c r="J108" s="6" t="str">
        <f t="shared" si="3"/>
        <v>http://konect.cc/files/download.tsv.roadNet-TX.tar.bz2</v>
      </c>
      <c r="L108" s="5"/>
      <c r="Z108" s="3"/>
      <c r="AA108" s="3"/>
    </row>
    <row r="109" spans="3:27" x14ac:dyDescent="0.3">
      <c r="C109" s="6" t="s">
        <v>3819</v>
      </c>
      <c r="D109" s="3" t="s">
        <v>149</v>
      </c>
      <c r="E109" s="6" t="s">
        <v>33</v>
      </c>
      <c r="F109" s="7">
        <v>1372591</v>
      </c>
      <c r="G109" s="7">
        <v>51077243</v>
      </c>
      <c r="H109" s="6">
        <f t="shared" si="2"/>
        <v>37.212281735782909</v>
      </c>
      <c r="I109" s="3" t="s">
        <v>1416</v>
      </c>
      <c r="J109" s="6" t="str">
        <f t="shared" si="3"/>
        <v>http://konect.cc/files/download.tsv.wikipedia_link_vi.tar.bz2</v>
      </c>
      <c r="L109" s="5"/>
      <c r="Z109" s="3"/>
      <c r="AA109" s="3"/>
    </row>
    <row r="110" spans="3:27" x14ac:dyDescent="0.3">
      <c r="C110" s="6" t="s">
        <v>2387</v>
      </c>
      <c r="D110" s="3" t="s">
        <v>3714</v>
      </c>
      <c r="E110" s="6" t="s">
        <v>3715</v>
      </c>
      <c r="F110" s="7">
        <v>1369055</v>
      </c>
      <c r="G110" s="7">
        <v>8650089</v>
      </c>
      <c r="H110" s="6">
        <f t="shared" si="2"/>
        <v>6.3182918144267397</v>
      </c>
      <c r="I110" s="3" t="s">
        <v>3893</v>
      </c>
      <c r="J110" s="6" t="str">
        <f t="shared" si="3"/>
        <v>http://konect.cc/files/download.tsv.arnetminer.tar.bz2</v>
      </c>
      <c r="L110" s="5"/>
      <c r="Z110" s="3"/>
      <c r="AA110" s="3"/>
    </row>
    <row r="111" spans="3:27" x14ac:dyDescent="0.3">
      <c r="C111" s="6" t="s">
        <v>3718</v>
      </c>
      <c r="D111" s="3" t="s">
        <v>3719</v>
      </c>
      <c r="E111" s="6" t="s">
        <v>38</v>
      </c>
      <c r="F111" s="7">
        <v>1347094</v>
      </c>
      <c r="G111" s="7">
        <v>5276371</v>
      </c>
      <c r="H111" s="6">
        <f t="shared" si="2"/>
        <v>3.9168543546330099</v>
      </c>
      <c r="I111" s="3" t="s">
        <v>1332</v>
      </c>
      <c r="J111" s="6" t="str">
        <f t="shared" si="3"/>
        <v>http://konect.cc/files/download.tsv.edit-zhwiktionary.tar.bz2</v>
      </c>
      <c r="L111" s="5"/>
      <c r="Z111" s="3"/>
      <c r="AA111" s="3"/>
    </row>
    <row r="112" spans="3:27" x14ac:dyDescent="0.3">
      <c r="C112" s="6" t="s">
        <v>3794</v>
      </c>
      <c r="D112" s="3" t="s">
        <v>120</v>
      </c>
      <c r="E112" s="6" t="s">
        <v>38</v>
      </c>
      <c r="F112" s="7">
        <v>1340021</v>
      </c>
      <c r="G112" s="7">
        <v>15620508</v>
      </c>
      <c r="H112" s="6">
        <f t="shared" si="2"/>
        <v>11.656912839425651</v>
      </c>
      <c r="I112" s="3" t="s">
        <v>1390</v>
      </c>
      <c r="J112" s="6" t="str">
        <f t="shared" si="3"/>
        <v>http://konect.cc/files/download.tsv.edit-nowiki.tar.bz2</v>
      </c>
      <c r="L112" s="5"/>
      <c r="Z112" s="3"/>
      <c r="AA112" s="3"/>
    </row>
    <row r="113" spans="3:27" x14ac:dyDescent="0.3">
      <c r="C113" s="6" t="s">
        <v>3798</v>
      </c>
      <c r="D113" s="3" t="s">
        <v>124</v>
      </c>
      <c r="E113" s="6" t="s">
        <v>38</v>
      </c>
      <c r="F113" s="7">
        <v>1280637</v>
      </c>
      <c r="G113" s="7">
        <v>16945613</v>
      </c>
      <c r="H113" s="6">
        <f t="shared" si="2"/>
        <v>13.232175081619538</v>
      </c>
      <c r="I113" s="3" t="s">
        <v>1394</v>
      </c>
      <c r="J113" s="6" t="str">
        <f t="shared" si="3"/>
        <v>http://konect.cc/files/download.tsv.edit-huwiki.tar.bz2</v>
      </c>
      <c r="L113" s="5"/>
      <c r="Z113" s="3"/>
      <c r="AA113" s="3"/>
    </row>
    <row r="114" spans="3:27" x14ac:dyDescent="0.3">
      <c r="C114" s="6" t="s">
        <v>3764</v>
      </c>
      <c r="D114" s="3" t="s">
        <v>85</v>
      </c>
      <c r="E114" s="6" t="s">
        <v>38</v>
      </c>
      <c r="F114" s="7">
        <v>1274165</v>
      </c>
      <c r="G114" s="7">
        <v>8349235</v>
      </c>
      <c r="H114" s="6">
        <f t="shared" si="2"/>
        <v>6.5527109911196746</v>
      </c>
      <c r="I114" s="3" t="s">
        <v>1360</v>
      </c>
      <c r="J114" s="6" t="str">
        <f t="shared" si="3"/>
        <v>http://konect.cc/files/download.tsv.edit-ruwiktionary.tar.bz2</v>
      </c>
      <c r="L114" s="5"/>
      <c r="Z114" s="3"/>
      <c r="AA114" s="3"/>
    </row>
    <row r="115" spans="3:27" x14ac:dyDescent="0.3">
      <c r="C115" s="6" t="s">
        <v>3787</v>
      </c>
      <c r="D115" s="6" t="s">
        <v>112</v>
      </c>
      <c r="E115" s="6" t="s">
        <v>38</v>
      </c>
      <c r="F115" s="7">
        <v>1225701</v>
      </c>
      <c r="G115" s="7">
        <v>13557662</v>
      </c>
      <c r="H115" s="6">
        <f t="shared" si="2"/>
        <v>11.061149497308071</v>
      </c>
      <c r="I115" s="3" t="s">
        <v>1385</v>
      </c>
      <c r="J115" s="6" t="str">
        <f t="shared" si="3"/>
        <v>http://konect.cc/files/download.tsv.edit-fiwiki.tar.bz2</v>
      </c>
      <c r="L115" s="5"/>
      <c r="Z115" s="3"/>
      <c r="AA115" s="3"/>
    </row>
    <row r="116" spans="3:27" x14ac:dyDescent="0.3">
      <c r="C116" s="6" t="s">
        <v>3571</v>
      </c>
      <c r="D116" s="3" t="s">
        <v>3572</v>
      </c>
      <c r="E116" s="6" t="s">
        <v>145</v>
      </c>
      <c r="F116" s="7">
        <v>1219241</v>
      </c>
      <c r="G116" s="7">
        <v>2284546</v>
      </c>
      <c r="H116" s="6">
        <f t="shared" si="2"/>
        <v>1.8737444032804016</v>
      </c>
      <c r="I116" s="3" t="s">
        <v>1260</v>
      </c>
      <c r="J116" s="6" t="str">
        <f t="shared" si="3"/>
        <v>http://konect.cc/files/download.tsv.wiki_talk_zh.tar.bz2</v>
      </c>
      <c r="L116" s="5"/>
      <c r="Z116" s="3"/>
      <c r="AA116" s="3"/>
    </row>
    <row r="117" spans="3:27" x14ac:dyDescent="0.3">
      <c r="C117" s="6" t="s">
        <v>3143</v>
      </c>
      <c r="D117" s="3" t="s">
        <v>3485</v>
      </c>
      <c r="E117" s="6" t="s">
        <v>98</v>
      </c>
      <c r="F117" s="7">
        <v>1207945</v>
      </c>
      <c r="G117" s="7">
        <v>2820774</v>
      </c>
      <c r="H117" s="6">
        <f t="shared" si="2"/>
        <v>2.335184135039261</v>
      </c>
      <c r="I117" s="3" t="s">
        <v>1214</v>
      </c>
      <c r="J117" s="6" t="str">
        <f t="shared" si="3"/>
        <v>http://konect.cc/files/download.tsv.dimacs9-NW.tar.bz2</v>
      </c>
      <c r="L117" s="5"/>
      <c r="Z117" s="3"/>
      <c r="AA117" s="3"/>
    </row>
    <row r="118" spans="3:27" x14ac:dyDescent="0.3">
      <c r="C118" s="6" t="s">
        <v>3831</v>
      </c>
      <c r="D118" s="3" t="s">
        <v>160</v>
      </c>
      <c r="E118" s="6" t="s">
        <v>35</v>
      </c>
      <c r="F118" s="7">
        <v>1204009</v>
      </c>
      <c r="G118" s="7">
        <v>34826283</v>
      </c>
      <c r="H118" s="6">
        <f t="shared" si="2"/>
        <v>28.925268000488369</v>
      </c>
      <c r="I118" s="3" t="s">
        <v>4</v>
      </c>
      <c r="J118" s="6" t="str">
        <f t="shared" si="3"/>
        <v>http://konect.cc/files/download.tsv.link-dynamic-itwiki.tar.bz2</v>
      </c>
      <c r="L118" s="5"/>
      <c r="Z118" s="3"/>
      <c r="AA118" s="3"/>
    </row>
    <row r="119" spans="3:27" x14ac:dyDescent="0.3">
      <c r="C119" s="6" t="s">
        <v>3823</v>
      </c>
      <c r="D119" s="3" t="s">
        <v>153</v>
      </c>
      <c r="E119" s="6" t="s">
        <v>33</v>
      </c>
      <c r="F119" s="7">
        <v>1201408</v>
      </c>
      <c r="G119" s="7">
        <v>59136839</v>
      </c>
      <c r="H119" s="6">
        <f t="shared" si="2"/>
        <v>49.222944245418709</v>
      </c>
      <c r="I119" s="3" t="s">
        <v>1420</v>
      </c>
      <c r="J119" s="6" t="str">
        <f t="shared" si="3"/>
        <v>http://konect.cc/files/download.tsv.wikipedia_link_uk.tar.bz2</v>
      </c>
      <c r="L119" s="5"/>
      <c r="Z119" s="3"/>
      <c r="AA119" s="3"/>
    </row>
    <row r="120" spans="3:27" x14ac:dyDescent="0.3">
      <c r="C120" s="6" t="s">
        <v>3470</v>
      </c>
      <c r="D120" s="3" t="s">
        <v>1527</v>
      </c>
      <c r="E120" s="6" t="s">
        <v>36</v>
      </c>
      <c r="F120" s="7">
        <v>1199919</v>
      </c>
      <c r="G120" s="7">
        <v>3782463</v>
      </c>
      <c r="H120" s="6">
        <f t="shared" si="2"/>
        <v>3.1522652779062588</v>
      </c>
      <c r="I120" s="3" t="s">
        <v>1245</v>
      </c>
      <c r="J120" s="6" t="str">
        <f t="shared" si="3"/>
        <v>http://konect.cc/files/download.tsv.actor2.tar.bz2</v>
      </c>
      <c r="L120" s="5"/>
      <c r="Z120" s="3"/>
      <c r="AA120" s="3"/>
    </row>
    <row r="121" spans="3:27" x14ac:dyDescent="0.3">
      <c r="C121" s="6" t="s">
        <v>3614</v>
      </c>
      <c r="D121" s="3" t="s">
        <v>3615</v>
      </c>
      <c r="E121" s="6" t="s">
        <v>1788</v>
      </c>
      <c r="F121" s="7">
        <v>1138499</v>
      </c>
      <c r="G121" s="7">
        <v>4942297</v>
      </c>
      <c r="H121" s="6">
        <f t="shared" si="2"/>
        <v>4.3410639798541766</v>
      </c>
      <c r="I121" s="3" t="s">
        <v>1279</v>
      </c>
      <c r="J121" s="6" t="str">
        <f t="shared" si="3"/>
        <v>http://konect.cc/files/download.tsv.youtube-links.tar.bz2</v>
      </c>
      <c r="L121" s="5"/>
      <c r="Z121" s="3"/>
      <c r="AA121" s="3"/>
    </row>
    <row r="122" spans="3:27" x14ac:dyDescent="0.3">
      <c r="C122" s="6" t="s">
        <v>3476</v>
      </c>
      <c r="D122" s="3" t="s">
        <v>3477</v>
      </c>
      <c r="E122" s="6" t="s">
        <v>83</v>
      </c>
      <c r="F122" s="7">
        <v>1134890</v>
      </c>
      <c r="G122" s="7">
        <v>2987624</v>
      </c>
      <c r="H122" s="6">
        <f t="shared" si="2"/>
        <v>2.6325229757950108</v>
      </c>
      <c r="I122" s="3" t="s">
        <v>1209</v>
      </c>
      <c r="J122" s="6" t="str">
        <f t="shared" si="3"/>
        <v>http://konect.cc/files/download.tsv.com-youtube.tar.bz2</v>
      </c>
      <c r="L122" s="5"/>
      <c r="Z122" s="3"/>
      <c r="AA122" s="3"/>
    </row>
    <row r="123" spans="3:27" x14ac:dyDescent="0.3">
      <c r="C123" s="6" t="s">
        <v>3785</v>
      </c>
      <c r="D123" s="3" t="s">
        <v>110</v>
      </c>
      <c r="E123" s="6" t="s">
        <v>38</v>
      </c>
      <c r="F123" s="7">
        <v>1114389</v>
      </c>
      <c r="G123" s="7">
        <v>12998902</v>
      </c>
      <c r="H123" s="6">
        <f t="shared" si="2"/>
        <v>11.664600063353102</v>
      </c>
      <c r="I123" s="3" t="s">
        <v>1383</v>
      </c>
      <c r="J123" s="6" t="str">
        <f t="shared" si="3"/>
        <v>http://konect.cc/files/download.tsv.edit-cswiki.tar.bz2</v>
      </c>
      <c r="L123" s="5"/>
      <c r="Z123" s="3"/>
      <c r="AA123" s="3"/>
    </row>
    <row r="124" spans="3:27" x14ac:dyDescent="0.3">
      <c r="C124" s="6" t="s">
        <v>3525</v>
      </c>
      <c r="D124" s="3" t="s">
        <v>3526</v>
      </c>
      <c r="E124" s="6" t="s">
        <v>145</v>
      </c>
      <c r="F124" s="7">
        <v>1095799</v>
      </c>
      <c r="G124" s="7">
        <v>1913103</v>
      </c>
      <c r="H124" s="6">
        <f t="shared" si="2"/>
        <v>1.745852113389408</v>
      </c>
      <c r="I124" s="3" t="s">
        <v>1234</v>
      </c>
      <c r="J124" s="6" t="str">
        <f t="shared" si="3"/>
        <v>http://konect.cc/files/download.tsv.wiki_talk_ar.tar.bz2</v>
      </c>
      <c r="L124" s="5"/>
      <c r="Z124" s="3"/>
      <c r="AA124" s="3"/>
    </row>
    <row r="125" spans="3:27" x14ac:dyDescent="0.3">
      <c r="C125" s="6" t="s">
        <v>3363</v>
      </c>
      <c r="D125" s="3" t="s">
        <v>1521</v>
      </c>
      <c r="E125" s="6" t="s">
        <v>83</v>
      </c>
      <c r="F125" s="7">
        <v>1088092</v>
      </c>
      <c r="G125" s="7">
        <v>1541898</v>
      </c>
      <c r="H125" s="6">
        <f t="shared" si="2"/>
        <v>1.4170658363447208</v>
      </c>
      <c r="I125" s="3" t="s">
        <v>1145</v>
      </c>
      <c r="J125" s="6" t="str">
        <f t="shared" si="3"/>
        <v>http://konect.cc/files/download.tsv.roadNet-PA.tar.bz2</v>
      </c>
      <c r="L125" s="5"/>
      <c r="Z125" s="3"/>
      <c r="AA125" s="3"/>
    </row>
    <row r="126" spans="3:27" x14ac:dyDescent="0.3">
      <c r="C126" s="6" t="s">
        <v>3802</v>
      </c>
      <c r="D126" s="3" t="s">
        <v>128</v>
      </c>
      <c r="E126" s="6" t="s">
        <v>38</v>
      </c>
      <c r="F126" s="7">
        <v>1085612</v>
      </c>
      <c r="G126" s="7">
        <v>19150868</v>
      </c>
      <c r="H126" s="6">
        <f t="shared" si="2"/>
        <v>17.640619300449885</v>
      </c>
      <c r="I126" s="3" t="s">
        <v>1399</v>
      </c>
      <c r="J126" s="6" t="str">
        <f t="shared" si="3"/>
        <v>http://konect.cc/files/download.tsv.lastfm_song.tar.bz2</v>
      </c>
      <c r="L126" s="5"/>
      <c r="Z126" s="3"/>
      <c r="AA126" s="3"/>
    </row>
    <row r="127" spans="3:27" x14ac:dyDescent="0.3">
      <c r="C127" s="6" t="s">
        <v>3830</v>
      </c>
      <c r="D127" s="6" t="s">
        <v>159</v>
      </c>
      <c r="E127" s="6" t="s">
        <v>33</v>
      </c>
      <c r="F127" s="7">
        <v>1073810</v>
      </c>
      <c r="G127" s="7">
        <v>66458548</v>
      </c>
      <c r="H127" s="6">
        <f t="shared" si="2"/>
        <v>61.89041636788631</v>
      </c>
      <c r="I127" s="3" t="s">
        <v>1426</v>
      </c>
      <c r="J127" s="6" t="str">
        <f t="shared" si="3"/>
        <v>http://konect.cc/files/download.tsv.wikipedia_link_ar.tar.bz2</v>
      </c>
      <c r="L127" s="5"/>
      <c r="Z127" s="3"/>
      <c r="AA127" s="3"/>
    </row>
    <row r="128" spans="3:27" x14ac:dyDescent="0.3">
      <c r="C128" s="6" t="s">
        <v>3471</v>
      </c>
      <c r="D128" s="3" t="s">
        <v>1485</v>
      </c>
      <c r="E128" s="6" t="s">
        <v>98</v>
      </c>
      <c r="F128" s="7">
        <v>1070376</v>
      </c>
      <c r="G128" s="7">
        <v>2687902</v>
      </c>
      <c r="H128" s="6">
        <f t="shared" si="2"/>
        <v>2.5111755121564761</v>
      </c>
      <c r="I128" s="3" t="s">
        <v>1205</v>
      </c>
      <c r="J128" s="6" t="str">
        <f t="shared" si="3"/>
        <v>http://konect.cc/files/download.tsv.dimacs9-FLA.tar.bz2</v>
      </c>
      <c r="L128" s="5"/>
      <c r="Z128" s="3"/>
      <c r="AA128" s="3"/>
    </row>
    <row r="129" spans="3:27" x14ac:dyDescent="0.3">
      <c r="C129" s="6" t="s">
        <v>3824</v>
      </c>
      <c r="D129" s="3" t="s">
        <v>79</v>
      </c>
      <c r="E129" s="6" t="s">
        <v>58</v>
      </c>
      <c r="F129" s="7">
        <v>1065176</v>
      </c>
      <c r="G129" s="7">
        <v>96903520</v>
      </c>
      <c r="H129" s="6">
        <f t="shared" si="2"/>
        <v>90.97418642552968</v>
      </c>
      <c r="I129" s="3" t="s">
        <v>1421</v>
      </c>
      <c r="J129" s="6" t="str">
        <f t="shared" si="3"/>
        <v>http://konect.cc/files/download.tsv.reuters.tar.bz2</v>
      </c>
      <c r="L129" s="5"/>
      <c r="Z129" s="3"/>
      <c r="AA129" s="3"/>
    </row>
    <row r="130" spans="3:27" x14ac:dyDescent="0.3">
      <c r="C130" s="6" t="s">
        <v>3811</v>
      </c>
      <c r="D130" s="3" t="s">
        <v>139</v>
      </c>
      <c r="E130" s="6" t="s">
        <v>35</v>
      </c>
      <c r="F130" s="7">
        <v>1039252</v>
      </c>
      <c r="G130" s="7">
        <v>20070561</v>
      </c>
      <c r="H130" s="6">
        <f t="shared" ref="H130:H193" si="4">G130/F130</f>
        <v>19.312506495056059</v>
      </c>
      <c r="I130" s="3" t="s">
        <v>1407</v>
      </c>
      <c r="J130" s="6" t="str">
        <f t="shared" ref="J130:J193" si="5">"http://konect.cc/files/download.tsv."&amp;I130&amp;".tar.bz2"</f>
        <v>http://konect.cc/files/download.tsv.link-dynamic-nlwiki.tar.bz2</v>
      </c>
      <c r="L130" s="5"/>
      <c r="Z130" s="3"/>
      <c r="AA130" s="3"/>
    </row>
    <row r="131" spans="3:27" x14ac:dyDescent="0.3">
      <c r="C131" s="6" t="s">
        <v>3818</v>
      </c>
      <c r="D131" s="3" t="s">
        <v>148</v>
      </c>
      <c r="E131" s="6" t="s">
        <v>35</v>
      </c>
      <c r="F131" s="7">
        <v>1033050</v>
      </c>
      <c r="G131" s="7">
        <v>25026208</v>
      </c>
      <c r="H131" s="6">
        <f t="shared" si="4"/>
        <v>24.225553458206281</v>
      </c>
      <c r="I131" s="3" t="s">
        <v>1415</v>
      </c>
      <c r="J131" s="6" t="str">
        <f t="shared" si="5"/>
        <v>http://konect.cc/files/download.tsv.link-dynamic-plwiki.tar.bz2</v>
      </c>
      <c r="L131" s="5"/>
      <c r="Z131" s="3"/>
      <c r="AA131" s="3"/>
    </row>
    <row r="132" spans="3:27" x14ac:dyDescent="0.3">
      <c r="C132" s="6" t="s">
        <v>3800</v>
      </c>
      <c r="D132" s="3" t="s">
        <v>126</v>
      </c>
      <c r="E132" s="6" t="s">
        <v>38</v>
      </c>
      <c r="F132" s="7">
        <v>991424</v>
      </c>
      <c r="G132" s="7">
        <v>17853031</v>
      </c>
      <c r="H132" s="6">
        <f t="shared" si="4"/>
        <v>18.007463002711251</v>
      </c>
      <c r="I132" s="3" t="s">
        <v>1397</v>
      </c>
      <c r="J132" s="6" t="str">
        <f t="shared" si="5"/>
        <v>http://konect.cc/files/download.tsv.edit-hewiki.tar.bz2</v>
      </c>
      <c r="L132" s="5"/>
      <c r="Z132" s="3"/>
      <c r="AA132" s="3"/>
    </row>
    <row r="133" spans="3:27" x14ac:dyDescent="0.3">
      <c r="C133" s="6" t="s">
        <v>3599</v>
      </c>
      <c r="D133" s="3" t="s">
        <v>3600</v>
      </c>
      <c r="E133" s="6" t="s">
        <v>38</v>
      </c>
      <c r="F133" s="7">
        <v>972120</v>
      </c>
      <c r="G133" s="7">
        <v>2555080</v>
      </c>
      <c r="H133" s="6">
        <f t="shared" si="4"/>
        <v>2.6283586388511706</v>
      </c>
      <c r="I133" s="3" t="s">
        <v>1274</v>
      </c>
      <c r="J133" s="6" t="str">
        <f t="shared" si="5"/>
        <v>http://konect.cc/files/download.tsv.bibsonomy-2ti.tar.bz2</v>
      </c>
      <c r="L133" s="5"/>
      <c r="Z133" s="3"/>
      <c r="AA133" s="3"/>
    </row>
    <row r="134" spans="3:27" x14ac:dyDescent="0.3">
      <c r="C134" s="6" t="s">
        <v>3310</v>
      </c>
      <c r="D134" s="3" t="s">
        <v>1520</v>
      </c>
      <c r="E134" s="6" t="s">
        <v>36</v>
      </c>
      <c r="F134" s="7">
        <v>935627</v>
      </c>
      <c r="G134" s="7">
        <v>1366466</v>
      </c>
      <c r="H134" s="6">
        <f t="shared" si="4"/>
        <v>1.4604815808008962</v>
      </c>
      <c r="I134" s="3" t="s">
        <v>1116</v>
      </c>
      <c r="J134" s="6" t="str">
        <f t="shared" si="5"/>
        <v>http://konect.cc/files/download.tsv.dbpedia-team.tar.bz2</v>
      </c>
      <c r="L134" s="5"/>
      <c r="Z134" s="3"/>
      <c r="AA134" s="3"/>
    </row>
    <row r="135" spans="3:27" x14ac:dyDescent="0.3">
      <c r="C135" s="6" t="s">
        <v>3810</v>
      </c>
      <c r="D135" s="3" t="s">
        <v>138</v>
      </c>
      <c r="E135" s="6" t="s">
        <v>33</v>
      </c>
      <c r="F135" s="7">
        <v>926636</v>
      </c>
      <c r="G135" s="7">
        <v>38966215</v>
      </c>
      <c r="H135" s="6">
        <f t="shared" si="4"/>
        <v>42.051263926719876</v>
      </c>
      <c r="I135" s="3" t="s">
        <v>1406</v>
      </c>
      <c r="J135" s="6" t="str">
        <f t="shared" si="5"/>
        <v>http://konect.cc/files/download.tsv.wikipedia_link_ca.tar.bz2</v>
      </c>
      <c r="L135" s="5"/>
      <c r="Z135" s="3"/>
      <c r="AA135" s="3"/>
    </row>
    <row r="136" spans="3:27" x14ac:dyDescent="0.3">
      <c r="C136" s="6" t="s">
        <v>3438</v>
      </c>
      <c r="D136" s="3" t="s">
        <v>3439</v>
      </c>
      <c r="E136" s="6" t="s">
        <v>38</v>
      </c>
      <c r="F136" s="7">
        <v>916627</v>
      </c>
      <c r="G136" s="7">
        <v>1462476</v>
      </c>
      <c r="H136" s="6">
        <f t="shared" si="4"/>
        <v>1.5954974051604416</v>
      </c>
      <c r="I136" s="3" t="s">
        <v>1186</v>
      </c>
      <c r="J136" s="6" t="str">
        <f t="shared" si="5"/>
        <v>http://konect.cc/files/download.tsv.edit-shwiktionary.tar.bz2</v>
      </c>
      <c r="L136" s="5"/>
      <c r="Z136" s="3"/>
      <c r="AA136" s="3"/>
    </row>
    <row r="137" spans="3:27" x14ac:dyDescent="0.3">
      <c r="C137" s="6" t="s">
        <v>3803</v>
      </c>
      <c r="D137" s="3" t="s">
        <v>129</v>
      </c>
      <c r="E137" s="6" t="s">
        <v>33</v>
      </c>
      <c r="F137" s="7">
        <v>903416</v>
      </c>
      <c r="G137" s="7">
        <v>32763547</v>
      </c>
      <c r="H137" s="6">
        <f t="shared" si="4"/>
        <v>36.266290391137638</v>
      </c>
      <c r="I137" s="3" t="s">
        <v>1400</v>
      </c>
      <c r="J137" s="6" t="str">
        <f t="shared" si="5"/>
        <v>http://konect.cc/files/download.tsv.wikipedia_link_ro.tar.bz2</v>
      </c>
      <c r="L137" s="5"/>
    </row>
    <row r="138" spans="3:27" x14ac:dyDescent="0.3">
      <c r="C138" s="6" t="s">
        <v>3696</v>
      </c>
      <c r="D138" s="3" t="s">
        <v>3697</v>
      </c>
      <c r="E138" s="6" t="s">
        <v>38</v>
      </c>
      <c r="F138" s="7">
        <v>901301</v>
      </c>
      <c r="G138" s="7">
        <v>4467056</v>
      </c>
      <c r="H138" s="6">
        <f t="shared" si="4"/>
        <v>4.9562310482291707</v>
      </c>
      <c r="I138" s="3" t="s">
        <v>1321</v>
      </c>
      <c r="J138" s="6" t="str">
        <f t="shared" si="5"/>
        <v>http://konect.cc/files/download.tsv.edit-eswiktionary.tar.bz2</v>
      </c>
      <c r="L138" s="5"/>
    </row>
    <row r="139" spans="3:27" x14ac:dyDescent="0.3">
      <c r="C139" s="6" t="s">
        <v>3804</v>
      </c>
      <c r="D139" s="3" t="s">
        <v>130</v>
      </c>
      <c r="E139" s="6" t="s">
        <v>33</v>
      </c>
      <c r="F139" s="7">
        <v>894470</v>
      </c>
      <c r="G139" s="7">
        <v>38282192</v>
      </c>
      <c r="H139" s="6">
        <f t="shared" si="4"/>
        <v>42.798743389940412</v>
      </c>
      <c r="I139" s="3" t="s">
        <v>1401</v>
      </c>
      <c r="J139" s="6" t="str">
        <f t="shared" si="5"/>
        <v>http://konect.cc/files/download.tsv.wikipedia_link_id.tar.bz2</v>
      </c>
      <c r="L139" s="5"/>
    </row>
    <row r="140" spans="3:27" x14ac:dyDescent="0.3">
      <c r="C140" s="6" t="s">
        <v>3643</v>
      </c>
      <c r="D140" s="3" t="s">
        <v>3644</v>
      </c>
      <c r="E140" s="6" t="s">
        <v>38</v>
      </c>
      <c r="F140" s="7">
        <v>885046</v>
      </c>
      <c r="G140" s="7">
        <v>2411819</v>
      </c>
      <c r="H140" s="6">
        <f t="shared" si="4"/>
        <v>2.7250775665897593</v>
      </c>
      <c r="I140" s="3" t="s">
        <v>1294</v>
      </c>
      <c r="J140" s="6" t="str">
        <f t="shared" si="5"/>
        <v>http://konect.cc/files/download.tsv.citeulike-ti.tar.bz2</v>
      </c>
      <c r="L140" s="5"/>
    </row>
    <row r="141" spans="3:27" x14ac:dyDescent="0.3">
      <c r="C141" s="6" t="s">
        <v>3789</v>
      </c>
      <c r="D141" s="3" t="s">
        <v>77</v>
      </c>
      <c r="E141" s="6" t="s">
        <v>56</v>
      </c>
      <c r="F141" s="7">
        <v>876252</v>
      </c>
      <c r="G141" s="7">
        <v>13668320</v>
      </c>
      <c r="H141" s="6">
        <f t="shared" si="4"/>
        <v>15.598617749231956</v>
      </c>
      <c r="I141" s="3" t="s">
        <v>1387</v>
      </c>
      <c r="J141" s="6" t="str">
        <f t="shared" si="5"/>
        <v>http://konect.cc/files/download.tsv.epinions-rating.tar.bz2</v>
      </c>
      <c r="L141" s="5"/>
    </row>
    <row r="142" spans="3:27" x14ac:dyDescent="0.3">
      <c r="C142" s="6" t="s">
        <v>3612</v>
      </c>
      <c r="D142" s="3" t="s">
        <v>3613</v>
      </c>
      <c r="E142" s="6" t="s">
        <v>98</v>
      </c>
      <c r="F142" s="7">
        <v>875713</v>
      </c>
      <c r="G142" s="7">
        <v>5105039</v>
      </c>
      <c r="H142" s="6">
        <f t="shared" si="4"/>
        <v>5.8295800108026263</v>
      </c>
      <c r="I142" s="3" t="s">
        <v>9</v>
      </c>
      <c r="J142" s="6" t="str">
        <f t="shared" si="5"/>
        <v>http://konect.cc/files/download.tsv.web-Google.tar.bz2</v>
      </c>
      <c r="L142" s="5"/>
    </row>
    <row r="143" spans="3:27" x14ac:dyDescent="0.3">
      <c r="C143" s="6" t="s">
        <v>3470</v>
      </c>
      <c r="D143" s="3" t="s">
        <v>1527</v>
      </c>
      <c r="E143" s="6" t="s">
        <v>36</v>
      </c>
      <c r="F143" s="7">
        <v>871982</v>
      </c>
      <c r="G143" s="7">
        <v>2715604</v>
      </c>
      <c r="H143" s="6">
        <f t="shared" si="4"/>
        <v>3.1142890564254766</v>
      </c>
      <c r="I143" s="3" t="s">
        <v>1204</v>
      </c>
      <c r="J143" s="6" t="str">
        <f t="shared" si="5"/>
        <v>http://konect.cc/files/download.tsv.komarix-imdb.tar.bz2</v>
      </c>
      <c r="L143" s="5"/>
    </row>
    <row r="144" spans="3:27" x14ac:dyDescent="0.3">
      <c r="C144" s="6" t="s">
        <v>3380</v>
      </c>
      <c r="D144" s="3" t="s">
        <v>3381</v>
      </c>
      <c r="E144" s="6" t="s">
        <v>38</v>
      </c>
      <c r="F144" s="7">
        <v>865095</v>
      </c>
      <c r="G144" s="7">
        <v>1044978</v>
      </c>
      <c r="H144" s="6">
        <f t="shared" si="4"/>
        <v>1.2079343887087546</v>
      </c>
      <c r="I144" s="3" t="s">
        <v>1156</v>
      </c>
      <c r="J144" s="6" t="str">
        <f t="shared" si="5"/>
        <v>http://konect.cc/files/download.tsv.edit-bgwiktionary.tar.bz2</v>
      </c>
      <c r="L144" s="5"/>
    </row>
    <row r="145" spans="3:12" x14ac:dyDescent="0.3">
      <c r="C145" s="6" t="s">
        <v>3633</v>
      </c>
      <c r="D145" s="3" t="s">
        <v>3634</v>
      </c>
      <c r="E145" s="6" t="s">
        <v>145</v>
      </c>
      <c r="F145" s="7">
        <v>863846</v>
      </c>
      <c r="G145" s="7">
        <v>3067680</v>
      </c>
      <c r="H145" s="6">
        <f t="shared" si="4"/>
        <v>3.551188522028232</v>
      </c>
      <c r="I145" s="3" t="s">
        <v>1289</v>
      </c>
      <c r="J145" s="6" t="str">
        <f t="shared" si="5"/>
        <v>http://konect.cc/files/download.tsv.wiki_talk_it.tar.bz2</v>
      </c>
      <c r="L145" s="5"/>
    </row>
    <row r="146" spans="3:12" x14ac:dyDescent="0.3">
      <c r="C146" s="6" t="s">
        <v>2986</v>
      </c>
      <c r="D146" s="3" t="s">
        <v>92</v>
      </c>
      <c r="E146" s="6" t="s">
        <v>54</v>
      </c>
      <c r="F146" s="7">
        <v>862664</v>
      </c>
      <c r="G146" s="7">
        <v>16138468</v>
      </c>
      <c r="H146" s="6">
        <f t="shared" si="4"/>
        <v>18.707710070201145</v>
      </c>
      <c r="I146" s="3" t="s">
        <v>1368</v>
      </c>
      <c r="J146" s="6" t="str">
        <f t="shared" si="5"/>
        <v>http://konect.cc/files/download.tsv.dimacs10-eu-2005.tar.bz2</v>
      </c>
      <c r="L146" s="5"/>
    </row>
    <row r="147" spans="3:12" x14ac:dyDescent="0.3">
      <c r="C147" s="6" t="s">
        <v>3754</v>
      </c>
      <c r="D147" s="3" t="s">
        <v>3755</v>
      </c>
      <c r="E147" s="6" t="s">
        <v>38</v>
      </c>
      <c r="F147" s="7">
        <v>839193</v>
      </c>
      <c r="G147" s="7">
        <v>7838041</v>
      </c>
      <c r="H147" s="6">
        <f t="shared" si="4"/>
        <v>9.3399742371540277</v>
      </c>
      <c r="I147" s="3" t="s">
        <v>1353</v>
      </c>
      <c r="J147" s="6" t="str">
        <f t="shared" si="5"/>
        <v>http://konect.cc/files/download.tsv.edit-dawiki.tar.bz2</v>
      </c>
      <c r="L147" s="5"/>
    </row>
    <row r="148" spans="3:12" x14ac:dyDescent="0.3">
      <c r="C148" s="6" t="s">
        <v>3662</v>
      </c>
      <c r="D148" s="3" t="s">
        <v>3663</v>
      </c>
      <c r="E148" s="6" t="s">
        <v>38</v>
      </c>
      <c r="F148" s="7">
        <v>819847</v>
      </c>
      <c r="G148" s="7">
        <v>3615962</v>
      </c>
      <c r="H148" s="6">
        <f t="shared" si="4"/>
        <v>4.4105326969544318</v>
      </c>
      <c r="I148" s="3" t="s">
        <v>1304</v>
      </c>
      <c r="J148" s="6" t="str">
        <f t="shared" si="5"/>
        <v>http://konect.cc/files/download.tsv.edit-mswiki.tar.bz2</v>
      </c>
      <c r="L148" s="5"/>
    </row>
    <row r="149" spans="3:12" x14ac:dyDescent="0.3">
      <c r="C149" s="6" t="s">
        <v>3593</v>
      </c>
      <c r="D149" s="3" t="s">
        <v>3594</v>
      </c>
      <c r="E149" s="6" t="s">
        <v>38</v>
      </c>
      <c r="F149" s="7">
        <v>773241</v>
      </c>
      <c r="G149" s="7">
        <v>2555080</v>
      </c>
      <c r="H149" s="6">
        <f t="shared" si="4"/>
        <v>3.3043772898746964</v>
      </c>
      <c r="I149" s="3" t="s">
        <v>1271</v>
      </c>
      <c r="J149" s="6" t="str">
        <f t="shared" si="5"/>
        <v>http://konect.cc/files/download.tsv.bibsonomy-2ui.tar.bz2</v>
      </c>
      <c r="L149" s="5"/>
    </row>
    <row r="150" spans="3:12" x14ac:dyDescent="0.3">
      <c r="C150" s="6" t="s">
        <v>3796</v>
      </c>
      <c r="D150" s="3" t="s">
        <v>122</v>
      </c>
      <c r="E150" s="6" t="s">
        <v>33</v>
      </c>
      <c r="F150" s="7">
        <v>772123</v>
      </c>
      <c r="G150" s="7">
        <v>29371477</v>
      </c>
      <c r="H150" s="6">
        <f t="shared" si="4"/>
        <v>38.039893902914429</v>
      </c>
      <c r="I150" s="3" t="s">
        <v>1392</v>
      </c>
      <c r="J150" s="6" t="str">
        <f t="shared" si="5"/>
        <v>http://konect.cc/files/download.tsv.wikipedia_link_ko.tar.bz2</v>
      </c>
      <c r="L150" s="5"/>
    </row>
    <row r="151" spans="3:12" x14ac:dyDescent="0.3">
      <c r="C151" s="6" t="s">
        <v>3710</v>
      </c>
      <c r="D151" s="3" t="s">
        <v>3711</v>
      </c>
      <c r="E151" s="6" t="s">
        <v>38</v>
      </c>
      <c r="F151" s="7">
        <v>767832</v>
      </c>
      <c r="G151" s="7">
        <v>4977757</v>
      </c>
      <c r="H151" s="6">
        <f t="shared" si="4"/>
        <v>6.482872555454839</v>
      </c>
      <c r="I151" s="3" t="s">
        <v>1329</v>
      </c>
      <c r="J151" s="6" t="str">
        <f t="shared" si="5"/>
        <v>http://konect.cc/files/download.tsv.edit-hywiki.tar.bz2</v>
      </c>
      <c r="L151" s="5"/>
    </row>
    <row r="152" spans="3:12" x14ac:dyDescent="0.3">
      <c r="C152" s="6" t="s">
        <v>3781</v>
      </c>
      <c r="D152" s="3" t="s">
        <v>106</v>
      </c>
      <c r="E152" s="6" t="s">
        <v>33</v>
      </c>
      <c r="F152" s="7">
        <v>759923</v>
      </c>
      <c r="G152" s="7">
        <v>20546603</v>
      </c>
      <c r="H152" s="6">
        <f t="shared" si="4"/>
        <v>27.037743297676212</v>
      </c>
      <c r="I152" s="3" t="s">
        <v>1379</v>
      </c>
      <c r="J152" s="6" t="str">
        <f t="shared" si="5"/>
        <v>http://konect.cc/files/download.tsv.wikipedia_link_no.tar.bz2</v>
      </c>
      <c r="L152" s="5"/>
    </row>
    <row r="153" spans="3:12" x14ac:dyDescent="0.3">
      <c r="C153" s="6" t="s">
        <v>3645</v>
      </c>
      <c r="D153" s="3" t="s">
        <v>3646</v>
      </c>
      <c r="E153" s="6" t="s">
        <v>38</v>
      </c>
      <c r="F153" s="7">
        <v>754484</v>
      </c>
      <c r="G153" s="7">
        <v>2411819</v>
      </c>
      <c r="H153" s="6">
        <f t="shared" si="4"/>
        <v>3.196646979922702</v>
      </c>
      <c r="I153" s="3" t="s">
        <v>1295</v>
      </c>
      <c r="J153" s="6" t="str">
        <f t="shared" si="5"/>
        <v>http://konect.cc/files/download.tsv.citeulike-ui.tar.bz2</v>
      </c>
      <c r="L153" s="5"/>
    </row>
    <row r="154" spans="3:12" x14ac:dyDescent="0.3">
      <c r="C154" s="6" t="s">
        <v>3732</v>
      </c>
      <c r="D154" s="3" t="s">
        <v>3733</v>
      </c>
      <c r="E154" s="6" t="s">
        <v>38</v>
      </c>
      <c r="F154" s="7">
        <v>725085</v>
      </c>
      <c r="G154" s="7">
        <v>5776013</v>
      </c>
      <c r="H154" s="6">
        <f t="shared" si="4"/>
        <v>7.9659805402125272</v>
      </c>
      <c r="I154" s="3" t="s">
        <v>1339</v>
      </c>
      <c r="J154" s="6" t="str">
        <f t="shared" si="5"/>
        <v>http://konect.cc/files/download.tsv.edit-dewiktionary.tar.bz2</v>
      </c>
      <c r="L154" s="5"/>
    </row>
    <row r="155" spans="3:12" x14ac:dyDescent="0.3">
      <c r="C155" s="6" t="s">
        <v>3726</v>
      </c>
      <c r="D155" s="3" t="s">
        <v>3727</v>
      </c>
      <c r="E155" s="6" t="s">
        <v>38</v>
      </c>
      <c r="F155" s="7">
        <v>712316</v>
      </c>
      <c r="G155" s="7">
        <v>5320770</v>
      </c>
      <c r="H155" s="6">
        <f t="shared" si="4"/>
        <v>7.4696763795843415</v>
      </c>
      <c r="I155" s="3" t="s">
        <v>1336</v>
      </c>
      <c r="J155" s="6" t="str">
        <f t="shared" si="5"/>
        <v>http://konect.cc/files/download.tsv.edit-thwiki.tar.bz2</v>
      </c>
      <c r="L155" s="5"/>
    </row>
    <row r="156" spans="3:12" x14ac:dyDescent="0.3">
      <c r="C156" s="6" t="s">
        <v>3706</v>
      </c>
      <c r="D156" s="3" t="s">
        <v>3707</v>
      </c>
      <c r="E156" s="6" t="s">
        <v>60</v>
      </c>
      <c r="F156" s="7">
        <v>705632</v>
      </c>
      <c r="G156" s="7">
        <v>4664605</v>
      </c>
      <c r="H156" s="6">
        <f t="shared" si="4"/>
        <v>6.610534953063353</v>
      </c>
      <c r="I156" s="3" t="s">
        <v>1327</v>
      </c>
      <c r="J156" s="6" t="str">
        <f t="shared" si="5"/>
        <v>http://konect.cc/files/download.tsv.munmun_twitterex_ut.tar.bz2</v>
      </c>
      <c r="L156" s="5"/>
    </row>
    <row r="157" spans="3:12" x14ac:dyDescent="0.3">
      <c r="C157" s="6" t="s">
        <v>3728</v>
      </c>
      <c r="D157" s="3" t="s">
        <v>3729</v>
      </c>
      <c r="E157" s="6" t="s">
        <v>38</v>
      </c>
      <c r="F157" s="7">
        <v>705324</v>
      </c>
      <c r="G157" s="7">
        <v>5718362</v>
      </c>
      <c r="H157" s="6">
        <f t="shared" si="4"/>
        <v>8.107425807146786</v>
      </c>
      <c r="I157" s="3" t="s">
        <v>1337</v>
      </c>
      <c r="J157" s="6" t="str">
        <f t="shared" si="5"/>
        <v>http://konect.cc/files/download.tsv.edit-euwiki.tar.bz2</v>
      </c>
      <c r="L157" s="5"/>
    </row>
    <row r="158" spans="3:12" x14ac:dyDescent="0.3">
      <c r="C158" s="6" t="s">
        <v>3617</v>
      </c>
      <c r="D158" s="3" t="s">
        <v>3618</v>
      </c>
      <c r="E158" s="6" t="s">
        <v>38</v>
      </c>
      <c r="F158" s="7">
        <v>699316</v>
      </c>
      <c r="G158" s="7">
        <v>2942630</v>
      </c>
      <c r="H158" s="6">
        <f t="shared" si="4"/>
        <v>4.20786883182996</v>
      </c>
      <c r="I158" s="3" t="s">
        <v>1281</v>
      </c>
      <c r="J158" s="6" t="str">
        <f t="shared" si="5"/>
        <v>http://konect.cc/files/download.tsv.edit-hiwiki.tar.bz2</v>
      </c>
      <c r="L158" s="5"/>
    </row>
    <row r="159" spans="3:12" x14ac:dyDescent="0.3">
      <c r="C159" s="6" t="s">
        <v>3474</v>
      </c>
      <c r="D159" s="3" t="s">
        <v>3475</v>
      </c>
      <c r="E159" s="6" t="s">
        <v>38</v>
      </c>
      <c r="F159" s="7">
        <v>689678</v>
      </c>
      <c r="G159" s="7">
        <v>1693277</v>
      </c>
      <c r="H159" s="6">
        <f t="shared" si="4"/>
        <v>2.4551703838602941</v>
      </c>
      <c r="I159" s="3" t="s">
        <v>1208</v>
      </c>
      <c r="J159" s="6" t="str">
        <f t="shared" si="5"/>
        <v>http://konect.cc/files/download.tsv.edit-ltwiktionary.tar.bz2</v>
      </c>
      <c r="L159" s="5"/>
    </row>
    <row r="160" spans="3:12" x14ac:dyDescent="0.3">
      <c r="C160" s="6" t="s">
        <v>3684</v>
      </c>
      <c r="D160" s="3" t="s">
        <v>1530</v>
      </c>
      <c r="E160" s="6" t="s">
        <v>98</v>
      </c>
      <c r="F160" s="7">
        <v>685230</v>
      </c>
      <c r="G160" s="7">
        <v>7600595</v>
      </c>
      <c r="H160" s="6">
        <f t="shared" si="4"/>
        <v>11.092034791237978</v>
      </c>
      <c r="I160" s="3" t="s">
        <v>8</v>
      </c>
      <c r="J160" s="6" t="str">
        <f t="shared" si="5"/>
        <v>http://konect.cc/files/download.tsv.web-BerkStan.tar.bz2</v>
      </c>
      <c r="L160" s="5"/>
    </row>
    <row r="161" spans="3:12" x14ac:dyDescent="0.3">
      <c r="C161" s="6" t="s">
        <v>3766</v>
      </c>
      <c r="D161" s="3" t="s">
        <v>86</v>
      </c>
      <c r="E161" s="6" t="s">
        <v>33</v>
      </c>
      <c r="F161" s="7">
        <v>684613</v>
      </c>
      <c r="G161" s="7">
        <v>14658697</v>
      </c>
      <c r="H161" s="6">
        <f t="shared" si="4"/>
        <v>21.411654467560506</v>
      </c>
      <c r="I161" s="3" t="s">
        <v>1362</v>
      </c>
      <c r="J161" s="6" t="str">
        <f t="shared" si="5"/>
        <v>http://konect.cc/files/download.tsv.wikipedia_link_fi.tar.bz2</v>
      </c>
      <c r="L161" s="5"/>
    </row>
    <row r="162" spans="3:12" x14ac:dyDescent="0.3">
      <c r="C162" s="6" t="s">
        <v>3575</v>
      </c>
      <c r="D162" s="3" t="s">
        <v>3576</v>
      </c>
      <c r="E162" s="6" t="s">
        <v>38</v>
      </c>
      <c r="F162" s="7">
        <v>678976</v>
      </c>
      <c r="G162" s="7">
        <v>2499640</v>
      </c>
      <c r="H162" s="6">
        <f t="shared" si="4"/>
        <v>3.6814850598548401</v>
      </c>
      <c r="I162" s="3" t="s">
        <v>1262</v>
      </c>
      <c r="J162" s="6" t="str">
        <f t="shared" si="5"/>
        <v>http://konect.cc/files/download.tsv.edit-urwiki.tar.bz2</v>
      </c>
      <c r="L162" s="5"/>
    </row>
    <row r="163" spans="3:12" x14ac:dyDescent="0.3">
      <c r="C163" s="6" t="s">
        <v>3483</v>
      </c>
      <c r="D163" s="3" t="s">
        <v>3484</v>
      </c>
      <c r="E163" s="6" t="s">
        <v>38</v>
      </c>
      <c r="F163" s="7">
        <v>660825</v>
      </c>
      <c r="G163" s="7">
        <v>1731598</v>
      </c>
      <c r="H163" s="6">
        <f t="shared" si="4"/>
        <v>2.6203578859758636</v>
      </c>
      <c r="I163" s="3" t="s">
        <v>1213</v>
      </c>
      <c r="J163" s="6" t="str">
        <f t="shared" si="5"/>
        <v>http://konect.cc/files/download.tsv.edit-zh_min_nanwiki.tar.bz2</v>
      </c>
      <c r="L163" s="5"/>
    </row>
    <row r="164" spans="3:12" x14ac:dyDescent="0.3">
      <c r="C164" s="6" t="s">
        <v>3653</v>
      </c>
      <c r="D164" s="3" t="s">
        <v>3654</v>
      </c>
      <c r="E164" s="6" t="s">
        <v>38</v>
      </c>
      <c r="F164" s="7">
        <v>658240</v>
      </c>
      <c r="G164" s="7">
        <v>3476883</v>
      </c>
      <c r="H164" s="6">
        <f t="shared" si="4"/>
        <v>5.2820901191054936</v>
      </c>
      <c r="I164" s="3" t="s">
        <v>1299</v>
      </c>
      <c r="J164" s="6" t="str">
        <f t="shared" si="5"/>
        <v>http://konect.cc/files/download.tsv.edit-nlwiktionary.tar.bz2</v>
      </c>
      <c r="L164" s="5"/>
    </row>
    <row r="165" spans="3:12" x14ac:dyDescent="0.3">
      <c r="C165" s="6" t="s">
        <v>3775</v>
      </c>
      <c r="D165" s="3" t="s">
        <v>99</v>
      </c>
      <c r="E165" s="6" t="s">
        <v>33</v>
      </c>
      <c r="F165" s="7">
        <v>655173</v>
      </c>
      <c r="G165" s="7">
        <v>18516525</v>
      </c>
      <c r="H165" s="6">
        <f t="shared" si="4"/>
        <v>28.262039186596517</v>
      </c>
      <c r="I165" s="3" t="s">
        <v>1373</v>
      </c>
      <c r="J165" s="6" t="str">
        <f t="shared" si="5"/>
        <v>http://konect.cc/files/download.tsv.wikipedia_link_cs.tar.bz2</v>
      </c>
      <c r="L165" s="5"/>
    </row>
    <row r="166" spans="3:12" x14ac:dyDescent="0.3">
      <c r="C166" s="6" t="s">
        <v>3466</v>
      </c>
      <c r="D166" s="3" t="s">
        <v>3467</v>
      </c>
      <c r="E166" s="6" t="s">
        <v>33</v>
      </c>
      <c r="F166" s="7">
        <v>653260</v>
      </c>
      <c r="G166" s="7">
        <v>2931708</v>
      </c>
      <c r="H166" s="6">
        <f t="shared" si="4"/>
        <v>4.4878118972537733</v>
      </c>
      <c r="I166" s="3" t="s">
        <v>1202</v>
      </c>
      <c r="J166" s="6" t="str">
        <f t="shared" si="5"/>
        <v>http://konect.cc/files/download.tsv.lasagne-yahoo.tar.bz2</v>
      </c>
      <c r="L166" s="5"/>
    </row>
    <row r="167" spans="3:12" x14ac:dyDescent="0.3">
      <c r="C167" s="6" t="s">
        <v>3436</v>
      </c>
      <c r="D167" s="3" t="s">
        <v>41</v>
      </c>
      <c r="E167" s="6" t="s">
        <v>3437</v>
      </c>
      <c r="F167" s="7">
        <v>641876</v>
      </c>
      <c r="G167" s="7">
        <v>1301942</v>
      </c>
      <c r="H167" s="6">
        <f t="shared" si="4"/>
        <v>2.0283388068723553</v>
      </c>
      <c r="I167" s="3" t="s">
        <v>1185</v>
      </c>
      <c r="J167" s="6" t="str">
        <f t="shared" si="5"/>
        <v>http://konect.cc/files/download.tsv.stackexchange-stackoverflow.tar.bz2</v>
      </c>
      <c r="L167" s="5"/>
    </row>
    <row r="168" spans="3:12" x14ac:dyDescent="0.3">
      <c r="C168" s="6" t="s">
        <v>3315</v>
      </c>
      <c r="D168" s="3" t="s">
        <v>3316</v>
      </c>
      <c r="E168" s="6" t="s">
        <v>38</v>
      </c>
      <c r="F168" s="7">
        <v>641443</v>
      </c>
      <c r="G168" s="7">
        <v>776458</v>
      </c>
      <c r="H168" s="6">
        <f t="shared" si="4"/>
        <v>1.210486356542982</v>
      </c>
      <c r="I168" s="3" t="s">
        <v>1120</v>
      </c>
      <c r="J168" s="6" t="str">
        <f t="shared" si="5"/>
        <v>http://konect.cc/files/download.tsv.edit-bnwikisource.tar.bz2</v>
      </c>
      <c r="L168" s="5"/>
    </row>
    <row r="169" spans="3:12" x14ac:dyDescent="0.3">
      <c r="C169" s="6" t="s">
        <v>3587</v>
      </c>
      <c r="D169" s="3" t="s">
        <v>3588</v>
      </c>
      <c r="E169" s="6" t="s">
        <v>38</v>
      </c>
      <c r="F169" s="7">
        <v>624325</v>
      </c>
      <c r="G169" s="7">
        <v>2728074</v>
      </c>
      <c r="H169" s="6">
        <f t="shared" si="4"/>
        <v>4.3696376086173068</v>
      </c>
      <c r="I169" s="3" t="s">
        <v>1268</v>
      </c>
      <c r="J169" s="6" t="str">
        <f t="shared" si="5"/>
        <v>http://konect.cc/files/download.tsv.edit-svwiktionary.tar.bz2</v>
      </c>
      <c r="L169" s="5"/>
    </row>
    <row r="170" spans="3:12" x14ac:dyDescent="0.3">
      <c r="C170" s="6" t="s">
        <v>3770</v>
      </c>
      <c r="D170" s="3" t="s">
        <v>73</v>
      </c>
      <c r="E170" s="6" t="s">
        <v>91</v>
      </c>
      <c r="F170" s="7">
        <v>623766</v>
      </c>
      <c r="G170" s="7">
        <v>15699276</v>
      </c>
      <c r="H170" s="6">
        <f t="shared" si="4"/>
        <v>25.168534354228989</v>
      </c>
      <c r="I170" s="3" t="s">
        <v>1367</v>
      </c>
      <c r="J170" s="6" t="str">
        <f t="shared" si="5"/>
        <v>http://konect.cc/files/download.tsv.petster-carnivore.tar.bz2</v>
      </c>
      <c r="L170" s="5"/>
    </row>
    <row r="171" spans="3:12" x14ac:dyDescent="0.3">
      <c r="C171" s="6" t="s">
        <v>3762</v>
      </c>
      <c r="D171" s="3" t="s">
        <v>82</v>
      </c>
      <c r="E171" s="6" t="s">
        <v>83</v>
      </c>
      <c r="F171" s="7">
        <v>623754</v>
      </c>
      <c r="G171" s="7">
        <v>13991746</v>
      </c>
      <c r="H171" s="6">
        <f t="shared" si="4"/>
        <v>22.431513064445276</v>
      </c>
      <c r="I171" s="3" t="s">
        <v>1358</v>
      </c>
      <c r="J171" s="6" t="str">
        <f t="shared" si="5"/>
        <v>http://konect.cc/files/download.tsv.petster-catdog-friend.tar.bz2</v>
      </c>
      <c r="L171" s="5"/>
    </row>
    <row r="172" spans="3:12" x14ac:dyDescent="0.3">
      <c r="C172" s="6" t="s">
        <v>3816</v>
      </c>
      <c r="D172" s="3" t="s">
        <v>146</v>
      </c>
      <c r="E172" s="6" t="s">
        <v>33</v>
      </c>
      <c r="F172" s="7">
        <v>621511</v>
      </c>
      <c r="G172" s="7">
        <v>46358909</v>
      </c>
      <c r="H172" s="6">
        <f t="shared" si="4"/>
        <v>74.590649240319152</v>
      </c>
      <c r="I172" s="3" t="s">
        <v>1413</v>
      </c>
      <c r="J172" s="6" t="str">
        <f t="shared" si="5"/>
        <v>http://konect.cc/files/download.tsv.wikipedia_link_hu.tar.bz2</v>
      </c>
      <c r="L172" s="5"/>
    </row>
    <row r="173" spans="3:12" x14ac:dyDescent="0.3">
      <c r="C173" s="6" t="s">
        <v>3493</v>
      </c>
      <c r="D173" s="3" t="s">
        <v>3494</v>
      </c>
      <c r="E173" s="6" t="s">
        <v>38</v>
      </c>
      <c r="F173" s="7">
        <v>619358</v>
      </c>
      <c r="G173" s="7">
        <v>1802425</v>
      </c>
      <c r="H173" s="6">
        <f t="shared" si="4"/>
        <v>2.9101505106901016</v>
      </c>
      <c r="I173" s="3" t="s">
        <v>1220</v>
      </c>
      <c r="J173" s="6" t="str">
        <f t="shared" si="5"/>
        <v>http://konect.cc/files/download.tsv.edit-uzwiki.tar.bz2</v>
      </c>
      <c r="L173" s="5"/>
    </row>
    <row r="174" spans="3:12" x14ac:dyDescent="0.3">
      <c r="C174" s="6" t="s">
        <v>3730</v>
      </c>
      <c r="D174" s="3" t="s">
        <v>3731</v>
      </c>
      <c r="E174" s="6" t="s">
        <v>38</v>
      </c>
      <c r="F174" s="7">
        <v>615519</v>
      </c>
      <c r="G174" s="7">
        <v>5696069</v>
      </c>
      <c r="H174" s="6">
        <f t="shared" si="4"/>
        <v>9.2540912628204808</v>
      </c>
      <c r="I174" s="3" t="s">
        <v>1338</v>
      </c>
      <c r="J174" s="6" t="str">
        <f t="shared" si="5"/>
        <v>http://konect.cc/files/download.tsv.edit-plwiktionary.tar.bz2</v>
      </c>
      <c r="L174" s="5"/>
    </row>
    <row r="175" spans="3:12" x14ac:dyDescent="0.3">
      <c r="C175" s="6" t="s">
        <v>2980</v>
      </c>
      <c r="D175" s="3" t="s">
        <v>2981</v>
      </c>
      <c r="E175" s="6" t="s">
        <v>38</v>
      </c>
      <c r="F175" s="7">
        <v>609903</v>
      </c>
      <c r="G175" s="7">
        <v>2434171</v>
      </c>
      <c r="H175" s="6">
        <f t="shared" si="4"/>
        <v>3.991078909269179</v>
      </c>
      <c r="I175" s="3" t="s">
        <v>1259</v>
      </c>
      <c r="J175" s="6" t="str">
        <f t="shared" si="5"/>
        <v>http://konect.cc/files/download.tsv.edit-ruwikisource.tar.bz2</v>
      </c>
      <c r="L175" s="5"/>
    </row>
    <row r="176" spans="3:12" x14ac:dyDescent="0.3">
      <c r="C176" s="6" t="s">
        <v>3077</v>
      </c>
      <c r="D176" s="3" t="s">
        <v>3078</v>
      </c>
      <c r="E176" s="6" t="s">
        <v>58</v>
      </c>
      <c r="F176" s="7">
        <v>592414</v>
      </c>
      <c r="G176" s="7">
        <v>637134</v>
      </c>
      <c r="H176" s="6">
        <f t="shared" si="4"/>
        <v>1.0754877501206925</v>
      </c>
      <c r="I176" s="3" t="s">
        <v>998</v>
      </c>
      <c r="J176" s="6" t="str">
        <f t="shared" si="5"/>
        <v>http://konect.cc/files/download.tsv.dbpedia-country.tar.bz2</v>
      </c>
      <c r="L176" s="5"/>
    </row>
    <row r="177" spans="3:12" x14ac:dyDescent="0.3">
      <c r="C177" s="6" t="s">
        <v>3111</v>
      </c>
      <c r="D177" s="3" t="s">
        <v>3112</v>
      </c>
      <c r="E177" s="6" t="s">
        <v>38</v>
      </c>
      <c r="F177" s="7">
        <v>581646</v>
      </c>
      <c r="G177" s="7">
        <v>1472273</v>
      </c>
      <c r="H177" s="6">
        <f t="shared" si="4"/>
        <v>2.5312183011660014</v>
      </c>
      <c r="I177" s="3" t="s">
        <v>1190</v>
      </c>
      <c r="J177" s="6" t="str">
        <f t="shared" si="5"/>
        <v>http://konect.cc/files/download.tsv.edit-plwikisource.tar.bz2</v>
      </c>
      <c r="L177" s="5"/>
    </row>
    <row r="178" spans="3:12" x14ac:dyDescent="0.3">
      <c r="C178" s="6" t="s">
        <v>3405</v>
      </c>
      <c r="D178" s="3" t="s">
        <v>3406</v>
      </c>
      <c r="E178" s="6" t="s">
        <v>58</v>
      </c>
      <c r="F178" s="7">
        <v>577437</v>
      </c>
      <c r="G178" s="7">
        <v>2298816</v>
      </c>
      <c r="H178" s="6">
        <f t="shared" si="4"/>
        <v>3.9810680645680829</v>
      </c>
      <c r="I178" s="3" t="s">
        <v>1170</v>
      </c>
      <c r="J178" s="6" t="str">
        <f t="shared" si="5"/>
        <v>http://konect.cc/files/download.tsv.pics_ti.tar.bz2</v>
      </c>
      <c r="L178" s="5"/>
    </row>
    <row r="179" spans="3:12" x14ac:dyDescent="0.3">
      <c r="C179" s="6" t="s">
        <v>2449</v>
      </c>
      <c r="D179" s="3" t="s">
        <v>2450</v>
      </c>
      <c r="E179" s="6" t="s">
        <v>38</v>
      </c>
      <c r="F179" s="7">
        <v>569151</v>
      </c>
      <c r="G179" s="7">
        <v>1042383</v>
      </c>
      <c r="H179" s="6">
        <f t="shared" si="4"/>
        <v>1.8314700316787635</v>
      </c>
      <c r="I179" s="3" t="s">
        <v>1158</v>
      </c>
      <c r="J179" s="6" t="str">
        <f t="shared" si="5"/>
        <v>http://konect.cc/files/download.tsv.edit-zhwikisource.tar.bz2</v>
      </c>
      <c r="L179" s="5"/>
    </row>
    <row r="180" spans="3:12" x14ac:dyDescent="0.3">
      <c r="C180" s="6" t="s">
        <v>3779</v>
      </c>
      <c r="D180" s="3" t="s">
        <v>104</v>
      </c>
      <c r="E180" s="6" t="s">
        <v>33</v>
      </c>
      <c r="F180" s="7">
        <v>557677</v>
      </c>
      <c r="G180" s="7">
        <v>19197218</v>
      </c>
      <c r="H180" s="6">
        <f t="shared" si="4"/>
        <v>34.423542659998532</v>
      </c>
      <c r="I180" s="3" t="s">
        <v>1377</v>
      </c>
      <c r="J180" s="6" t="str">
        <f t="shared" si="5"/>
        <v>http://konect.cc/files/download.tsv.wikipedia_link_hy.tar.bz2</v>
      </c>
      <c r="L180" s="5"/>
    </row>
    <row r="181" spans="3:12" x14ac:dyDescent="0.3">
      <c r="C181" s="6" t="s">
        <v>3747</v>
      </c>
      <c r="D181" s="3" t="s">
        <v>3748</v>
      </c>
      <c r="E181" s="6" t="s">
        <v>38</v>
      </c>
      <c r="F181" s="7">
        <v>556885</v>
      </c>
      <c r="G181" s="7">
        <v>6567352</v>
      </c>
      <c r="H181" s="6">
        <f t="shared" si="4"/>
        <v>11.793012920082242</v>
      </c>
      <c r="I181" s="3" t="s">
        <v>1347</v>
      </c>
      <c r="J181" s="6" t="str">
        <f t="shared" si="5"/>
        <v>http://konect.cc/files/download.tsv.edit-bgwiki.tar.bz2</v>
      </c>
      <c r="L181" s="5"/>
    </row>
    <row r="182" spans="3:12" x14ac:dyDescent="0.3">
      <c r="C182" s="6" t="s">
        <v>3567</v>
      </c>
      <c r="D182" s="3" t="s">
        <v>3568</v>
      </c>
      <c r="E182" s="6" t="s">
        <v>38</v>
      </c>
      <c r="F182" s="7">
        <v>545404</v>
      </c>
      <c r="G182" s="7">
        <v>2469893</v>
      </c>
      <c r="H182" s="6">
        <f t="shared" si="4"/>
        <v>4.5285568129313321</v>
      </c>
      <c r="I182" s="3" t="s">
        <v>1257</v>
      </c>
      <c r="J182" s="6" t="str">
        <f t="shared" si="5"/>
        <v>http://konect.cc/files/download.tsv.edit-bnwiki.tar.bz2</v>
      </c>
      <c r="L182" s="5"/>
    </row>
    <row r="183" spans="3:12" x14ac:dyDescent="0.3">
      <c r="C183" s="6" t="s">
        <v>3763</v>
      </c>
      <c r="D183" s="3" t="s">
        <v>84</v>
      </c>
      <c r="E183" s="6" t="s">
        <v>33</v>
      </c>
      <c r="F183" s="7">
        <v>544514</v>
      </c>
      <c r="G183" s="7">
        <v>14703300</v>
      </c>
      <c r="H183" s="6">
        <f t="shared" si="4"/>
        <v>27.00261150310185</v>
      </c>
      <c r="I183" s="3" t="s">
        <v>1359</v>
      </c>
      <c r="J183" s="6" t="str">
        <f t="shared" si="5"/>
        <v>http://konect.cc/files/download.tsv.wikipedia_link_tr.tar.bz2</v>
      </c>
      <c r="L183" s="5"/>
    </row>
    <row r="184" spans="3:12" x14ac:dyDescent="0.3">
      <c r="C184" s="6" t="s">
        <v>3736</v>
      </c>
      <c r="D184" s="3" t="s">
        <v>3737</v>
      </c>
      <c r="E184" s="6" t="s">
        <v>38</v>
      </c>
      <c r="F184" s="7">
        <v>542626</v>
      </c>
      <c r="G184" s="7">
        <v>5775209</v>
      </c>
      <c r="H184" s="6">
        <f t="shared" si="4"/>
        <v>10.643074603870806</v>
      </c>
      <c r="I184" s="3" t="s">
        <v>1341</v>
      </c>
      <c r="J184" s="6" t="str">
        <f t="shared" si="5"/>
        <v>http://konect.cc/files/download.tsv.edit-eowiki.tar.bz2</v>
      </c>
      <c r="L184" s="5"/>
    </row>
    <row r="185" spans="3:12" x14ac:dyDescent="0.3">
      <c r="C185" s="6" t="s">
        <v>3559</v>
      </c>
      <c r="D185" s="3" t="s">
        <v>3560</v>
      </c>
      <c r="E185" s="6" t="s">
        <v>145</v>
      </c>
      <c r="F185" s="7">
        <v>541355</v>
      </c>
      <c r="G185" s="7">
        <v>2424962</v>
      </c>
      <c r="H185" s="6">
        <f t="shared" si="4"/>
        <v>4.4794303183677995</v>
      </c>
      <c r="I185" s="3" t="s">
        <v>1252</v>
      </c>
      <c r="J185" s="6" t="str">
        <f t="shared" si="5"/>
        <v>http://konect.cc/files/download.tsv.wiki_talk_pt.tar.bz2</v>
      </c>
      <c r="L185" s="5"/>
    </row>
    <row r="186" spans="3:12" x14ac:dyDescent="0.3">
      <c r="C186" s="6" t="s">
        <v>3522</v>
      </c>
      <c r="D186" s="3" t="s">
        <v>3523</v>
      </c>
      <c r="E186" s="6" t="s">
        <v>38</v>
      </c>
      <c r="F186" s="7">
        <v>530893</v>
      </c>
      <c r="G186" s="7">
        <v>2071885</v>
      </c>
      <c r="H186" s="6">
        <f t="shared" si="4"/>
        <v>3.9026413985492368</v>
      </c>
      <c r="I186" s="3" t="s">
        <v>1232</v>
      </c>
      <c r="J186" s="6" t="str">
        <f t="shared" si="5"/>
        <v>http://konect.cc/files/download.tsv.edit-kuwiktionary.tar.bz2</v>
      </c>
      <c r="L186" s="5"/>
    </row>
    <row r="187" spans="3:12" x14ac:dyDescent="0.3">
      <c r="C187" s="6" t="s">
        <v>3749</v>
      </c>
      <c r="D187" s="3" t="s">
        <v>3750</v>
      </c>
      <c r="E187" s="6" t="s">
        <v>145</v>
      </c>
      <c r="F187" s="7">
        <v>519403</v>
      </c>
      <c r="G187" s="7">
        <v>6729794</v>
      </c>
      <c r="H187" s="6">
        <f t="shared" si="4"/>
        <v>12.95678692652911</v>
      </c>
      <c r="I187" s="3" t="s">
        <v>1349</v>
      </c>
      <c r="J187" s="6" t="str">
        <f t="shared" si="5"/>
        <v>http://konect.cc/files/download.tsv.wiki_talk_de.tar.bz2</v>
      </c>
      <c r="L187" s="5"/>
    </row>
    <row r="188" spans="3:12" x14ac:dyDescent="0.3">
      <c r="C188" s="6" t="s">
        <v>3545</v>
      </c>
      <c r="D188" s="3" t="s">
        <v>3546</v>
      </c>
      <c r="E188" s="6" t="s">
        <v>38</v>
      </c>
      <c r="F188" s="7">
        <v>515572</v>
      </c>
      <c r="G188" s="7">
        <v>2304757</v>
      </c>
      <c r="H188" s="6">
        <f t="shared" si="4"/>
        <v>4.47029124933084</v>
      </c>
      <c r="I188" s="3" t="s">
        <v>1244</v>
      </c>
      <c r="J188" s="6" t="str">
        <f t="shared" si="5"/>
        <v>http://konect.cc/files/download.tsv.edit-kkwiki.tar.bz2</v>
      </c>
      <c r="L188" s="5"/>
    </row>
    <row r="189" spans="3:12" x14ac:dyDescent="0.3">
      <c r="C189" s="6" t="s">
        <v>3408</v>
      </c>
      <c r="D189" s="3" t="s">
        <v>3409</v>
      </c>
      <c r="E189" s="6" t="s">
        <v>58</v>
      </c>
      <c r="F189" s="7">
        <v>512524</v>
      </c>
      <c r="G189" s="7">
        <v>2298816</v>
      </c>
      <c r="H189" s="6">
        <f t="shared" si="4"/>
        <v>4.485284591550835</v>
      </c>
      <c r="I189" s="3" t="s">
        <v>1172</v>
      </c>
      <c r="J189" s="6" t="str">
        <f t="shared" si="5"/>
        <v>http://konect.cc/files/download.tsv.pics_ui.tar.bz2</v>
      </c>
      <c r="L189" s="5"/>
    </row>
    <row r="190" spans="3:12" x14ac:dyDescent="0.3">
      <c r="C190" s="6" t="s">
        <v>2403</v>
      </c>
      <c r="D190" s="3" t="s">
        <v>3335</v>
      </c>
      <c r="E190" s="6" t="s">
        <v>36</v>
      </c>
      <c r="F190" s="7">
        <v>511463</v>
      </c>
      <c r="G190" s="7">
        <v>1470404</v>
      </c>
      <c r="H190" s="6">
        <f t="shared" si="4"/>
        <v>2.8748980864695981</v>
      </c>
      <c r="I190" s="3" t="s">
        <v>1130</v>
      </c>
      <c r="J190" s="6" t="str">
        <f t="shared" si="5"/>
        <v>http://konect.cc/files/download.tsv.actor-movie.tar.bz2</v>
      </c>
      <c r="L190" s="5"/>
    </row>
    <row r="191" spans="3:12" x14ac:dyDescent="0.3">
      <c r="C191" s="6" t="s">
        <v>3734</v>
      </c>
      <c r="D191" s="3" t="s">
        <v>3735</v>
      </c>
      <c r="E191" s="6" t="s">
        <v>38</v>
      </c>
      <c r="F191" s="7">
        <v>504318</v>
      </c>
      <c r="G191" s="7">
        <v>5788725</v>
      </c>
      <c r="H191" s="6">
        <f t="shared" si="4"/>
        <v>11.478323200837567</v>
      </c>
      <c r="I191" s="3" t="s">
        <v>1340</v>
      </c>
      <c r="J191" s="6" t="str">
        <f t="shared" si="5"/>
        <v>http://konect.cc/files/download.tsv.edit-skwiki.tar.bz2</v>
      </c>
      <c r="L191" s="5"/>
    </row>
    <row r="192" spans="3:12" x14ac:dyDescent="0.3">
      <c r="C192" s="6" t="s">
        <v>3698</v>
      </c>
      <c r="D192" s="3" t="s">
        <v>72</v>
      </c>
      <c r="E192" s="6" t="s">
        <v>36</v>
      </c>
      <c r="F192" s="7">
        <v>499610</v>
      </c>
      <c r="G192" s="7">
        <v>8545307</v>
      </c>
      <c r="H192" s="6">
        <f t="shared" si="4"/>
        <v>17.103955084966273</v>
      </c>
      <c r="I192" s="3" t="s">
        <v>1322</v>
      </c>
      <c r="J192" s="6" t="str">
        <f t="shared" si="5"/>
        <v>http://konect.cc/files/download.tsv.flickr-groupmemberships.tar.bz2</v>
      </c>
      <c r="L192" s="5"/>
    </row>
    <row r="193" spans="3:12" x14ac:dyDescent="0.3">
      <c r="C193" s="6" t="s">
        <v>3862</v>
      </c>
      <c r="D193" s="6" t="s">
        <v>28</v>
      </c>
      <c r="E193" s="6" t="s">
        <v>48</v>
      </c>
      <c r="F193" s="7">
        <v>497959</v>
      </c>
      <c r="G193" s="7">
        <v>100480507</v>
      </c>
      <c r="H193" s="6">
        <f t="shared" si="4"/>
        <v>201.78469914189722</v>
      </c>
      <c r="I193" s="3" t="s">
        <v>3897</v>
      </c>
      <c r="J193" s="6" t="str">
        <f t="shared" si="5"/>
        <v>http://konect.cc/files/download.tsv.netflix.tar.bz2</v>
      </c>
      <c r="L193" s="5"/>
    </row>
    <row r="194" spans="3:12" x14ac:dyDescent="0.3">
      <c r="C194" s="6" t="s">
        <v>3589</v>
      </c>
      <c r="D194" s="3" t="s">
        <v>3590</v>
      </c>
      <c r="E194" s="6" t="s">
        <v>145</v>
      </c>
      <c r="F194" s="7">
        <v>497446</v>
      </c>
      <c r="G194" s="7">
        <v>2702879</v>
      </c>
      <c r="H194" s="6">
        <f t="shared" ref="H194:H257" si="6">G194/F194</f>
        <v>5.433512381243391</v>
      </c>
      <c r="I194" s="3" t="s">
        <v>1269</v>
      </c>
      <c r="J194" s="6" t="str">
        <f t="shared" ref="J194:J257" si="7">"http://konect.cc/files/download.tsv."&amp;I194&amp;".tar.bz2"</f>
        <v>http://konect.cc/files/download.tsv.wiki_talk_es.tar.bz2</v>
      </c>
      <c r="L194" s="5"/>
    </row>
    <row r="195" spans="3:12" x14ac:dyDescent="0.3">
      <c r="C195" s="6" t="s">
        <v>3680</v>
      </c>
      <c r="D195" s="3" t="s">
        <v>3681</v>
      </c>
      <c r="E195" s="6" t="s">
        <v>38</v>
      </c>
      <c r="F195" s="7">
        <v>496141</v>
      </c>
      <c r="G195" s="7">
        <v>4236890</v>
      </c>
      <c r="H195" s="6">
        <f t="shared" si="6"/>
        <v>8.5396893221886518</v>
      </c>
      <c r="I195" s="3" t="s">
        <v>1313</v>
      </c>
      <c r="J195" s="6" t="str">
        <f t="shared" si="7"/>
        <v>http://konect.cc/files/download.tsv.edit-hrwiki.tar.bz2</v>
      </c>
      <c r="L195" s="5"/>
    </row>
    <row r="196" spans="3:12" x14ac:dyDescent="0.3">
      <c r="C196" s="6" t="s">
        <v>3699</v>
      </c>
      <c r="D196" s="3" t="s">
        <v>3700</v>
      </c>
      <c r="E196" s="6" t="s">
        <v>38</v>
      </c>
      <c r="F196" s="7">
        <v>494139</v>
      </c>
      <c r="G196" s="7">
        <v>4581775</v>
      </c>
      <c r="H196" s="6">
        <f t="shared" si="6"/>
        <v>9.2722391877589097</v>
      </c>
      <c r="I196" s="3" t="s">
        <v>1323</v>
      </c>
      <c r="J196" s="6" t="str">
        <f t="shared" si="7"/>
        <v>http://konect.cc/files/download.tsv.edit-simplewiki.tar.bz2</v>
      </c>
      <c r="L196" s="5"/>
    </row>
    <row r="197" spans="3:12" x14ac:dyDescent="0.3">
      <c r="C197" s="6" t="s">
        <v>3664</v>
      </c>
      <c r="D197" s="3" t="s">
        <v>3665</v>
      </c>
      <c r="E197" s="6" t="s">
        <v>38</v>
      </c>
      <c r="F197" s="7">
        <v>481016</v>
      </c>
      <c r="G197" s="7">
        <v>3826713</v>
      </c>
      <c r="H197" s="6">
        <f t="shared" si="6"/>
        <v>7.9554796514045272</v>
      </c>
      <c r="I197" s="3" t="s">
        <v>1305</v>
      </c>
      <c r="J197" s="6" t="str">
        <f t="shared" si="7"/>
        <v>http://konect.cc/files/download.tsv.edit-elwiktionary.tar.bz2</v>
      </c>
      <c r="L197" s="5"/>
    </row>
    <row r="198" spans="3:12" x14ac:dyDescent="0.3">
      <c r="C198" s="6" t="s">
        <v>3724</v>
      </c>
      <c r="D198" s="3" t="s">
        <v>3725</v>
      </c>
      <c r="E198" s="6" t="s">
        <v>38</v>
      </c>
      <c r="F198" s="7">
        <v>465768</v>
      </c>
      <c r="G198" s="7">
        <v>5286412</v>
      </c>
      <c r="H198" s="6">
        <f t="shared" si="6"/>
        <v>11.349882344858385</v>
      </c>
      <c r="I198" s="3" t="s">
        <v>1335</v>
      </c>
      <c r="J198" s="6" t="str">
        <f t="shared" si="7"/>
        <v>http://konect.cc/files/download.tsv.edit-elwiki.tar.bz2</v>
      </c>
      <c r="L198" s="5"/>
    </row>
    <row r="199" spans="3:12" x14ac:dyDescent="0.3">
      <c r="C199" s="6" t="s">
        <v>3192</v>
      </c>
      <c r="D199" s="3" t="s">
        <v>3193</v>
      </c>
      <c r="E199" s="6" t="s">
        <v>98</v>
      </c>
      <c r="F199" s="7">
        <v>465017</v>
      </c>
      <c r="G199" s="7">
        <v>834797</v>
      </c>
      <c r="H199" s="6">
        <f t="shared" si="6"/>
        <v>1.7951967347430309</v>
      </c>
      <c r="I199" s="3" t="s">
        <v>1055</v>
      </c>
      <c r="J199" s="6" t="str">
        <f t="shared" si="7"/>
        <v>http://konect.cc/files/download.tsv.munmun_twitter_social.tar.bz2</v>
      </c>
      <c r="L199" s="5"/>
    </row>
    <row r="200" spans="3:12" x14ac:dyDescent="0.3">
      <c r="C200" s="6" t="s">
        <v>3619</v>
      </c>
      <c r="D200" s="3" t="s">
        <v>3620</v>
      </c>
      <c r="E200" s="6" t="s">
        <v>38</v>
      </c>
      <c r="F200" s="7">
        <v>462041</v>
      </c>
      <c r="G200" s="7">
        <v>3009010</v>
      </c>
      <c r="H200" s="6">
        <f t="shared" si="6"/>
        <v>6.5124307150231253</v>
      </c>
      <c r="I200" s="3" t="s">
        <v>1282</v>
      </c>
      <c r="J200" s="6" t="str">
        <f t="shared" si="7"/>
        <v>http://konect.cc/files/download.tsv.edit-itwiktionary.tar.bz2</v>
      </c>
      <c r="L200" s="5"/>
    </row>
    <row r="201" spans="3:12" x14ac:dyDescent="0.3">
      <c r="C201" s="6" t="s">
        <v>3543</v>
      </c>
      <c r="D201" s="3" t="s">
        <v>3544</v>
      </c>
      <c r="E201" s="6" t="s">
        <v>145</v>
      </c>
      <c r="F201" s="7">
        <v>457017</v>
      </c>
      <c r="G201" s="7">
        <v>2282055</v>
      </c>
      <c r="H201" s="6">
        <f t="shared" si="6"/>
        <v>4.9933700496918059</v>
      </c>
      <c r="I201" s="3" t="s">
        <v>1243</v>
      </c>
      <c r="J201" s="6" t="str">
        <f t="shared" si="7"/>
        <v>http://konect.cc/files/download.tsv.wiki_talk_ru.tar.bz2</v>
      </c>
      <c r="L201" s="5"/>
    </row>
    <row r="202" spans="3:12" x14ac:dyDescent="0.3">
      <c r="C202" s="6" t="s">
        <v>1537</v>
      </c>
      <c r="D202" s="3" t="s">
        <v>1533</v>
      </c>
      <c r="E202" s="6" t="s">
        <v>3753</v>
      </c>
      <c r="F202" s="7">
        <v>456626</v>
      </c>
      <c r="G202" s="7">
        <v>14855842</v>
      </c>
      <c r="H202" s="6">
        <f t="shared" si="6"/>
        <v>32.533938058717638</v>
      </c>
      <c r="I202" s="3" t="s">
        <v>1352</v>
      </c>
      <c r="J202" s="6" t="str">
        <f t="shared" si="7"/>
        <v>http://konect.cc/files/download.tsv.higgs-twitter-social.tar.bz2</v>
      </c>
      <c r="L202" s="5"/>
    </row>
    <row r="203" spans="3:12" x14ac:dyDescent="0.3">
      <c r="C203" s="6" t="s">
        <v>3708</v>
      </c>
      <c r="D203" s="3" t="s">
        <v>3709</v>
      </c>
      <c r="E203" s="6" t="s">
        <v>83</v>
      </c>
      <c r="F203" s="7">
        <v>451710</v>
      </c>
      <c r="G203" s="7">
        <v>8543549</v>
      </c>
      <c r="H203" s="6">
        <f t="shared" si="6"/>
        <v>18.913792034712536</v>
      </c>
      <c r="I203" s="3" t="s">
        <v>1328</v>
      </c>
      <c r="J203" s="6" t="str">
        <f t="shared" si="7"/>
        <v>http://konect.cc/files/download.tsv.petster-dog-friend.tar.bz2</v>
      </c>
      <c r="L203" s="5"/>
    </row>
    <row r="204" spans="3:12" x14ac:dyDescent="0.3">
      <c r="C204" s="6" t="s">
        <v>3073</v>
      </c>
      <c r="D204" s="3" t="s">
        <v>3074</v>
      </c>
      <c r="E204" s="6" t="s">
        <v>38</v>
      </c>
      <c r="F204" s="7">
        <v>447892</v>
      </c>
      <c r="G204" s="7">
        <v>2889203</v>
      </c>
      <c r="H204" s="6">
        <f t="shared" si="6"/>
        <v>6.4506689112553923</v>
      </c>
      <c r="I204" s="3" t="s">
        <v>1278</v>
      </c>
      <c r="J204" s="6" t="str">
        <f t="shared" si="7"/>
        <v>http://konect.cc/files/download.tsv.edit-dewikisource.tar.bz2</v>
      </c>
      <c r="L204" s="5"/>
    </row>
    <row r="205" spans="3:12" x14ac:dyDescent="0.3">
      <c r="C205" s="6" t="s">
        <v>3694</v>
      </c>
      <c r="D205" s="3" t="s">
        <v>3695</v>
      </c>
      <c r="E205" s="6" t="s">
        <v>38</v>
      </c>
      <c r="F205" s="7">
        <v>447325</v>
      </c>
      <c r="G205" s="7">
        <v>4564553</v>
      </c>
      <c r="H205" s="6">
        <f t="shared" si="6"/>
        <v>10.204108869390264</v>
      </c>
      <c r="I205" s="3" t="s">
        <v>1320</v>
      </c>
      <c r="J205" s="6" t="str">
        <f t="shared" si="7"/>
        <v>http://konect.cc/files/download.tsv.edit-ltwiki.tar.bz2</v>
      </c>
      <c r="L205" s="5"/>
    </row>
    <row r="206" spans="3:12" x14ac:dyDescent="0.3">
      <c r="C206" s="6" t="s">
        <v>3555</v>
      </c>
      <c r="D206" s="3" t="s">
        <v>3556</v>
      </c>
      <c r="E206" s="6" t="s">
        <v>38</v>
      </c>
      <c r="F206" s="7">
        <v>446889</v>
      </c>
      <c r="G206" s="7">
        <v>2461702</v>
      </c>
      <c r="H206" s="6">
        <f t="shared" si="6"/>
        <v>5.5085312012602685</v>
      </c>
      <c r="I206" s="3" t="s">
        <v>1250</v>
      </c>
      <c r="J206" s="6" t="str">
        <f t="shared" si="7"/>
        <v>http://konect.cc/files/download.tsv.edit-bewiki.tar.bz2</v>
      </c>
      <c r="L206" s="5"/>
    </row>
    <row r="207" spans="3:12" x14ac:dyDescent="0.3">
      <c r="C207" s="6" t="s">
        <v>3264</v>
      </c>
      <c r="D207" s="3" t="s">
        <v>3265</v>
      </c>
      <c r="E207" s="6" t="s">
        <v>36</v>
      </c>
      <c r="F207" s="7">
        <v>445801</v>
      </c>
      <c r="G207" s="7">
        <v>1149739</v>
      </c>
      <c r="H207" s="6">
        <f t="shared" si="6"/>
        <v>2.5790408724969214</v>
      </c>
      <c r="I207" s="3" t="s">
        <v>1094</v>
      </c>
      <c r="J207" s="6" t="str">
        <f t="shared" si="7"/>
        <v>http://konect.cc/files/download.tsv.bookcrossing_full-rating.tar.bz2</v>
      </c>
      <c r="L207" s="5"/>
    </row>
    <row r="208" spans="3:12" x14ac:dyDescent="0.3">
      <c r="C208" s="6" t="s">
        <v>3621</v>
      </c>
      <c r="D208" s="3" t="s">
        <v>3622</v>
      </c>
      <c r="E208" s="6" t="s">
        <v>38</v>
      </c>
      <c r="F208" s="7">
        <v>442268</v>
      </c>
      <c r="G208" s="7">
        <v>3103726</v>
      </c>
      <c r="H208" s="6">
        <f t="shared" si="6"/>
        <v>7.0177494189043745</v>
      </c>
      <c r="I208" s="3" t="s">
        <v>1283</v>
      </c>
      <c r="J208" s="6" t="str">
        <f t="shared" si="7"/>
        <v>http://konect.cc/files/download.tsv.edit-fiwiktionary.tar.bz2</v>
      </c>
      <c r="L208" s="5"/>
    </row>
    <row r="209" spans="3:12" x14ac:dyDescent="0.3">
      <c r="C209" s="6" t="s">
        <v>3276</v>
      </c>
      <c r="D209" s="3" t="s">
        <v>3277</v>
      </c>
      <c r="E209" s="6" t="s">
        <v>38</v>
      </c>
      <c r="F209" s="7">
        <v>439571</v>
      </c>
      <c r="G209" s="7">
        <v>1654816</v>
      </c>
      <c r="H209" s="6">
        <f t="shared" si="6"/>
        <v>3.7646159551016787</v>
      </c>
      <c r="I209" s="3" t="s">
        <v>1206</v>
      </c>
      <c r="J209" s="6" t="str">
        <f t="shared" si="7"/>
        <v>http://konect.cc/files/download.tsv.edit-itwikisource.tar.bz2</v>
      </c>
      <c r="L209" s="5"/>
    </row>
    <row r="210" spans="3:12" x14ac:dyDescent="0.3">
      <c r="C210" s="6" t="s">
        <v>3529</v>
      </c>
      <c r="D210" s="3" t="s">
        <v>3530</v>
      </c>
      <c r="E210" s="6" t="s">
        <v>33</v>
      </c>
      <c r="F210" s="7">
        <v>439347</v>
      </c>
      <c r="G210" s="7">
        <v>3926707</v>
      </c>
      <c r="H210" s="6">
        <f t="shared" si="6"/>
        <v>8.93759829929418</v>
      </c>
      <c r="I210" s="3" t="s">
        <v>1236</v>
      </c>
      <c r="J210" s="6" t="str">
        <f t="shared" si="7"/>
        <v>http://konect.cc/files/download.tsv.wikipedia_link_uz.tar.bz2</v>
      </c>
      <c r="L210" s="5"/>
    </row>
    <row r="211" spans="3:12" x14ac:dyDescent="0.3">
      <c r="C211" s="6" t="s">
        <v>3250</v>
      </c>
      <c r="D211" s="3" t="s">
        <v>1518</v>
      </c>
      <c r="E211" s="6" t="s">
        <v>98</v>
      </c>
      <c r="F211" s="7">
        <v>435666</v>
      </c>
      <c r="G211" s="7">
        <v>1042400</v>
      </c>
      <c r="H211" s="6">
        <f t="shared" si="6"/>
        <v>2.3926585962641105</v>
      </c>
      <c r="I211" s="3" t="s">
        <v>1086</v>
      </c>
      <c r="J211" s="6" t="str">
        <f t="shared" si="7"/>
        <v>http://konect.cc/files/download.tsv.dimacs9-COL.tar.bz2</v>
      </c>
      <c r="L211" s="5"/>
    </row>
    <row r="212" spans="3:12" x14ac:dyDescent="0.3">
      <c r="C212" s="6" t="s">
        <v>3553</v>
      </c>
      <c r="D212" s="3" t="s">
        <v>3554</v>
      </c>
      <c r="E212" s="6" t="s">
        <v>33</v>
      </c>
      <c r="F212" s="7">
        <v>429317</v>
      </c>
      <c r="G212" s="7">
        <v>4421679</v>
      </c>
      <c r="H212" s="6">
        <f t="shared" si="6"/>
        <v>10.29933359265997</v>
      </c>
      <c r="I212" s="3" t="s">
        <v>1249</v>
      </c>
      <c r="J212" s="6" t="str">
        <f t="shared" si="7"/>
        <v>http://konect.cc/files/download.tsv.wikipedia_link_zh_min_nan.tar.bz2</v>
      </c>
      <c r="L212" s="5"/>
    </row>
    <row r="213" spans="3:12" x14ac:dyDescent="0.3">
      <c r="C213" s="6" t="s">
        <v>3685</v>
      </c>
      <c r="D213" s="3" t="s">
        <v>1526</v>
      </c>
      <c r="E213" s="6" t="s">
        <v>91</v>
      </c>
      <c r="F213" s="7">
        <v>426820</v>
      </c>
      <c r="G213" s="7">
        <v>8546581</v>
      </c>
      <c r="H213" s="6">
        <f t="shared" si="6"/>
        <v>20.023853146525468</v>
      </c>
      <c r="I213" s="3" t="s">
        <v>1315</v>
      </c>
      <c r="J213" s="6" t="str">
        <f t="shared" si="7"/>
        <v>http://konect.cc/files/download.tsv.petster-friendships-dog.tar.bz2</v>
      </c>
      <c r="L213" s="5"/>
    </row>
    <row r="214" spans="3:12" x14ac:dyDescent="0.3">
      <c r="C214" s="6" t="s">
        <v>3674</v>
      </c>
      <c r="D214" s="3" t="s">
        <v>3675</v>
      </c>
      <c r="E214" s="6" t="s">
        <v>38</v>
      </c>
      <c r="F214" s="7">
        <v>424139</v>
      </c>
      <c r="G214" s="7">
        <v>4156964</v>
      </c>
      <c r="H214" s="6">
        <f t="shared" si="6"/>
        <v>9.8009473309457515</v>
      </c>
      <c r="I214" s="3" t="s">
        <v>1310</v>
      </c>
      <c r="J214" s="6" t="str">
        <f t="shared" si="7"/>
        <v>http://konect.cc/files/download.tsv.edit-etwiki.tar.bz2</v>
      </c>
      <c r="L214" s="5"/>
    </row>
    <row r="215" spans="3:12" x14ac:dyDescent="0.3">
      <c r="C215" s="6" t="s">
        <v>3579</v>
      </c>
      <c r="D215" s="3" t="s">
        <v>3580</v>
      </c>
      <c r="E215" s="6" t="s">
        <v>38</v>
      </c>
      <c r="F215" s="7">
        <v>423143</v>
      </c>
      <c r="G215" s="7">
        <v>2583957</v>
      </c>
      <c r="H215" s="6">
        <f t="shared" si="6"/>
        <v>6.1065809903507802</v>
      </c>
      <c r="I215" s="3" t="s">
        <v>1264</v>
      </c>
      <c r="J215" s="6" t="str">
        <f t="shared" si="7"/>
        <v>http://konect.cc/files/download.tsv.edit-mkwiki.tar.bz2</v>
      </c>
      <c r="L215" s="5"/>
    </row>
    <row r="216" spans="3:12" x14ac:dyDescent="0.3">
      <c r="C216" s="6" t="s">
        <v>3468</v>
      </c>
      <c r="D216" s="3" t="s">
        <v>3469</v>
      </c>
      <c r="E216" s="6" t="s">
        <v>96</v>
      </c>
      <c r="F216" s="7">
        <v>415641</v>
      </c>
      <c r="G216" s="7">
        <v>3284387</v>
      </c>
      <c r="H216" s="6">
        <f t="shared" si="6"/>
        <v>7.9019803147427705</v>
      </c>
      <c r="I216" s="3" t="s">
        <v>1203</v>
      </c>
      <c r="J216" s="6" t="str">
        <f t="shared" si="7"/>
        <v>http://konect.cc/files/download.tsv.zhishi-baidu-relatedpages.tar.bz2</v>
      </c>
      <c r="L216" s="5"/>
    </row>
    <row r="217" spans="3:12" x14ac:dyDescent="0.3">
      <c r="C217" s="6" t="s">
        <v>2090</v>
      </c>
      <c r="D217" s="3" t="s">
        <v>2091</v>
      </c>
      <c r="E217" s="6" t="s">
        <v>38</v>
      </c>
      <c r="F217" s="7">
        <v>413526</v>
      </c>
      <c r="G217" s="7">
        <v>492375</v>
      </c>
      <c r="H217" s="6">
        <f t="shared" si="6"/>
        <v>1.1906748306031543</v>
      </c>
      <c r="I217" s="3" t="s">
        <v>1056</v>
      </c>
      <c r="J217" s="6" t="str">
        <f t="shared" si="7"/>
        <v>http://konect.cc/files/download.tsv.edit-tawikisource.tar.bz2</v>
      </c>
      <c r="L217" s="5"/>
    </row>
    <row r="218" spans="3:12" x14ac:dyDescent="0.3">
      <c r="C218" s="6" t="s">
        <v>3740</v>
      </c>
      <c r="D218" s="3" t="s">
        <v>3741</v>
      </c>
      <c r="E218" s="6" t="s">
        <v>33</v>
      </c>
      <c r="F218" s="7">
        <v>412997</v>
      </c>
      <c r="G218" s="7">
        <v>10424529</v>
      </c>
      <c r="H218" s="6">
        <f t="shared" si="6"/>
        <v>25.241173664699744</v>
      </c>
      <c r="I218" s="3" t="s">
        <v>1343</v>
      </c>
      <c r="J218" s="6" t="str">
        <f t="shared" si="7"/>
        <v>http://konect.cc/files/download.tsv.wikipedia_link_eo.tar.bz2</v>
      </c>
      <c r="L218" s="5"/>
    </row>
    <row r="219" spans="3:12" x14ac:dyDescent="0.3">
      <c r="C219" s="6" t="s">
        <v>3293</v>
      </c>
      <c r="D219" s="3" t="s">
        <v>3515</v>
      </c>
      <c r="E219" s="6" t="s">
        <v>3295</v>
      </c>
      <c r="F219" s="7">
        <v>410236</v>
      </c>
      <c r="G219" s="7">
        <v>3356824</v>
      </c>
      <c r="H219" s="6">
        <f t="shared" si="6"/>
        <v>8.1826655876129841</v>
      </c>
      <c r="I219" s="3" t="s">
        <v>3891</v>
      </c>
      <c r="J219" s="6" t="str">
        <f t="shared" si="7"/>
        <v>http://konect.cc/files/download.tsv.amazon0505.tar.bz2</v>
      </c>
      <c r="L219" s="5"/>
    </row>
    <row r="220" spans="3:12" x14ac:dyDescent="0.3">
      <c r="C220" s="6" t="s">
        <v>3651</v>
      </c>
      <c r="D220" s="3" t="s">
        <v>3652</v>
      </c>
      <c r="E220" s="6" t="s">
        <v>38</v>
      </c>
      <c r="F220" s="7">
        <v>409984</v>
      </c>
      <c r="G220" s="7">
        <v>3351194</v>
      </c>
      <c r="H220" s="6">
        <f t="shared" si="6"/>
        <v>8.1739628863565414</v>
      </c>
      <c r="I220" s="3" t="s">
        <v>1298</v>
      </c>
      <c r="J220" s="6" t="str">
        <f t="shared" si="7"/>
        <v>http://konect.cc/files/download.tsv.edit-kowiktionary.tar.bz2</v>
      </c>
      <c r="L220" s="5"/>
    </row>
    <row r="221" spans="3:12" x14ac:dyDescent="0.3">
      <c r="C221" s="6" t="s">
        <v>3293</v>
      </c>
      <c r="D221" s="3" t="s">
        <v>3518</v>
      </c>
      <c r="E221" s="6" t="s">
        <v>98</v>
      </c>
      <c r="F221" s="7">
        <v>403394</v>
      </c>
      <c r="G221" s="7">
        <v>3387388</v>
      </c>
      <c r="H221" s="6">
        <f t="shared" si="6"/>
        <v>8.3972195917638839</v>
      </c>
      <c r="I221" s="3" t="s">
        <v>0</v>
      </c>
      <c r="J221" s="6" t="str">
        <f t="shared" si="7"/>
        <v>http://konect.cc/files/download.tsv.amazon0601.tar.bz2</v>
      </c>
      <c r="L221" s="5"/>
    </row>
    <row r="222" spans="3:12" x14ac:dyDescent="0.3">
      <c r="C222" s="6" t="s">
        <v>3833</v>
      </c>
      <c r="D222" s="3" t="s">
        <v>162</v>
      </c>
      <c r="E222" s="6" t="s">
        <v>58</v>
      </c>
      <c r="F222" s="7">
        <v>401388</v>
      </c>
      <c r="G222" s="7">
        <v>99542125</v>
      </c>
      <c r="H222" s="6">
        <f t="shared" si="6"/>
        <v>247.99477064585886</v>
      </c>
      <c r="I222" s="3" t="s">
        <v>1428</v>
      </c>
      <c r="J222" s="6" t="str">
        <f t="shared" si="7"/>
        <v>http://konect.cc/files/download.tsv.bag-nytimes.tar.bz2</v>
      </c>
      <c r="L222" s="5"/>
    </row>
    <row r="223" spans="3:12" x14ac:dyDescent="0.3">
      <c r="C223" s="6" t="s">
        <v>3293</v>
      </c>
      <c r="D223" s="3" t="s">
        <v>3497</v>
      </c>
      <c r="E223" s="6" t="s">
        <v>3295</v>
      </c>
      <c r="F223" s="7">
        <v>400727</v>
      </c>
      <c r="G223" s="7">
        <v>3200440</v>
      </c>
      <c r="H223" s="6">
        <f t="shared" si="6"/>
        <v>7.9865843828841081</v>
      </c>
      <c r="I223" s="3" t="s">
        <v>3890</v>
      </c>
      <c r="J223" s="6" t="str">
        <f t="shared" si="7"/>
        <v>http://konect.cc/files/download.tsv.amazon0312.tar.bz2</v>
      </c>
      <c r="L223" s="5"/>
    </row>
    <row r="224" spans="3:12" x14ac:dyDescent="0.3">
      <c r="C224" s="6" t="s">
        <v>3386</v>
      </c>
      <c r="D224" s="3" t="s">
        <v>3387</v>
      </c>
      <c r="E224" s="6" t="s">
        <v>145</v>
      </c>
      <c r="F224" s="7">
        <v>397635</v>
      </c>
      <c r="G224" s="7">
        <v>1031378</v>
      </c>
      <c r="H224" s="6">
        <f t="shared" si="6"/>
        <v>2.5937807285575967</v>
      </c>
      <c r="I224" s="3" t="s">
        <v>1160</v>
      </c>
      <c r="J224" s="6" t="str">
        <f t="shared" si="7"/>
        <v>http://konect.cc/files/download.tsv.wiki_talk_ja.tar.bz2</v>
      </c>
      <c r="L224" s="5"/>
    </row>
    <row r="225" spans="3:12" x14ac:dyDescent="0.3">
      <c r="C225" s="6" t="s">
        <v>3688</v>
      </c>
      <c r="D225" s="3" t="s">
        <v>3689</v>
      </c>
      <c r="E225" s="6" t="s">
        <v>38</v>
      </c>
      <c r="F225" s="7">
        <v>395975</v>
      </c>
      <c r="G225" s="7">
        <v>4501672</v>
      </c>
      <c r="H225" s="6">
        <f t="shared" si="6"/>
        <v>11.368576299008776</v>
      </c>
      <c r="I225" s="3" t="s">
        <v>1317</v>
      </c>
      <c r="J225" s="6" t="str">
        <f t="shared" si="7"/>
        <v>http://konect.cc/files/download.tsv.edit-slwiki.tar.bz2</v>
      </c>
      <c r="L225" s="5"/>
    </row>
    <row r="226" spans="3:12" x14ac:dyDescent="0.3">
      <c r="C226" s="6" t="s">
        <v>3527</v>
      </c>
      <c r="D226" s="3" t="s">
        <v>3528</v>
      </c>
      <c r="E226" s="6" t="s">
        <v>38</v>
      </c>
      <c r="F226" s="7">
        <v>388013</v>
      </c>
      <c r="G226" s="7">
        <v>2150545</v>
      </c>
      <c r="H226" s="6">
        <f t="shared" si="6"/>
        <v>5.5424560517302259</v>
      </c>
      <c r="I226" s="3" t="s">
        <v>1235</v>
      </c>
      <c r="J226" s="6" t="str">
        <f t="shared" si="7"/>
        <v>http://konect.cc/files/download.tsv.edit-huwiktionary.tar.bz2</v>
      </c>
      <c r="L226" s="5"/>
    </row>
    <row r="227" spans="3:12" x14ac:dyDescent="0.3">
      <c r="C227" s="6" t="s">
        <v>3761</v>
      </c>
      <c r="D227" s="3" t="s">
        <v>81</v>
      </c>
      <c r="E227" s="6" t="s">
        <v>33</v>
      </c>
      <c r="F227" s="7">
        <v>387503</v>
      </c>
      <c r="G227" s="7">
        <v>15082322</v>
      </c>
      <c r="H227" s="6">
        <f t="shared" si="6"/>
        <v>38.921819960103534</v>
      </c>
      <c r="I227" s="3" t="s">
        <v>1357</v>
      </c>
      <c r="J227" s="6" t="str">
        <f t="shared" si="7"/>
        <v>http://konect.cc/files/download.tsv.wikipedia_link_he.tar.bz2</v>
      </c>
      <c r="L227" s="5"/>
    </row>
    <row r="228" spans="3:12" x14ac:dyDescent="0.3">
      <c r="C228" s="6" t="s">
        <v>3063</v>
      </c>
      <c r="D228" s="3" t="s">
        <v>1513</v>
      </c>
      <c r="E228" s="6" t="s">
        <v>33</v>
      </c>
      <c r="F228" s="7">
        <v>384413</v>
      </c>
      <c r="G228" s="7">
        <v>1751463</v>
      </c>
      <c r="H228" s="6">
        <f t="shared" si="6"/>
        <v>4.5562012731099104</v>
      </c>
      <c r="I228" s="3" t="s">
        <v>1148</v>
      </c>
      <c r="J228" s="6" t="str">
        <f t="shared" si="7"/>
        <v>http://konect.cc/files/download.tsv.citeseer.tar.bz2</v>
      </c>
      <c r="L228" s="5"/>
    </row>
    <row r="229" spans="3:12" x14ac:dyDescent="0.3">
      <c r="C229" s="6" t="s">
        <v>3806</v>
      </c>
      <c r="D229" s="3" t="s">
        <v>132</v>
      </c>
      <c r="E229" s="6" t="s">
        <v>133</v>
      </c>
      <c r="F229" s="7">
        <v>382219</v>
      </c>
      <c r="G229" s="7">
        <v>33115812</v>
      </c>
      <c r="H229" s="6">
        <f t="shared" si="6"/>
        <v>86.640936217194849</v>
      </c>
      <c r="I229" s="3" t="s">
        <v>1403</v>
      </c>
      <c r="J229" s="6" t="str">
        <f t="shared" si="7"/>
        <v>http://konect.cc/files/download.tsv.actor-collaboration.tar.bz2</v>
      </c>
      <c r="L229" s="5"/>
    </row>
    <row r="230" spans="3:12" x14ac:dyDescent="0.3">
      <c r="C230" s="6" t="s">
        <v>3498</v>
      </c>
      <c r="D230" s="3" t="s">
        <v>3499</v>
      </c>
      <c r="E230" s="6" t="s">
        <v>38</v>
      </c>
      <c r="F230" s="7">
        <v>381017</v>
      </c>
      <c r="G230" s="7">
        <v>1882538</v>
      </c>
      <c r="H230" s="6">
        <f t="shared" si="6"/>
        <v>4.9408241627014018</v>
      </c>
      <c r="I230" s="3" t="s">
        <v>1222</v>
      </c>
      <c r="J230" s="6" t="str">
        <f t="shared" si="7"/>
        <v>http://konect.cc/files/download.tsv.edit-trwiktionary.tar.bz2</v>
      </c>
      <c r="L230" s="5"/>
    </row>
    <row r="231" spans="3:12" x14ac:dyDescent="0.3">
      <c r="C231" s="6" t="s">
        <v>3472</v>
      </c>
      <c r="D231" s="3" t="s">
        <v>3473</v>
      </c>
      <c r="E231" s="6" t="s">
        <v>38</v>
      </c>
      <c r="F231" s="7">
        <v>379554</v>
      </c>
      <c r="G231" s="7">
        <v>1565683</v>
      </c>
      <c r="H231" s="6">
        <f t="shared" si="6"/>
        <v>4.1250599387702405</v>
      </c>
      <c r="I231" s="3" t="s">
        <v>1207</v>
      </c>
      <c r="J231" s="6" t="str">
        <f t="shared" si="7"/>
        <v>http://konect.cc/files/download.tsv.lkml_person-thread.tar.bz2</v>
      </c>
      <c r="L231" s="5"/>
    </row>
    <row r="232" spans="3:12" x14ac:dyDescent="0.3">
      <c r="C232" s="6" t="s">
        <v>3722</v>
      </c>
      <c r="D232" s="3" t="s">
        <v>3723</v>
      </c>
      <c r="E232" s="6" t="s">
        <v>33</v>
      </c>
      <c r="F232" s="7">
        <v>378375</v>
      </c>
      <c r="G232" s="7">
        <v>9618862</v>
      </c>
      <c r="H232" s="6">
        <f t="shared" si="6"/>
        <v>25.421505120581433</v>
      </c>
      <c r="I232" s="3" t="s">
        <v>1334</v>
      </c>
      <c r="J232" s="6" t="str">
        <f t="shared" si="7"/>
        <v>http://konect.cc/files/download.tsv.wikipedia_link_da.tar.bz2</v>
      </c>
      <c r="L232" s="5"/>
    </row>
    <row r="233" spans="3:12" x14ac:dyDescent="0.3">
      <c r="C233" s="6" t="s">
        <v>3655</v>
      </c>
      <c r="D233" s="3" t="s">
        <v>3656</v>
      </c>
      <c r="E233" s="6" t="s">
        <v>33</v>
      </c>
      <c r="F233" s="7">
        <v>375911</v>
      </c>
      <c r="G233" s="7">
        <v>6563979</v>
      </c>
      <c r="H233" s="6">
        <f t="shared" si="6"/>
        <v>17.4615241373623</v>
      </c>
      <c r="I233" s="3" t="s">
        <v>1300</v>
      </c>
      <c r="J233" s="6" t="str">
        <f t="shared" si="7"/>
        <v>http://konect.cc/files/download.tsv.wikipedia_link_be.tar.bz2</v>
      </c>
      <c r="L233" s="5"/>
    </row>
    <row r="234" spans="3:12" x14ac:dyDescent="0.3">
      <c r="C234" s="6" t="s">
        <v>3704</v>
      </c>
      <c r="D234" s="3" t="s">
        <v>3705</v>
      </c>
      <c r="E234" s="6" t="s">
        <v>33</v>
      </c>
      <c r="F234" s="7">
        <v>371025</v>
      </c>
      <c r="G234" s="7">
        <v>8985762</v>
      </c>
      <c r="H234" s="6">
        <f t="shared" si="6"/>
        <v>24.218750758035174</v>
      </c>
      <c r="I234" s="3" t="s">
        <v>1326</v>
      </c>
      <c r="J234" s="6" t="str">
        <f t="shared" si="7"/>
        <v>http://konect.cc/files/download.tsv.wikipedia_link_eu.tar.bz2</v>
      </c>
      <c r="L234" s="5"/>
    </row>
    <row r="235" spans="3:12" x14ac:dyDescent="0.3">
      <c r="C235" s="6" t="s">
        <v>3460</v>
      </c>
      <c r="D235" s="3" t="s">
        <v>3461</v>
      </c>
      <c r="E235" s="6" t="s">
        <v>38</v>
      </c>
      <c r="F235" s="7">
        <v>367883</v>
      </c>
      <c r="G235" s="7">
        <v>1623615</v>
      </c>
      <c r="H235" s="6">
        <f t="shared" si="6"/>
        <v>4.413400456123278</v>
      </c>
      <c r="I235" s="3" t="s">
        <v>1199</v>
      </c>
      <c r="J235" s="6" t="str">
        <f t="shared" si="7"/>
        <v>http://konect.cc/files/download.tsv.edit-tawiktionary.tar.bz2</v>
      </c>
      <c r="L235" s="5"/>
    </row>
    <row r="236" spans="3:12" x14ac:dyDescent="0.3">
      <c r="C236" s="6" t="s">
        <v>3541</v>
      </c>
      <c r="D236" s="3" t="s">
        <v>3542</v>
      </c>
      <c r="E236" s="6" t="s">
        <v>38</v>
      </c>
      <c r="F236" s="7">
        <v>363654</v>
      </c>
      <c r="G236" s="7">
        <v>2341558</v>
      </c>
      <c r="H236" s="6">
        <f t="shared" si="6"/>
        <v>6.4389722098478224</v>
      </c>
      <c r="I236" s="3" t="s">
        <v>1242</v>
      </c>
      <c r="J236" s="6" t="str">
        <f t="shared" si="7"/>
        <v>http://konect.cc/files/download.tsv.edit-bswiki.tar.bz2</v>
      </c>
      <c r="L236" s="5"/>
    </row>
    <row r="237" spans="3:12" x14ac:dyDescent="0.3">
      <c r="C237" s="6" t="s">
        <v>3793</v>
      </c>
      <c r="D237" s="3" t="s">
        <v>119</v>
      </c>
      <c r="E237" s="6" t="s">
        <v>33</v>
      </c>
      <c r="F237" s="7">
        <v>362264</v>
      </c>
      <c r="G237" s="7">
        <v>28260868</v>
      </c>
      <c r="H237" s="6">
        <f t="shared" si="6"/>
        <v>78.011803546584815</v>
      </c>
      <c r="I237" s="3" t="s">
        <v>1389</v>
      </c>
      <c r="J237" s="6" t="str">
        <f t="shared" si="7"/>
        <v>http://konect.cc/files/download.tsv.wikipedia_link_ms.tar.bz2</v>
      </c>
      <c r="L237" s="5"/>
    </row>
    <row r="238" spans="3:12" x14ac:dyDescent="0.3">
      <c r="C238" s="6" t="s">
        <v>3551</v>
      </c>
      <c r="D238" s="3" t="s">
        <v>3552</v>
      </c>
      <c r="E238" s="6" t="s">
        <v>38</v>
      </c>
      <c r="F238" s="7">
        <v>362166</v>
      </c>
      <c r="G238" s="7">
        <v>2349591</v>
      </c>
      <c r="H238" s="6">
        <f t="shared" si="6"/>
        <v>6.4876078925133775</v>
      </c>
      <c r="I238" s="3" t="s">
        <v>1248</v>
      </c>
      <c r="J238" s="6" t="str">
        <f t="shared" si="7"/>
        <v>http://konect.cc/files/download.tsv.edit-mlwiki.tar.bz2</v>
      </c>
      <c r="L238" s="5"/>
    </row>
    <row r="239" spans="3:12" x14ac:dyDescent="0.3">
      <c r="C239" s="6" t="s">
        <v>3672</v>
      </c>
      <c r="D239" s="3" t="s">
        <v>3673</v>
      </c>
      <c r="E239" s="6" t="s">
        <v>38</v>
      </c>
      <c r="F239" s="7">
        <v>354254</v>
      </c>
      <c r="G239" s="7">
        <v>4106776</v>
      </c>
      <c r="H239" s="6">
        <f t="shared" si="6"/>
        <v>11.592744189197582</v>
      </c>
      <c r="I239" s="3" t="s">
        <v>1309</v>
      </c>
      <c r="J239" s="6" t="str">
        <f t="shared" si="7"/>
        <v>http://konect.cc/files/download.tsv.edit-glwiki.tar.bz2</v>
      </c>
      <c r="L239" s="5"/>
    </row>
    <row r="240" spans="3:12" x14ac:dyDescent="0.3">
      <c r="C240" s="6" t="s">
        <v>3716</v>
      </c>
      <c r="D240" s="3" t="s">
        <v>3717</v>
      </c>
      <c r="E240" s="6" t="s">
        <v>33</v>
      </c>
      <c r="F240" s="7">
        <v>354062</v>
      </c>
      <c r="G240" s="7">
        <v>9527823</v>
      </c>
      <c r="H240" s="6">
        <f t="shared" si="6"/>
        <v>26.910041179228497</v>
      </c>
      <c r="I240" s="3" t="s">
        <v>1331</v>
      </c>
      <c r="J240" s="6" t="str">
        <f t="shared" si="7"/>
        <v>http://konect.cc/files/download.tsv.wikipedia_link_bg.tar.bz2</v>
      </c>
      <c r="L240" s="5"/>
    </row>
    <row r="241" spans="3:12" x14ac:dyDescent="0.3">
      <c r="C241" s="6" t="s">
        <v>3533</v>
      </c>
      <c r="D241" s="3" t="s">
        <v>3534</v>
      </c>
      <c r="E241" s="6" t="s">
        <v>38</v>
      </c>
      <c r="F241" s="7">
        <v>340357</v>
      </c>
      <c r="G241" s="7">
        <v>2252790</v>
      </c>
      <c r="H241" s="6">
        <f t="shared" si="6"/>
        <v>6.6189030929288952</v>
      </c>
      <c r="I241" s="3" t="s">
        <v>1238</v>
      </c>
      <c r="J241" s="6" t="str">
        <f t="shared" si="7"/>
        <v>http://konect.cc/files/download.tsv.edit-ptwiktionary.tar.bz2</v>
      </c>
      <c r="L241" s="5"/>
    </row>
    <row r="242" spans="3:12" x14ac:dyDescent="0.3">
      <c r="C242" s="6" t="s">
        <v>3251</v>
      </c>
      <c r="D242" s="3" t="s">
        <v>3252</v>
      </c>
      <c r="E242" s="6" t="s">
        <v>145</v>
      </c>
      <c r="F242" s="7">
        <v>338714</v>
      </c>
      <c r="G242" s="7">
        <v>607087</v>
      </c>
      <c r="H242" s="6">
        <f t="shared" si="6"/>
        <v>1.7923292217032658</v>
      </c>
      <c r="I242" s="3" t="s">
        <v>1087</v>
      </c>
      <c r="J242" s="6" t="str">
        <f t="shared" si="7"/>
        <v>http://konect.cc/files/download.tsv.wiki_talk_vi.tar.bz2</v>
      </c>
      <c r="L242" s="5"/>
    </row>
    <row r="243" spans="3:12" x14ac:dyDescent="0.3">
      <c r="C243" s="6" t="s">
        <v>3641</v>
      </c>
      <c r="D243" s="3" t="s">
        <v>3642</v>
      </c>
      <c r="E243" s="6" t="s">
        <v>38</v>
      </c>
      <c r="F243" s="7">
        <v>338081</v>
      </c>
      <c r="G243" s="7">
        <v>3230280</v>
      </c>
      <c r="H243" s="6">
        <f t="shared" si="6"/>
        <v>9.5547516719366072</v>
      </c>
      <c r="I243" s="3" t="s">
        <v>1293</v>
      </c>
      <c r="J243" s="6" t="str">
        <f t="shared" si="7"/>
        <v>http://konect.cc/files/download.tsv.edit-azwiki.tar.bz2</v>
      </c>
      <c r="L243" s="5"/>
    </row>
    <row r="244" spans="3:12" x14ac:dyDescent="0.3">
      <c r="C244" s="6" t="s">
        <v>3627</v>
      </c>
      <c r="D244" s="3" t="s">
        <v>3628</v>
      </c>
      <c r="E244" s="6" t="s">
        <v>38</v>
      </c>
      <c r="F244" s="7">
        <v>337163</v>
      </c>
      <c r="G244" s="7">
        <v>3135173</v>
      </c>
      <c r="H244" s="6">
        <f t="shared" si="6"/>
        <v>9.2986863920418319</v>
      </c>
      <c r="I244" s="3" t="s">
        <v>1286</v>
      </c>
      <c r="J244" s="6" t="str">
        <f t="shared" si="7"/>
        <v>http://konect.cc/files/download.tsv.edit-kawiki.tar.bz2</v>
      </c>
      <c r="L244" s="5"/>
    </row>
    <row r="245" spans="3:12" x14ac:dyDescent="0.3">
      <c r="C245" s="6" t="s">
        <v>3211</v>
      </c>
      <c r="D245" s="3" t="s">
        <v>3212</v>
      </c>
      <c r="E245" s="6" t="s">
        <v>83</v>
      </c>
      <c r="F245" s="7">
        <v>334863</v>
      </c>
      <c r="G245" s="7">
        <v>925872</v>
      </c>
      <c r="H245" s="6">
        <f t="shared" si="6"/>
        <v>2.7649277465709856</v>
      </c>
      <c r="I245" s="3" t="s">
        <v>1066</v>
      </c>
      <c r="J245" s="6" t="str">
        <f t="shared" si="7"/>
        <v>http://konect.cc/files/download.tsv.com-amazon.tar.bz2</v>
      </c>
      <c r="L245" s="5"/>
    </row>
    <row r="246" spans="3:12" x14ac:dyDescent="0.3">
      <c r="C246" s="6" t="s">
        <v>3452</v>
      </c>
      <c r="D246" s="3" t="s">
        <v>3453</v>
      </c>
      <c r="E246" s="6" t="s">
        <v>83</v>
      </c>
      <c r="F246" s="7">
        <v>333111</v>
      </c>
      <c r="G246" s="7">
        <v>2643012</v>
      </c>
      <c r="H246" s="6">
        <f t="shared" si="6"/>
        <v>7.9343281969073374</v>
      </c>
      <c r="I246" s="3" t="s">
        <v>1194</v>
      </c>
      <c r="J246" s="6" t="str">
        <f t="shared" si="7"/>
        <v>http://konect.cc/files/download.tsv.petster-catdog-household.tar.bz2</v>
      </c>
      <c r="L246" s="5"/>
    </row>
    <row r="247" spans="3:12" x14ac:dyDescent="0.3">
      <c r="C247" s="6" t="s">
        <v>3666</v>
      </c>
      <c r="D247" s="3" t="s">
        <v>3667</v>
      </c>
      <c r="E247" s="6" t="s">
        <v>33</v>
      </c>
      <c r="F247" s="7">
        <v>332057</v>
      </c>
      <c r="G247" s="7">
        <v>8079171</v>
      </c>
      <c r="H247" s="6">
        <f t="shared" si="6"/>
        <v>24.330675155169143</v>
      </c>
      <c r="I247" s="3" t="s">
        <v>1306</v>
      </c>
      <c r="J247" s="6" t="str">
        <f t="shared" si="7"/>
        <v>http://konect.cc/files/download.tsv.wikipedia_link_ur.tar.bz2</v>
      </c>
      <c r="L247" s="5"/>
    </row>
    <row r="248" spans="3:12" x14ac:dyDescent="0.3">
      <c r="C248" s="6" t="s">
        <v>3535</v>
      </c>
      <c r="D248" s="3" t="s">
        <v>3536</v>
      </c>
      <c r="E248" s="6" t="s">
        <v>38</v>
      </c>
      <c r="F248" s="7">
        <v>330121</v>
      </c>
      <c r="G248" s="7">
        <v>2191339</v>
      </c>
      <c r="H248" s="6">
        <f t="shared" si="6"/>
        <v>6.637987283450614</v>
      </c>
      <c r="I248" s="3" t="s">
        <v>1239</v>
      </c>
      <c r="J248" s="6" t="str">
        <f t="shared" si="7"/>
        <v>http://konect.cc/files/download.tsv.edit-tawiki.tar.bz2</v>
      </c>
      <c r="L248" s="5"/>
    </row>
    <row r="249" spans="3:12" x14ac:dyDescent="0.3">
      <c r="C249" s="6" t="s">
        <v>3547</v>
      </c>
      <c r="D249" s="3" t="s">
        <v>3548</v>
      </c>
      <c r="E249" s="6" t="s">
        <v>38</v>
      </c>
      <c r="F249" s="7">
        <v>328993</v>
      </c>
      <c r="G249" s="7">
        <v>2233443</v>
      </c>
      <c r="H249" s="6">
        <f t="shared" si="6"/>
        <v>6.7887249880696547</v>
      </c>
      <c r="I249" s="3" t="s">
        <v>1246</v>
      </c>
      <c r="J249" s="6" t="str">
        <f t="shared" si="7"/>
        <v>http://konect.cc/files/download.tsv.edit-enwikibooks.tar.bz2</v>
      </c>
      <c r="L249" s="5"/>
    </row>
    <row r="250" spans="3:12" x14ac:dyDescent="0.3">
      <c r="C250" s="6" t="s">
        <v>3597</v>
      </c>
      <c r="D250" s="3" t="s">
        <v>3598</v>
      </c>
      <c r="E250" s="6" t="s">
        <v>38</v>
      </c>
      <c r="F250" s="7">
        <v>328414</v>
      </c>
      <c r="G250" s="7">
        <v>2803064</v>
      </c>
      <c r="H250" s="6">
        <f t="shared" si="6"/>
        <v>8.5351537997771114</v>
      </c>
      <c r="I250" s="3" t="s">
        <v>1273</v>
      </c>
      <c r="J250" s="6" t="str">
        <f t="shared" si="7"/>
        <v>http://konect.cc/files/download.tsv.edit-nnwiki.tar.bz2</v>
      </c>
      <c r="L250" s="5"/>
    </row>
    <row r="251" spans="3:12" x14ac:dyDescent="0.3">
      <c r="C251" s="6" t="s">
        <v>3561</v>
      </c>
      <c r="D251" s="3" t="s">
        <v>3562</v>
      </c>
      <c r="E251" s="6" t="s">
        <v>38</v>
      </c>
      <c r="F251" s="7">
        <v>327280</v>
      </c>
      <c r="G251" s="7">
        <v>2499933</v>
      </c>
      <c r="H251" s="6">
        <f t="shared" si="6"/>
        <v>7.6385144219017356</v>
      </c>
      <c r="I251" s="3" t="s">
        <v>1253</v>
      </c>
      <c r="J251" s="6" t="str">
        <f t="shared" si="7"/>
        <v>http://konect.cc/files/download.tsv.edit-lvwiki.tar.bz2</v>
      </c>
      <c r="L251" s="5"/>
    </row>
    <row r="252" spans="3:12" x14ac:dyDescent="0.3">
      <c r="C252" s="6" t="s">
        <v>3339</v>
      </c>
      <c r="D252" s="3" t="s">
        <v>3340</v>
      </c>
      <c r="E252" s="6" t="s">
        <v>33</v>
      </c>
      <c r="F252" s="7">
        <v>325729</v>
      </c>
      <c r="G252" s="7">
        <v>1497134</v>
      </c>
      <c r="H252" s="6">
        <f t="shared" si="6"/>
        <v>4.596256397189074</v>
      </c>
      <c r="I252" s="3" t="s">
        <v>1133</v>
      </c>
      <c r="J252" s="6" t="str">
        <f t="shared" si="7"/>
        <v>http://konect.cc/files/download.tsv.web-NotreDame.tar.bz2</v>
      </c>
      <c r="L252" s="5"/>
    </row>
    <row r="253" spans="3:12" x14ac:dyDescent="0.3">
      <c r="C253" s="6" t="s">
        <v>1555</v>
      </c>
      <c r="D253" s="3" t="s">
        <v>3459</v>
      </c>
      <c r="E253" s="6" t="s">
        <v>54</v>
      </c>
      <c r="F253" s="7">
        <v>325557</v>
      </c>
      <c r="G253" s="7">
        <v>2738969</v>
      </c>
      <c r="H253" s="6">
        <f t="shared" si="6"/>
        <v>8.4131780302681243</v>
      </c>
      <c r="I253" s="3" t="s">
        <v>1198</v>
      </c>
      <c r="J253" s="6" t="str">
        <f t="shared" si="7"/>
        <v>http://konect.cc/files/download.tsv.dimacs10-cnr-2000.tar.bz2</v>
      </c>
      <c r="L253" s="5"/>
    </row>
    <row r="254" spans="3:12" x14ac:dyDescent="0.3">
      <c r="C254" s="6" t="s">
        <v>2683</v>
      </c>
      <c r="D254" s="3" t="s">
        <v>2684</v>
      </c>
      <c r="E254" s="6" t="s">
        <v>38</v>
      </c>
      <c r="F254" s="7">
        <v>324017</v>
      </c>
      <c r="G254" s="7">
        <v>733303</v>
      </c>
      <c r="H254" s="6">
        <f t="shared" si="6"/>
        <v>2.2631621180370165</v>
      </c>
      <c r="I254" s="3" t="s">
        <v>1113</v>
      </c>
      <c r="J254" s="6" t="str">
        <f t="shared" si="7"/>
        <v>http://konect.cc/files/download.tsv.edit-hewikisource.tar.bz2</v>
      </c>
      <c r="L254" s="5"/>
    </row>
    <row r="255" spans="3:12" x14ac:dyDescent="0.3">
      <c r="C255" s="6" t="s">
        <v>3169</v>
      </c>
      <c r="D255" s="3" t="s">
        <v>3170</v>
      </c>
      <c r="E255" s="6" t="s">
        <v>98</v>
      </c>
      <c r="F255" s="7">
        <v>321270</v>
      </c>
      <c r="G255" s="7">
        <v>794830</v>
      </c>
      <c r="H255" s="6">
        <f t="shared" si="6"/>
        <v>2.4740249634264013</v>
      </c>
      <c r="I255" s="3" t="s">
        <v>1043</v>
      </c>
      <c r="J255" s="6" t="str">
        <f t="shared" si="7"/>
        <v>http://konect.cc/files/download.tsv.dimacs9-BAY.tar.bz2</v>
      </c>
      <c r="L255" s="5"/>
    </row>
    <row r="256" spans="3:12" x14ac:dyDescent="0.3">
      <c r="C256" s="6" t="s">
        <v>3457</v>
      </c>
      <c r="D256" s="3" t="s">
        <v>3458</v>
      </c>
      <c r="E256" s="6" t="s">
        <v>38</v>
      </c>
      <c r="F256" s="7">
        <v>317818</v>
      </c>
      <c r="G256" s="7">
        <v>1539666</v>
      </c>
      <c r="H256" s="6">
        <f t="shared" si="6"/>
        <v>4.8444896135524109</v>
      </c>
      <c r="I256" s="3" t="s">
        <v>1197</v>
      </c>
      <c r="J256" s="6" t="str">
        <f t="shared" si="7"/>
        <v>http://konect.cc/files/download.tsv.edit-minwiki.tar.bz2</v>
      </c>
      <c r="L256" s="5"/>
    </row>
    <row r="257" spans="3:12" x14ac:dyDescent="0.3">
      <c r="C257" s="6" t="s">
        <v>3248</v>
      </c>
      <c r="D257" s="3" t="s">
        <v>3249</v>
      </c>
      <c r="E257" s="6" t="s">
        <v>2718</v>
      </c>
      <c r="F257" s="7">
        <v>317080</v>
      </c>
      <c r="G257" s="7">
        <v>1049866</v>
      </c>
      <c r="H257" s="6">
        <f t="shared" si="6"/>
        <v>3.3110445313485557</v>
      </c>
      <c r="I257" s="3" t="s">
        <v>1085</v>
      </c>
      <c r="J257" s="6" t="str">
        <f t="shared" si="7"/>
        <v>http://konect.cc/files/download.tsv.com-dblp.tar.bz2</v>
      </c>
      <c r="L257" s="5"/>
    </row>
    <row r="258" spans="3:12" x14ac:dyDescent="0.3">
      <c r="C258" s="6" t="s">
        <v>3557</v>
      </c>
      <c r="D258" s="3" t="s">
        <v>3558</v>
      </c>
      <c r="E258" s="6" t="s">
        <v>38</v>
      </c>
      <c r="F258" s="7">
        <v>303742</v>
      </c>
      <c r="G258" s="7">
        <v>2537593</v>
      </c>
      <c r="H258" s="6">
        <f t="shared" ref="H258:H321" si="8">G258/F258</f>
        <v>8.3544356723798483</v>
      </c>
      <c r="I258" s="3" t="s">
        <v>1251</v>
      </c>
      <c r="J258" s="6" t="str">
        <f t="shared" ref="J258:J321" si="9">"http://konect.cc/files/download.tsv."&amp;I258&amp;".tar.bz2"</f>
        <v>http://konect.cc/files/download.tsv.edit-iowiktionary.tar.bz2</v>
      </c>
      <c r="L258" s="5"/>
    </row>
    <row r="259" spans="3:12" x14ac:dyDescent="0.3">
      <c r="C259" s="6" t="s">
        <v>3591</v>
      </c>
      <c r="D259" s="3" t="s">
        <v>3592</v>
      </c>
      <c r="E259" s="6" t="s">
        <v>33</v>
      </c>
      <c r="F259" s="7">
        <v>295546</v>
      </c>
      <c r="G259" s="7">
        <v>5143473</v>
      </c>
      <c r="H259" s="6">
        <f t="shared" si="8"/>
        <v>17.40329085827587</v>
      </c>
      <c r="I259" s="3" t="s">
        <v>1270</v>
      </c>
      <c r="J259" s="6" t="str">
        <f t="shared" si="9"/>
        <v>http://konect.cc/files/download.tsv.wikipedia_link_et.tar.bz2</v>
      </c>
      <c r="L259" s="5"/>
    </row>
    <row r="260" spans="3:12" x14ac:dyDescent="0.3">
      <c r="C260" s="6" t="s">
        <v>3676</v>
      </c>
      <c r="D260" s="3" t="s">
        <v>3677</v>
      </c>
      <c r="E260" s="6" t="s">
        <v>33</v>
      </c>
      <c r="F260" s="7">
        <v>291006</v>
      </c>
      <c r="G260" s="7">
        <v>7597315</v>
      </c>
      <c r="H260" s="6">
        <f t="shared" si="8"/>
        <v>26.107073393675734</v>
      </c>
      <c r="I260" s="3" t="s">
        <v>1311</v>
      </c>
      <c r="J260" s="6" t="str">
        <f t="shared" si="9"/>
        <v>http://konect.cc/files/download.tsv.wikipedia_link_sk.tar.bz2</v>
      </c>
      <c r="L260" s="5"/>
    </row>
    <row r="261" spans="3:12" x14ac:dyDescent="0.3">
      <c r="C261" s="6" t="s">
        <v>3063</v>
      </c>
      <c r="D261" s="3" t="s">
        <v>1513</v>
      </c>
      <c r="E261" s="6" t="s">
        <v>3064</v>
      </c>
      <c r="F261" s="7">
        <v>286748</v>
      </c>
      <c r="G261" s="7">
        <v>512267</v>
      </c>
      <c r="H261" s="6">
        <f t="shared" si="8"/>
        <v>1.7864710477492431</v>
      </c>
      <c r="I261" s="3" t="s">
        <v>991</v>
      </c>
      <c r="J261" s="6" t="str">
        <f t="shared" si="9"/>
        <v>http://konect.cc/files/download.tsv.komarix-citeseer.tar.bz2</v>
      </c>
      <c r="L261" s="5"/>
    </row>
    <row r="262" spans="3:12" x14ac:dyDescent="0.3">
      <c r="C262" s="6" t="s">
        <v>3410</v>
      </c>
      <c r="D262" s="3" t="s">
        <v>1525</v>
      </c>
      <c r="E262" s="6" t="s">
        <v>98</v>
      </c>
      <c r="F262" s="7">
        <v>281903</v>
      </c>
      <c r="G262" s="7">
        <v>2312497</v>
      </c>
      <c r="H262" s="6">
        <f t="shared" si="8"/>
        <v>8.2031656278932825</v>
      </c>
      <c r="I262" s="3" t="s">
        <v>1173</v>
      </c>
      <c r="J262" s="6" t="str">
        <f t="shared" si="9"/>
        <v>http://konect.cc/files/download.tsv.web-Stanford.tar.bz2</v>
      </c>
      <c r="L262" s="5"/>
    </row>
    <row r="263" spans="3:12" x14ac:dyDescent="0.3">
      <c r="C263" s="6" t="s">
        <v>3508</v>
      </c>
      <c r="D263" s="3" t="s">
        <v>3509</v>
      </c>
      <c r="E263" s="6" t="s">
        <v>3510</v>
      </c>
      <c r="F263" s="7">
        <v>279630</v>
      </c>
      <c r="G263" s="7">
        <v>1731653</v>
      </c>
      <c r="H263" s="6">
        <f t="shared" si="8"/>
        <v>6.1926581554196618</v>
      </c>
      <c r="I263" s="3" t="s">
        <v>1227</v>
      </c>
      <c r="J263" s="6" t="str">
        <f t="shared" si="9"/>
        <v>http://konect.cc/files/download.tsv.digg-friends.tar.bz2</v>
      </c>
      <c r="L263" s="5"/>
    </row>
    <row r="264" spans="3:12" x14ac:dyDescent="0.3">
      <c r="C264" s="6" t="s">
        <v>3388</v>
      </c>
      <c r="D264" s="3" t="s">
        <v>3389</v>
      </c>
      <c r="E264" s="6" t="s">
        <v>38</v>
      </c>
      <c r="F264" s="7">
        <v>278969</v>
      </c>
      <c r="G264" s="7">
        <v>1113834</v>
      </c>
      <c r="H264" s="6">
        <f t="shared" si="8"/>
        <v>3.9926801902720372</v>
      </c>
      <c r="I264" s="3" t="s">
        <v>1161</v>
      </c>
      <c r="J264" s="6" t="str">
        <f t="shared" si="9"/>
        <v>http://konect.cc/files/download.tsv.edit-cawiktionary.tar.bz2</v>
      </c>
      <c r="L264" s="5"/>
    </row>
    <row r="265" spans="3:12" x14ac:dyDescent="0.3">
      <c r="C265" s="6" t="s">
        <v>3519</v>
      </c>
      <c r="D265" s="3" t="s">
        <v>3520</v>
      </c>
      <c r="E265" s="6" t="s">
        <v>3521</v>
      </c>
      <c r="F265" s="7">
        <v>276739</v>
      </c>
      <c r="G265" s="7">
        <v>7846807</v>
      </c>
      <c r="H265" s="6">
        <f t="shared" si="8"/>
        <v>28.3545398371751</v>
      </c>
      <c r="I265" s="3" t="s">
        <v>1231</v>
      </c>
      <c r="J265" s="6" t="str">
        <f t="shared" si="9"/>
        <v>http://konect.cc/files/download.tsv.gottron-excellent.tar.bz2</v>
      </c>
      <c r="L265" s="5"/>
    </row>
    <row r="266" spans="3:12" x14ac:dyDescent="0.3">
      <c r="C266" s="6" t="s">
        <v>3454</v>
      </c>
      <c r="D266" s="3" t="s">
        <v>3455</v>
      </c>
      <c r="E266" s="6" t="s">
        <v>58</v>
      </c>
      <c r="F266" s="7">
        <v>270786</v>
      </c>
      <c r="G266" s="7">
        <v>4147665</v>
      </c>
      <c r="H266" s="6">
        <f t="shared" si="8"/>
        <v>15.317132348053445</v>
      </c>
      <c r="I266" s="3" t="s">
        <v>1195</v>
      </c>
      <c r="J266" s="6" t="str">
        <f t="shared" si="9"/>
        <v>http://konect.cc/files/download.tsv.discogs_lgenre.tar.bz2</v>
      </c>
      <c r="L266" s="5"/>
    </row>
    <row r="267" spans="3:12" x14ac:dyDescent="0.3">
      <c r="C267" s="6" t="s">
        <v>3649</v>
      </c>
      <c r="D267" s="3" t="s">
        <v>3650</v>
      </c>
      <c r="E267" s="6" t="s">
        <v>33</v>
      </c>
      <c r="F267" s="7">
        <v>268159</v>
      </c>
      <c r="G267" s="7">
        <v>6091416</v>
      </c>
      <c r="H267" s="6">
        <f t="shared" si="8"/>
        <v>22.715687334752889</v>
      </c>
      <c r="I267" s="3" t="s">
        <v>1297</v>
      </c>
      <c r="J267" s="6" t="str">
        <f t="shared" si="9"/>
        <v>http://konect.cc/files/download.tsv.wikipedia_link_lt.tar.bz2</v>
      </c>
      <c r="L267" s="5"/>
    </row>
    <row r="268" spans="3:12" x14ac:dyDescent="0.3">
      <c r="C268" s="6" t="s">
        <v>3240</v>
      </c>
      <c r="D268" s="3" t="s">
        <v>3241</v>
      </c>
      <c r="E268" s="6" t="s">
        <v>38</v>
      </c>
      <c r="F268" s="7">
        <v>267279</v>
      </c>
      <c r="G268" s="7">
        <v>586987</v>
      </c>
      <c r="H268" s="6">
        <f t="shared" si="8"/>
        <v>2.1961583214543605</v>
      </c>
      <c r="I268" s="3" t="s">
        <v>1081</v>
      </c>
      <c r="J268" s="6" t="str">
        <f t="shared" si="9"/>
        <v>http://konect.cc/files/download.tsv.edit-knwiktionary.tar.bz2</v>
      </c>
      <c r="L268" s="5"/>
    </row>
    <row r="269" spans="3:12" x14ac:dyDescent="0.3">
      <c r="C269" s="6" t="s">
        <v>3637</v>
      </c>
      <c r="D269" s="6" t="s">
        <v>3638</v>
      </c>
      <c r="E269" s="6" t="s">
        <v>33</v>
      </c>
      <c r="F269" s="7">
        <v>266937</v>
      </c>
      <c r="G269" s="7">
        <v>5845248</v>
      </c>
      <c r="H269" s="6">
        <f t="shared" si="8"/>
        <v>21.897481428202159</v>
      </c>
      <c r="I269" s="3" t="s">
        <v>1291</v>
      </c>
      <c r="J269" s="6" t="str">
        <f t="shared" si="9"/>
        <v>http://konect.cc/files/download.tsv.wikipedia_link_th.tar.bz2</v>
      </c>
      <c r="L269" s="5"/>
    </row>
    <row r="270" spans="3:12" x14ac:dyDescent="0.3">
      <c r="C270" s="6" t="s">
        <v>3016</v>
      </c>
      <c r="D270" s="3" t="s">
        <v>3017</v>
      </c>
      <c r="E270" s="6" t="s">
        <v>36</v>
      </c>
      <c r="F270" s="7">
        <v>266717</v>
      </c>
      <c r="G270" s="7">
        <v>463497</v>
      </c>
      <c r="H270" s="6">
        <f t="shared" si="8"/>
        <v>1.73778574294102</v>
      </c>
      <c r="I270" s="3" t="s">
        <v>967</v>
      </c>
      <c r="J270" s="6" t="str">
        <f t="shared" si="9"/>
        <v>http://konect.cc/files/download.tsv.dbpedia-genre.tar.bz2</v>
      </c>
      <c r="L270" s="5"/>
    </row>
    <row r="271" spans="3:12" x14ac:dyDescent="0.3">
      <c r="C271" s="6" t="s">
        <v>2986</v>
      </c>
      <c r="D271" s="3" t="s">
        <v>2987</v>
      </c>
      <c r="E271" s="6" t="s">
        <v>2988</v>
      </c>
      <c r="F271" s="7">
        <v>265214</v>
      </c>
      <c r="G271" s="7">
        <v>420045</v>
      </c>
      <c r="H271" s="6">
        <f t="shared" si="8"/>
        <v>1.5837964813320564</v>
      </c>
      <c r="I271" s="3" t="s">
        <v>949</v>
      </c>
      <c r="J271" s="6" t="str">
        <f t="shared" si="9"/>
        <v>http://konect.cc/files/download.tsv.email-EuAll.tar.bz2</v>
      </c>
      <c r="L271" s="5"/>
    </row>
    <row r="272" spans="3:12" x14ac:dyDescent="0.3">
      <c r="C272" s="6" t="s">
        <v>3143</v>
      </c>
      <c r="D272" s="3" t="s">
        <v>3144</v>
      </c>
      <c r="E272" s="6" t="s">
        <v>98</v>
      </c>
      <c r="F272" s="7">
        <v>264346</v>
      </c>
      <c r="G272" s="7">
        <v>730100</v>
      </c>
      <c r="H272" s="6">
        <f t="shared" si="8"/>
        <v>2.7619105263556096</v>
      </c>
      <c r="I272" s="3" t="s">
        <v>1030</v>
      </c>
      <c r="J272" s="6" t="str">
        <f t="shared" si="9"/>
        <v>http://konect.cc/files/download.tsv.dimacs9-NY.tar.bz2</v>
      </c>
      <c r="L272" s="5"/>
    </row>
    <row r="273" spans="3:12" x14ac:dyDescent="0.3">
      <c r="C273" s="6" t="s">
        <v>3188</v>
      </c>
      <c r="D273" s="3" t="s">
        <v>3189</v>
      </c>
      <c r="E273" s="6" t="s">
        <v>38</v>
      </c>
      <c r="F273" s="7">
        <v>263998</v>
      </c>
      <c r="G273" s="7">
        <v>500298</v>
      </c>
      <c r="H273" s="6">
        <f t="shared" si="8"/>
        <v>1.8950825385040795</v>
      </c>
      <c r="I273" s="3" t="s">
        <v>1053</v>
      </c>
      <c r="J273" s="6" t="str">
        <f t="shared" si="9"/>
        <v>http://konect.cc/files/download.tsv.edit-sawiktionary.tar.bz2</v>
      </c>
      <c r="L273" s="5"/>
    </row>
    <row r="274" spans="3:12" x14ac:dyDescent="0.3">
      <c r="C274" s="6" t="s">
        <v>3056</v>
      </c>
      <c r="D274" s="3" t="s">
        <v>3057</v>
      </c>
      <c r="E274" s="6" t="s">
        <v>3058</v>
      </c>
      <c r="F274" s="7">
        <v>263757</v>
      </c>
      <c r="G274" s="7">
        <v>433652</v>
      </c>
      <c r="H274" s="6">
        <f t="shared" si="8"/>
        <v>1.6441345632532975</v>
      </c>
      <c r="I274" s="3" t="s">
        <v>987</v>
      </c>
      <c r="J274" s="6" t="str">
        <f t="shared" si="9"/>
        <v>http://konect.cc/files/download.tsv.bookcrossing_rating.tar.bz2</v>
      </c>
      <c r="L274" s="5"/>
    </row>
    <row r="275" spans="3:12" x14ac:dyDescent="0.3">
      <c r="C275" s="6" t="s">
        <v>3293</v>
      </c>
      <c r="D275" s="3" t="s">
        <v>3294</v>
      </c>
      <c r="E275" s="6" t="s">
        <v>3295</v>
      </c>
      <c r="F275" s="7">
        <v>262111</v>
      </c>
      <c r="G275" s="7">
        <v>1234877</v>
      </c>
      <c r="H275" s="6">
        <f t="shared" si="8"/>
        <v>4.7112749941818546</v>
      </c>
      <c r="I275" s="3" t="s">
        <v>3887</v>
      </c>
      <c r="J275" s="6" t="str">
        <f t="shared" si="9"/>
        <v>http://konect.cc/files/download.tsv.amazon0302.tar.bz2</v>
      </c>
      <c r="L275" s="5"/>
    </row>
    <row r="276" spans="3:12" x14ac:dyDescent="0.3">
      <c r="C276" s="6" t="s">
        <v>3411</v>
      </c>
      <c r="D276" s="3" t="s">
        <v>3412</v>
      </c>
      <c r="E276" s="6" t="s">
        <v>83</v>
      </c>
      <c r="F276" s="7">
        <v>260390</v>
      </c>
      <c r="G276" s="7">
        <v>2148179</v>
      </c>
      <c r="H276" s="6">
        <f t="shared" si="8"/>
        <v>8.2498521448596343</v>
      </c>
      <c r="I276" s="3" t="s">
        <v>1174</v>
      </c>
      <c r="J276" s="6" t="str">
        <f t="shared" si="9"/>
        <v>http://konect.cc/files/download.tsv.petster-dog-household.tar.bz2</v>
      </c>
      <c r="L276" s="5"/>
    </row>
    <row r="277" spans="3:12" x14ac:dyDescent="0.3">
      <c r="C277" s="6" t="s">
        <v>3758</v>
      </c>
      <c r="D277" s="3" t="s">
        <v>3759</v>
      </c>
      <c r="E277" s="6" t="s">
        <v>33</v>
      </c>
      <c r="F277" s="7">
        <v>257226</v>
      </c>
      <c r="G277" s="7">
        <v>15349731</v>
      </c>
      <c r="H277" s="6">
        <f t="shared" si="8"/>
        <v>59.674103706468244</v>
      </c>
      <c r="I277" s="3" t="s">
        <v>1355</v>
      </c>
      <c r="J277" s="6" t="str">
        <f t="shared" si="9"/>
        <v>http://konect.cc/files/download.tsv.wikipedia_link_kk.tar.bz2</v>
      </c>
      <c r="L277" s="5"/>
    </row>
    <row r="278" spans="3:12" x14ac:dyDescent="0.3">
      <c r="C278" s="6" t="s">
        <v>3610</v>
      </c>
      <c r="D278" s="3" t="s">
        <v>3611</v>
      </c>
      <c r="E278" s="6" t="s">
        <v>38</v>
      </c>
      <c r="F278" s="7">
        <v>256074</v>
      </c>
      <c r="G278" s="7">
        <v>2989365</v>
      </c>
      <c r="H278" s="6">
        <f t="shared" si="8"/>
        <v>11.673832564024462</v>
      </c>
      <c r="I278" s="3" t="s">
        <v>1277</v>
      </c>
      <c r="J278" s="6" t="str">
        <f t="shared" si="9"/>
        <v>http://konect.cc/files/download.tsv.edit-lawiki.tar.bz2</v>
      </c>
      <c r="L278" s="5"/>
    </row>
    <row r="279" spans="3:12" x14ac:dyDescent="0.3">
      <c r="C279" s="6" t="s">
        <v>3625</v>
      </c>
      <c r="D279" s="3" t="s">
        <v>3626</v>
      </c>
      <c r="E279" s="6" t="s">
        <v>38</v>
      </c>
      <c r="F279" s="7">
        <v>251379</v>
      </c>
      <c r="G279" s="7">
        <v>3159242</v>
      </c>
      <c r="H279" s="6">
        <f t="shared" si="8"/>
        <v>12.567644870892158</v>
      </c>
      <c r="I279" s="3" t="s">
        <v>1285</v>
      </c>
      <c r="J279" s="6" t="str">
        <f t="shared" si="9"/>
        <v>http://konect.cc/files/download.tsv.edit-vowiki.tar.bz2</v>
      </c>
      <c r="L279" s="5"/>
    </row>
    <row r="280" spans="3:12" x14ac:dyDescent="0.3">
      <c r="C280" s="6" t="s">
        <v>3513</v>
      </c>
      <c r="D280" s="3" t="s">
        <v>3514</v>
      </c>
      <c r="E280" s="6" t="s">
        <v>38</v>
      </c>
      <c r="F280" s="7">
        <v>246124</v>
      </c>
      <c r="G280" s="7">
        <v>1964619</v>
      </c>
      <c r="H280" s="6">
        <f t="shared" si="8"/>
        <v>7.98223253319465</v>
      </c>
      <c r="I280" s="3" t="s">
        <v>1229</v>
      </c>
      <c r="J280" s="6" t="str">
        <f t="shared" si="9"/>
        <v>http://konect.cc/files/download.tsv.edit-viwiktionary.tar.bz2</v>
      </c>
      <c r="L280" s="5"/>
    </row>
    <row r="281" spans="3:12" x14ac:dyDescent="0.3">
      <c r="C281" s="6" t="s">
        <v>3537</v>
      </c>
      <c r="D281" s="3" t="s">
        <v>3538</v>
      </c>
      <c r="E281" s="6" t="s">
        <v>58</v>
      </c>
      <c r="F281" s="7">
        <v>244147</v>
      </c>
      <c r="G281" s="7">
        <v>5255950</v>
      </c>
      <c r="H281" s="6">
        <f t="shared" si="8"/>
        <v>21.527809065849674</v>
      </c>
      <c r="I281" s="3" t="s">
        <v>1240</v>
      </c>
      <c r="J281" s="6" t="str">
        <f t="shared" si="9"/>
        <v>http://konect.cc/files/download.tsv.discogs_lstyle.tar.bz2</v>
      </c>
      <c r="L281" s="5"/>
    </row>
    <row r="282" spans="3:12" x14ac:dyDescent="0.3">
      <c r="C282" s="6" t="s">
        <v>3137</v>
      </c>
      <c r="D282" s="3" t="s">
        <v>3138</v>
      </c>
      <c r="E282" s="6" t="s">
        <v>33</v>
      </c>
      <c r="F282" s="7">
        <v>242046</v>
      </c>
      <c r="G282" s="7">
        <v>761034</v>
      </c>
      <c r="H282" s="6">
        <f t="shared" si="8"/>
        <v>3.1441709427133686</v>
      </c>
      <c r="I282" s="3" t="s">
        <v>1027</v>
      </c>
      <c r="J282" s="6" t="str">
        <f t="shared" si="9"/>
        <v>http://konect.cc/files/download.tsv.wikipedia_link_vo.tar.bz2</v>
      </c>
      <c r="L282" s="5"/>
    </row>
    <row r="283" spans="3:12" x14ac:dyDescent="0.3">
      <c r="C283" s="6" t="s">
        <v>3516</v>
      </c>
      <c r="D283" s="3" t="s">
        <v>3517</v>
      </c>
      <c r="E283" s="6" t="s">
        <v>38</v>
      </c>
      <c r="F283" s="7">
        <v>232888</v>
      </c>
      <c r="G283" s="7">
        <v>1968229</v>
      </c>
      <c r="H283" s="6">
        <f t="shared" si="8"/>
        <v>8.4513972381573979</v>
      </c>
      <c r="I283" s="3" t="s">
        <v>1230</v>
      </c>
      <c r="J283" s="6" t="str">
        <f t="shared" si="9"/>
        <v>http://konect.cc/files/download.tsv.edit-tewiki.tar.bz2</v>
      </c>
      <c r="L283" s="5"/>
    </row>
    <row r="284" spans="3:12" x14ac:dyDescent="0.3">
      <c r="C284" s="6" t="s">
        <v>2851</v>
      </c>
      <c r="D284" s="3" t="s">
        <v>1507</v>
      </c>
      <c r="E284" s="6" t="s">
        <v>36</v>
      </c>
      <c r="F284" s="7">
        <v>229307</v>
      </c>
      <c r="G284" s="7">
        <v>250945</v>
      </c>
      <c r="H284" s="6">
        <f t="shared" si="8"/>
        <v>1.0943625794240908</v>
      </c>
      <c r="I284" s="3" t="s">
        <v>875</v>
      </c>
      <c r="J284" s="6" t="str">
        <f t="shared" si="9"/>
        <v>http://konect.cc/files/download.tsv.dbpedia-occupation.tar.bz2</v>
      </c>
      <c r="L284" s="5"/>
    </row>
    <row r="285" spans="3:12" x14ac:dyDescent="0.3">
      <c r="C285" s="6" t="s">
        <v>3686</v>
      </c>
      <c r="D285" s="3" t="s">
        <v>3687</v>
      </c>
      <c r="E285" s="6" t="s">
        <v>33</v>
      </c>
      <c r="F285" s="7">
        <v>228316</v>
      </c>
      <c r="G285" s="7">
        <v>8187935</v>
      </c>
      <c r="H285" s="6">
        <f t="shared" si="8"/>
        <v>35.862291736014996</v>
      </c>
      <c r="I285" s="3" t="s">
        <v>1316</v>
      </c>
      <c r="J285" s="6" t="str">
        <f t="shared" si="9"/>
        <v>http://konect.cc/files/download.tsv.wikipedia_link_sl.tar.bz2</v>
      </c>
      <c r="L285" s="5"/>
    </row>
    <row r="286" spans="3:12" x14ac:dyDescent="0.3">
      <c r="C286" s="6" t="s">
        <v>3428</v>
      </c>
      <c r="D286" s="3" t="s">
        <v>3429</v>
      </c>
      <c r="E286" s="6" t="s">
        <v>38</v>
      </c>
      <c r="F286" s="7">
        <v>227374</v>
      </c>
      <c r="G286" s="7">
        <v>1372133</v>
      </c>
      <c r="H286" s="6">
        <f t="shared" si="8"/>
        <v>6.0346961394002836</v>
      </c>
      <c r="I286" s="3" t="s">
        <v>1181</v>
      </c>
      <c r="J286" s="6" t="str">
        <f t="shared" si="9"/>
        <v>http://konect.cc/files/download.tsv.edit-tlwiki.tar.bz2</v>
      </c>
      <c r="L286" s="5"/>
    </row>
    <row r="287" spans="3:12" x14ac:dyDescent="0.3">
      <c r="C287" s="6" t="s">
        <v>3440</v>
      </c>
      <c r="D287" s="3" t="s">
        <v>3441</v>
      </c>
      <c r="E287" s="6" t="s">
        <v>33</v>
      </c>
      <c r="F287" s="7">
        <v>226501</v>
      </c>
      <c r="G287" s="7">
        <v>2832143</v>
      </c>
      <c r="H287" s="6">
        <f t="shared" si="8"/>
        <v>12.503887400055628</v>
      </c>
      <c r="I287" s="3" t="s">
        <v>1187</v>
      </c>
      <c r="J287" s="6" t="str">
        <f t="shared" si="9"/>
        <v>http://konect.cc/files/download.tsv.wikipedia_link_bn.tar.bz2</v>
      </c>
      <c r="L287" s="5"/>
    </row>
    <row r="288" spans="3:12" x14ac:dyDescent="0.3">
      <c r="C288" s="6" t="s">
        <v>3450</v>
      </c>
      <c r="D288" s="3" t="s">
        <v>3451</v>
      </c>
      <c r="E288" s="6" t="s">
        <v>145</v>
      </c>
      <c r="F288" s="7">
        <v>225749</v>
      </c>
      <c r="G288" s="7">
        <v>1554699</v>
      </c>
      <c r="H288" s="6">
        <f t="shared" si="8"/>
        <v>6.8868477822714604</v>
      </c>
      <c r="I288" s="3" t="s">
        <v>1193</v>
      </c>
      <c r="J288" s="6" t="str">
        <f t="shared" si="9"/>
        <v>http://konect.cc/files/download.tsv.wiki_talk_nl.tar.bz2</v>
      </c>
      <c r="L288" s="5"/>
    </row>
    <row r="289" spans="3:12" x14ac:dyDescent="0.3">
      <c r="C289" s="6" t="s">
        <v>2916</v>
      </c>
      <c r="D289" s="3" t="s">
        <v>2917</v>
      </c>
      <c r="E289" s="6" t="s">
        <v>36</v>
      </c>
      <c r="F289" s="7">
        <v>225498</v>
      </c>
      <c r="G289" s="7">
        <v>293697</v>
      </c>
      <c r="H289" s="6">
        <f t="shared" si="8"/>
        <v>1.3024372721709283</v>
      </c>
      <c r="I289" s="3" t="s">
        <v>912</v>
      </c>
      <c r="J289" s="6" t="str">
        <f t="shared" si="9"/>
        <v>http://konect.cc/files/download.tsv.dbpedia-location.tar.bz2</v>
      </c>
      <c r="L289" s="5"/>
    </row>
    <row r="290" spans="3:12" x14ac:dyDescent="0.3">
      <c r="C290" s="6" t="s">
        <v>3670</v>
      </c>
      <c r="D290" s="3" t="s">
        <v>3671</v>
      </c>
      <c r="E290" s="6" t="s">
        <v>33</v>
      </c>
      <c r="F290" s="7">
        <v>223125</v>
      </c>
      <c r="G290" s="7">
        <v>7295433</v>
      </c>
      <c r="H290" s="6">
        <f t="shared" si="8"/>
        <v>32.696618487394957</v>
      </c>
      <c r="I290" s="3" t="s">
        <v>1308</v>
      </c>
      <c r="J290" s="6" t="str">
        <f t="shared" si="9"/>
        <v>http://konect.cc/files/download.tsv.wikipedia_link_hr.tar.bz2</v>
      </c>
      <c r="L290" s="5"/>
    </row>
    <row r="291" spans="3:12" x14ac:dyDescent="0.3">
      <c r="C291" s="6" t="s">
        <v>3127</v>
      </c>
      <c r="D291" s="3" t="s">
        <v>3128</v>
      </c>
      <c r="E291" s="6" t="s">
        <v>33</v>
      </c>
      <c r="F291" s="7">
        <v>222989</v>
      </c>
      <c r="G291" s="7">
        <v>690651</v>
      </c>
      <c r="H291" s="6">
        <f t="shared" si="8"/>
        <v>3.0972424648749488</v>
      </c>
      <c r="I291" s="3" t="s">
        <v>1022</v>
      </c>
      <c r="J291" s="6" t="str">
        <f t="shared" si="9"/>
        <v>http://konect.cc/files/download.tsv.wikipedia_link_min.tar.bz2</v>
      </c>
      <c r="L291" s="5"/>
    </row>
    <row r="292" spans="3:12" x14ac:dyDescent="0.3">
      <c r="C292" s="6" t="s">
        <v>3155</v>
      </c>
      <c r="D292" s="3" t="s">
        <v>3156</v>
      </c>
      <c r="E292" s="6" t="s">
        <v>38</v>
      </c>
      <c r="F292" s="7">
        <v>220994</v>
      </c>
      <c r="G292" s="7">
        <v>457733</v>
      </c>
      <c r="H292" s="6">
        <f t="shared" si="8"/>
        <v>2.071246278179498</v>
      </c>
      <c r="I292" s="3" t="s">
        <v>1036</v>
      </c>
      <c r="J292" s="6" t="str">
        <f t="shared" si="9"/>
        <v>http://konect.cc/files/download.tsv.edit-srwiktionary.tar.bz2</v>
      </c>
      <c r="L292" s="5"/>
    </row>
    <row r="293" spans="3:12" x14ac:dyDescent="0.3">
      <c r="C293" s="6" t="s">
        <v>3783</v>
      </c>
      <c r="D293" s="3" t="s">
        <v>76</v>
      </c>
      <c r="E293" s="6" t="s">
        <v>108</v>
      </c>
      <c r="F293" s="7">
        <v>220970</v>
      </c>
      <c r="G293" s="7">
        <v>17359346</v>
      </c>
      <c r="H293" s="6">
        <f t="shared" si="8"/>
        <v>78.559741141331401</v>
      </c>
      <c r="I293" s="3" t="s">
        <v>1381</v>
      </c>
      <c r="J293" s="6" t="str">
        <f t="shared" si="9"/>
        <v>http://konect.cc/files/download.tsv.libimseti.tar.bz2</v>
      </c>
      <c r="L293" s="5"/>
    </row>
    <row r="294" spans="3:12" x14ac:dyDescent="0.3">
      <c r="C294" s="6" t="s">
        <v>3298</v>
      </c>
      <c r="D294" s="3" t="s">
        <v>3299</v>
      </c>
      <c r="E294" s="6" t="s">
        <v>38</v>
      </c>
      <c r="F294" s="7">
        <v>220064</v>
      </c>
      <c r="G294" s="7">
        <v>750811</v>
      </c>
      <c r="H294" s="6">
        <f t="shared" si="8"/>
        <v>3.4117847535262471</v>
      </c>
      <c r="I294" s="3" t="s">
        <v>1109</v>
      </c>
      <c r="J294" s="6" t="str">
        <f t="shared" si="9"/>
        <v>http://konect.cc/files/download.tsv.edit-mgwiki.tar.bz2</v>
      </c>
      <c r="L294" s="5"/>
    </row>
    <row r="295" spans="3:12" x14ac:dyDescent="0.3">
      <c r="C295" s="6" t="s">
        <v>3402</v>
      </c>
      <c r="D295" s="3" t="s">
        <v>3403</v>
      </c>
      <c r="E295" s="6" t="s">
        <v>38</v>
      </c>
      <c r="F295" s="7">
        <v>218585</v>
      </c>
      <c r="G295" s="7">
        <v>1183865</v>
      </c>
      <c r="H295" s="6">
        <f t="shared" si="8"/>
        <v>5.4160395269574764</v>
      </c>
      <c r="I295" s="3" t="s">
        <v>1168</v>
      </c>
      <c r="J295" s="6" t="str">
        <f t="shared" si="9"/>
        <v>http://konect.cc/files/download.tsv.edit-hywiktionary.tar.bz2</v>
      </c>
      <c r="L295" s="5"/>
    </row>
    <row r="296" spans="3:12" x14ac:dyDescent="0.3">
      <c r="C296" s="6" t="s">
        <v>3631</v>
      </c>
      <c r="D296" s="3" t="s">
        <v>3632</v>
      </c>
      <c r="E296" s="6" t="s">
        <v>33</v>
      </c>
      <c r="F296" s="7">
        <v>216365</v>
      </c>
      <c r="G296" s="7">
        <v>5890410</v>
      </c>
      <c r="H296" s="6">
        <f t="shared" si="8"/>
        <v>27.22441245118203</v>
      </c>
      <c r="I296" s="3" t="s">
        <v>1288</v>
      </c>
      <c r="J296" s="6" t="str">
        <f t="shared" si="9"/>
        <v>http://konect.cc/files/download.tsv.wikipedia_link_el.tar.bz2</v>
      </c>
      <c r="L296" s="5"/>
    </row>
    <row r="297" spans="3:12" x14ac:dyDescent="0.3">
      <c r="C297" s="6" t="s">
        <v>3502</v>
      </c>
      <c r="D297" s="3" t="s">
        <v>3503</v>
      </c>
      <c r="E297" s="6" t="s">
        <v>33</v>
      </c>
      <c r="F297" s="7">
        <v>215911</v>
      </c>
      <c r="G297" s="7">
        <v>3566744</v>
      </c>
      <c r="H297" s="6">
        <f t="shared" si="8"/>
        <v>16.519510353803188</v>
      </c>
      <c r="I297" s="3" t="s">
        <v>1224</v>
      </c>
      <c r="J297" s="6" t="str">
        <f t="shared" si="9"/>
        <v>http://konect.cc/files/download.tsv.wikipedia_link_nn.tar.bz2</v>
      </c>
      <c r="L297" s="5"/>
    </row>
    <row r="298" spans="3:12" x14ac:dyDescent="0.3">
      <c r="C298" s="6" t="s">
        <v>2974</v>
      </c>
      <c r="D298" s="3" t="s">
        <v>2975</v>
      </c>
      <c r="E298" s="6" t="s">
        <v>38</v>
      </c>
      <c r="F298" s="7">
        <v>213453</v>
      </c>
      <c r="G298" s="7">
        <v>779562</v>
      </c>
      <c r="H298" s="6">
        <f t="shared" si="8"/>
        <v>3.6521482480920859</v>
      </c>
      <c r="I298" s="3" t="s">
        <v>1118</v>
      </c>
      <c r="J298" s="6" t="str">
        <f t="shared" si="9"/>
        <v>http://konect.cc/files/download.tsv.edit-eswikisource.tar.bz2</v>
      </c>
      <c r="L298" s="5"/>
    </row>
    <row r="299" spans="3:12" x14ac:dyDescent="0.3">
      <c r="C299" s="6" t="s">
        <v>3355</v>
      </c>
      <c r="D299" s="3" t="s">
        <v>3356</v>
      </c>
      <c r="E299" s="6" t="s">
        <v>38</v>
      </c>
      <c r="F299" s="7">
        <v>210706</v>
      </c>
      <c r="G299" s="7">
        <v>949700</v>
      </c>
      <c r="H299" s="6">
        <f t="shared" si="8"/>
        <v>4.5072280808330092</v>
      </c>
      <c r="I299" s="3" t="s">
        <v>1141</v>
      </c>
      <c r="J299" s="6" t="str">
        <f t="shared" si="9"/>
        <v>http://konect.cc/files/download.tsv.edit-jawiktionary.tar.bz2</v>
      </c>
      <c r="L299" s="5"/>
    </row>
    <row r="300" spans="3:12" x14ac:dyDescent="0.3">
      <c r="C300" s="6" t="s">
        <v>3583</v>
      </c>
      <c r="D300" s="3" t="s">
        <v>3584</v>
      </c>
      <c r="E300" s="6" t="s">
        <v>38</v>
      </c>
      <c r="F300" s="7">
        <v>210467</v>
      </c>
      <c r="G300" s="7">
        <v>2555080</v>
      </c>
      <c r="H300" s="6">
        <f t="shared" si="8"/>
        <v>12.140050459216884</v>
      </c>
      <c r="I300" s="3" t="s">
        <v>1266</v>
      </c>
      <c r="J300" s="6" t="str">
        <f t="shared" si="9"/>
        <v>http://konect.cc/files/download.tsv.bibsonomy-2ut.tar.bz2</v>
      </c>
      <c r="L300" s="5"/>
    </row>
    <row r="301" spans="3:12" x14ac:dyDescent="0.3">
      <c r="C301" s="6" t="s">
        <v>3595</v>
      </c>
      <c r="D301" s="3" t="s">
        <v>3596</v>
      </c>
      <c r="E301" s="6" t="s">
        <v>38</v>
      </c>
      <c r="F301" s="7">
        <v>208087</v>
      </c>
      <c r="G301" s="7">
        <v>2767004</v>
      </c>
      <c r="H301" s="6">
        <f t="shared" si="8"/>
        <v>13.297341977153787</v>
      </c>
      <c r="I301" s="3" t="s">
        <v>1272</v>
      </c>
      <c r="J301" s="6" t="str">
        <f t="shared" si="9"/>
        <v>http://konect.cc/files/download.tsv.edit-cywiki.tar.bz2</v>
      </c>
      <c r="L301" s="5"/>
    </row>
    <row r="302" spans="3:12" x14ac:dyDescent="0.3">
      <c r="C302" s="6" t="s">
        <v>3657</v>
      </c>
      <c r="D302" s="3" t="s">
        <v>3658</v>
      </c>
      <c r="E302" s="6" t="s">
        <v>33</v>
      </c>
      <c r="F302" s="7">
        <v>207027</v>
      </c>
      <c r="G302" s="7">
        <v>6798252</v>
      </c>
      <c r="H302" s="6">
        <f t="shared" si="8"/>
        <v>32.837513947456131</v>
      </c>
      <c r="I302" s="3" t="s">
        <v>1301</v>
      </c>
      <c r="J302" s="6" t="str">
        <f t="shared" si="9"/>
        <v>http://konect.cc/files/download.tsv.wikipedia_link_gl.tar.bz2</v>
      </c>
      <c r="L302" s="5"/>
    </row>
    <row r="303" spans="3:12" x14ac:dyDescent="0.3">
      <c r="C303" s="6" t="s">
        <v>3430</v>
      </c>
      <c r="D303" s="3" t="s">
        <v>3431</v>
      </c>
      <c r="E303" s="6" t="s">
        <v>38</v>
      </c>
      <c r="F303" s="7">
        <v>206373</v>
      </c>
      <c r="G303" s="7">
        <v>1396816</v>
      </c>
      <c r="H303" s="6">
        <f t="shared" si="8"/>
        <v>6.7684047816332562</v>
      </c>
      <c r="I303" s="3" t="s">
        <v>1182</v>
      </c>
      <c r="J303" s="6" t="str">
        <f t="shared" si="9"/>
        <v>http://konect.cc/files/download.tsv.edit-mrwiki.tar.bz2</v>
      </c>
      <c r="L303" s="5"/>
    </row>
    <row r="304" spans="3:12" x14ac:dyDescent="0.3">
      <c r="C304" s="6" t="s">
        <v>3647</v>
      </c>
      <c r="D304" s="3" t="s">
        <v>3648</v>
      </c>
      <c r="E304" s="6" t="s">
        <v>38</v>
      </c>
      <c r="F304" s="7">
        <v>206350</v>
      </c>
      <c r="G304" s="7">
        <v>3869707</v>
      </c>
      <c r="H304" s="6">
        <f t="shared" si="8"/>
        <v>18.753123334141023</v>
      </c>
      <c r="I304" s="3" t="s">
        <v>1296</v>
      </c>
      <c r="J304" s="6" t="str">
        <f t="shared" si="9"/>
        <v>http://konect.cc/files/download.tsv.webuni.tar.bz2</v>
      </c>
      <c r="L304" s="5"/>
    </row>
    <row r="305" spans="3:12" x14ac:dyDescent="0.3">
      <c r="C305" s="6" t="s">
        <v>3629</v>
      </c>
      <c r="D305" s="3" t="s">
        <v>3630</v>
      </c>
      <c r="E305" s="6" t="s">
        <v>83</v>
      </c>
      <c r="F305" s="7">
        <v>204473</v>
      </c>
      <c r="G305" s="7">
        <v>5448197</v>
      </c>
      <c r="H305" s="6">
        <f t="shared" si="8"/>
        <v>26.645068052994773</v>
      </c>
      <c r="I305" s="3" t="s">
        <v>1287</v>
      </c>
      <c r="J305" s="6" t="str">
        <f t="shared" si="9"/>
        <v>http://konect.cc/files/download.tsv.petster-cat-friend.tar.bz2</v>
      </c>
      <c r="L305" s="5"/>
    </row>
    <row r="306" spans="3:12" x14ac:dyDescent="0.3">
      <c r="C306" s="6" t="s">
        <v>3329</v>
      </c>
      <c r="D306" s="3" t="s">
        <v>3330</v>
      </c>
      <c r="E306" s="6" t="s">
        <v>38</v>
      </c>
      <c r="F306" s="7">
        <v>204096</v>
      </c>
      <c r="G306" s="7">
        <v>879201</v>
      </c>
      <c r="H306" s="6">
        <f t="shared" si="8"/>
        <v>4.3077816321730946</v>
      </c>
      <c r="I306" s="3" t="s">
        <v>1127</v>
      </c>
      <c r="J306" s="6" t="str">
        <f t="shared" si="9"/>
        <v>http://konect.cc/files/download.tsv.edit-idwiktionary.tar.bz2</v>
      </c>
      <c r="L306" s="5"/>
    </row>
    <row r="307" spans="3:12" x14ac:dyDescent="0.3">
      <c r="C307" s="6" t="s">
        <v>3102</v>
      </c>
      <c r="D307" s="3" t="s">
        <v>3103</v>
      </c>
      <c r="E307" s="6" t="s">
        <v>38</v>
      </c>
      <c r="F307" s="7">
        <v>203894</v>
      </c>
      <c r="G307" s="7">
        <v>357938</v>
      </c>
      <c r="H307" s="6">
        <f t="shared" si="8"/>
        <v>1.7555102160926757</v>
      </c>
      <c r="I307" s="3" t="s">
        <v>1009</v>
      </c>
      <c r="J307" s="6" t="str">
        <f t="shared" si="9"/>
        <v>http://konect.cc/files/download.tsv.edit-hiwiktionary.tar.bz2</v>
      </c>
      <c r="L307" s="5"/>
    </row>
    <row r="308" spans="3:12" x14ac:dyDescent="0.3">
      <c r="C308" s="6" t="s">
        <v>3442</v>
      </c>
      <c r="D308" s="3" t="s">
        <v>3443</v>
      </c>
      <c r="E308" s="6" t="s">
        <v>38</v>
      </c>
      <c r="F308" s="7">
        <v>199910</v>
      </c>
      <c r="G308" s="7">
        <v>1407455</v>
      </c>
      <c r="H308" s="6">
        <f t="shared" si="8"/>
        <v>7.0404431994397481</v>
      </c>
      <c r="I308" s="3" t="s">
        <v>1188</v>
      </c>
      <c r="J308" s="6" t="str">
        <f t="shared" si="9"/>
        <v>http://konect.cc/files/download.tsv.edit-enwikiversity.tar.bz2</v>
      </c>
      <c r="L308" s="5"/>
    </row>
    <row r="309" spans="3:12" x14ac:dyDescent="0.3">
      <c r="C309" s="6" t="s">
        <v>3319</v>
      </c>
      <c r="D309" s="3" t="s">
        <v>3320</v>
      </c>
      <c r="E309" s="6" t="s">
        <v>38</v>
      </c>
      <c r="F309" s="7">
        <v>197437</v>
      </c>
      <c r="G309" s="7">
        <v>833293</v>
      </c>
      <c r="H309" s="6">
        <f t="shared" si="8"/>
        <v>4.2205513657521134</v>
      </c>
      <c r="I309" s="3" t="s">
        <v>1122</v>
      </c>
      <c r="J309" s="6" t="str">
        <f t="shared" si="9"/>
        <v>http://konect.cc/files/download.tsv.edit-newwiki.tar.bz2</v>
      </c>
      <c r="L309" s="5"/>
    </row>
    <row r="310" spans="3:12" x14ac:dyDescent="0.3">
      <c r="C310" s="6" t="s">
        <v>3446</v>
      </c>
      <c r="D310" s="3" t="s">
        <v>3447</v>
      </c>
      <c r="E310" s="6" t="s">
        <v>38</v>
      </c>
      <c r="F310" s="7">
        <v>197191</v>
      </c>
      <c r="G310" s="7">
        <v>1520527</v>
      </c>
      <c r="H310" s="6">
        <f t="shared" si="8"/>
        <v>7.7109350832441645</v>
      </c>
      <c r="I310" s="3" t="s">
        <v>1191</v>
      </c>
      <c r="J310" s="6" t="str">
        <f t="shared" si="9"/>
        <v>http://konect.cc/files/download.tsv.edit-sqwiki.tar.bz2</v>
      </c>
      <c r="L310" s="5"/>
    </row>
    <row r="311" spans="3:12" x14ac:dyDescent="0.3">
      <c r="C311" s="6" t="s">
        <v>3185</v>
      </c>
      <c r="D311" s="3" t="s">
        <v>1516</v>
      </c>
      <c r="E311" s="6" t="s">
        <v>83</v>
      </c>
      <c r="F311" s="7">
        <v>196591</v>
      </c>
      <c r="G311" s="7">
        <v>950327</v>
      </c>
      <c r="H311" s="6">
        <f t="shared" si="8"/>
        <v>4.8340310594076028</v>
      </c>
      <c r="I311" s="3" t="s">
        <v>1051</v>
      </c>
      <c r="J311" s="6" t="str">
        <f t="shared" si="9"/>
        <v>http://konect.cc/files/download.tsv.loc-gowalla_edges.tar.bz2</v>
      </c>
      <c r="L311" s="5"/>
    </row>
    <row r="312" spans="3:12" x14ac:dyDescent="0.3">
      <c r="C312" s="6" t="s">
        <v>3308</v>
      </c>
      <c r="D312" s="3" t="s">
        <v>3309</v>
      </c>
      <c r="E312" s="6" t="s">
        <v>38</v>
      </c>
      <c r="F312" s="7">
        <v>195678</v>
      </c>
      <c r="G312" s="7">
        <v>772131</v>
      </c>
      <c r="H312" s="6">
        <f t="shared" si="8"/>
        <v>3.9459264710391562</v>
      </c>
      <c r="I312" s="3" t="s">
        <v>1115</v>
      </c>
      <c r="J312" s="6" t="str">
        <f t="shared" si="9"/>
        <v>http://konect.cc/files/download.tsv.edit-chrwiktionary.tar.bz2</v>
      </c>
      <c r="L312" s="5"/>
    </row>
    <row r="313" spans="3:12" x14ac:dyDescent="0.3">
      <c r="C313" s="6" t="s">
        <v>3183</v>
      </c>
      <c r="D313" s="3" t="s">
        <v>3456</v>
      </c>
      <c r="E313" s="6" t="s">
        <v>42</v>
      </c>
      <c r="F313" s="7">
        <v>194085</v>
      </c>
      <c r="G313" s="7">
        <v>1443339</v>
      </c>
      <c r="H313" s="6">
        <f t="shared" si="8"/>
        <v>7.4366334338047766</v>
      </c>
      <c r="I313" s="3" t="s">
        <v>1196</v>
      </c>
      <c r="J313" s="6" t="str">
        <f t="shared" si="9"/>
        <v>http://konect.cc/files/download.tsv.sx-superuser.tar.bz2</v>
      </c>
      <c r="L313" s="5"/>
    </row>
    <row r="314" spans="3:12" x14ac:dyDescent="0.3">
      <c r="C314" s="6" t="s">
        <v>3500</v>
      </c>
      <c r="D314" s="3" t="s">
        <v>3501</v>
      </c>
      <c r="E314" s="6" t="s">
        <v>33</v>
      </c>
      <c r="F314" s="7">
        <v>190048</v>
      </c>
      <c r="G314" s="7">
        <v>3739941</v>
      </c>
      <c r="H314" s="6">
        <f t="shared" si="8"/>
        <v>19.678928481225796</v>
      </c>
      <c r="I314" s="3" t="s">
        <v>1223</v>
      </c>
      <c r="J314" s="6" t="str">
        <f t="shared" si="9"/>
        <v>http://konect.cc/files/download.tsv.wikipedia_link_lv.tar.bz2</v>
      </c>
      <c r="L314" s="5"/>
    </row>
    <row r="315" spans="3:12" x14ac:dyDescent="0.3">
      <c r="C315" s="6" t="s">
        <v>2778</v>
      </c>
      <c r="D315" s="3" t="s">
        <v>1505</v>
      </c>
      <c r="E315" s="6" t="s">
        <v>36</v>
      </c>
      <c r="F315" s="7">
        <v>187677</v>
      </c>
      <c r="G315" s="7">
        <v>207268</v>
      </c>
      <c r="H315" s="6">
        <f t="shared" si="8"/>
        <v>1.1043867922014952</v>
      </c>
      <c r="I315" s="3" t="s">
        <v>835</v>
      </c>
      <c r="J315" s="6" t="str">
        <f t="shared" si="9"/>
        <v>http://konect.cc/files/download.tsv.dbpedia-producer.tar.bz2</v>
      </c>
      <c r="L315" s="5"/>
    </row>
    <row r="316" spans="3:12" x14ac:dyDescent="0.3">
      <c r="C316" s="6" t="s">
        <v>3478</v>
      </c>
      <c r="D316" s="3" t="s">
        <v>3479</v>
      </c>
      <c r="E316" s="6" t="s">
        <v>38</v>
      </c>
      <c r="F316" s="7">
        <v>187459</v>
      </c>
      <c r="G316" s="7">
        <v>1776311</v>
      </c>
      <c r="H316" s="6">
        <f t="shared" si="8"/>
        <v>9.4757306931115597</v>
      </c>
      <c r="I316" s="3" t="s">
        <v>1210</v>
      </c>
      <c r="J316" s="6" t="str">
        <f t="shared" si="9"/>
        <v>http://konect.cc/files/download.tsv.edit-cewiki.tar.bz2</v>
      </c>
      <c r="L316" s="5"/>
    </row>
    <row r="317" spans="3:12" x14ac:dyDescent="0.3">
      <c r="C317" s="6" t="s">
        <v>2799</v>
      </c>
      <c r="D317" s="3" t="s">
        <v>2800</v>
      </c>
      <c r="E317" s="6" t="s">
        <v>36</v>
      </c>
      <c r="F317" s="7">
        <v>186758</v>
      </c>
      <c r="G317" s="7">
        <v>233286</v>
      </c>
      <c r="H317" s="6">
        <f t="shared" si="8"/>
        <v>1.2491352445410637</v>
      </c>
      <c r="I317" s="3" t="s">
        <v>846</v>
      </c>
      <c r="J317" s="6" t="str">
        <f t="shared" si="9"/>
        <v>http://konect.cc/files/download.tsv.dbpedia-recordlabel.tar.bz2</v>
      </c>
      <c r="L317" s="5"/>
    </row>
    <row r="318" spans="3:12" x14ac:dyDescent="0.3">
      <c r="C318" s="6" t="s">
        <v>3417</v>
      </c>
      <c r="D318" s="3" t="s">
        <v>3418</v>
      </c>
      <c r="E318" s="6" t="s">
        <v>38</v>
      </c>
      <c r="F318" s="7">
        <v>186686</v>
      </c>
      <c r="G318" s="7">
        <v>1271653</v>
      </c>
      <c r="H318" s="6">
        <f t="shared" si="8"/>
        <v>6.8117212860096634</v>
      </c>
      <c r="I318" s="3" t="s">
        <v>1177</v>
      </c>
      <c r="J318" s="6" t="str">
        <f t="shared" si="9"/>
        <v>http://konect.cc/files/download.tsv.edit-enwikiquote.tar.bz2</v>
      </c>
      <c r="L318" s="5"/>
    </row>
    <row r="319" spans="3:12" x14ac:dyDescent="0.3">
      <c r="C319" s="6" t="s">
        <v>3400</v>
      </c>
      <c r="D319" s="3" t="s">
        <v>3401</v>
      </c>
      <c r="E319" s="6" t="s">
        <v>33</v>
      </c>
      <c r="F319" s="7">
        <v>186450</v>
      </c>
      <c r="G319" s="7">
        <v>2208986</v>
      </c>
      <c r="H319" s="6">
        <f t="shared" si="8"/>
        <v>11.847605256100831</v>
      </c>
      <c r="I319" s="3" t="s">
        <v>1167</v>
      </c>
      <c r="J319" s="6" t="str">
        <f t="shared" si="9"/>
        <v>http://konect.cc/files/download.tsv.wikipedia_link_tl.tar.bz2</v>
      </c>
      <c r="L319" s="5"/>
    </row>
    <row r="320" spans="3:12" x14ac:dyDescent="0.3">
      <c r="C320" s="6" t="s">
        <v>3585</v>
      </c>
      <c r="D320" s="3" t="s">
        <v>3586</v>
      </c>
      <c r="E320" s="6" t="s">
        <v>33</v>
      </c>
      <c r="F320" s="7">
        <v>185262</v>
      </c>
      <c r="G320" s="7">
        <v>5098259</v>
      </c>
      <c r="H320" s="6">
        <f t="shared" si="8"/>
        <v>27.519183642625038</v>
      </c>
      <c r="I320" s="3" t="s">
        <v>1267</v>
      </c>
      <c r="J320" s="6" t="str">
        <f t="shared" si="9"/>
        <v>http://konect.cc/files/download.tsv.wikipedia_link_simple.tar.bz2</v>
      </c>
      <c r="L320" s="5"/>
    </row>
    <row r="321" spans="3:12" x14ac:dyDescent="0.3">
      <c r="C321" s="6" t="s">
        <v>3504</v>
      </c>
      <c r="D321" s="3" t="s">
        <v>3505</v>
      </c>
      <c r="E321" s="6" t="s">
        <v>33</v>
      </c>
      <c r="F321" s="7">
        <v>181160</v>
      </c>
      <c r="G321" s="7">
        <v>3563825</v>
      </c>
      <c r="H321" s="6">
        <f t="shared" si="8"/>
        <v>19.672251048796642</v>
      </c>
      <c r="I321" s="3" t="s">
        <v>1225</v>
      </c>
      <c r="J321" s="6" t="str">
        <f t="shared" si="9"/>
        <v>http://konect.cc/files/download.tsv.wikipedia_link_la.tar.bz2</v>
      </c>
      <c r="L321" s="5"/>
    </row>
    <row r="322" spans="3:12" x14ac:dyDescent="0.3">
      <c r="C322" s="6" t="s">
        <v>3539</v>
      </c>
      <c r="D322" s="3" t="s">
        <v>3540</v>
      </c>
      <c r="E322" s="6" t="s">
        <v>38</v>
      </c>
      <c r="F322" s="7">
        <v>180704</v>
      </c>
      <c r="G322" s="7">
        <v>2271834</v>
      </c>
      <c r="H322" s="6">
        <f t="shared" ref="H322:H385" si="10">G322/F322</f>
        <v>12.572129006552151</v>
      </c>
      <c r="I322" s="3" t="s">
        <v>1241</v>
      </c>
      <c r="J322" s="6" t="str">
        <f t="shared" ref="J322:J385" si="11">"http://konect.cc/files/download.tsv."&amp;I322&amp;".tar.bz2"</f>
        <v>http://konect.cc/files/download.tsv.edit-enwikivoyage.tar.bz2</v>
      </c>
      <c r="L322" s="5"/>
    </row>
    <row r="323" spans="3:12" x14ac:dyDescent="0.3">
      <c r="C323" s="6" t="s">
        <v>3742</v>
      </c>
      <c r="D323" s="3" t="s">
        <v>3743</v>
      </c>
      <c r="E323" s="6" t="s">
        <v>33</v>
      </c>
      <c r="F323" s="7">
        <v>178413</v>
      </c>
      <c r="G323" s="7">
        <v>11485895</v>
      </c>
      <c r="H323" s="6">
        <f t="shared" si="10"/>
        <v>64.378128275405942</v>
      </c>
      <c r="I323" s="3" t="s">
        <v>1344</v>
      </c>
      <c r="J323" s="6" t="str">
        <f t="shared" si="11"/>
        <v>http://konect.cc/files/download.tsv.wikipedia_link_bs.tar.bz2</v>
      </c>
      <c r="L323" s="5"/>
    </row>
    <row r="324" spans="3:12" x14ac:dyDescent="0.3">
      <c r="C324" s="6" t="s">
        <v>3014</v>
      </c>
      <c r="D324" s="3" t="s">
        <v>1511</v>
      </c>
      <c r="E324" s="6" t="s">
        <v>36</v>
      </c>
      <c r="F324" s="7">
        <v>177386</v>
      </c>
      <c r="G324" s="7">
        <v>440237</v>
      </c>
      <c r="H324" s="6">
        <f t="shared" si="10"/>
        <v>2.4818023970324603</v>
      </c>
      <c r="I324" s="3" t="s">
        <v>965</v>
      </c>
      <c r="J324" s="6" t="str">
        <f t="shared" si="11"/>
        <v>http://konect.cc/files/download.tsv.github.tar.bz2</v>
      </c>
      <c r="L324" s="5"/>
    </row>
    <row r="325" spans="3:12" x14ac:dyDescent="0.3">
      <c r="C325" s="6" t="s">
        <v>3635</v>
      </c>
      <c r="D325" s="3" t="s">
        <v>3636</v>
      </c>
      <c r="E325" s="6" t="s">
        <v>38</v>
      </c>
      <c r="F325" s="7">
        <v>175992</v>
      </c>
      <c r="G325" s="7">
        <v>2411819</v>
      </c>
      <c r="H325" s="6">
        <f t="shared" si="10"/>
        <v>13.704139960907314</v>
      </c>
      <c r="I325" s="3" t="s">
        <v>1290</v>
      </c>
      <c r="J325" s="6" t="str">
        <f t="shared" si="11"/>
        <v>http://konect.cc/files/download.tsv.citeulike-ut.tar.bz2</v>
      </c>
      <c r="L325" s="5"/>
    </row>
    <row r="326" spans="3:12" x14ac:dyDescent="0.3">
      <c r="C326" s="6" t="s">
        <v>3506</v>
      </c>
      <c r="D326" s="3" t="s">
        <v>3507</v>
      </c>
      <c r="E326" s="6" t="s">
        <v>38</v>
      </c>
      <c r="F326" s="7">
        <v>175460</v>
      </c>
      <c r="G326" s="7">
        <v>1960260</v>
      </c>
      <c r="H326" s="6">
        <f t="shared" si="10"/>
        <v>11.172119001481819</v>
      </c>
      <c r="I326" s="3" t="s">
        <v>1226</v>
      </c>
      <c r="J326" s="6" t="str">
        <f t="shared" si="11"/>
        <v>http://konect.cc/files/download.tsv.edit-ttwiki.tar.bz2</v>
      </c>
      <c r="L326" s="5"/>
    </row>
    <row r="327" spans="3:12" x14ac:dyDescent="0.3">
      <c r="C327" s="6" t="s">
        <v>3799</v>
      </c>
      <c r="D327" s="3" t="s">
        <v>125</v>
      </c>
      <c r="E327" s="6" t="s">
        <v>38</v>
      </c>
      <c r="F327" s="7">
        <v>175069</v>
      </c>
      <c r="G327" s="7">
        <v>19150868</v>
      </c>
      <c r="H327" s="6">
        <f t="shared" si="10"/>
        <v>109.39040035643089</v>
      </c>
      <c r="I327" s="3" t="s">
        <v>1395</v>
      </c>
      <c r="J327" s="6" t="str">
        <f t="shared" si="11"/>
        <v>http://konect.cc/files/download.tsv.lastfm_band.tar.bz2</v>
      </c>
      <c r="L327" s="5"/>
    </row>
    <row r="328" spans="3:12" x14ac:dyDescent="0.3">
      <c r="C328" s="6" t="s">
        <v>3682</v>
      </c>
      <c r="D328" s="3" t="s">
        <v>3683</v>
      </c>
      <c r="E328" s="6" t="s">
        <v>33</v>
      </c>
      <c r="F328" s="7">
        <v>172547</v>
      </c>
      <c r="G328" s="7">
        <v>8183314</v>
      </c>
      <c r="H328" s="6">
        <f t="shared" si="10"/>
        <v>47.426579424736445</v>
      </c>
      <c r="I328" s="3" t="s">
        <v>1314</v>
      </c>
      <c r="J328" s="6" t="str">
        <f t="shared" si="11"/>
        <v>http://konect.cc/files/download.tsv.wikipedia_link_hi.tar.bz2</v>
      </c>
      <c r="L328" s="5"/>
    </row>
    <row r="329" spans="3:12" x14ac:dyDescent="0.3">
      <c r="C329" s="6" t="s">
        <v>3668</v>
      </c>
      <c r="D329" s="3" t="s">
        <v>3669</v>
      </c>
      <c r="E329" s="6" t="s">
        <v>33</v>
      </c>
      <c r="F329" s="7">
        <v>172283</v>
      </c>
      <c r="G329" s="7">
        <v>7301226</v>
      </c>
      <c r="H329" s="6">
        <f t="shared" si="10"/>
        <v>42.379259706413286</v>
      </c>
      <c r="I329" s="3" t="s">
        <v>1307</v>
      </c>
      <c r="J329" s="6" t="str">
        <f t="shared" si="11"/>
        <v>http://konect.cc/files/download.tsv.wikipedia_link_ce.tar.bz2</v>
      </c>
      <c r="L329" s="5"/>
    </row>
    <row r="330" spans="3:12" x14ac:dyDescent="0.3">
      <c r="C330" s="6" t="s">
        <v>3173</v>
      </c>
      <c r="D330" s="3" t="s">
        <v>3174</v>
      </c>
      <c r="E330" s="6" t="s">
        <v>38</v>
      </c>
      <c r="F330" s="7">
        <v>169949</v>
      </c>
      <c r="G330" s="7">
        <v>487512</v>
      </c>
      <c r="H330" s="6">
        <f t="shared" si="10"/>
        <v>2.8685782205249812</v>
      </c>
      <c r="I330" s="3" t="s">
        <v>1045</v>
      </c>
      <c r="J330" s="6" t="str">
        <f t="shared" si="11"/>
        <v>http://konect.cc/files/download.tsv.edit-scowiki.tar.bz2</v>
      </c>
      <c r="L330" s="5"/>
    </row>
    <row r="331" spans="3:12" x14ac:dyDescent="0.3">
      <c r="C331" s="6" t="s">
        <v>3549</v>
      </c>
      <c r="D331" s="3" t="s">
        <v>3550</v>
      </c>
      <c r="E331" s="6" t="s">
        <v>33</v>
      </c>
      <c r="F331" s="7">
        <v>167246</v>
      </c>
      <c r="G331" s="7">
        <v>4465854</v>
      </c>
      <c r="H331" s="6">
        <f t="shared" si="10"/>
        <v>26.702306781627065</v>
      </c>
      <c r="I331" s="3" t="s">
        <v>1247</v>
      </c>
      <c r="J331" s="6" t="str">
        <f t="shared" si="11"/>
        <v>http://konect.cc/files/download.tsv.wikipedia_link_az.tar.bz2</v>
      </c>
      <c r="L331" s="5"/>
    </row>
    <row r="332" spans="3:12" x14ac:dyDescent="0.3">
      <c r="C332" s="6" t="s">
        <v>3341</v>
      </c>
      <c r="D332" s="3" t="s">
        <v>3342</v>
      </c>
      <c r="E332" s="6" t="s">
        <v>38</v>
      </c>
      <c r="F332" s="7">
        <v>166854</v>
      </c>
      <c r="G332" s="7">
        <v>918811</v>
      </c>
      <c r="H332" s="6">
        <f t="shared" si="10"/>
        <v>5.5066764956189242</v>
      </c>
      <c r="I332" s="3" t="s">
        <v>1134</v>
      </c>
      <c r="J332" s="6" t="str">
        <f t="shared" si="11"/>
        <v>http://konect.cc/files/download.tsv.edit-rowiktionary.tar.bz2</v>
      </c>
      <c r="L332" s="5"/>
    </row>
    <row r="333" spans="3:12" x14ac:dyDescent="0.3">
      <c r="C333" s="6" t="s">
        <v>3480</v>
      </c>
      <c r="D333" s="3" t="s">
        <v>3481</v>
      </c>
      <c r="E333" s="6" t="s">
        <v>38</v>
      </c>
      <c r="F333" s="7">
        <v>164905</v>
      </c>
      <c r="G333" s="7">
        <v>1770298</v>
      </c>
      <c r="H333" s="6">
        <f t="shared" si="10"/>
        <v>10.735259694975895</v>
      </c>
      <c r="I333" s="3" t="s">
        <v>1211</v>
      </c>
      <c r="J333" s="6" t="str">
        <f t="shared" si="11"/>
        <v>http://konect.cc/files/download.tsv.edit-be_x_oldwiki.tar.bz2</v>
      </c>
      <c r="L333" s="5"/>
    </row>
    <row r="334" spans="3:12" x14ac:dyDescent="0.3">
      <c r="C334" s="6" t="s">
        <v>3331</v>
      </c>
      <c r="D334" s="3" t="s">
        <v>3332</v>
      </c>
      <c r="E334" s="6" t="s">
        <v>38</v>
      </c>
      <c r="F334" s="7">
        <v>163993</v>
      </c>
      <c r="G334" s="7">
        <v>887207</v>
      </c>
      <c r="H334" s="6">
        <f t="shared" si="10"/>
        <v>5.4100296963894801</v>
      </c>
      <c r="I334" s="3" t="s">
        <v>1128</v>
      </c>
      <c r="J334" s="6" t="str">
        <f t="shared" si="11"/>
        <v>http://konect.cc/files/download.tsv.edit-thwiktionary.tar.bz2</v>
      </c>
      <c r="L334" s="5"/>
    </row>
    <row r="335" spans="3:12" x14ac:dyDescent="0.3">
      <c r="C335" s="6" t="s">
        <v>3349</v>
      </c>
      <c r="D335" s="3" t="s">
        <v>3350</v>
      </c>
      <c r="E335" s="6" t="s">
        <v>38</v>
      </c>
      <c r="F335" s="7">
        <v>160909</v>
      </c>
      <c r="G335" s="7">
        <v>947552</v>
      </c>
      <c r="H335" s="6">
        <f t="shared" si="10"/>
        <v>5.8887445699121868</v>
      </c>
      <c r="I335" s="3" t="s">
        <v>1138</v>
      </c>
      <c r="J335" s="6" t="str">
        <f t="shared" si="11"/>
        <v>http://konect.cc/files/download.tsv.edit-zh_yuewiki.tar.bz2</v>
      </c>
      <c r="L335" s="5"/>
    </row>
    <row r="336" spans="3:12" x14ac:dyDescent="0.3">
      <c r="C336" s="6" t="s">
        <v>3577</v>
      </c>
      <c r="D336" s="3" t="s">
        <v>3578</v>
      </c>
      <c r="E336" s="6" t="s">
        <v>33</v>
      </c>
      <c r="F336" s="7">
        <v>159755</v>
      </c>
      <c r="G336" s="7">
        <v>4887982</v>
      </c>
      <c r="H336" s="6">
        <f t="shared" si="10"/>
        <v>30.596738756220464</v>
      </c>
      <c r="I336" s="3" t="s">
        <v>1263</v>
      </c>
      <c r="J336" s="6" t="str">
        <f t="shared" si="11"/>
        <v>http://konect.cc/files/download.tsv.wikipedia_link_ka.tar.bz2</v>
      </c>
      <c r="L336" s="5"/>
    </row>
    <row r="337" spans="3:12" x14ac:dyDescent="0.3">
      <c r="C337" s="6" t="s">
        <v>2866</v>
      </c>
      <c r="D337" s="3" t="s">
        <v>3379</v>
      </c>
      <c r="E337" s="6" t="s">
        <v>42</v>
      </c>
      <c r="F337" s="7">
        <v>159316</v>
      </c>
      <c r="G337" s="7">
        <v>964437</v>
      </c>
      <c r="H337" s="6">
        <f t="shared" si="10"/>
        <v>6.0536104346079487</v>
      </c>
      <c r="I337" s="3" t="s">
        <v>1155</v>
      </c>
      <c r="J337" s="6" t="str">
        <f t="shared" si="11"/>
        <v>http://konect.cc/files/download.tsv.sx-askubuntu.tar.bz2</v>
      </c>
      <c r="L337" s="5"/>
    </row>
    <row r="338" spans="3:12" x14ac:dyDescent="0.3">
      <c r="C338" s="6" t="s">
        <v>2908</v>
      </c>
      <c r="D338" s="3" t="s">
        <v>2909</v>
      </c>
      <c r="E338" s="6" t="s">
        <v>36</v>
      </c>
      <c r="F338" s="7">
        <v>157184</v>
      </c>
      <c r="G338" s="7">
        <v>281396</v>
      </c>
      <c r="H338" s="6">
        <f t="shared" si="10"/>
        <v>1.7902331026058631</v>
      </c>
      <c r="I338" s="3" t="s">
        <v>908</v>
      </c>
      <c r="J338" s="6" t="str">
        <f t="shared" si="11"/>
        <v>http://konect.cc/files/download.tsv.dbpedia-starring.tar.bz2</v>
      </c>
      <c r="L338" s="5"/>
    </row>
    <row r="339" spans="3:12" x14ac:dyDescent="0.3">
      <c r="C339" s="6" t="s">
        <v>3422</v>
      </c>
      <c r="D339" s="3" t="s">
        <v>3423</v>
      </c>
      <c r="E339" s="6" t="s">
        <v>145</v>
      </c>
      <c r="F339" s="7">
        <v>155820</v>
      </c>
      <c r="G339" s="7">
        <v>1358426</v>
      </c>
      <c r="H339" s="6">
        <f t="shared" si="10"/>
        <v>8.7179181106404826</v>
      </c>
      <c r="I339" s="3" t="s">
        <v>1178</v>
      </c>
      <c r="J339" s="6" t="str">
        <f t="shared" si="11"/>
        <v>http://konect.cc/files/download.tsv.wiki_talk_pl.tar.bz2</v>
      </c>
      <c r="L339" s="5"/>
    </row>
    <row r="340" spans="3:12" x14ac:dyDescent="0.3">
      <c r="C340" s="6" t="s">
        <v>2956</v>
      </c>
      <c r="D340" s="3" t="s">
        <v>1509</v>
      </c>
      <c r="E340" s="6" t="s">
        <v>83</v>
      </c>
      <c r="F340" s="7">
        <v>154908</v>
      </c>
      <c r="G340" s="7">
        <v>327162</v>
      </c>
      <c r="H340" s="6">
        <f t="shared" si="10"/>
        <v>2.1119761406770472</v>
      </c>
      <c r="I340" s="3" t="s">
        <v>933</v>
      </c>
      <c r="J340" s="6" t="str">
        <f t="shared" si="11"/>
        <v>http://konect.cc/files/download.tsv.douban.tar.bz2</v>
      </c>
      <c r="L340" s="5"/>
    </row>
    <row r="341" spans="3:12" x14ac:dyDescent="0.3">
      <c r="C341" s="6" t="s">
        <v>3287</v>
      </c>
      <c r="D341" s="3" t="s">
        <v>3288</v>
      </c>
      <c r="E341" s="6" t="s">
        <v>38</v>
      </c>
      <c r="F341" s="7">
        <v>153841</v>
      </c>
      <c r="G341" s="7">
        <v>735491</v>
      </c>
      <c r="H341" s="6">
        <f t="shared" si="10"/>
        <v>4.7808516585305609</v>
      </c>
      <c r="I341" s="3" t="s">
        <v>1105</v>
      </c>
      <c r="J341" s="6" t="str">
        <f t="shared" si="11"/>
        <v>http://konect.cc/files/download.tsv.edit-fawiktionary.tar.bz2</v>
      </c>
      <c r="L341" s="5"/>
    </row>
    <row r="342" spans="3:12" x14ac:dyDescent="0.3">
      <c r="C342" s="6" t="s">
        <v>3181</v>
      </c>
      <c r="D342" s="3" t="s">
        <v>3182</v>
      </c>
      <c r="E342" s="6" t="s">
        <v>38</v>
      </c>
      <c r="F342" s="7">
        <v>153595</v>
      </c>
      <c r="G342" s="7">
        <v>497719</v>
      </c>
      <c r="H342" s="6">
        <f t="shared" si="10"/>
        <v>3.2404635567564046</v>
      </c>
      <c r="I342" s="3" t="s">
        <v>1049</v>
      </c>
      <c r="J342" s="6" t="str">
        <f t="shared" si="11"/>
        <v>http://konect.cc/files/download.tsv.edit-uzwiktionary.tar.bz2</v>
      </c>
      <c r="L342" s="5"/>
    </row>
    <row r="343" spans="3:12" x14ac:dyDescent="0.3">
      <c r="C343" s="6" t="s">
        <v>3373</v>
      </c>
      <c r="D343" s="3" t="s">
        <v>3374</v>
      </c>
      <c r="E343" s="6" t="s">
        <v>38</v>
      </c>
      <c r="F343" s="7">
        <v>153199</v>
      </c>
      <c r="G343" s="7">
        <v>1044919</v>
      </c>
      <c r="H343" s="6">
        <f t="shared" si="10"/>
        <v>6.8206646257482095</v>
      </c>
      <c r="I343" s="3" t="s">
        <v>1152</v>
      </c>
      <c r="J343" s="6" t="str">
        <f t="shared" si="11"/>
        <v>http://konect.cc/files/download.tsv.edit-nowiktionary.tar.bz2</v>
      </c>
      <c r="L343" s="5"/>
    </row>
    <row r="344" spans="3:12" x14ac:dyDescent="0.3">
      <c r="C344" s="6" t="s">
        <v>3678</v>
      </c>
      <c r="D344" s="3" t="s">
        <v>3679</v>
      </c>
      <c r="E344" s="6" t="s">
        <v>33</v>
      </c>
      <c r="F344" s="7">
        <v>152870</v>
      </c>
      <c r="G344" s="7">
        <v>8098155</v>
      </c>
      <c r="H344" s="6">
        <f t="shared" si="10"/>
        <v>52.974128344344869</v>
      </c>
      <c r="I344" s="3" t="s">
        <v>1312</v>
      </c>
      <c r="J344" s="6" t="str">
        <f t="shared" si="11"/>
        <v>http://konect.cc/files/download.tsv.wikipedia_link_ta.tar.bz2</v>
      </c>
      <c r="L344" s="5"/>
    </row>
    <row r="345" spans="3:12" x14ac:dyDescent="0.3">
      <c r="C345" s="6" t="s">
        <v>3464</v>
      </c>
      <c r="D345" s="3" t="s">
        <v>3465</v>
      </c>
      <c r="E345" s="6" t="s">
        <v>36</v>
      </c>
      <c r="F345" s="7">
        <v>152093</v>
      </c>
      <c r="G345" s="7">
        <v>3232134</v>
      </c>
      <c r="H345" s="6">
        <f t="shared" si="10"/>
        <v>21.251037194348196</v>
      </c>
      <c r="I345" s="3" t="s">
        <v>1201</v>
      </c>
      <c r="J345" s="6" t="str">
        <f t="shared" si="11"/>
        <v>http://konect.cc/files/download.tsv.dbtropes-feature.tar.bz2</v>
      </c>
      <c r="L345" s="5"/>
    </row>
    <row r="346" spans="3:12" x14ac:dyDescent="0.3">
      <c r="C346" s="6" t="s">
        <v>3563</v>
      </c>
      <c r="D346" s="3" t="s">
        <v>1512</v>
      </c>
      <c r="E346" s="6" t="s">
        <v>91</v>
      </c>
      <c r="F346" s="7">
        <v>149700</v>
      </c>
      <c r="G346" s="7">
        <v>5449275</v>
      </c>
      <c r="H346" s="6">
        <f t="shared" si="10"/>
        <v>36.401302605210418</v>
      </c>
      <c r="I346" s="3" t="s">
        <v>1254</v>
      </c>
      <c r="J346" s="6" t="str">
        <f t="shared" si="11"/>
        <v>http://konect.cc/files/download.tsv.petster-friendships-cat.tar.bz2</v>
      </c>
      <c r="L346" s="5"/>
    </row>
    <row r="347" spans="3:12" x14ac:dyDescent="0.3">
      <c r="C347" s="6" t="s">
        <v>3272</v>
      </c>
      <c r="D347" s="3" t="s">
        <v>3273</v>
      </c>
      <c r="E347" s="6" t="s">
        <v>38</v>
      </c>
      <c r="F347" s="7">
        <v>149412</v>
      </c>
      <c r="G347" s="7">
        <v>699444</v>
      </c>
      <c r="H347" s="6">
        <f t="shared" si="10"/>
        <v>4.6813107380933259</v>
      </c>
      <c r="I347" s="3" t="s">
        <v>1098</v>
      </c>
      <c r="J347" s="6" t="str">
        <f t="shared" si="11"/>
        <v>http://konect.cc/files/download.tsv.edit-arzwiki.tar.bz2</v>
      </c>
      <c r="L347" s="5"/>
    </row>
    <row r="348" spans="3:12" x14ac:dyDescent="0.3">
      <c r="C348" s="6" t="s">
        <v>2967</v>
      </c>
      <c r="D348" s="3" t="s">
        <v>1510</v>
      </c>
      <c r="E348" s="6" t="s">
        <v>2405</v>
      </c>
      <c r="F348" s="7">
        <v>147075</v>
      </c>
      <c r="G348" s="7">
        <v>175765</v>
      </c>
      <c r="H348" s="6">
        <f t="shared" si="10"/>
        <v>1.1950705422403536</v>
      </c>
      <c r="I348" s="3" t="s">
        <v>939</v>
      </c>
      <c r="J348" s="6" t="str">
        <f t="shared" si="11"/>
        <v>http://konect.cc/files/download.tsv.wang-tripadvisor.tar.bz2</v>
      </c>
      <c r="L348" s="5"/>
    </row>
    <row r="349" spans="3:12" x14ac:dyDescent="0.3">
      <c r="C349" s="6" t="s">
        <v>3106</v>
      </c>
      <c r="D349" s="3" t="s">
        <v>1514</v>
      </c>
      <c r="E349" s="6" t="s">
        <v>83</v>
      </c>
      <c r="F349" s="7">
        <v>146005</v>
      </c>
      <c r="G349" s="7">
        <v>656999</v>
      </c>
      <c r="H349" s="6">
        <f t="shared" si="10"/>
        <v>4.4998390466079927</v>
      </c>
      <c r="I349" s="3" t="s">
        <v>1011</v>
      </c>
      <c r="J349" s="6" t="str">
        <f t="shared" si="11"/>
        <v>http://konect.cc/files/download.tsv.wordnet-words.tar.bz2</v>
      </c>
      <c r="L349" s="5"/>
    </row>
    <row r="350" spans="3:12" x14ac:dyDescent="0.3">
      <c r="C350" s="6" t="s">
        <v>3807</v>
      </c>
      <c r="D350" s="3" t="s">
        <v>134</v>
      </c>
      <c r="E350" s="6" t="s">
        <v>135</v>
      </c>
      <c r="F350" s="7">
        <v>144671</v>
      </c>
      <c r="G350" s="7">
        <v>19554219</v>
      </c>
      <c r="H350" s="6">
        <f t="shared" si="10"/>
        <v>135.16336377020966</v>
      </c>
      <c r="I350" s="3" t="s">
        <v>3896</v>
      </c>
      <c r="J350" s="6" t="str">
        <f t="shared" si="11"/>
        <v>http://konect.cc/files/download.tsv.filmtipset_rating.tar.bz2</v>
      </c>
      <c r="L350" s="5"/>
    </row>
    <row r="351" spans="3:12" x14ac:dyDescent="0.3">
      <c r="C351" s="6" t="s">
        <v>3317</v>
      </c>
      <c r="D351" s="3" t="s">
        <v>3318</v>
      </c>
      <c r="E351" s="6" t="s">
        <v>38</v>
      </c>
      <c r="F351" s="7">
        <v>143873</v>
      </c>
      <c r="G351" s="7">
        <v>845441</v>
      </c>
      <c r="H351" s="6">
        <f t="shared" si="10"/>
        <v>5.876300626246759</v>
      </c>
      <c r="I351" s="3" t="s">
        <v>1121</v>
      </c>
      <c r="J351" s="6" t="str">
        <f t="shared" si="11"/>
        <v>http://konect.cc/files/download.tsv.edit-tgwiki.tar.bz2</v>
      </c>
      <c r="L351" s="5"/>
    </row>
    <row r="352" spans="3:12" x14ac:dyDescent="0.3">
      <c r="C352" s="6" t="s">
        <v>3495</v>
      </c>
      <c r="D352" s="3" t="s">
        <v>3496</v>
      </c>
      <c r="E352" s="6" t="s">
        <v>38</v>
      </c>
      <c r="F352" s="7">
        <v>143371</v>
      </c>
      <c r="G352" s="7">
        <v>1927431</v>
      </c>
      <c r="H352" s="6">
        <f t="shared" si="10"/>
        <v>13.443660154424535</v>
      </c>
      <c r="I352" s="3" t="s">
        <v>1221</v>
      </c>
      <c r="J352" s="6" t="str">
        <f t="shared" si="11"/>
        <v>http://konect.cc/files/download.tsv.edit-ocwiki.tar.bz2</v>
      </c>
      <c r="L352" s="5"/>
    </row>
    <row r="353" spans="3:12" x14ac:dyDescent="0.3">
      <c r="C353" s="6" t="s">
        <v>3623</v>
      </c>
      <c r="D353" s="3" t="s">
        <v>3624</v>
      </c>
      <c r="E353" s="6" t="s">
        <v>60</v>
      </c>
      <c r="F353" s="7">
        <v>142962</v>
      </c>
      <c r="G353" s="7">
        <v>3018197</v>
      </c>
      <c r="H353" s="6">
        <f t="shared" si="10"/>
        <v>21.11188287796757</v>
      </c>
      <c r="I353" s="3" t="s">
        <v>1284</v>
      </c>
      <c r="J353" s="6" t="str">
        <f t="shared" si="11"/>
        <v>http://konect.cc/files/download.tsv.digg-votes.tar.bz2</v>
      </c>
      <c r="L353" s="5"/>
    </row>
    <row r="354" spans="3:12" x14ac:dyDescent="0.3">
      <c r="C354" s="6" t="s">
        <v>3448</v>
      </c>
      <c r="D354" s="3" t="s">
        <v>3449</v>
      </c>
      <c r="E354" s="6" t="s">
        <v>33</v>
      </c>
      <c r="F354" s="7">
        <v>142648</v>
      </c>
      <c r="G354" s="7">
        <v>2967435</v>
      </c>
      <c r="H354" s="6">
        <f t="shared" si="10"/>
        <v>20.802499859794739</v>
      </c>
      <c r="I354" s="3" t="s">
        <v>1192</v>
      </c>
      <c r="J354" s="6" t="str">
        <f t="shared" si="11"/>
        <v>http://konect.cc/files/download.tsv.wikipedia_link_cy.tar.bz2</v>
      </c>
      <c r="L354" s="5"/>
    </row>
    <row r="355" spans="3:12" x14ac:dyDescent="0.3">
      <c r="C355" s="6" t="s">
        <v>3367</v>
      </c>
      <c r="D355" s="3" t="s">
        <v>3368</v>
      </c>
      <c r="E355" s="6" t="s">
        <v>38</v>
      </c>
      <c r="F355" s="7">
        <v>140902</v>
      </c>
      <c r="G355" s="7">
        <v>1026100</v>
      </c>
      <c r="H355" s="6">
        <f t="shared" si="10"/>
        <v>7.2823664674738469</v>
      </c>
      <c r="I355" s="3" t="s">
        <v>1149</v>
      </c>
      <c r="J355" s="6" t="str">
        <f t="shared" si="11"/>
        <v>http://konect.cc/files/download.tsv.edit-etwiktionary.tar.bz2</v>
      </c>
      <c r="L355" s="5"/>
    </row>
    <row r="356" spans="3:12" x14ac:dyDescent="0.3">
      <c r="C356" s="6" t="s">
        <v>3147</v>
      </c>
      <c r="D356" s="3" t="s">
        <v>1515</v>
      </c>
      <c r="E356" s="6" t="s">
        <v>3148</v>
      </c>
      <c r="F356" s="7">
        <v>138592</v>
      </c>
      <c r="G356" s="7">
        <v>740397</v>
      </c>
      <c r="H356" s="6">
        <f t="shared" si="10"/>
        <v>5.3422780535673056</v>
      </c>
      <c r="I356" s="3" t="s">
        <v>1032</v>
      </c>
      <c r="J356" s="6" t="str">
        <f t="shared" si="11"/>
        <v>http://konect.cc/files/download.tsv.wikisigned-k2.tar.bz2</v>
      </c>
      <c r="L356" s="5"/>
    </row>
    <row r="357" spans="3:12" x14ac:dyDescent="0.3">
      <c r="C357" s="6" t="s">
        <v>3199</v>
      </c>
      <c r="D357" s="3" t="s">
        <v>3200</v>
      </c>
      <c r="E357" s="6" t="s">
        <v>38</v>
      </c>
      <c r="F357" s="7">
        <v>137011</v>
      </c>
      <c r="G357" s="7">
        <v>530712</v>
      </c>
      <c r="H357" s="6">
        <f t="shared" si="10"/>
        <v>3.873499208092781</v>
      </c>
      <c r="I357" s="3" t="s">
        <v>1060</v>
      </c>
      <c r="J357" s="6" t="str">
        <f t="shared" si="11"/>
        <v>http://konect.cc/files/download.tsv.edit-mlwiktionary.tar.bz2</v>
      </c>
      <c r="L357" s="5"/>
    </row>
    <row r="358" spans="3:12" x14ac:dyDescent="0.3">
      <c r="C358" s="6" t="s">
        <v>3573</v>
      </c>
      <c r="D358" s="3" t="s">
        <v>3574</v>
      </c>
      <c r="E358" s="6" t="s">
        <v>33</v>
      </c>
      <c r="F358" s="7">
        <v>136857</v>
      </c>
      <c r="G358" s="7">
        <v>4903213</v>
      </c>
      <c r="H358" s="6">
        <f t="shared" si="10"/>
        <v>35.827272262288375</v>
      </c>
      <c r="I358" s="3" t="s">
        <v>1261</v>
      </c>
      <c r="J358" s="6" t="str">
        <f t="shared" si="11"/>
        <v>http://konect.cc/files/download.tsv.wikipedia_link_mk.tar.bz2</v>
      </c>
      <c r="L358" s="5"/>
    </row>
    <row r="359" spans="3:12" x14ac:dyDescent="0.3">
      <c r="C359" s="6" t="s">
        <v>3569</v>
      </c>
      <c r="D359" s="3" t="s">
        <v>3570</v>
      </c>
      <c r="E359" s="6" t="s">
        <v>33</v>
      </c>
      <c r="F359" s="7">
        <v>136014</v>
      </c>
      <c r="G359" s="7">
        <v>4919249</v>
      </c>
      <c r="H359" s="6">
        <f t="shared" si="10"/>
        <v>36.167225432676048</v>
      </c>
      <c r="I359" s="3" t="s">
        <v>1258</v>
      </c>
      <c r="J359" s="6" t="str">
        <f t="shared" si="11"/>
        <v>http://konect.cc/files/download.tsv.wikipedia_link_tt.tar.bz2</v>
      </c>
      <c r="L359" s="5"/>
    </row>
    <row r="360" spans="3:12" x14ac:dyDescent="0.3">
      <c r="C360" s="6" t="s">
        <v>2664</v>
      </c>
      <c r="D360" s="3" t="s">
        <v>1502</v>
      </c>
      <c r="E360" s="6" t="s">
        <v>36</v>
      </c>
      <c r="F360" s="7">
        <v>135569</v>
      </c>
      <c r="G360" s="7">
        <v>144340</v>
      </c>
      <c r="H360" s="6">
        <f t="shared" si="10"/>
        <v>1.06469768162338</v>
      </c>
      <c r="I360" s="3" t="s">
        <v>768</v>
      </c>
      <c r="J360" s="6" t="str">
        <f t="shared" si="11"/>
        <v>http://konect.cc/files/download.tsv.dbpedia-writer.tar.bz2</v>
      </c>
      <c r="L360" s="5"/>
    </row>
    <row r="361" spans="3:12" x14ac:dyDescent="0.3">
      <c r="C361" s="6" t="s">
        <v>3395</v>
      </c>
      <c r="D361" s="3" t="s">
        <v>3396</v>
      </c>
      <c r="E361" s="6" t="s">
        <v>38</v>
      </c>
      <c r="F361" s="7">
        <v>135468</v>
      </c>
      <c r="G361" s="7">
        <v>1151435</v>
      </c>
      <c r="H361" s="6">
        <f t="shared" si="10"/>
        <v>8.4996825818643522</v>
      </c>
      <c r="I361" s="3" t="s">
        <v>1165</v>
      </c>
      <c r="J361" s="6" t="str">
        <f t="shared" si="11"/>
        <v>http://konect.cc/files/download.tsv.edit-jvwiki.tar.bz2</v>
      </c>
      <c r="L361" s="5"/>
    </row>
    <row r="362" spans="3:12" x14ac:dyDescent="0.3">
      <c r="C362" s="6" t="s">
        <v>3390</v>
      </c>
      <c r="D362" s="3" t="s">
        <v>3391</v>
      </c>
      <c r="E362" s="6" t="s">
        <v>33</v>
      </c>
      <c r="F362" s="7">
        <v>132717</v>
      </c>
      <c r="G362" s="7">
        <v>2125430</v>
      </c>
      <c r="H362" s="6">
        <f t="shared" si="10"/>
        <v>16.014753196651522</v>
      </c>
      <c r="I362" s="3" t="s">
        <v>1162</v>
      </c>
      <c r="J362" s="6" t="str">
        <f t="shared" si="11"/>
        <v>http://konect.cc/files/download.tsv.wikipedia_link_ml.tar.bz2</v>
      </c>
      <c r="L362" s="5"/>
    </row>
    <row r="363" spans="3:12" x14ac:dyDescent="0.3">
      <c r="C363" s="6" t="s">
        <v>3336</v>
      </c>
      <c r="D363" s="3" t="s">
        <v>77</v>
      </c>
      <c r="E363" s="6" t="s">
        <v>3337</v>
      </c>
      <c r="F363" s="7">
        <v>131828</v>
      </c>
      <c r="G363" s="7">
        <v>841372</v>
      </c>
      <c r="H363" s="6">
        <f t="shared" si="10"/>
        <v>6.3823466941772615</v>
      </c>
      <c r="I363" s="3" t="s">
        <v>1131</v>
      </c>
      <c r="J363" s="6" t="str">
        <f t="shared" si="11"/>
        <v>http://konect.cc/files/download.tsv.epinions.tar.bz2</v>
      </c>
      <c r="L363" s="5"/>
    </row>
    <row r="364" spans="3:12" x14ac:dyDescent="0.3">
      <c r="C364" s="6" t="s">
        <v>3276</v>
      </c>
      <c r="D364" s="3" t="s">
        <v>3277</v>
      </c>
      <c r="E364" s="6" t="s">
        <v>38</v>
      </c>
      <c r="F364" s="7">
        <v>130834</v>
      </c>
      <c r="G364" s="7">
        <v>703139</v>
      </c>
      <c r="H364" s="6">
        <f t="shared" si="10"/>
        <v>5.3742834431416906</v>
      </c>
      <c r="I364" s="3" t="s">
        <v>1100</v>
      </c>
      <c r="J364" s="6" t="str">
        <f t="shared" si="11"/>
        <v>http://konect.cc/files/download.tsv.edit-itwikiquote.tar.bz2</v>
      </c>
      <c r="L364" s="5"/>
    </row>
    <row r="365" spans="3:12" x14ac:dyDescent="0.3">
      <c r="C365" s="6" t="s">
        <v>2455</v>
      </c>
      <c r="D365" s="3" t="s">
        <v>2456</v>
      </c>
      <c r="E365" s="6" t="s">
        <v>38</v>
      </c>
      <c r="F365" s="7">
        <v>130274</v>
      </c>
      <c r="G365" s="7">
        <v>210895</v>
      </c>
      <c r="H365" s="6">
        <f t="shared" si="10"/>
        <v>1.6188571779480172</v>
      </c>
      <c r="I365" s="3" t="s">
        <v>953</v>
      </c>
      <c r="J365" s="6" t="str">
        <f t="shared" si="11"/>
        <v>http://konect.cc/files/download.tsv.edit-arwikisource.tar.bz2</v>
      </c>
      <c r="L365" s="5"/>
    </row>
    <row r="366" spans="3:12" x14ac:dyDescent="0.3">
      <c r="C366" s="6" t="s">
        <v>3462</v>
      </c>
      <c r="D366" s="3" t="s">
        <v>3463</v>
      </c>
      <c r="E366" s="6" t="s">
        <v>38</v>
      </c>
      <c r="F366" s="7">
        <v>128363</v>
      </c>
      <c r="G366" s="7">
        <v>1662810</v>
      </c>
      <c r="H366" s="6">
        <f t="shared" si="10"/>
        <v>12.953966485669547</v>
      </c>
      <c r="I366" s="3" t="s">
        <v>1200</v>
      </c>
      <c r="J366" s="6" t="str">
        <f t="shared" si="11"/>
        <v>http://konect.cc/files/download.tsv.edit-brwiki.tar.bz2</v>
      </c>
      <c r="L366" s="5"/>
    </row>
    <row r="367" spans="3:12" x14ac:dyDescent="0.3">
      <c r="C367" s="6" t="s">
        <v>2274</v>
      </c>
      <c r="D367" s="3" t="s">
        <v>2275</v>
      </c>
      <c r="E367" s="6" t="s">
        <v>1818</v>
      </c>
      <c r="F367" s="7">
        <v>127833</v>
      </c>
      <c r="G367" s="7">
        <v>18059</v>
      </c>
      <c r="H367" s="6">
        <f t="shared" si="10"/>
        <v>0.14127025103064153</v>
      </c>
      <c r="I367" s="3" t="s">
        <v>3884</v>
      </c>
      <c r="J367" s="6" t="str">
        <f t="shared" si="11"/>
        <v>http://konect.cc/files/download.tsv.lqfb-temporal.tar.bz2</v>
      </c>
      <c r="L367" s="5"/>
    </row>
    <row r="368" spans="3:12" x14ac:dyDescent="0.3">
      <c r="C368" s="6" t="s">
        <v>3218</v>
      </c>
      <c r="D368" s="3" t="s">
        <v>3219</v>
      </c>
      <c r="E368" s="6" t="s">
        <v>33</v>
      </c>
      <c r="F368" s="7">
        <v>125916</v>
      </c>
      <c r="G368" s="7">
        <v>1025610</v>
      </c>
      <c r="H368" s="6">
        <f t="shared" si="10"/>
        <v>8.1451920327837612</v>
      </c>
      <c r="I368" s="3" t="s">
        <v>1070</v>
      </c>
      <c r="J368" s="6" t="str">
        <f t="shared" si="11"/>
        <v>http://konect.cc/files/download.tsv.wikipedia_link_mg.tar.bz2</v>
      </c>
      <c r="L368" s="5"/>
    </row>
    <row r="369" spans="3:12" x14ac:dyDescent="0.3">
      <c r="C369" s="6" t="s">
        <v>3304</v>
      </c>
      <c r="D369" s="3" t="s">
        <v>3305</v>
      </c>
      <c r="E369" s="6" t="s">
        <v>38</v>
      </c>
      <c r="F369" s="7">
        <v>125132</v>
      </c>
      <c r="G369" s="7">
        <v>748234</v>
      </c>
      <c r="H369" s="6">
        <f t="shared" si="10"/>
        <v>5.9795575871879292</v>
      </c>
      <c r="I369" s="3" t="s">
        <v>1112</v>
      </c>
      <c r="J369" s="6" t="str">
        <f t="shared" si="11"/>
        <v>http://konect.cc/files/download.tsv.edit-mywiktionary.tar.bz2</v>
      </c>
      <c r="L369" s="5"/>
    </row>
    <row r="370" spans="3:12" x14ac:dyDescent="0.3">
      <c r="C370" s="6" t="s">
        <v>2897</v>
      </c>
      <c r="D370" s="3" t="s">
        <v>74</v>
      </c>
      <c r="E370" s="6" t="s">
        <v>36</v>
      </c>
      <c r="F370" s="7">
        <v>124325</v>
      </c>
      <c r="G370" s="7">
        <v>293360</v>
      </c>
      <c r="H370" s="6">
        <f t="shared" si="10"/>
        <v>2.3596219585763123</v>
      </c>
      <c r="I370" s="3" t="s">
        <v>902</v>
      </c>
      <c r="J370" s="6" t="str">
        <f t="shared" si="11"/>
        <v>http://konect.cc/files/download.tsv.youtube-groupmemberships.tar.bz2</v>
      </c>
      <c r="L370" s="5"/>
    </row>
    <row r="371" spans="3:12" x14ac:dyDescent="0.3">
      <c r="C371" s="6" t="s">
        <v>3639</v>
      </c>
      <c r="D371" s="3" t="s">
        <v>3640</v>
      </c>
      <c r="E371" s="6" t="s">
        <v>38</v>
      </c>
      <c r="F371" s="7">
        <v>124174</v>
      </c>
      <c r="G371" s="7">
        <v>3129705</v>
      </c>
      <c r="H371" s="6">
        <f t="shared" si="10"/>
        <v>25.204189282780614</v>
      </c>
      <c r="I371" s="3" t="s">
        <v>1292</v>
      </c>
      <c r="J371" s="6" t="str">
        <f t="shared" si="11"/>
        <v>http://konect.cc/files/download.tsv.edit-srwikinews.tar.bz2</v>
      </c>
      <c r="L371" s="5"/>
    </row>
    <row r="372" spans="3:12" x14ac:dyDescent="0.3">
      <c r="C372" s="6" t="s">
        <v>3426</v>
      </c>
      <c r="D372" s="3" t="s">
        <v>3427</v>
      </c>
      <c r="E372" s="6" t="s">
        <v>38</v>
      </c>
      <c r="F372" s="7">
        <v>124118</v>
      </c>
      <c r="G372" s="7">
        <v>1393848</v>
      </c>
      <c r="H372" s="6">
        <f t="shared" si="10"/>
        <v>11.230023042588504</v>
      </c>
      <c r="I372" s="3" t="s">
        <v>1180</v>
      </c>
      <c r="J372" s="6" t="str">
        <f t="shared" si="11"/>
        <v>http://konect.cc/files/download.tsv.edit-iswiki.tar.bz2</v>
      </c>
      <c r="L372" s="5"/>
    </row>
    <row r="373" spans="3:12" x14ac:dyDescent="0.3">
      <c r="C373" s="6" t="s">
        <v>3343</v>
      </c>
      <c r="D373" s="3" t="s">
        <v>3344</v>
      </c>
      <c r="E373" s="6" t="s">
        <v>38</v>
      </c>
      <c r="F373" s="7">
        <v>121969</v>
      </c>
      <c r="G373" s="7">
        <v>948302</v>
      </c>
      <c r="H373" s="6">
        <f t="shared" si="10"/>
        <v>7.7749428133378151</v>
      </c>
      <c r="I373" s="3" t="s">
        <v>1135</v>
      </c>
      <c r="J373" s="6" t="str">
        <f t="shared" si="11"/>
        <v>http://konect.cc/files/download.tsv.edit-tewiktionary.tar.bz2</v>
      </c>
      <c r="L373" s="5"/>
    </row>
    <row r="374" spans="3:12" x14ac:dyDescent="0.3">
      <c r="C374" s="6" t="s">
        <v>3228</v>
      </c>
      <c r="D374" s="3" t="s">
        <v>3229</v>
      </c>
      <c r="E374" s="6" t="s">
        <v>38</v>
      </c>
      <c r="F374" s="7">
        <v>120876</v>
      </c>
      <c r="G374" s="7">
        <v>589486</v>
      </c>
      <c r="H374" s="6">
        <f t="shared" si="10"/>
        <v>4.8767828187564115</v>
      </c>
      <c r="I374" s="3" t="s">
        <v>1075</v>
      </c>
      <c r="J374" s="6" t="str">
        <f t="shared" si="11"/>
        <v>http://konect.cc/files/download.tsv.edit-liwiktionary.tar.bz2</v>
      </c>
      <c r="L374" s="5"/>
    </row>
    <row r="375" spans="3:12" x14ac:dyDescent="0.3">
      <c r="C375" s="6" t="s">
        <v>3238</v>
      </c>
      <c r="D375" s="3" t="s">
        <v>3239</v>
      </c>
      <c r="E375" s="6" t="s">
        <v>145</v>
      </c>
      <c r="F375" s="7">
        <v>120833</v>
      </c>
      <c r="G375" s="7">
        <v>598066</v>
      </c>
      <c r="H375" s="6">
        <f t="shared" si="10"/>
        <v>4.9495253780010424</v>
      </c>
      <c r="I375" s="3" t="s">
        <v>1080</v>
      </c>
      <c r="J375" s="6" t="str">
        <f t="shared" si="11"/>
        <v>http://konect.cc/files/download.tsv.wiki_talk_sv.tar.bz2</v>
      </c>
      <c r="L375" s="5"/>
    </row>
    <row r="376" spans="3:12" x14ac:dyDescent="0.3">
      <c r="C376" s="6" t="s">
        <v>3177</v>
      </c>
      <c r="D376" s="3" t="s">
        <v>3178</v>
      </c>
      <c r="E376" s="6" t="s">
        <v>38</v>
      </c>
      <c r="F376" s="7">
        <v>118212</v>
      </c>
      <c r="G376" s="7">
        <v>491861</v>
      </c>
      <c r="H376" s="6">
        <f t="shared" si="10"/>
        <v>4.1608381551788316</v>
      </c>
      <c r="I376" s="3" t="s">
        <v>1047</v>
      </c>
      <c r="J376" s="6" t="str">
        <f t="shared" si="11"/>
        <v>http://konect.cc/files/download.tsv.edit-ruwikinews.tar.bz2</v>
      </c>
      <c r="L376" s="5"/>
    </row>
    <row r="377" spans="3:12" x14ac:dyDescent="0.3">
      <c r="C377" s="6" t="s">
        <v>1738</v>
      </c>
      <c r="D377" s="3" t="s">
        <v>3720</v>
      </c>
      <c r="E377" s="6" t="s">
        <v>3721</v>
      </c>
      <c r="F377" s="7">
        <v>118100</v>
      </c>
      <c r="G377" s="7">
        <v>2917785</v>
      </c>
      <c r="H377" s="6">
        <f t="shared" si="10"/>
        <v>24.706054191363251</v>
      </c>
      <c r="I377" s="3" t="s">
        <v>1333</v>
      </c>
      <c r="J377" s="6" t="str">
        <f t="shared" si="11"/>
        <v>http://konect.cc/files/download.tsv.wikiconflict.tar.bz2</v>
      </c>
      <c r="L377" s="5"/>
    </row>
    <row r="378" spans="3:12" x14ac:dyDescent="0.3">
      <c r="C378" s="6" t="s">
        <v>3432</v>
      </c>
      <c r="D378" s="3" t="s">
        <v>3433</v>
      </c>
      <c r="E378" s="6" t="s">
        <v>38</v>
      </c>
      <c r="F378" s="7">
        <v>117392</v>
      </c>
      <c r="G378" s="7">
        <v>1460196</v>
      </c>
      <c r="H378" s="6">
        <f t="shared" si="10"/>
        <v>12.438632956249148</v>
      </c>
      <c r="I378" s="3" t="s">
        <v>1183</v>
      </c>
      <c r="J378" s="6" t="str">
        <f t="shared" si="11"/>
        <v>http://konect.cc/files/download.tsv.edit-afwiki.tar.bz2</v>
      </c>
      <c r="L378" s="5"/>
    </row>
    <row r="379" spans="3:12" x14ac:dyDescent="0.3">
      <c r="C379" s="6" t="s">
        <v>3268</v>
      </c>
      <c r="D379" s="3" t="s">
        <v>3269</v>
      </c>
      <c r="E379" s="6" t="s">
        <v>38</v>
      </c>
      <c r="F379" s="7">
        <v>114918</v>
      </c>
      <c r="G379" s="7">
        <v>673465</v>
      </c>
      <c r="H379" s="6">
        <f t="shared" si="10"/>
        <v>5.8603961085295602</v>
      </c>
      <c r="I379" s="3" t="s">
        <v>1096</v>
      </c>
      <c r="J379" s="6" t="str">
        <f t="shared" si="11"/>
        <v>http://konect.cc/files/download.tsv.edit-bawiki.tar.bz2</v>
      </c>
      <c r="L379" s="5"/>
    </row>
    <row r="380" spans="3:12" x14ac:dyDescent="0.3">
      <c r="C380" s="6" t="s">
        <v>3488</v>
      </c>
      <c r="D380" s="3" t="s">
        <v>3489</v>
      </c>
      <c r="E380" s="6" t="s">
        <v>38</v>
      </c>
      <c r="F380" s="7">
        <v>114727</v>
      </c>
      <c r="G380" s="7">
        <v>1875160</v>
      </c>
      <c r="H380" s="6">
        <f t="shared" si="10"/>
        <v>16.344539646290759</v>
      </c>
      <c r="I380" s="3" t="s">
        <v>1217</v>
      </c>
      <c r="J380" s="6" t="str">
        <f t="shared" si="11"/>
        <v>http://konect.cc/files/download.tsv.edit-lbwiki.tar.bz2</v>
      </c>
      <c r="L380" s="5"/>
    </row>
    <row r="381" spans="3:12" x14ac:dyDescent="0.3">
      <c r="C381" s="6" t="s">
        <v>3161</v>
      </c>
      <c r="D381" s="3" t="s">
        <v>3162</v>
      </c>
      <c r="E381" s="6" t="s">
        <v>38</v>
      </c>
      <c r="F381" s="7">
        <v>114218</v>
      </c>
      <c r="G381" s="7">
        <v>475887</v>
      </c>
      <c r="H381" s="6">
        <f t="shared" si="10"/>
        <v>4.1664798893344308</v>
      </c>
      <c r="I381" s="3" t="s">
        <v>1039</v>
      </c>
      <c r="J381" s="6" t="str">
        <f t="shared" si="11"/>
        <v>http://konect.cc/files/download.tsv.edit-ckbwiki.tar.bz2</v>
      </c>
      <c r="L381" s="5"/>
    </row>
    <row r="382" spans="3:12" x14ac:dyDescent="0.3">
      <c r="C382" s="6" t="s">
        <v>3175</v>
      </c>
      <c r="D382" s="3" t="s">
        <v>3176</v>
      </c>
      <c r="E382" s="6" t="s">
        <v>38</v>
      </c>
      <c r="F382" s="7">
        <v>112485</v>
      </c>
      <c r="G382" s="7">
        <v>491703</v>
      </c>
      <c r="H382" s="6">
        <f t="shared" si="10"/>
        <v>4.3712761701560208</v>
      </c>
      <c r="I382" s="3" t="s">
        <v>1046</v>
      </c>
      <c r="J382" s="6" t="str">
        <f t="shared" si="11"/>
        <v>http://konect.cc/files/download.tsv.edit-eowiktionary.tar.bz2</v>
      </c>
      <c r="L382" s="5"/>
    </row>
    <row r="383" spans="3:12" x14ac:dyDescent="0.3">
      <c r="C383" s="6" t="s">
        <v>3608</v>
      </c>
      <c r="D383" s="3" t="s">
        <v>3609</v>
      </c>
      <c r="E383" s="6" t="s">
        <v>33</v>
      </c>
      <c r="F383" s="7">
        <v>110972</v>
      </c>
      <c r="G383" s="7">
        <v>5611005</v>
      </c>
      <c r="H383" s="6">
        <f t="shared" si="10"/>
        <v>50.562349061024399</v>
      </c>
      <c r="I383" s="3" t="s">
        <v>1276</v>
      </c>
      <c r="J383" s="6" t="str">
        <f t="shared" si="11"/>
        <v>http://konect.cc/files/download.tsv.wikipedia_link_tg.tar.bz2</v>
      </c>
      <c r="L383" s="5"/>
    </row>
    <row r="384" spans="3:12" x14ac:dyDescent="0.3">
      <c r="C384" s="6" t="s">
        <v>3333</v>
      </c>
      <c r="D384" s="3" t="s">
        <v>3334</v>
      </c>
      <c r="E384" s="6" t="s">
        <v>33</v>
      </c>
      <c r="F384" s="7">
        <v>110749</v>
      </c>
      <c r="G384" s="7">
        <v>1718542</v>
      </c>
      <c r="H384" s="6">
        <f t="shared" si="10"/>
        <v>15.517449367488645</v>
      </c>
      <c r="I384" s="3" t="s">
        <v>1129</v>
      </c>
      <c r="J384" s="6" t="str">
        <f t="shared" si="11"/>
        <v>http://konect.cc/files/download.tsv.wikipedia_link_zh_yue.tar.bz2</v>
      </c>
      <c r="L384" s="5"/>
    </row>
    <row r="385" spans="3:12" x14ac:dyDescent="0.3">
      <c r="C385" s="6" t="s">
        <v>2884</v>
      </c>
      <c r="D385" s="3" t="s">
        <v>2885</v>
      </c>
      <c r="E385" s="6" t="s">
        <v>38</v>
      </c>
      <c r="F385" s="7">
        <v>109998</v>
      </c>
      <c r="G385" s="7">
        <v>150883</v>
      </c>
      <c r="H385" s="6">
        <f t="shared" si="10"/>
        <v>1.3716885761559301</v>
      </c>
      <c r="I385" s="3" t="s">
        <v>895</v>
      </c>
      <c r="J385" s="6" t="str">
        <f t="shared" si="11"/>
        <v>http://konect.cc/files/download.tsv.edit-orwiktionary.tar.bz2</v>
      </c>
      <c r="L385" s="5"/>
    </row>
    <row r="386" spans="3:12" x14ac:dyDescent="0.3">
      <c r="C386" s="6" t="s">
        <v>3434</v>
      </c>
      <c r="D386" s="3" t="s">
        <v>3435</v>
      </c>
      <c r="E386" s="6" t="s">
        <v>38</v>
      </c>
      <c r="F386" s="7">
        <v>107915</v>
      </c>
      <c r="G386" s="7">
        <v>1511668</v>
      </c>
      <c r="H386" s="6">
        <f t="shared" ref="H386:H449" si="12">G386/F386</f>
        <v>14.007950701941343</v>
      </c>
      <c r="I386" s="3" t="s">
        <v>1184</v>
      </c>
      <c r="J386" s="6" t="str">
        <f t="shared" ref="J386:J449" si="13">"http://konect.cc/files/download.tsv."&amp;I386&amp;".tar.bz2"</f>
        <v>http://konect.cc/files/download.tsv.edit-anwiki.tar.bz2</v>
      </c>
      <c r="L386" s="5"/>
    </row>
    <row r="387" spans="3:12" x14ac:dyDescent="0.3">
      <c r="C387" s="6" t="s">
        <v>3323</v>
      </c>
      <c r="D387" s="3" t="s">
        <v>3324</v>
      </c>
      <c r="E387" s="6" t="s">
        <v>38</v>
      </c>
      <c r="F387" s="7">
        <v>106001</v>
      </c>
      <c r="G387" s="7">
        <v>843327</v>
      </c>
      <c r="H387" s="6">
        <f t="shared" si="12"/>
        <v>7.9558400392449125</v>
      </c>
      <c r="I387" s="3" t="s">
        <v>1124</v>
      </c>
      <c r="J387" s="6" t="str">
        <f t="shared" si="13"/>
        <v>http://konect.cc/files/download.tsv.edit-cswiktionary.tar.bz2</v>
      </c>
      <c r="L387" s="5"/>
    </row>
    <row r="388" spans="3:12" x14ac:dyDescent="0.3">
      <c r="C388" s="6" t="s">
        <v>3392</v>
      </c>
      <c r="D388" s="3" t="s">
        <v>72</v>
      </c>
      <c r="E388" s="6" t="s">
        <v>83</v>
      </c>
      <c r="F388" s="7">
        <v>105938</v>
      </c>
      <c r="G388" s="7">
        <v>2316948</v>
      </c>
      <c r="H388" s="6">
        <f t="shared" si="12"/>
        <v>21.870792350242596</v>
      </c>
      <c r="I388" s="3" t="s">
        <v>1163</v>
      </c>
      <c r="J388" s="6" t="str">
        <f t="shared" si="13"/>
        <v>http://konect.cc/files/download.tsv.flickrEdges.tar.bz2</v>
      </c>
      <c r="L388" s="5"/>
    </row>
    <row r="389" spans="3:12" x14ac:dyDescent="0.3">
      <c r="C389" s="6" t="s">
        <v>3054</v>
      </c>
      <c r="D389" s="3" t="s">
        <v>3055</v>
      </c>
      <c r="E389" s="6" t="s">
        <v>83</v>
      </c>
      <c r="F389" s="7">
        <v>105138</v>
      </c>
      <c r="G389" s="7">
        <v>494858</v>
      </c>
      <c r="H389" s="6">
        <f t="shared" si="12"/>
        <v>4.7067473225665317</v>
      </c>
      <c r="I389" s="3" t="s">
        <v>986</v>
      </c>
      <c r="J389" s="6" t="str">
        <f t="shared" si="13"/>
        <v>http://konect.cc/files/download.tsv.petster-cat-household.tar.bz2</v>
      </c>
      <c r="L389" s="5"/>
    </row>
    <row r="390" spans="3:12" x14ac:dyDescent="0.3">
      <c r="C390" s="6" t="s">
        <v>3404</v>
      </c>
      <c r="D390" s="3" t="s">
        <v>1523</v>
      </c>
      <c r="E390" s="6" t="s">
        <v>83</v>
      </c>
      <c r="F390" s="7">
        <v>104103</v>
      </c>
      <c r="G390" s="7">
        <v>2193083</v>
      </c>
      <c r="H390" s="6">
        <f t="shared" si="12"/>
        <v>21.066472628070276</v>
      </c>
      <c r="I390" s="3" t="s">
        <v>1169</v>
      </c>
      <c r="J390" s="6" t="str">
        <f t="shared" si="13"/>
        <v>http://konect.cc/files/download.tsv.livemocha.tar.bz2</v>
      </c>
      <c r="L390" s="5"/>
    </row>
    <row r="391" spans="3:12" x14ac:dyDescent="0.3">
      <c r="C391" s="6" t="s">
        <v>3069</v>
      </c>
      <c r="D391" s="3" t="s">
        <v>3070</v>
      </c>
      <c r="E391" s="6" t="s">
        <v>145</v>
      </c>
      <c r="F391" s="7">
        <v>103068</v>
      </c>
      <c r="G391" s="7">
        <v>312837</v>
      </c>
      <c r="H391" s="6">
        <f t="shared" si="12"/>
        <v>3.0352485737571313</v>
      </c>
      <c r="I391" s="3" t="s">
        <v>994</v>
      </c>
      <c r="J391" s="6" t="str">
        <f t="shared" si="13"/>
        <v>http://konect.cc/files/download.tsv.wiki_talk_sr.tar.bz2</v>
      </c>
      <c r="L391" s="5"/>
    </row>
    <row r="392" spans="3:12" x14ac:dyDescent="0.3">
      <c r="C392" s="6" t="s">
        <v>3347</v>
      </c>
      <c r="D392" s="3" t="s">
        <v>3348</v>
      </c>
      <c r="E392" s="6" t="s">
        <v>33</v>
      </c>
      <c r="F392" s="7">
        <v>100573</v>
      </c>
      <c r="G392" s="7">
        <v>1808560</v>
      </c>
      <c r="H392" s="6">
        <f t="shared" si="12"/>
        <v>17.982559931591979</v>
      </c>
      <c r="I392" s="3" t="s">
        <v>1137</v>
      </c>
      <c r="J392" s="6" t="str">
        <f t="shared" si="13"/>
        <v>http://konect.cc/files/download.tsv.wikipedia_link_new.tar.bz2</v>
      </c>
      <c r="L392" s="5"/>
    </row>
    <row r="393" spans="3:12" x14ac:dyDescent="0.3">
      <c r="C393" s="6" t="s">
        <v>3486</v>
      </c>
      <c r="D393" s="3" t="s">
        <v>3487</v>
      </c>
      <c r="E393" s="6" t="s">
        <v>35</v>
      </c>
      <c r="F393" s="7">
        <v>100312</v>
      </c>
      <c r="G393" s="7">
        <v>1627472</v>
      </c>
      <c r="H393" s="6">
        <f t="shared" si="12"/>
        <v>16.224100805486881</v>
      </c>
      <c r="I393" s="3" t="s">
        <v>1215</v>
      </c>
      <c r="J393" s="6" t="str">
        <f t="shared" si="13"/>
        <v>http://konect.cc/files/download.tsv.link-dynamic-simplewiki.tar.bz2</v>
      </c>
      <c r="L393" s="5"/>
    </row>
    <row r="394" spans="3:12" x14ac:dyDescent="0.3">
      <c r="C394" s="6" t="s">
        <v>3321</v>
      </c>
      <c r="D394" s="3" t="s">
        <v>3322</v>
      </c>
      <c r="E394" s="6" t="s">
        <v>38</v>
      </c>
      <c r="F394" s="7">
        <v>100224</v>
      </c>
      <c r="G394" s="7">
        <v>820463</v>
      </c>
      <c r="H394" s="6">
        <f t="shared" si="12"/>
        <v>8.1862927043422733</v>
      </c>
      <c r="I394" s="3" t="s">
        <v>1123</v>
      </c>
      <c r="J394" s="6" t="str">
        <f t="shared" si="13"/>
        <v>http://konect.cc/files/download.tsv.edit-pmswiki.tar.bz2</v>
      </c>
      <c r="L394" s="5"/>
    </row>
    <row r="395" spans="3:12" x14ac:dyDescent="0.3">
      <c r="C395" s="6" t="s">
        <v>3375</v>
      </c>
      <c r="D395" s="3" t="s">
        <v>3376</v>
      </c>
      <c r="E395" s="6" t="s">
        <v>58</v>
      </c>
      <c r="F395" s="7">
        <v>99157</v>
      </c>
      <c r="G395" s="7">
        <v>2298816</v>
      </c>
      <c r="H395" s="6">
        <f t="shared" si="12"/>
        <v>23.183597728854242</v>
      </c>
      <c r="I395" s="3" t="s">
        <v>1153</v>
      </c>
      <c r="J395" s="6" t="str">
        <f t="shared" si="13"/>
        <v>http://konect.cc/files/download.tsv.pics_ut.tar.bz2</v>
      </c>
      <c r="L395" s="5"/>
    </row>
    <row r="396" spans="3:12" x14ac:dyDescent="0.3">
      <c r="C396" s="6" t="s">
        <v>3302</v>
      </c>
      <c r="D396" s="3" t="s">
        <v>3303</v>
      </c>
      <c r="E396" s="6" t="s">
        <v>38</v>
      </c>
      <c r="F396" s="7">
        <v>99143</v>
      </c>
      <c r="G396" s="7">
        <v>714594</v>
      </c>
      <c r="H396" s="6">
        <f t="shared" si="12"/>
        <v>7.2077100753457124</v>
      </c>
      <c r="I396" s="3" t="s">
        <v>1111</v>
      </c>
      <c r="J396" s="6" t="str">
        <f t="shared" si="13"/>
        <v>http://konect.cc/files/download.tsv.edit-knwiki.tar.bz2</v>
      </c>
      <c r="L396" s="5"/>
    </row>
    <row r="397" spans="3:12" x14ac:dyDescent="0.3">
      <c r="C397" s="6" t="s">
        <v>2803</v>
      </c>
      <c r="D397" s="3" t="s">
        <v>2804</v>
      </c>
      <c r="E397" s="6" t="s">
        <v>38</v>
      </c>
      <c r="F397" s="7">
        <v>98234</v>
      </c>
      <c r="G397" s="7">
        <v>229396</v>
      </c>
      <c r="H397" s="6">
        <f t="shared" si="12"/>
        <v>2.3351996253842864</v>
      </c>
      <c r="I397" s="3" t="s">
        <v>963</v>
      </c>
      <c r="J397" s="6" t="str">
        <f t="shared" si="13"/>
        <v>http://konect.cc/files/download.tsv.edit-ptwikisource.tar.bz2</v>
      </c>
      <c r="L397" s="5"/>
    </row>
    <row r="398" spans="3:12" x14ac:dyDescent="0.3">
      <c r="C398" s="6" t="s">
        <v>3413</v>
      </c>
      <c r="D398" s="3" t="s">
        <v>3414</v>
      </c>
      <c r="E398" s="6" t="s">
        <v>33</v>
      </c>
      <c r="F398" s="7">
        <v>97940</v>
      </c>
      <c r="G398" s="7">
        <v>2491433</v>
      </c>
      <c r="H398" s="6">
        <f t="shared" si="12"/>
        <v>25.438360220543188</v>
      </c>
      <c r="I398" s="3" t="s">
        <v>1175</v>
      </c>
      <c r="J398" s="6" t="str">
        <f t="shared" si="13"/>
        <v>http://konect.cc/files/download.tsv.wikipedia_link_sq.tar.bz2</v>
      </c>
      <c r="L398" s="5"/>
    </row>
    <row r="399" spans="3:12" x14ac:dyDescent="0.3">
      <c r="C399" s="6" t="s">
        <v>3242</v>
      </c>
      <c r="D399" s="3" t="s">
        <v>3243</v>
      </c>
      <c r="E399" s="6" t="s">
        <v>38</v>
      </c>
      <c r="F399" s="7">
        <v>97909</v>
      </c>
      <c r="G399" s="7">
        <v>610765</v>
      </c>
      <c r="H399" s="6">
        <f t="shared" si="12"/>
        <v>6.2380884290514658</v>
      </c>
      <c r="I399" s="3" t="s">
        <v>1082</v>
      </c>
      <c r="J399" s="6" t="str">
        <f t="shared" si="13"/>
        <v>http://konect.cc/files/download.tsv.edit-arwiktionary.tar.bz2</v>
      </c>
      <c r="L399" s="5"/>
    </row>
    <row r="400" spans="3:12" x14ac:dyDescent="0.3">
      <c r="C400" s="6" t="s">
        <v>3266</v>
      </c>
      <c r="D400" s="3" t="s">
        <v>3267</v>
      </c>
      <c r="E400" s="6" t="s">
        <v>38</v>
      </c>
      <c r="F400" s="7">
        <v>96949</v>
      </c>
      <c r="G400" s="7">
        <v>691256</v>
      </c>
      <c r="H400" s="6">
        <f t="shared" si="12"/>
        <v>7.1300993305758702</v>
      </c>
      <c r="I400" s="3" t="s">
        <v>1095</v>
      </c>
      <c r="J400" s="6" t="str">
        <f t="shared" si="13"/>
        <v>http://konect.cc/files/download.tsv.edit-lmowiki.tar.bz2</v>
      </c>
      <c r="L400" s="5"/>
    </row>
    <row r="401" spans="3:12" x14ac:dyDescent="0.3">
      <c r="C401" s="6" t="s">
        <v>3782</v>
      </c>
      <c r="D401" s="3" t="s">
        <v>107</v>
      </c>
      <c r="E401" s="6" t="s">
        <v>33</v>
      </c>
      <c r="F401" s="7">
        <v>96228</v>
      </c>
      <c r="G401" s="7">
        <v>23312547</v>
      </c>
      <c r="H401" s="6">
        <f t="shared" si="12"/>
        <v>242.26365506921061</v>
      </c>
      <c r="I401" s="3" t="s">
        <v>1380</v>
      </c>
      <c r="J401" s="6" t="str">
        <f t="shared" si="13"/>
        <v>http://konect.cc/files/download.tsv.wikipedia_link_oc.tar.bz2</v>
      </c>
      <c r="L401" s="5"/>
    </row>
    <row r="402" spans="3:12" x14ac:dyDescent="0.3">
      <c r="C402" s="6" t="s">
        <v>2544</v>
      </c>
      <c r="D402" s="3" t="s">
        <v>3217</v>
      </c>
      <c r="E402" s="6" t="s">
        <v>38</v>
      </c>
      <c r="F402" s="7">
        <v>94087</v>
      </c>
      <c r="G402" s="7">
        <v>576801</v>
      </c>
      <c r="H402" s="6">
        <f t="shared" si="12"/>
        <v>6.1305068712999669</v>
      </c>
      <c r="I402" s="3" t="s">
        <v>1069</v>
      </c>
      <c r="J402" s="6" t="str">
        <f t="shared" si="13"/>
        <v>http://konect.cc/files/download.tsv.edit-barwiki.tar.bz2</v>
      </c>
      <c r="L402" s="5"/>
    </row>
    <row r="403" spans="3:12" x14ac:dyDescent="0.3">
      <c r="C403" s="6" t="s">
        <v>3345</v>
      </c>
      <c r="D403" s="3" t="s">
        <v>3346</v>
      </c>
      <c r="E403" s="6" t="s">
        <v>33</v>
      </c>
      <c r="F403" s="7">
        <v>93638</v>
      </c>
      <c r="G403" s="7">
        <v>1886320</v>
      </c>
      <c r="H403" s="6">
        <f t="shared" si="12"/>
        <v>20.144813003267902</v>
      </c>
      <c r="I403" s="3" t="s">
        <v>1136</v>
      </c>
      <c r="J403" s="6" t="str">
        <f t="shared" si="13"/>
        <v>http://konect.cc/files/download.tsv.wikipedia_link_mr.tar.bz2</v>
      </c>
      <c r="L403" s="5"/>
    </row>
    <row r="404" spans="3:12" x14ac:dyDescent="0.3">
      <c r="C404" s="6" t="s">
        <v>3444</v>
      </c>
      <c r="D404" s="3" t="s">
        <v>3445</v>
      </c>
      <c r="E404" s="6" t="s">
        <v>33</v>
      </c>
      <c r="F404" s="7">
        <v>93596</v>
      </c>
      <c r="G404" s="7">
        <v>2930023</v>
      </c>
      <c r="H404" s="6">
        <f t="shared" si="12"/>
        <v>31.305002350527801</v>
      </c>
      <c r="I404" s="3" t="s">
        <v>1189</v>
      </c>
      <c r="J404" s="6" t="str">
        <f t="shared" si="13"/>
        <v>http://konect.cc/files/download.tsv.wikipedia_link_te.tar.bz2</v>
      </c>
      <c r="L404" s="5"/>
    </row>
    <row r="405" spans="3:12" x14ac:dyDescent="0.3">
      <c r="C405" s="6" t="s">
        <v>2231</v>
      </c>
      <c r="D405" s="3" t="s">
        <v>2232</v>
      </c>
      <c r="E405" s="6" t="s">
        <v>38</v>
      </c>
      <c r="F405" s="7">
        <v>92795</v>
      </c>
      <c r="G405" s="7">
        <v>303097</v>
      </c>
      <c r="H405" s="6">
        <f t="shared" si="12"/>
        <v>3.2663074519101243</v>
      </c>
      <c r="I405" s="3" t="s">
        <v>990</v>
      </c>
      <c r="J405" s="6" t="str">
        <f t="shared" si="13"/>
        <v>http://konect.cc/files/download.tsv.edit-svwikisource.tar.bz2</v>
      </c>
      <c r="L405" s="5"/>
    </row>
    <row r="406" spans="3:12" x14ac:dyDescent="0.3">
      <c r="C406" s="6" t="s">
        <v>2268</v>
      </c>
      <c r="D406" s="3" t="s">
        <v>3338</v>
      </c>
      <c r="E406" s="6" t="s">
        <v>2245</v>
      </c>
      <c r="F406" s="7">
        <v>92652</v>
      </c>
      <c r="G406" s="7">
        <v>1625480</v>
      </c>
      <c r="H406" s="6">
        <f t="shared" si="12"/>
        <v>17.54392781591331</v>
      </c>
      <c r="I406" s="3" t="s">
        <v>1132</v>
      </c>
      <c r="J406" s="6" t="str">
        <f t="shared" si="13"/>
        <v>http://konect.cc/files/download.tsv.librec-ciaodvd-review_ratings.tar.bz2</v>
      </c>
      <c r="L406" s="5"/>
    </row>
    <row r="407" spans="3:12" x14ac:dyDescent="0.3">
      <c r="C407" s="6" t="s">
        <v>3564</v>
      </c>
      <c r="D407" s="3" t="s">
        <v>3565</v>
      </c>
      <c r="E407" s="6" t="s">
        <v>42</v>
      </c>
      <c r="F407" s="7">
        <v>91340</v>
      </c>
      <c r="G407" s="7">
        <v>2435731</v>
      </c>
      <c r="H407" s="6">
        <f t="shared" si="12"/>
        <v>26.666641121086052</v>
      </c>
      <c r="I407" s="3" t="s">
        <v>1255</v>
      </c>
      <c r="J407" s="6" t="str">
        <f t="shared" si="13"/>
        <v>http://konect.cc/files/download.tsv.wikipedia-discussions-de.tar.bz2</v>
      </c>
      <c r="L407" s="5"/>
    </row>
    <row r="408" spans="3:12" x14ac:dyDescent="0.3">
      <c r="C408" s="6" t="s">
        <v>3209</v>
      </c>
      <c r="D408" s="3" t="s">
        <v>3210</v>
      </c>
      <c r="E408" s="6" t="s">
        <v>38</v>
      </c>
      <c r="F408" s="7">
        <v>90238</v>
      </c>
      <c r="G408" s="7">
        <v>542716</v>
      </c>
      <c r="H408" s="6">
        <f t="shared" si="12"/>
        <v>6.0142733659877212</v>
      </c>
      <c r="I408" s="3" t="s">
        <v>1065</v>
      </c>
      <c r="J408" s="6" t="str">
        <f t="shared" si="13"/>
        <v>http://konect.cc/files/download.tsv.edit-newiki.tar.bz2</v>
      </c>
      <c r="L408" s="5"/>
    </row>
    <row r="409" spans="3:12" x14ac:dyDescent="0.3">
      <c r="C409" s="6" t="s">
        <v>3351</v>
      </c>
      <c r="D409" s="3" t="s">
        <v>3352</v>
      </c>
      <c r="E409" s="6" t="s">
        <v>38</v>
      </c>
      <c r="F409" s="7">
        <v>90112</v>
      </c>
      <c r="G409" s="7">
        <v>973846</v>
      </c>
      <c r="H409" s="6">
        <f t="shared" si="12"/>
        <v>10.807062322443182</v>
      </c>
      <c r="I409" s="3" t="s">
        <v>1139</v>
      </c>
      <c r="J409" s="6" t="str">
        <f t="shared" si="13"/>
        <v>http://konect.cc/files/download.tsv.edit-swwiki.tar.bz2</v>
      </c>
      <c r="L409" s="5"/>
    </row>
    <row r="410" spans="3:12" x14ac:dyDescent="0.3">
      <c r="C410" s="6" t="s">
        <v>3104</v>
      </c>
      <c r="D410" s="3" t="s">
        <v>3105</v>
      </c>
      <c r="E410" s="6" t="s">
        <v>38</v>
      </c>
      <c r="F410" s="7">
        <v>90005</v>
      </c>
      <c r="G410" s="7">
        <v>359766</v>
      </c>
      <c r="H410" s="6">
        <f t="shared" si="12"/>
        <v>3.9971779345591911</v>
      </c>
      <c r="I410" s="3" t="s">
        <v>1010</v>
      </c>
      <c r="J410" s="6" t="str">
        <f t="shared" si="13"/>
        <v>http://konect.cc/files/download.tsv.edit-pawiki.tar.bz2</v>
      </c>
      <c r="L410" s="5"/>
    </row>
    <row r="411" spans="3:12" x14ac:dyDescent="0.3">
      <c r="C411" s="6" t="s">
        <v>3022</v>
      </c>
      <c r="D411" s="3" t="s">
        <v>3023</v>
      </c>
      <c r="E411" s="6" t="s">
        <v>38</v>
      </c>
      <c r="F411" s="7">
        <v>89898</v>
      </c>
      <c r="G411" s="7">
        <v>239048</v>
      </c>
      <c r="H411" s="6">
        <f t="shared" si="12"/>
        <v>2.6591025384324456</v>
      </c>
      <c r="I411" s="3" t="s">
        <v>970</v>
      </c>
      <c r="J411" s="6" t="str">
        <f t="shared" si="13"/>
        <v>http://konect.cc/files/download.tsv.edit-kywiki.tar.bz2</v>
      </c>
      <c r="L411" s="5"/>
    </row>
    <row r="412" spans="3:12" x14ac:dyDescent="0.3">
      <c r="C412" s="6" t="s">
        <v>3659</v>
      </c>
      <c r="D412" s="3" t="s">
        <v>3660</v>
      </c>
      <c r="E412" s="6" t="s">
        <v>2555</v>
      </c>
      <c r="F412" s="7">
        <v>89269</v>
      </c>
      <c r="G412" s="7">
        <v>3394979</v>
      </c>
      <c r="H412" s="6">
        <f t="shared" si="12"/>
        <v>38.030884181518779</v>
      </c>
      <c r="I412" s="3" t="s">
        <v>1302</v>
      </c>
      <c r="J412" s="6" t="str">
        <f t="shared" si="13"/>
        <v>http://konect.cc/files/download.tsv.prosper-loans.tar.bz2</v>
      </c>
      <c r="L412" s="5"/>
    </row>
    <row r="413" spans="3:12" x14ac:dyDescent="0.3">
      <c r="C413" s="6" t="s">
        <v>3399</v>
      </c>
      <c r="D413" s="3" t="s">
        <v>1522</v>
      </c>
      <c r="E413" s="6" t="s">
        <v>145</v>
      </c>
      <c r="F413" s="7">
        <v>87273</v>
      </c>
      <c r="G413" s="7">
        <v>1148072</v>
      </c>
      <c r="H413" s="6">
        <f t="shared" si="12"/>
        <v>13.154950557446174</v>
      </c>
      <c r="I413" s="3" t="s">
        <v>1166</v>
      </c>
      <c r="J413" s="6" t="str">
        <f t="shared" si="13"/>
        <v>http://konect.cc/files/download.tsv.enron.tar.bz2</v>
      </c>
      <c r="L413" s="5"/>
    </row>
    <row r="414" spans="3:12" x14ac:dyDescent="0.3">
      <c r="C414" s="6" t="s">
        <v>3397</v>
      </c>
      <c r="D414" s="3" t="s">
        <v>3398</v>
      </c>
      <c r="E414" s="6" t="s">
        <v>118</v>
      </c>
      <c r="F414" s="7">
        <v>87273</v>
      </c>
      <c r="G414" s="7">
        <v>1147126</v>
      </c>
      <c r="H414" s="6">
        <f t="shared" si="12"/>
        <v>13.144111007986433</v>
      </c>
      <c r="I414" s="3" t="s">
        <v>3888</v>
      </c>
      <c r="J414" s="6" t="str">
        <f t="shared" si="13"/>
        <v>http://konect.cc/files/download.tsv.enron-rm.tar.bz2</v>
      </c>
      <c r="L414" s="5"/>
    </row>
    <row r="415" spans="3:12" x14ac:dyDescent="0.3">
      <c r="C415" s="6" t="s">
        <v>3415</v>
      </c>
      <c r="D415" s="3" t="s">
        <v>3416</v>
      </c>
      <c r="E415" s="6" t="s">
        <v>33</v>
      </c>
      <c r="F415" s="7">
        <v>87179</v>
      </c>
      <c r="G415" s="7">
        <v>2549700</v>
      </c>
      <c r="H415" s="6">
        <f t="shared" si="12"/>
        <v>29.246722261094988</v>
      </c>
      <c r="I415" s="3" t="s">
        <v>1176</v>
      </c>
      <c r="J415" s="6" t="str">
        <f t="shared" si="13"/>
        <v>http://konect.cc/files/download.tsv.wikipedia_link_be_x_old.tar.bz2</v>
      </c>
      <c r="L415" s="5"/>
    </row>
    <row r="416" spans="3:12" x14ac:dyDescent="0.3">
      <c r="C416" s="6" t="s">
        <v>3145</v>
      </c>
      <c r="D416" s="3" t="s">
        <v>3146</v>
      </c>
      <c r="E416" s="6" t="s">
        <v>33</v>
      </c>
      <c r="F416" s="7">
        <v>85076</v>
      </c>
      <c r="G416" s="7">
        <v>861498</v>
      </c>
      <c r="H416" s="6">
        <f t="shared" si="12"/>
        <v>10.126216559311674</v>
      </c>
      <c r="I416" s="3" t="s">
        <v>1031</v>
      </c>
      <c r="J416" s="6" t="str">
        <f t="shared" si="13"/>
        <v>http://konect.cc/files/download.tsv.wikipedia_link_ky.tar.bz2</v>
      </c>
      <c r="L416" s="5"/>
    </row>
    <row r="417" spans="3:12" x14ac:dyDescent="0.3">
      <c r="C417" s="6" t="s">
        <v>2819</v>
      </c>
      <c r="D417" s="3" t="s">
        <v>2820</v>
      </c>
      <c r="E417" s="6" t="s">
        <v>145</v>
      </c>
      <c r="F417" s="7">
        <v>83803</v>
      </c>
      <c r="G417" s="7">
        <v>122078</v>
      </c>
      <c r="H417" s="6">
        <f t="shared" si="12"/>
        <v>1.4567258928677971</v>
      </c>
      <c r="I417" s="3" t="s">
        <v>857</v>
      </c>
      <c r="J417" s="6" t="str">
        <f t="shared" si="13"/>
        <v>http://konect.cc/files/download.tsv.wiki_talk_bn.tar.bz2</v>
      </c>
      <c r="L417" s="5"/>
    </row>
    <row r="418" spans="3:12" x14ac:dyDescent="0.3">
      <c r="C418" s="6" t="s">
        <v>3313</v>
      </c>
      <c r="D418" s="3" t="s">
        <v>3314</v>
      </c>
      <c r="E418" s="6" t="s">
        <v>33</v>
      </c>
      <c r="F418" s="7">
        <v>83392</v>
      </c>
      <c r="G418" s="7">
        <v>1553757</v>
      </c>
      <c r="H418" s="6">
        <f t="shared" si="12"/>
        <v>18.631967095165002</v>
      </c>
      <c r="I418" s="3" t="s">
        <v>1119</v>
      </c>
      <c r="J418" s="6" t="str">
        <f t="shared" si="13"/>
        <v>http://konect.cc/files/download.tsv.wikipedia_link_br.tar.bz2</v>
      </c>
      <c r="L418" s="5"/>
    </row>
    <row r="419" spans="3:12" x14ac:dyDescent="0.3">
      <c r="C419" s="6" t="s">
        <v>3377</v>
      </c>
      <c r="D419" s="3" t="s">
        <v>3378</v>
      </c>
      <c r="E419" s="6" t="s">
        <v>33</v>
      </c>
      <c r="F419" s="7">
        <v>83330</v>
      </c>
      <c r="G419" s="7">
        <v>2095962</v>
      </c>
      <c r="H419" s="6">
        <f t="shared" si="12"/>
        <v>25.152550102004081</v>
      </c>
      <c r="I419" s="3" t="s">
        <v>1154</v>
      </c>
      <c r="J419" s="6" t="str">
        <f t="shared" si="13"/>
        <v>http://konect.cc/files/download.tsv.wikipedia_link_ast.tar.bz2</v>
      </c>
      <c r="L419" s="5"/>
    </row>
    <row r="420" spans="3:12" x14ac:dyDescent="0.3">
      <c r="C420" s="6" t="s">
        <v>3141</v>
      </c>
      <c r="D420" s="3" t="s">
        <v>3142</v>
      </c>
      <c r="E420" s="6" t="s">
        <v>38</v>
      </c>
      <c r="F420" s="7">
        <v>82453</v>
      </c>
      <c r="G420" s="7">
        <v>422143</v>
      </c>
      <c r="H420" s="6">
        <f t="shared" si="12"/>
        <v>5.1198015839326647</v>
      </c>
      <c r="I420" s="3" t="s">
        <v>1029</v>
      </c>
      <c r="J420" s="6" t="str">
        <f t="shared" si="13"/>
        <v>http://konect.cc/files/download.tsv.edit-dewikiversity.tar.bz2</v>
      </c>
      <c r="L420" s="5"/>
    </row>
    <row r="421" spans="3:12" x14ac:dyDescent="0.3">
      <c r="C421" s="6" t="s">
        <v>3364</v>
      </c>
      <c r="D421" s="3" t="s">
        <v>3365</v>
      </c>
      <c r="E421" s="6" t="s">
        <v>38</v>
      </c>
      <c r="F421" s="7">
        <v>81704</v>
      </c>
      <c r="G421" s="7">
        <v>994558</v>
      </c>
      <c r="H421" s="6">
        <f t="shared" si="12"/>
        <v>12.172696563203759</v>
      </c>
      <c r="I421" s="3" t="s">
        <v>1146</v>
      </c>
      <c r="J421" s="6" t="str">
        <f t="shared" si="13"/>
        <v>http://konect.cc/files/download.tsv.edit-astwiki.tar.bz2</v>
      </c>
      <c r="L421" s="5"/>
    </row>
    <row r="422" spans="3:12" x14ac:dyDescent="0.3">
      <c r="C422" s="6" t="s">
        <v>3771</v>
      </c>
      <c r="D422" s="3" t="s">
        <v>93</v>
      </c>
      <c r="E422" s="6" t="s">
        <v>56</v>
      </c>
      <c r="F422" s="7">
        <v>80555</v>
      </c>
      <c r="G422" s="7">
        <v>10000054</v>
      </c>
      <c r="H422" s="6">
        <f t="shared" si="12"/>
        <v>124.13945751350009</v>
      </c>
      <c r="I422" s="3" t="s">
        <v>1369</v>
      </c>
      <c r="J422" s="6" t="str">
        <f t="shared" si="13"/>
        <v>http://konect.cc/files/download.tsv.movielens-10m_rating.tar.bz2</v>
      </c>
      <c r="L422" s="5"/>
    </row>
    <row r="423" spans="3:12" x14ac:dyDescent="0.3">
      <c r="C423" s="6" t="s">
        <v>3098</v>
      </c>
      <c r="D423" s="3" t="s">
        <v>3099</v>
      </c>
      <c r="E423" s="6" t="s">
        <v>145</v>
      </c>
      <c r="F423" s="7">
        <v>79736</v>
      </c>
      <c r="G423" s="7">
        <v>351610</v>
      </c>
      <c r="H423" s="6">
        <f t="shared" si="12"/>
        <v>4.4096769338818103</v>
      </c>
      <c r="I423" s="3" t="s">
        <v>1007</v>
      </c>
      <c r="J423" s="6" t="str">
        <f t="shared" si="13"/>
        <v>http://konect.cc/files/download.tsv.wiki_talk_ca.tar.bz2</v>
      </c>
      <c r="L423" s="5"/>
    </row>
    <row r="424" spans="3:12" x14ac:dyDescent="0.3">
      <c r="C424" s="6" t="s">
        <v>3151</v>
      </c>
      <c r="D424" s="3" t="s">
        <v>3152</v>
      </c>
      <c r="E424" s="6" t="s">
        <v>38</v>
      </c>
      <c r="F424" s="7">
        <v>79543</v>
      </c>
      <c r="G424" s="7">
        <v>443632</v>
      </c>
      <c r="H424" s="6">
        <f t="shared" si="12"/>
        <v>5.577260098311605</v>
      </c>
      <c r="I424" s="3" t="s">
        <v>1034</v>
      </c>
      <c r="J424" s="6" t="str">
        <f t="shared" si="13"/>
        <v>http://konect.cc/files/download.tsv.edit-guwiki.tar.bz2</v>
      </c>
      <c r="L424" s="5"/>
    </row>
    <row r="425" spans="3:12" x14ac:dyDescent="0.3">
      <c r="C425" s="6" t="s">
        <v>3100</v>
      </c>
      <c r="D425" s="3" t="s">
        <v>3101</v>
      </c>
      <c r="E425" s="6" t="s">
        <v>38</v>
      </c>
      <c r="F425" s="7">
        <v>79341</v>
      </c>
      <c r="G425" s="7">
        <v>355008</v>
      </c>
      <c r="H425" s="6">
        <f t="shared" si="12"/>
        <v>4.4744583506635918</v>
      </c>
      <c r="I425" s="3" t="s">
        <v>1008</v>
      </c>
      <c r="J425" s="6" t="str">
        <f t="shared" si="13"/>
        <v>http://konect.cc/files/download.tsv.edit-ptwikibooks.tar.bz2</v>
      </c>
      <c r="L425" s="5"/>
    </row>
    <row r="426" spans="3:12" x14ac:dyDescent="0.3">
      <c r="C426" s="6" t="s">
        <v>3083</v>
      </c>
      <c r="D426" s="3" t="s">
        <v>3084</v>
      </c>
      <c r="E426" s="6" t="s">
        <v>3085</v>
      </c>
      <c r="F426" s="7">
        <v>79120</v>
      </c>
      <c r="G426" s="7">
        <v>515397</v>
      </c>
      <c r="H426" s="6">
        <f t="shared" si="12"/>
        <v>6.5141177957532861</v>
      </c>
      <c r="I426" s="3" t="s">
        <v>1001</v>
      </c>
      <c r="J426" s="6" t="str">
        <f t="shared" si="13"/>
        <v>http://konect.cc/files/download.tsv.slashdot-zoo.tar.bz2</v>
      </c>
      <c r="L426" s="5"/>
    </row>
    <row r="427" spans="3:12" x14ac:dyDescent="0.3">
      <c r="C427" s="6" t="s">
        <v>3201</v>
      </c>
      <c r="D427" s="3" t="s">
        <v>3202</v>
      </c>
      <c r="E427" s="6" t="s">
        <v>38</v>
      </c>
      <c r="F427" s="7">
        <v>77233</v>
      </c>
      <c r="G427" s="7">
        <v>528120</v>
      </c>
      <c r="H427" s="6">
        <f t="shared" si="12"/>
        <v>6.8380096590835526</v>
      </c>
      <c r="I427" s="3" t="s">
        <v>1061</v>
      </c>
      <c r="J427" s="6" t="str">
        <f t="shared" si="13"/>
        <v>http://konect.cc/files/download.tsv.edit-dewikibooks.tar.bz2</v>
      </c>
      <c r="L427" s="5"/>
    </row>
    <row r="428" spans="3:12" x14ac:dyDescent="0.3">
      <c r="C428" s="6" t="s">
        <v>3327</v>
      </c>
      <c r="D428" s="3" t="s">
        <v>3328</v>
      </c>
      <c r="E428" s="6" t="s">
        <v>38</v>
      </c>
      <c r="F428" s="7">
        <v>77084</v>
      </c>
      <c r="G428" s="7">
        <v>874884</v>
      </c>
      <c r="H428" s="6">
        <f t="shared" si="12"/>
        <v>11.34974832650096</v>
      </c>
      <c r="I428" s="3" t="s">
        <v>1126</v>
      </c>
      <c r="J428" s="6" t="str">
        <f t="shared" si="13"/>
        <v>http://konect.cc/files/download.tsv.edit-dewikivoyage.tar.bz2</v>
      </c>
      <c r="L428" s="5"/>
    </row>
    <row r="429" spans="3:12" x14ac:dyDescent="0.3">
      <c r="C429" s="6" t="s">
        <v>3015</v>
      </c>
      <c r="D429" s="3" t="s">
        <v>77</v>
      </c>
      <c r="E429" s="6" t="s">
        <v>98</v>
      </c>
      <c r="F429" s="7">
        <v>75879</v>
      </c>
      <c r="G429" s="7">
        <v>508837</v>
      </c>
      <c r="H429" s="6">
        <f t="shared" si="12"/>
        <v>6.7059001831863885</v>
      </c>
      <c r="I429" s="3" t="s">
        <v>966</v>
      </c>
      <c r="J429" s="6" t="str">
        <f t="shared" si="13"/>
        <v>http://konect.cc/files/download.tsv.soc-Epinions1.tar.bz2</v>
      </c>
      <c r="L429" s="5"/>
    </row>
    <row r="430" spans="3:12" x14ac:dyDescent="0.3">
      <c r="C430" s="6" t="s">
        <v>3419</v>
      </c>
      <c r="D430" s="3" t="s">
        <v>3420</v>
      </c>
      <c r="E430" s="6" t="s">
        <v>3421</v>
      </c>
      <c r="F430" s="7">
        <v>75360</v>
      </c>
      <c r="G430" s="7">
        <v>1266753</v>
      </c>
      <c r="H430" s="6">
        <f t="shared" si="12"/>
        <v>16.809355095541402</v>
      </c>
      <c r="I430" s="3" t="s">
        <v>3889</v>
      </c>
      <c r="J430" s="6" t="str">
        <f t="shared" si="13"/>
        <v>http://konect.cc/files/download.tsv.filmtipset_comment.tar.bz2</v>
      </c>
      <c r="L430" s="5"/>
    </row>
    <row r="431" spans="3:12" x14ac:dyDescent="0.3">
      <c r="C431" s="6" t="s">
        <v>3289</v>
      </c>
      <c r="D431" s="3" t="s">
        <v>3290</v>
      </c>
      <c r="E431" s="6" t="s">
        <v>38</v>
      </c>
      <c r="F431" s="7">
        <v>75201</v>
      </c>
      <c r="G431" s="7">
        <v>736112</v>
      </c>
      <c r="H431" s="6">
        <f t="shared" si="12"/>
        <v>9.7885932367920638</v>
      </c>
      <c r="I431" s="3" t="s">
        <v>1106</v>
      </c>
      <c r="J431" s="6" t="str">
        <f t="shared" si="13"/>
        <v>http://konect.cc/files/download.tsv.edit-ndswiki.tar.bz2</v>
      </c>
      <c r="L431" s="5"/>
    </row>
    <row r="432" spans="3:12" x14ac:dyDescent="0.3">
      <c r="C432" s="6" t="s">
        <v>3026</v>
      </c>
      <c r="D432" s="3" t="s">
        <v>3027</v>
      </c>
      <c r="E432" s="6" t="s">
        <v>38</v>
      </c>
      <c r="F432" s="7">
        <v>74548</v>
      </c>
      <c r="G432" s="7">
        <v>249971</v>
      </c>
      <c r="H432" s="6">
        <f t="shared" si="12"/>
        <v>3.3531550142190265</v>
      </c>
      <c r="I432" s="3" t="s">
        <v>972</v>
      </c>
      <c r="J432" s="6" t="str">
        <f t="shared" si="13"/>
        <v>http://konect.cc/files/download.tsv.edit-zh_classicalwiki.tar.bz2</v>
      </c>
      <c r="L432" s="5"/>
    </row>
    <row r="433" spans="3:12" x14ac:dyDescent="0.3">
      <c r="C433" s="6" t="s">
        <v>3096</v>
      </c>
      <c r="D433" s="3" t="s">
        <v>3097</v>
      </c>
      <c r="E433" s="6" t="s">
        <v>38</v>
      </c>
      <c r="F433" s="7">
        <v>74452</v>
      </c>
      <c r="G433" s="7">
        <v>344419</v>
      </c>
      <c r="H433" s="6">
        <f t="shared" si="12"/>
        <v>4.6260543706011923</v>
      </c>
      <c r="I433" s="3" t="s">
        <v>1006</v>
      </c>
      <c r="J433" s="6" t="str">
        <f t="shared" si="13"/>
        <v>http://konect.cc/files/download.tsv.edit-mywiki.tar.bz2</v>
      </c>
      <c r="L433" s="5"/>
    </row>
    <row r="434" spans="3:12" x14ac:dyDescent="0.3">
      <c r="C434" s="6" t="s">
        <v>3581</v>
      </c>
      <c r="D434" s="3" t="s">
        <v>3582</v>
      </c>
      <c r="E434" s="6" t="s">
        <v>3058</v>
      </c>
      <c r="F434" s="7">
        <v>73521</v>
      </c>
      <c r="G434" s="7">
        <v>4136360</v>
      </c>
      <c r="H434" s="6">
        <f t="shared" si="12"/>
        <v>56.260932250649475</v>
      </c>
      <c r="I434" s="3" t="s">
        <v>1265</v>
      </c>
      <c r="J434" s="6" t="str">
        <f t="shared" si="13"/>
        <v>http://konect.cc/files/download.tsv.jester1.tar.bz2</v>
      </c>
      <c r="L434" s="5"/>
    </row>
    <row r="435" spans="3:12" x14ac:dyDescent="0.3">
      <c r="C435" s="6" t="s">
        <v>3357</v>
      </c>
      <c r="D435" s="3" t="s">
        <v>3358</v>
      </c>
      <c r="E435" s="6" t="s">
        <v>33</v>
      </c>
      <c r="F435" s="7">
        <v>72453</v>
      </c>
      <c r="G435" s="7">
        <v>1831665</v>
      </c>
      <c r="H435" s="6">
        <f t="shared" si="12"/>
        <v>25.280733717030351</v>
      </c>
      <c r="I435" s="3" t="s">
        <v>1142</v>
      </c>
      <c r="J435" s="6" t="str">
        <f t="shared" si="13"/>
        <v>http://konect.cc/files/download.tsv.wikipedia_link_jv.tar.bz2</v>
      </c>
      <c r="L435" s="5"/>
    </row>
    <row r="436" spans="3:12" x14ac:dyDescent="0.3">
      <c r="C436" s="6" t="s">
        <v>3369</v>
      </c>
      <c r="D436" s="3" t="s">
        <v>3370</v>
      </c>
      <c r="E436" s="6" t="s">
        <v>33</v>
      </c>
      <c r="F436" s="7">
        <v>72290</v>
      </c>
      <c r="G436" s="7">
        <v>2019724</v>
      </c>
      <c r="H436" s="6">
        <f t="shared" si="12"/>
        <v>27.939189376123945</v>
      </c>
      <c r="I436" s="3" t="s">
        <v>1150</v>
      </c>
      <c r="J436" s="6" t="str">
        <f t="shared" si="13"/>
        <v>http://konect.cc/files/download.tsv.wikipedia_link_af.tar.bz2</v>
      </c>
      <c r="L436" s="5"/>
    </row>
    <row r="437" spans="3:12" x14ac:dyDescent="0.3">
      <c r="C437" s="6" t="s">
        <v>2762</v>
      </c>
      <c r="D437" s="3" t="s">
        <v>2763</v>
      </c>
      <c r="E437" s="6" t="s">
        <v>38</v>
      </c>
      <c r="F437" s="7">
        <v>72179</v>
      </c>
      <c r="G437" s="7">
        <v>102036</v>
      </c>
      <c r="H437" s="6">
        <f t="shared" si="12"/>
        <v>1.4136521702988405</v>
      </c>
      <c r="I437" s="3" t="s">
        <v>825</v>
      </c>
      <c r="J437" s="6" t="str">
        <f t="shared" si="13"/>
        <v>http://konect.cc/files/download.tsv.edit-jvwiktionary.tar.bz2</v>
      </c>
      <c r="L437" s="5"/>
    </row>
    <row r="438" spans="3:12" x14ac:dyDescent="0.3">
      <c r="C438" s="6" t="s">
        <v>3306</v>
      </c>
      <c r="D438" s="3" t="s">
        <v>3307</v>
      </c>
      <c r="E438" s="6" t="s">
        <v>38</v>
      </c>
      <c r="F438" s="7">
        <v>71677</v>
      </c>
      <c r="G438" s="7">
        <v>789085</v>
      </c>
      <c r="H438" s="6">
        <f t="shared" si="12"/>
        <v>11.008901042175314</v>
      </c>
      <c r="I438" s="3" t="s">
        <v>1114</v>
      </c>
      <c r="J438" s="6" t="str">
        <f t="shared" si="13"/>
        <v>http://konect.cc/files/download.tsv.edit-gawiki.tar.bz2</v>
      </c>
      <c r="L438" s="5"/>
    </row>
    <row r="439" spans="3:12" x14ac:dyDescent="0.3">
      <c r="C439" s="6" t="s">
        <v>3226</v>
      </c>
      <c r="D439" s="3" t="s">
        <v>3227</v>
      </c>
      <c r="E439" s="6" t="s">
        <v>38</v>
      </c>
      <c r="F439" s="7">
        <v>70003</v>
      </c>
      <c r="G439" s="7">
        <v>591878</v>
      </c>
      <c r="H439" s="6">
        <f t="shared" si="12"/>
        <v>8.4550376412439459</v>
      </c>
      <c r="I439" s="3" t="s">
        <v>1074</v>
      </c>
      <c r="J439" s="6" t="str">
        <f t="shared" si="13"/>
        <v>http://konect.cc/files/download.tsv.edit-cvwiki.tar.bz2</v>
      </c>
      <c r="L439" s="5"/>
    </row>
    <row r="440" spans="3:12" x14ac:dyDescent="0.3">
      <c r="C440" s="6" t="s">
        <v>3215</v>
      </c>
      <c r="D440" s="3" t="s">
        <v>3216</v>
      </c>
      <c r="E440" s="6" t="s">
        <v>33</v>
      </c>
      <c r="F440" s="7">
        <v>69381</v>
      </c>
      <c r="G440" s="7">
        <v>1169291</v>
      </c>
      <c r="H440" s="6">
        <f t="shared" si="12"/>
        <v>16.853187472074488</v>
      </c>
      <c r="I440" s="3" t="s">
        <v>1068</v>
      </c>
      <c r="J440" s="6" t="str">
        <f t="shared" si="13"/>
        <v>http://konect.cc/files/download.tsv.wikipedia_link_is.tar.bz2</v>
      </c>
      <c r="L440" s="5"/>
    </row>
    <row r="441" spans="3:12" x14ac:dyDescent="0.3">
      <c r="C441" s="6" t="s">
        <v>3183</v>
      </c>
      <c r="D441" s="3" t="s">
        <v>3184</v>
      </c>
      <c r="E441" s="6" t="s">
        <v>38</v>
      </c>
      <c r="F441" s="7">
        <v>68354</v>
      </c>
      <c r="G441" s="7">
        <v>507845</v>
      </c>
      <c r="H441" s="6">
        <f t="shared" si="12"/>
        <v>7.4296310384176492</v>
      </c>
      <c r="I441" s="3" t="s">
        <v>1050</v>
      </c>
      <c r="J441" s="6" t="str">
        <f t="shared" si="13"/>
        <v>http://konect.cc/files/download.tsv.edit-suwiki.tar.bz2</v>
      </c>
      <c r="L441" s="5"/>
    </row>
    <row r="442" spans="3:12" x14ac:dyDescent="0.3">
      <c r="C442" s="6" t="s">
        <v>3399</v>
      </c>
      <c r="D442" s="3" t="s">
        <v>3524</v>
      </c>
      <c r="E442" s="6" t="s">
        <v>58</v>
      </c>
      <c r="F442" s="7">
        <v>67960</v>
      </c>
      <c r="G442" s="7">
        <v>6412172</v>
      </c>
      <c r="H442" s="6">
        <f t="shared" si="12"/>
        <v>94.352148322542675</v>
      </c>
      <c r="I442" s="3" t="s">
        <v>1233</v>
      </c>
      <c r="J442" s="6" t="str">
        <f t="shared" si="13"/>
        <v>http://konect.cc/files/download.tsv.bag-enron.tar.bz2</v>
      </c>
      <c r="L442" s="5"/>
    </row>
    <row r="443" spans="3:12" x14ac:dyDescent="0.3">
      <c r="C443" s="6" t="s">
        <v>3061</v>
      </c>
      <c r="D443" s="3" t="s">
        <v>3062</v>
      </c>
      <c r="E443" s="6" t="s">
        <v>33</v>
      </c>
      <c r="F443" s="7">
        <v>67205</v>
      </c>
      <c r="G443" s="7">
        <v>569036</v>
      </c>
      <c r="H443" s="6">
        <f t="shared" si="12"/>
        <v>8.4671676214567366</v>
      </c>
      <c r="I443" s="3" t="s">
        <v>989</v>
      </c>
      <c r="J443" s="6" t="str">
        <f t="shared" si="13"/>
        <v>http://konect.cc/files/download.tsv.wikipedia_link_pms.tar.bz2</v>
      </c>
      <c r="L443" s="5"/>
    </row>
    <row r="444" spans="3:12" x14ac:dyDescent="0.3">
      <c r="C444" s="6" t="s">
        <v>3094</v>
      </c>
      <c r="D444" s="3" t="s">
        <v>3095</v>
      </c>
      <c r="E444" s="6" t="s">
        <v>38</v>
      </c>
      <c r="F444" s="7">
        <v>66095</v>
      </c>
      <c r="G444" s="7">
        <v>343632</v>
      </c>
      <c r="H444" s="6">
        <f t="shared" si="12"/>
        <v>5.1990619562750586</v>
      </c>
      <c r="I444" s="3" t="s">
        <v>1005</v>
      </c>
      <c r="J444" s="6" t="str">
        <f t="shared" si="13"/>
        <v>http://konect.cc/files/download.tsv.edit-siwiki.tar.bz2</v>
      </c>
      <c r="L444" s="5"/>
    </row>
    <row r="445" spans="3:12" x14ac:dyDescent="0.3">
      <c r="C445" s="6" t="s">
        <v>3197</v>
      </c>
      <c r="D445" s="3" t="s">
        <v>3198</v>
      </c>
      <c r="E445" s="6" t="s">
        <v>33</v>
      </c>
      <c r="F445" s="7">
        <v>65562</v>
      </c>
      <c r="G445" s="7">
        <v>1071678</v>
      </c>
      <c r="H445" s="6">
        <f t="shared" si="12"/>
        <v>16.346023611238216</v>
      </c>
      <c r="I445" s="3" t="s">
        <v>1059</v>
      </c>
      <c r="J445" s="6" t="str">
        <f t="shared" si="13"/>
        <v>http://konect.cc/files/download.tsv.wikipedia_link_fy.tar.bz2</v>
      </c>
      <c r="L445" s="5"/>
    </row>
    <row r="446" spans="3:12" x14ac:dyDescent="0.3">
      <c r="C446" s="6" t="s">
        <v>3257</v>
      </c>
      <c r="D446" s="3" t="s">
        <v>3258</v>
      </c>
      <c r="E446" s="6" t="s">
        <v>38</v>
      </c>
      <c r="F446" s="7">
        <v>64801</v>
      </c>
      <c r="G446" s="7">
        <v>679189</v>
      </c>
      <c r="H446" s="6">
        <f t="shared" si="12"/>
        <v>10.48114998225336</v>
      </c>
      <c r="I446" s="3" t="s">
        <v>1090</v>
      </c>
      <c r="J446" s="6" t="str">
        <f t="shared" si="13"/>
        <v>http://konect.cc/files/download.tsv.edit-htwiki.tar.bz2</v>
      </c>
      <c r="L446" s="5"/>
    </row>
    <row r="447" spans="3:12" x14ac:dyDescent="0.3">
      <c r="C447" s="6" t="s">
        <v>3285</v>
      </c>
      <c r="D447" s="3" t="s">
        <v>3286</v>
      </c>
      <c r="E447" s="6" t="s">
        <v>33</v>
      </c>
      <c r="F447" s="7">
        <v>64347</v>
      </c>
      <c r="G447" s="7">
        <v>1397072</v>
      </c>
      <c r="H447" s="6">
        <f t="shared" si="12"/>
        <v>21.711532783191135</v>
      </c>
      <c r="I447" s="3" t="s">
        <v>1104</v>
      </c>
      <c r="J447" s="6" t="str">
        <f t="shared" si="13"/>
        <v>http://konect.cc/files/download.tsv.wikipedia_link_sco.tar.bz2</v>
      </c>
      <c r="L447" s="5"/>
    </row>
    <row r="448" spans="3:12" x14ac:dyDescent="0.3">
      <c r="C448" s="6" t="s">
        <v>3270</v>
      </c>
      <c r="D448" s="3" t="s">
        <v>3271</v>
      </c>
      <c r="E448" s="6" t="s">
        <v>33</v>
      </c>
      <c r="F448" s="7">
        <v>64161</v>
      </c>
      <c r="G448" s="7">
        <v>1354329</v>
      </c>
      <c r="H448" s="6">
        <f t="shared" si="12"/>
        <v>21.108290082760554</v>
      </c>
      <c r="I448" s="3" t="s">
        <v>1097</v>
      </c>
      <c r="J448" s="6" t="str">
        <f t="shared" si="13"/>
        <v>http://konect.cc/files/download.tsv.wikipedia_link_lb.tar.bz2</v>
      </c>
      <c r="L448" s="5"/>
    </row>
    <row r="449" spans="3:12" x14ac:dyDescent="0.3">
      <c r="C449" s="6" t="s">
        <v>3280</v>
      </c>
      <c r="D449" s="3" t="s">
        <v>3281</v>
      </c>
      <c r="E449" s="6" t="s">
        <v>3282</v>
      </c>
      <c r="F449" s="7">
        <v>63731</v>
      </c>
      <c r="G449" s="7">
        <v>817035</v>
      </c>
      <c r="H449" s="6">
        <f t="shared" si="12"/>
        <v>12.820056173604682</v>
      </c>
      <c r="I449" s="3" t="s">
        <v>1102</v>
      </c>
      <c r="J449" s="6" t="str">
        <f t="shared" si="13"/>
        <v>http://konect.cc/files/download.tsv.facebook-wosn-links.tar.bz2</v>
      </c>
      <c r="L449" s="5"/>
    </row>
    <row r="450" spans="3:12" x14ac:dyDescent="0.3">
      <c r="C450" s="6" t="s">
        <v>3291</v>
      </c>
      <c r="D450" s="3" t="s">
        <v>3292</v>
      </c>
      <c r="E450" s="6" t="s">
        <v>38</v>
      </c>
      <c r="F450" s="7">
        <v>63443</v>
      </c>
      <c r="G450" s="7">
        <v>703608</v>
      </c>
      <c r="H450" s="6">
        <f t="shared" ref="H450:H513" si="14">G450/F450</f>
        <v>11.090396103589049</v>
      </c>
      <c r="I450" s="3" t="s">
        <v>1107</v>
      </c>
      <c r="J450" s="6" t="str">
        <f t="shared" ref="J450:J513" si="15">"http://konect.cc/files/download.tsv."&amp;I450&amp;".tar.bz2"</f>
        <v>http://konect.cc/files/download.tsv.edit-frwikinews.tar.bz2</v>
      </c>
      <c r="L450" s="5"/>
    </row>
    <row r="451" spans="3:12" x14ac:dyDescent="0.3">
      <c r="C451" s="6" t="s">
        <v>3382</v>
      </c>
      <c r="D451" s="3" t="s">
        <v>3383</v>
      </c>
      <c r="E451" s="6" t="s">
        <v>145</v>
      </c>
      <c r="F451" s="7">
        <v>63399</v>
      </c>
      <c r="G451" s="7">
        <v>1096440</v>
      </c>
      <c r="H451" s="6">
        <f t="shared" si="14"/>
        <v>17.294279089575546</v>
      </c>
      <c r="I451" s="3" t="s">
        <v>1157</v>
      </c>
      <c r="J451" s="6" t="str">
        <f t="shared" si="15"/>
        <v>http://konect.cc/files/download.tsv.lkml-reply.tar.bz2</v>
      </c>
      <c r="L451" s="5"/>
    </row>
    <row r="452" spans="3:12" x14ac:dyDescent="0.3">
      <c r="C452" s="6" t="s">
        <v>3018</v>
      </c>
      <c r="D452" s="3" t="s">
        <v>3019</v>
      </c>
      <c r="E452" s="6" t="s">
        <v>38</v>
      </c>
      <c r="F452" s="7">
        <v>63280</v>
      </c>
      <c r="G452" s="7">
        <v>247166</v>
      </c>
      <c r="H452" s="6">
        <f t="shared" si="14"/>
        <v>3.9059102402022754</v>
      </c>
      <c r="I452" s="3" t="s">
        <v>968</v>
      </c>
      <c r="J452" s="6" t="str">
        <f t="shared" si="15"/>
        <v>http://konect.cc/files/download.tsv.edit-huwikibooks.tar.bz2</v>
      </c>
      <c r="L452" s="5"/>
    </row>
    <row r="453" spans="3:12" x14ac:dyDescent="0.3">
      <c r="C453" s="6" t="s">
        <v>3159</v>
      </c>
      <c r="D453" s="3" t="s">
        <v>3160</v>
      </c>
      <c r="E453" s="6" t="s">
        <v>38</v>
      </c>
      <c r="F453" s="7">
        <v>63190</v>
      </c>
      <c r="G453" s="7">
        <v>482583</v>
      </c>
      <c r="H453" s="6">
        <f t="shared" si="14"/>
        <v>7.637015350530147</v>
      </c>
      <c r="I453" s="3" t="s">
        <v>1038</v>
      </c>
      <c r="J453" s="6" t="str">
        <f t="shared" si="15"/>
        <v>http://konect.cc/files/download.tsv.edit-pnbwiki.tar.bz2</v>
      </c>
      <c r="L453" s="5"/>
    </row>
    <row r="454" spans="3:12" x14ac:dyDescent="0.3">
      <c r="C454" s="6" t="s">
        <v>3121</v>
      </c>
      <c r="D454" s="3" t="s">
        <v>3122</v>
      </c>
      <c r="E454" s="6" t="s">
        <v>38</v>
      </c>
      <c r="F454" s="7">
        <v>62637</v>
      </c>
      <c r="G454" s="7">
        <v>396614</v>
      </c>
      <c r="H454" s="6">
        <f t="shared" si="14"/>
        <v>6.3319443779235911</v>
      </c>
      <c r="I454" s="3" t="s">
        <v>1019</v>
      </c>
      <c r="J454" s="6" t="str">
        <f t="shared" si="15"/>
        <v>http://konect.cc/files/download.tsv.edit-euwiktionary.tar.bz2</v>
      </c>
      <c r="L454" s="5"/>
    </row>
    <row r="455" spans="3:12" x14ac:dyDescent="0.3">
      <c r="C455" s="6" t="s">
        <v>2076</v>
      </c>
      <c r="D455" s="3" t="s">
        <v>2643</v>
      </c>
      <c r="E455" s="6" t="s">
        <v>2078</v>
      </c>
      <c r="F455" s="7">
        <v>62586</v>
      </c>
      <c r="G455" s="7">
        <v>147892</v>
      </c>
      <c r="H455" s="6">
        <f t="shared" si="14"/>
        <v>2.3630204838142714</v>
      </c>
      <c r="I455" s="3" t="s">
        <v>756</v>
      </c>
      <c r="J455" s="6" t="str">
        <f t="shared" si="15"/>
        <v>http://konect.cc/files/download.tsv.p2p-Gnutella31.tar.bz2</v>
      </c>
      <c r="L455" s="5"/>
    </row>
    <row r="456" spans="3:12" x14ac:dyDescent="0.3">
      <c r="C456" s="6" t="s">
        <v>3149</v>
      </c>
      <c r="D456" s="3" t="s">
        <v>3150</v>
      </c>
      <c r="E456" s="6" t="s">
        <v>38</v>
      </c>
      <c r="F456" s="7">
        <v>62549</v>
      </c>
      <c r="G456" s="7">
        <v>452686</v>
      </c>
      <c r="H456" s="6">
        <f t="shared" si="14"/>
        <v>7.2373019552670703</v>
      </c>
      <c r="I456" s="3" t="s">
        <v>1033</v>
      </c>
      <c r="J456" s="6" t="str">
        <f t="shared" si="15"/>
        <v>http://konect.cc/files/download.tsv.edit-lowiktionary.tar.bz2</v>
      </c>
      <c r="L456" s="5"/>
    </row>
    <row r="457" spans="3:12" x14ac:dyDescent="0.3">
      <c r="C457" s="6" t="s">
        <v>3234</v>
      </c>
      <c r="D457" s="3" t="s">
        <v>3235</v>
      </c>
      <c r="E457" s="6" t="s">
        <v>38</v>
      </c>
      <c r="F457" s="7">
        <v>62438</v>
      </c>
      <c r="G457" s="7">
        <v>602781</v>
      </c>
      <c r="H457" s="6">
        <f t="shared" si="14"/>
        <v>9.6540728402575358</v>
      </c>
      <c r="I457" s="3" t="s">
        <v>1078</v>
      </c>
      <c r="J457" s="6" t="str">
        <f t="shared" si="15"/>
        <v>http://konect.cc/files/download.tsv.edit-glwiktionary.tar.bz2</v>
      </c>
      <c r="L457" s="5"/>
    </row>
    <row r="458" spans="3:12" x14ac:dyDescent="0.3">
      <c r="C458" s="6" t="s">
        <v>3230</v>
      </c>
      <c r="D458" s="3" t="s">
        <v>3231</v>
      </c>
      <c r="E458" s="6" t="s">
        <v>38</v>
      </c>
      <c r="F458" s="7">
        <v>61976</v>
      </c>
      <c r="G458" s="7">
        <v>597402</v>
      </c>
      <c r="H458" s="6">
        <f t="shared" si="14"/>
        <v>9.6392474506260495</v>
      </c>
      <c r="I458" s="3" t="s">
        <v>1076</v>
      </c>
      <c r="J458" s="6" t="str">
        <f t="shared" si="15"/>
        <v>http://konect.cc/files/download.tsv.edit-kuwiki.tar.bz2</v>
      </c>
      <c r="L458" s="5"/>
    </row>
    <row r="459" spans="3:12" x14ac:dyDescent="0.3">
      <c r="C459" s="6" t="s">
        <v>3283</v>
      </c>
      <c r="D459" s="3" t="s">
        <v>3284</v>
      </c>
      <c r="E459" s="6" t="s">
        <v>38</v>
      </c>
      <c r="F459" s="7">
        <v>61822</v>
      </c>
      <c r="G459" s="7">
        <v>686017</v>
      </c>
      <c r="H459" s="6">
        <f t="shared" si="14"/>
        <v>11.096648442302094</v>
      </c>
      <c r="I459" s="3" t="s">
        <v>1103</v>
      </c>
      <c r="J459" s="6" t="str">
        <f t="shared" si="15"/>
        <v>http://konect.cc/files/download.tsv.edit-dewikinews.tar.bz2</v>
      </c>
      <c r="L459" s="5"/>
    </row>
    <row r="460" spans="3:12" x14ac:dyDescent="0.3">
      <c r="C460" s="6" t="s">
        <v>2174</v>
      </c>
      <c r="D460" s="3" t="s">
        <v>2175</v>
      </c>
      <c r="E460" s="6" t="s">
        <v>38</v>
      </c>
      <c r="F460" s="7">
        <v>61424</v>
      </c>
      <c r="G460" s="7">
        <v>120876</v>
      </c>
      <c r="H460" s="6">
        <f t="shared" si="14"/>
        <v>1.9678952852305287</v>
      </c>
      <c r="I460" s="3" t="s">
        <v>850</v>
      </c>
      <c r="J460" s="6" t="str">
        <f t="shared" si="15"/>
        <v>http://konect.cc/files/download.tsv.edit-nowikisource.tar.bz2</v>
      </c>
      <c r="L460" s="5"/>
    </row>
    <row r="461" spans="3:12" x14ac:dyDescent="0.3">
      <c r="C461" s="6" t="s">
        <v>3153</v>
      </c>
      <c r="D461" s="3" t="s">
        <v>3154</v>
      </c>
      <c r="E461" s="6" t="s">
        <v>38</v>
      </c>
      <c r="F461" s="7">
        <v>61119</v>
      </c>
      <c r="G461" s="7">
        <v>442118</v>
      </c>
      <c r="H461" s="6">
        <f t="shared" si="14"/>
        <v>7.2337243737626595</v>
      </c>
      <c r="I461" s="3" t="s">
        <v>1035</v>
      </c>
      <c r="J461" s="6" t="str">
        <f t="shared" si="15"/>
        <v>http://konect.cc/files/download.tsv.edit-bhwiki.tar.bz2</v>
      </c>
      <c r="L461" s="5"/>
    </row>
    <row r="462" spans="3:12" x14ac:dyDescent="0.3">
      <c r="C462" s="6" t="s">
        <v>3205</v>
      </c>
      <c r="D462" s="3" t="s">
        <v>3206</v>
      </c>
      <c r="E462" s="6" t="s">
        <v>33</v>
      </c>
      <c r="F462" s="7">
        <v>60722</v>
      </c>
      <c r="G462" s="7">
        <v>1176333</v>
      </c>
      <c r="H462" s="6">
        <f t="shared" si="14"/>
        <v>19.372435031784196</v>
      </c>
      <c r="I462" s="3" t="s">
        <v>1063</v>
      </c>
      <c r="J462" s="6" t="str">
        <f t="shared" si="15"/>
        <v>http://konect.cc/files/download.tsv.wikipedia_link_ckb.tar.bz2</v>
      </c>
      <c r="L462" s="5"/>
    </row>
    <row r="463" spans="3:12" x14ac:dyDescent="0.3">
      <c r="C463" s="6" t="s">
        <v>3117</v>
      </c>
      <c r="D463" s="3" t="s">
        <v>3118</v>
      </c>
      <c r="E463" s="6" t="s">
        <v>38</v>
      </c>
      <c r="F463" s="7">
        <v>60713</v>
      </c>
      <c r="G463" s="7">
        <v>393573</v>
      </c>
      <c r="H463" s="6">
        <f t="shared" si="14"/>
        <v>6.4825161003409484</v>
      </c>
      <c r="I463" s="3" t="s">
        <v>1017</v>
      </c>
      <c r="J463" s="6" t="str">
        <f t="shared" si="15"/>
        <v>http://konect.cc/files/download.tsv.edit-liwiki.tar.bz2</v>
      </c>
      <c r="L463" s="5"/>
    </row>
    <row r="464" spans="3:12" x14ac:dyDescent="0.3">
      <c r="C464" s="6" t="s">
        <v>3133</v>
      </c>
      <c r="D464" s="3" t="s">
        <v>3134</v>
      </c>
      <c r="E464" s="6" t="s">
        <v>38</v>
      </c>
      <c r="F464" s="7">
        <v>60257</v>
      </c>
      <c r="G464" s="7">
        <v>428262</v>
      </c>
      <c r="H464" s="6">
        <f t="shared" si="14"/>
        <v>7.1072572481205505</v>
      </c>
      <c r="I464" s="3" t="s">
        <v>1025</v>
      </c>
      <c r="J464" s="6" t="str">
        <f t="shared" si="15"/>
        <v>http://konect.cc/files/download.tsv.edit-mnwiki.tar.bz2</v>
      </c>
      <c r="L464" s="5"/>
    </row>
    <row r="465" spans="3:12" x14ac:dyDescent="0.3">
      <c r="C465" s="6" t="s">
        <v>3263</v>
      </c>
      <c r="D465" s="3" t="s">
        <v>1519</v>
      </c>
      <c r="E465" s="6" t="s">
        <v>58</v>
      </c>
      <c r="F465" s="7">
        <v>60234</v>
      </c>
      <c r="G465" s="7">
        <v>1464182</v>
      </c>
      <c r="H465" s="6">
        <f t="shared" si="14"/>
        <v>24.308231231530364</v>
      </c>
      <c r="I465" s="3" t="s">
        <v>1093</v>
      </c>
      <c r="J465" s="6" t="str">
        <f t="shared" si="15"/>
        <v>http://konect.cc/files/download.tsv.gottron-reuters.tar.bz2</v>
      </c>
      <c r="L465" s="5"/>
    </row>
    <row r="466" spans="3:12" x14ac:dyDescent="0.3">
      <c r="C466" s="6" t="s">
        <v>3088</v>
      </c>
      <c r="D466" s="3" t="s">
        <v>3089</v>
      </c>
      <c r="E466" s="6" t="s">
        <v>38</v>
      </c>
      <c r="F466" s="7">
        <v>59734</v>
      </c>
      <c r="G466" s="7">
        <v>333151</v>
      </c>
      <c r="H466" s="6">
        <f t="shared" si="14"/>
        <v>5.5772424414906085</v>
      </c>
      <c r="I466" s="3" t="s">
        <v>1003</v>
      </c>
      <c r="J466" s="6" t="str">
        <f t="shared" si="15"/>
        <v>http://konect.cc/files/download.tsv.edit-azwiktionary.tar.bz2</v>
      </c>
      <c r="L466" s="5"/>
    </row>
    <row r="467" spans="3:12" x14ac:dyDescent="0.3">
      <c r="C467" s="6" t="s">
        <v>3296</v>
      </c>
      <c r="D467" s="3" t="s">
        <v>3297</v>
      </c>
      <c r="E467" s="6" t="s">
        <v>38</v>
      </c>
      <c r="F467" s="7">
        <v>59218</v>
      </c>
      <c r="G467" s="7">
        <v>751880</v>
      </c>
      <c r="H467" s="6">
        <f t="shared" si="14"/>
        <v>12.696815157553447</v>
      </c>
      <c r="I467" s="3" t="s">
        <v>1108</v>
      </c>
      <c r="J467" s="6" t="str">
        <f t="shared" si="15"/>
        <v>http://konect.cc/files/download.tsv.edit-bpywiki.tar.bz2</v>
      </c>
      <c r="L467" s="5"/>
    </row>
    <row r="468" spans="3:12" x14ac:dyDescent="0.3">
      <c r="C468" s="6" t="s">
        <v>3034</v>
      </c>
      <c r="D468" s="3" t="s">
        <v>3035</v>
      </c>
      <c r="E468" s="6" t="s">
        <v>38</v>
      </c>
      <c r="F468" s="7">
        <v>59154</v>
      </c>
      <c r="G468" s="7">
        <v>256511</v>
      </c>
      <c r="H468" s="6">
        <f t="shared" si="14"/>
        <v>4.3363255232106033</v>
      </c>
      <c r="I468" s="3" t="s">
        <v>976</v>
      </c>
      <c r="J468" s="6" t="str">
        <f t="shared" si="15"/>
        <v>http://konect.cc/files/download.tsv.edit-orwiki.tar.bz2</v>
      </c>
      <c r="L468" s="5"/>
    </row>
    <row r="469" spans="3:12" x14ac:dyDescent="0.3">
      <c r="C469" s="6" t="s">
        <v>3255</v>
      </c>
      <c r="D469" s="3" t="s">
        <v>3256</v>
      </c>
      <c r="E469" s="6" t="s">
        <v>38</v>
      </c>
      <c r="F469" s="7">
        <v>59039</v>
      </c>
      <c r="G469" s="7">
        <v>681366</v>
      </c>
      <c r="H469" s="6">
        <f t="shared" si="14"/>
        <v>11.540947509273531</v>
      </c>
      <c r="I469" s="3" t="s">
        <v>1089</v>
      </c>
      <c r="J469" s="6" t="str">
        <f t="shared" si="15"/>
        <v>http://konect.cc/files/download.tsv.edit-scnwiki.tar.bz2</v>
      </c>
      <c r="L469" s="5"/>
    </row>
    <row r="470" spans="3:12" x14ac:dyDescent="0.3">
      <c r="C470" s="6" t="s">
        <v>3213</v>
      </c>
      <c r="D470" s="3" t="s">
        <v>3214</v>
      </c>
      <c r="E470" s="6" t="s">
        <v>33</v>
      </c>
      <c r="F470" s="7">
        <v>58770</v>
      </c>
      <c r="G470" s="7">
        <v>1077184</v>
      </c>
      <c r="H470" s="6">
        <f t="shared" si="14"/>
        <v>18.328807214565256</v>
      </c>
      <c r="I470" s="3" t="s">
        <v>1067</v>
      </c>
      <c r="J470" s="6" t="str">
        <f t="shared" si="15"/>
        <v>http://konect.cc/files/download.tsv.wikipedia_link_sw.tar.bz2</v>
      </c>
      <c r="L470" s="5"/>
    </row>
    <row r="471" spans="3:12" x14ac:dyDescent="0.3">
      <c r="C471" s="6" t="s">
        <v>3131</v>
      </c>
      <c r="D471" s="3" t="s">
        <v>3132</v>
      </c>
      <c r="E471" s="6" t="s">
        <v>38</v>
      </c>
      <c r="F471" s="7">
        <v>58395</v>
      </c>
      <c r="G471" s="7">
        <v>409932</v>
      </c>
      <c r="H471" s="6">
        <f t="shared" si="14"/>
        <v>7.0199845877215514</v>
      </c>
      <c r="I471" s="3" t="s">
        <v>1024</v>
      </c>
      <c r="J471" s="6" t="str">
        <f t="shared" si="15"/>
        <v>http://konect.cc/files/download.tsv.edit-frwikibooks.tar.bz2</v>
      </c>
      <c r="L471" s="5"/>
    </row>
    <row r="472" spans="3:12" x14ac:dyDescent="0.3">
      <c r="C472" s="6" t="s">
        <v>2768</v>
      </c>
      <c r="D472" s="3" t="s">
        <v>1504</v>
      </c>
      <c r="E472" s="6" t="s">
        <v>83</v>
      </c>
      <c r="F472" s="7">
        <v>58228</v>
      </c>
      <c r="G472" s="7">
        <v>214078</v>
      </c>
      <c r="H472" s="6">
        <f t="shared" si="14"/>
        <v>3.6765473655286116</v>
      </c>
      <c r="I472" s="3" t="s">
        <v>828</v>
      </c>
      <c r="J472" s="6" t="str">
        <f t="shared" si="15"/>
        <v>http://konect.cc/files/download.tsv.loc-brightkite_edges.tar.bz2</v>
      </c>
      <c r="L472" s="5"/>
    </row>
    <row r="473" spans="3:12" x14ac:dyDescent="0.3">
      <c r="C473" s="6" t="s">
        <v>2600</v>
      </c>
      <c r="D473" s="3" t="s">
        <v>2601</v>
      </c>
      <c r="E473" s="6" t="s">
        <v>38</v>
      </c>
      <c r="F473" s="7">
        <v>57699</v>
      </c>
      <c r="G473" s="7">
        <v>149545</v>
      </c>
      <c r="H473" s="6">
        <f t="shared" si="14"/>
        <v>2.591812683062098</v>
      </c>
      <c r="I473" s="3" t="s">
        <v>894</v>
      </c>
      <c r="J473" s="6" t="str">
        <f t="shared" si="15"/>
        <v>http://konect.cc/files/download.tsv.edit-hywikisource.tar.bz2</v>
      </c>
      <c r="L473" s="5"/>
    </row>
    <row r="474" spans="3:12" x14ac:dyDescent="0.3">
      <c r="C474" s="6" t="s">
        <v>2972</v>
      </c>
      <c r="D474" s="3" t="s">
        <v>2973</v>
      </c>
      <c r="E474" s="6" t="s">
        <v>33</v>
      </c>
      <c r="F474" s="7">
        <v>57219</v>
      </c>
      <c r="G474" s="7">
        <v>384030</v>
      </c>
      <c r="H474" s="6">
        <f t="shared" si="14"/>
        <v>6.7115818172285433</v>
      </c>
      <c r="I474" s="3" t="s">
        <v>942</v>
      </c>
      <c r="J474" s="6" t="str">
        <f t="shared" si="15"/>
        <v>http://konect.cc/files/download.tsv.wikipedia_link_ht.tar.bz2</v>
      </c>
      <c r="L474" s="5"/>
    </row>
    <row r="475" spans="3:12" x14ac:dyDescent="0.3">
      <c r="C475" s="6" t="s">
        <v>3253</v>
      </c>
      <c r="D475" s="3" t="s">
        <v>3254</v>
      </c>
      <c r="E475" s="6" t="s">
        <v>33</v>
      </c>
      <c r="F475" s="7">
        <v>56485</v>
      </c>
      <c r="G475" s="7">
        <v>1306724</v>
      </c>
      <c r="H475" s="6">
        <f t="shared" si="14"/>
        <v>23.134000177038153</v>
      </c>
      <c r="I475" s="3" t="s">
        <v>1088</v>
      </c>
      <c r="J475" s="6" t="str">
        <f t="shared" si="15"/>
        <v>http://konect.cc/files/download.tsv.wikipedia_link_an.tar.bz2</v>
      </c>
      <c r="L475" s="5"/>
    </row>
    <row r="476" spans="3:12" x14ac:dyDescent="0.3">
      <c r="C476" s="6" t="s">
        <v>3165</v>
      </c>
      <c r="D476" s="3" t="s">
        <v>3166</v>
      </c>
      <c r="E476" s="6" t="s">
        <v>38</v>
      </c>
      <c r="F476" s="7">
        <v>55100</v>
      </c>
      <c r="G476" s="7">
        <v>484122</v>
      </c>
      <c r="H476" s="6">
        <f t="shared" si="14"/>
        <v>8.7862431941923766</v>
      </c>
      <c r="I476" s="3" t="s">
        <v>1041</v>
      </c>
      <c r="J476" s="6" t="str">
        <f t="shared" si="15"/>
        <v>http://konect.cc/files/download.tsv.edit-yowiki.tar.bz2</v>
      </c>
      <c r="L476" s="5"/>
    </row>
    <row r="477" spans="3:12" x14ac:dyDescent="0.3">
      <c r="C477" s="6" t="s">
        <v>3311</v>
      </c>
      <c r="D477" s="3" t="s">
        <v>3312</v>
      </c>
      <c r="E477" s="6" t="s">
        <v>33</v>
      </c>
      <c r="F477" s="7">
        <v>55088</v>
      </c>
      <c r="G477" s="7">
        <v>1611606</v>
      </c>
      <c r="H477" s="6">
        <f t="shared" si="14"/>
        <v>29.255119082195758</v>
      </c>
      <c r="I477" s="3" t="s">
        <v>1117</v>
      </c>
      <c r="J477" s="6" t="str">
        <f t="shared" si="15"/>
        <v>http://konect.cc/files/download.tsv.wikipedia_link_ga.tar.bz2</v>
      </c>
      <c r="L477" s="5"/>
    </row>
    <row r="478" spans="3:12" x14ac:dyDescent="0.3">
      <c r="C478" s="6" t="s">
        <v>3259</v>
      </c>
      <c r="D478" s="3" t="s">
        <v>3260</v>
      </c>
      <c r="E478" s="6" t="s">
        <v>38</v>
      </c>
      <c r="F478" s="7">
        <v>55065</v>
      </c>
      <c r="G478" s="7">
        <v>678457</v>
      </c>
      <c r="H478" s="6">
        <f t="shared" si="14"/>
        <v>12.321020612003995</v>
      </c>
      <c r="I478" s="3" t="s">
        <v>1091</v>
      </c>
      <c r="J478" s="6" t="str">
        <f t="shared" si="15"/>
        <v>http://konect.cc/files/download.tsv.edit-alswiki.tar.bz2</v>
      </c>
      <c r="L478" s="5"/>
    </row>
    <row r="479" spans="3:12" x14ac:dyDescent="0.3">
      <c r="C479" s="6" t="s">
        <v>2108</v>
      </c>
      <c r="D479" s="3" t="s">
        <v>2109</v>
      </c>
      <c r="E479" s="6" t="s">
        <v>38</v>
      </c>
      <c r="F479" s="7">
        <v>54263</v>
      </c>
      <c r="G479" s="7">
        <v>168296</v>
      </c>
      <c r="H479" s="6">
        <f t="shared" si="14"/>
        <v>3.1014872012236698</v>
      </c>
      <c r="I479" s="3" t="s">
        <v>919</v>
      </c>
      <c r="J479" s="6" t="str">
        <f t="shared" si="15"/>
        <v>http://konect.cc/files/download.tsv.edit-tewikisource.tar.bz2</v>
      </c>
      <c r="L479" s="5"/>
    </row>
    <row r="480" spans="3:12" x14ac:dyDescent="0.3">
      <c r="C480" s="6" t="s">
        <v>2769</v>
      </c>
      <c r="D480" s="3" t="s">
        <v>2770</v>
      </c>
      <c r="E480" s="6" t="s">
        <v>38</v>
      </c>
      <c r="F480" s="7">
        <v>54082</v>
      </c>
      <c r="G480" s="7">
        <v>106433</v>
      </c>
      <c r="H480" s="6">
        <f t="shared" si="14"/>
        <v>1.9679930475943936</v>
      </c>
      <c r="I480" s="3" t="s">
        <v>829</v>
      </c>
      <c r="J480" s="6" t="str">
        <f t="shared" si="15"/>
        <v>http://konect.cc/files/download.tsv.edit-kywiktionary.tar.bz2</v>
      </c>
      <c r="L480" s="5"/>
    </row>
    <row r="481" spans="3:12" x14ac:dyDescent="0.3">
      <c r="C481" s="6" t="s">
        <v>3111</v>
      </c>
      <c r="D481" s="3" t="s">
        <v>3112</v>
      </c>
      <c r="E481" s="6" t="s">
        <v>38</v>
      </c>
      <c r="F481" s="7">
        <v>54021</v>
      </c>
      <c r="G481" s="7">
        <v>378978</v>
      </c>
      <c r="H481" s="6">
        <f t="shared" si="14"/>
        <v>7.0153829066474147</v>
      </c>
      <c r="I481" s="3" t="s">
        <v>1014</v>
      </c>
      <c r="J481" s="6" t="str">
        <f t="shared" si="15"/>
        <v>http://konect.cc/files/download.tsv.edit-plwikiquote.tar.bz2</v>
      </c>
      <c r="L481" s="5"/>
    </row>
    <row r="482" spans="3:12" x14ac:dyDescent="0.3">
      <c r="C482" s="6" t="s">
        <v>3236</v>
      </c>
      <c r="D482" s="3" t="s">
        <v>3237</v>
      </c>
      <c r="E482" s="6" t="s">
        <v>38</v>
      </c>
      <c r="F482" s="7">
        <v>53539</v>
      </c>
      <c r="G482" s="7">
        <v>606625</v>
      </c>
      <c r="H482" s="6">
        <f t="shared" si="14"/>
        <v>11.330525411382357</v>
      </c>
      <c r="I482" s="3" t="s">
        <v>1079</v>
      </c>
      <c r="J482" s="6" t="str">
        <f t="shared" si="15"/>
        <v>http://konect.cc/files/download.tsv.edit-quwiki.tar.bz2</v>
      </c>
      <c r="L482" s="5"/>
    </row>
    <row r="483" spans="3:12" x14ac:dyDescent="0.3">
      <c r="C483" s="6" t="s">
        <v>3115</v>
      </c>
      <c r="D483" s="3" t="s">
        <v>3116</v>
      </c>
      <c r="E483" s="6" t="s">
        <v>38</v>
      </c>
      <c r="F483" s="7">
        <v>53467</v>
      </c>
      <c r="G483" s="7">
        <v>387592</v>
      </c>
      <c r="H483" s="6">
        <f t="shared" si="14"/>
        <v>7.2491817382684642</v>
      </c>
      <c r="I483" s="3" t="s">
        <v>1016</v>
      </c>
      <c r="J483" s="6" t="str">
        <f t="shared" si="15"/>
        <v>http://konect.cc/files/download.tsv.edit-sawiki.tar.bz2</v>
      </c>
      <c r="L483" s="5"/>
    </row>
    <row r="484" spans="3:12" x14ac:dyDescent="0.3">
      <c r="C484" s="6" t="s">
        <v>2580</v>
      </c>
      <c r="D484" s="3" t="s">
        <v>2581</v>
      </c>
      <c r="E484" s="6" t="s">
        <v>38</v>
      </c>
      <c r="F484" s="7">
        <v>53415</v>
      </c>
      <c r="G484" s="7">
        <v>135389</v>
      </c>
      <c r="H484" s="6">
        <f t="shared" si="14"/>
        <v>2.5346625479734155</v>
      </c>
      <c r="I484" s="3" t="s">
        <v>874</v>
      </c>
      <c r="J484" s="6" t="str">
        <f t="shared" si="15"/>
        <v>http://konect.cc/files/download.tsv.edit-cswikisource.tar.bz2</v>
      </c>
      <c r="L484" s="5"/>
    </row>
    <row r="485" spans="3:12" x14ac:dyDescent="0.3">
      <c r="C485" s="6" t="s">
        <v>3232</v>
      </c>
      <c r="D485" s="3" t="s">
        <v>3233</v>
      </c>
      <c r="E485" s="6" t="s">
        <v>33</v>
      </c>
      <c r="F485" s="7">
        <v>52560</v>
      </c>
      <c r="G485" s="7">
        <v>1241806</v>
      </c>
      <c r="H485" s="6">
        <f t="shared" si="14"/>
        <v>23.62644596651446</v>
      </c>
      <c r="I485" s="3" t="s">
        <v>1077</v>
      </c>
      <c r="J485" s="6" t="str">
        <f t="shared" si="15"/>
        <v>http://konect.cc/files/download.tsv.wikipedia_link_ba.tar.bz2</v>
      </c>
      <c r="L485" s="5"/>
    </row>
    <row r="486" spans="3:12" x14ac:dyDescent="0.3">
      <c r="C486" s="6" t="s">
        <v>3491</v>
      </c>
      <c r="D486" s="3" t="s">
        <v>3492</v>
      </c>
      <c r="E486" s="6" t="s">
        <v>33</v>
      </c>
      <c r="F486" s="7">
        <v>52214</v>
      </c>
      <c r="G486" s="7">
        <v>3623678</v>
      </c>
      <c r="H486" s="6">
        <f t="shared" si="14"/>
        <v>69.400505611521808</v>
      </c>
      <c r="I486" s="3" t="s">
        <v>1219</v>
      </c>
      <c r="J486" s="6" t="str">
        <f t="shared" si="15"/>
        <v>http://konect.cc/files/download.tsv.wikipedia_link_lmo.tar.bz2</v>
      </c>
      <c r="L486" s="5"/>
    </row>
    <row r="487" spans="3:12" x14ac:dyDescent="0.3">
      <c r="C487" s="6" t="s">
        <v>3278</v>
      </c>
      <c r="D487" s="3" t="s">
        <v>3279</v>
      </c>
      <c r="E487" s="6" t="s">
        <v>33</v>
      </c>
      <c r="F487" s="7">
        <v>51933</v>
      </c>
      <c r="G487" s="7">
        <v>1436320</v>
      </c>
      <c r="H487" s="6">
        <f t="shared" si="14"/>
        <v>27.657173666069745</v>
      </c>
      <c r="I487" s="3" t="s">
        <v>1101</v>
      </c>
      <c r="J487" s="6" t="str">
        <f t="shared" si="15"/>
        <v>http://konect.cc/files/download.tsv.wikipedia_link_pnb.tar.bz2</v>
      </c>
      <c r="L487" s="5"/>
    </row>
    <row r="488" spans="3:12" x14ac:dyDescent="0.3">
      <c r="C488" s="6" t="s">
        <v>2890</v>
      </c>
      <c r="D488" s="3" t="s">
        <v>1508</v>
      </c>
      <c r="E488" s="6" t="s">
        <v>42</v>
      </c>
      <c r="F488" s="7">
        <v>51083</v>
      </c>
      <c r="G488" s="7">
        <v>140778</v>
      </c>
      <c r="H488" s="6">
        <f t="shared" si="14"/>
        <v>2.7558679012587359</v>
      </c>
      <c r="I488" s="3" t="s">
        <v>898</v>
      </c>
      <c r="J488" s="6" t="str">
        <f t="shared" si="15"/>
        <v>http://konect.cc/files/download.tsv.slashdot-threads.tar.bz2</v>
      </c>
      <c r="L488" s="5"/>
    </row>
    <row r="489" spans="3:12" x14ac:dyDescent="0.3">
      <c r="C489" s="6" t="s">
        <v>3384</v>
      </c>
      <c r="D489" s="3" t="s">
        <v>3385</v>
      </c>
      <c r="E489" s="6" t="s">
        <v>3058</v>
      </c>
      <c r="F489" s="7">
        <v>50832</v>
      </c>
      <c r="G489" s="7">
        <v>1728847</v>
      </c>
      <c r="H489" s="6">
        <f t="shared" si="14"/>
        <v>34.010997009757631</v>
      </c>
      <c r="I489" s="3" t="s">
        <v>1159</v>
      </c>
      <c r="J489" s="6" t="str">
        <f t="shared" si="15"/>
        <v>http://konect.cc/files/download.tsv.jester2.tar.bz2</v>
      </c>
      <c r="L489" s="5"/>
    </row>
    <row r="490" spans="3:12" x14ac:dyDescent="0.3">
      <c r="C490" s="6" t="s">
        <v>3207</v>
      </c>
      <c r="D490" s="3" t="s">
        <v>3208</v>
      </c>
      <c r="E490" s="6" t="s">
        <v>38</v>
      </c>
      <c r="F490" s="7">
        <v>50559</v>
      </c>
      <c r="G490" s="7">
        <v>541214</v>
      </c>
      <c r="H490" s="6">
        <f t="shared" si="14"/>
        <v>10.704602543562967</v>
      </c>
      <c r="I490" s="3" t="s">
        <v>1064</v>
      </c>
      <c r="J490" s="6" t="str">
        <f t="shared" si="15"/>
        <v>http://konect.cc/files/download.tsv.edit-frwikiversity.tar.bz2</v>
      </c>
      <c r="L490" s="5"/>
    </row>
    <row r="491" spans="3:12" x14ac:dyDescent="0.3">
      <c r="C491" s="6" t="s">
        <v>2182</v>
      </c>
      <c r="D491" s="3" t="s">
        <v>2183</v>
      </c>
      <c r="E491" s="6" t="s">
        <v>38</v>
      </c>
      <c r="F491" s="7">
        <v>50410</v>
      </c>
      <c r="G491" s="7">
        <v>106991</v>
      </c>
      <c r="H491" s="6">
        <f t="shared" si="14"/>
        <v>2.1224161872644318</v>
      </c>
      <c r="I491" s="3" t="s">
        <v>832</v>
      </c>
      <c r="J491" s="6" t="str">
        <f t="shared" si="15"/>
        <v>http://konect.cc/files/download.tsv.edit-sawikisource.tar.bz2</v>
      </c>
      <c r="L491" s="5"/>
    </row>
    <row r="492" spans="3:12" x14ac:dyDescent="0.3">
      <c r="C492" s="6" t="s">
        <v>3048</v>
      </c>
      <c r="D492" s="3" t="s">
        <v>3049</v>
      </c>
      <c r="E492" s="6" t="s">
        <v>38</v>
      </c>
      <c r="F492" s="7">
        <v>50397</v>
      </c>
      <c r="G492" s="7">
        <v>276040</v>
      </c>
      <c r="H492" s="6">
        <f t="shared" si="14"/>
        <v>5.4773101573506358</v>
      </c>
      <c r="I492" s="3" t="s">
        <v>983</v>
      </c>
      <c r="J492" s="6" t="str">
        <f t="shared" si="15"/>
        <v>http://konect.cc/files/download.tsv.edit-dawiktionary.tar.bz2</v>
      </c>
      <c r="L492" s="5"/>
    </row>
    <row r="493" spans="3:12" x14ac:dyDescent="0.3">
      <c r="C493" s="6" t="s">
        <v>2937</v>
      </c>
      <c r="D493" s="3" t="s">
        <v>2938</v>
      </c>
      <c r="E493" s="6" t="s">
        <v>33</v>
      </c>
      <c r="F493" s="7">
        <v>49129</v>
      </c>
      <c r="G493" s="7">
        <v>375392</v>
      </c>
      <c r="H493" s="6">
        <f t="shared" si="14"/>
        <v>7.6409452665431825</v>
      </c>
      <c r="I493" s="3" t="s">
        <v>923</v>
      </c>
      <c r="J493" s="6" t="str">
        <f t="shared" si="15"/>
        <v>http://konect.cc/files/download.tsv.wikipedia_link_li.tar.bz2</v>
      </c>
      <c r="L493" s="5"/>
    </row>
    <row r="494" spans="3:12" x14ac:dyDescent="0.3">
      <c r="C494" s="6" t="s">
        <v>3008</v>
      </c>
      <c r="D494" s="3" t="s">
        <v>3009</v>
      </c>
      <c r="E494" s="6" t="s">
        <v>38</v>
      </c>
      <c r="F494" s="7">
        <v>46998</v>
      </c>
      <c r="G494" s="7">
        <v>227450</v>
      </c>
      <c r="H494" s="6">
        <f t="shared" si="14"/>
        <v>4.8395676411762203</v>
      </c>
      <c r="I494" s="3" t="s">
        <v>961</v>
      </c>
      <c r="J494" s="6" t="str">
        <f t="shared" si="15"/>
        <v>http://konect.cc/files/download.tsv.edit-mnwiktionary.tar.bz2</v>
      </c>
      <c r="L494" s="5"/>
    </row>
    <row r="495" spans="3:12" x14ac:dyDescent="0.3">
      <c r="C495" s="6" t="s">
        <v>3366</v>
      </c>
      <c r="D495" s="3" t="s">
        <v>1484</v>
      </c>
      <c r="E495" s="6" t="s">
        <v>42</v>
      </c>
      <c r="F495" s="7">
        <v>46952</v>
      </c>
      <c r="G495" s="7">
        <v>876993</v>
      </c>
      <c r="H495" s="6">
        <f t="shared" si="14"/>
        <v>18.678501448287612</v>
      </c>
      <c r="I495" s="3" t="s">
        <v>1147</v>
      </c>
      <c r="J495" s="6" t="str">
        <f t="shared" si="15"/>
        <v>http://konect.cc/files/download.tsv.facebook-wosn-wall.tar.bz2</v>
      </c>
      <c r="L495" s="5"/>
    </row>
    <row r="496" spans="3:12" x14ac:dyDescent="0.3">
      <c r="C496" s="6" t="s">
        <v>3042</v>
      </c>
      <c r="D496" s="3" t="s">
        <v>3043</v>
      </c>
      <c r="E496" s="6" t="s">
        <v>38</v>
      </c>
      <c r="F496" s="7">
        <v>46658</v>
      </c>
      <c r="G496" s="7">
        <v>286084</v>
      </c>
      <c r="H496" s="6">
        <f t="shared" si="14"/>
        <v>6.1315101375969823</v>
      </c>
      <c r="I496" s="3" t="s">
        <v>980</v>
      </c>
      <c r="J496" s="6" t="str">
        <f t="shared" si="15"/>
        <v>http://konect.cc/files/download.tsv.edit-ilowiki.tar.bz2</v>
      </c>
      <c r="L496" s="5"/>
    </row>
    <row r="497" spans="3:12" x14ac:dyDescent="0.3">
      <c r="C497" s="6" t="s">
        <v>2941</v>
      </c>
      <c r="D497" s="3" t="s">
        <v>2942</v>
      </c>
      <c r="E497" s="6" t="s">
        <v>38</v>
      </c>
      <c r="F497" s="7">
        <v>46386</v>
      </c>
      <c r="G497" s="7">
        <v>182251</v>
      </c>
      <c r="H497" s="6">
        <f t="shared" si="14"/>
        <v>3.929008752640883</v>
      </c>
      <c r="I497" s="3" t="s">
        <v>925</v>
      </c>
      <c r="J497" s="6" t="str">
        <f t="shared" si="15"/>
        <v>http://konect.cc/files/download.tsv.edit-wawiktionary.tar.bz2</v>
      </c>
      <c r="L497" s="5"/>
    </row>
    <row r="498" spans="3:12" x14ac:dyDescent="0.3">
      <c r="C498" s="6" t="s">
        <v>2984</v>
      </c>
      <c r="D498" s="3" t="s">
        <v>2985</v>
      </c>
      <c r="E498" s="6" t="s">
        <v>38</v>
      </c>
      <c r="F498" s="7">
        <v>45588</v>
      </c>
      <c r="G498" s="7">
        <v>216084</v>
      </c>
      <c r="H498" s="6">
        <f t="shared" si="14"/>
        <v>4.7399315609370891</v>
      </c>
      <c r="I498" s="3" t="s">
        <v>948</v>
      </c>
      <c r="J498" s="6" t="str">
        <f t="shared" si="15"/>
        <v>http://konect.cc/files/download.tsv.edit-ukwiktionary.tar.bz2</v>
      </c>
      <c r="L498" s="5"/>
    </row>
    <row r="499" spans="3:12" x14ac:dyDescent="0.3">
      <c r="C499" s="6" t="s">
        <v>3040</v>
      </c>
      <c r="D499" s="3" t="s">
        <v>3041</v>
      </c>
      <c r="E499" s="6" t="s">
        <v>38</v>
      </c>
      <c r="F499" s="7">
        <v>45224</v>
      </c>
      <c r="G499" s="7">
        <v>275469</v>
      </c>
      <c r="H499" s="6">
        <f t="shared" si="14"/>
        <v>6.091212630461702</v>
      </c>
      <c r="I499" s="3" t="s">
        <v>979</v>
      </c>
      <c r="J499" s="6" t="str">
        <f t="shared" si="15"/>
        <v>http://konect.cc/files/download.tsv.edit-ocwiktionary.tar.bz2</v>
      </c>
      <c r="L499" s="5"/>
    </row>
    <row r="500" spans="3:12" x14ac:dyDescent="0.3">
      <c r="C500" s="6" t="s">
        <v>3065</v>
      </c>
      <c r="D500" s="3" t="s">
        <v>3066</v>
      </c>
      <c r="E500" s="6" t="s">
        <v>38</v>
      </c>
      <c r="F500" s="7">
        <v>45123</v>
      </c>
      <c r="G500" s="7">
        <v>314419</v>
      </c>
      <c r="H500" s="6">
        <f t="shared" si="14"/>
        <v>6.968042904948696</v>
      </c>
      <c r="I500" s="3" t="s">
        <v>992</v>
      </c>
      <c r="J500" s="6" t="str">
        <f t="shared" si="15"/>
        <v>http://konect.cc/files/download.tsv.edit-amwiki.tar.bz2</v>
      </c>
      <c r="L500" s="5"/>
    </row>
    <row r="501" spans="3:12" x14ac:dyDescent="0.3">
      <c r="C501" s="6" t="s">
        <v>1897</v>
      </c>
      <c r="D501" s="3" t="s">
        <v>1898</v>
      </c>
      <c r="E501" s="6" t="s">
        <v>38</v>
      </c>
      <c r="F501" s="7">
        <v>44718</v>
      </c>
      <c r="G501" s="7">
        <v>101928</v>
      </c>
      <c r="H501" s="6">
        <f t="shared" si="14"/>
        <v>2.2793505970750032</v>
      </c>
      <c r="I501" s="3" t="s">
        <v>819</v>
      </c>
      <c r="J501" s="6" t="str">
        <f t="shared" si="15"/>
        <v>http://konect.cc/files/download.tsv.edit-brwikisource.tar.bz2</v>
      </c>
      <c r="L501" s="5"/>
    </row>
    <row r="502" spans="3:12" x14ac:dyDescent="0.3">
      <c r="C502" s="6" t="s">
        <v>3220</v>
      </c>
      <c r="D502" s="3" t="s">
        <v>3221</v>
      </c>
      <c r="E502" s="6" t="s">
        <v>33</v>
      </c>
      <c r="F502" s="7">
        <v>44651</v>
      </c>
      <c r="G502" s="7">
        <v>1201350</v>
      </c>
      <c r="H502" s="6">
        <f t="shared" si="14"/>
        <v>26.905332467357955</v>
      </c>
      <c r="I502" s="3" t="s">
        <v>1071</v>
      </c>
      <c r="J502" s="6" t="str">
        <f t="shared" si="15"/>
        <v>http://konect.cc/files/download.tsv.wikipedia_link_my.tar.bz2</v>
      </c>
      <c r="L502" s="5"/>
    </row>
    <row r="503" spans="3:12" x14ac:dyDescent="0.3">
      <c r="C503" s="6" t="s">
        <v>3139</v>
      </c>
      <c r="D503" s="3" t="s">
        <v>3140</v>
      </c>
      <c r="E503" s="6" t="s">
        <v>33</v>
      </c>
      <c r="F503" s="7">
        <v>44634</v>
      </c>
      <c r="G503" s="7">
        <v>875818</v>
      </c>
      <c r="H503" s="6">
        <f t="shared" si="14"/>
        <v>19.622216247703545</v>
      </c>
      <c r="I503" s="3" t="s">
        <v>1028</v>
      </c>
      <c r="J503" s="6" t="str">
        <f t="shared" si="15"/>
        <v>http://konect.cc/files/download.tsv.wikipedia_link_cv.tar.bz2</v>
      </c>
      <c r="L503" s="5"/>
    </row>
    <row r="504" spans="3:12" x14ac:dyDescent="0.3">
      <c r="C504" s="6" t="s">
        <v>2989</v>
      </c>
      <c r="D504" s="3" t="s">
        <v>2990</v>
      </c>
      <c r="E504" s="6" t="s">
        <v>38</v>
      </c>
      <c r="F504" s="7">
        <v>44388</v>
      </c>
      <c r="G504" s="7">
        <v>217681</v>
      </c>
      <c r="H504" s="6">
        <f t="shared" si="14"/>
        <v>4.9040506443182839</v>
      </c>
      <c r="I504" s="3" t="s">
        <v>950</v>
      </c>
      <c r="J504" s="6" t="str">
        <f t="shared" si="15"/>
        <v>http://konect.cc/files/download.tsv.edit-brwiktionary.tar.bz2</v>
      </c>
      <c r="L504" s="5"/>
    </row>
    <row r="505" spans="3:12" x14ac:dyDescent="0.3">
      <c r="C505" s="6" t="s">
        <v>2906</v>
      </c>
      <c r="D505" s="3" t="s">
        <v>2907</v>
      </c>
      <c r="E505" s="6" t="s">
        <v>38</v>
      </c>
      <c r="F505" s="7">
        <v>44365</v>
      </c>
      <c r="G505" s="7">
        <v>160629</v>
      </c>
      <c r="H505" s="6">
        <f t="shared" si="14"/>
        <v>3.6206243660543223</v>
      </c>
      <c r="I505" s="3" t="s">
        <v>907</v>
      </c>
      <c r="J505" s="6" t="str">
        <f t="shared" si="15"/>
        <v>http://konect.cc/files/download.tsv.edit-azbwiki.tar.bz2</v>
      </c>
      <c r="L505" s="5"/>
    </row>
    <row r="506" spans="3:12" x14ac:dyDescent="0.3">
      <c r="C506" s="6" t="s">
        <v>2154</v>
      </c>
      <c r="D506" s="3" t="s">
        <v>2155</v>
      </c>
      <c r="E506" s="6" t="s">
        <v>38</v>
      </c>
      <c r="F506" s="7">
        <v>43889</v>
      </c>
      <c r="G506" s="7">
        <v>142340</v>
      </c>
      <c r="H506" s="6">
        <f t="shared" si="14"/>
        <v>3.2431816628312333</v>
      </c>
      <c r="I506" s="3" t="s">
        <v>886</v>
      </c>
      <c r="J506" s="6" t="str">
        <f t="shared" si="15"/>
        <v>http://konect.cc/files/download.tsv.edit-mlwikisource.tar.bz2</v>
      </c>
      <c r="L506" s="5"/>
    </row>
    <row r="507" spans="3:12" x14ac:dyDescent="0.3">
      <c r="C507" s="6" t="s">
        <v>3325</v>
      </c>
      <c r="D507" s="3" t="s">
        <v>3326</v>
      </c>
      <c r="E507" s="6" t="s">
        <v>38</v>
      </c>
      <c r="F507" s="7">
        <v>43718</v>
      </c>
      <c r="G507" s="7">
        <v>863473</v>
      </c>
      <c r="H507" s="6">
        <f t="shared" si="14"/>
        <v>19.750972139622125</v>
      </c>
      <c r="I507" s="3" t="s">
        <v>1125</v>
      </c>
      <c r="J507" s="6" t="str">
        <f t="shared" si="15"/>
        <v>http://konect.cc/files/download.tsv.edit-iowiki.tar.bz2</v>
      </c>
      <c r="L507" s="5"/>
    </row>
    <row r="508" spans="3:12" x14ac:dyDescent="0.3">
      <c r="C508" s="6" t="s">
        <v>2970</v>
      </c>
      <c r="D508" s="3" t="s">
        <v>2971</v>
      </c>
      <c r="E508" s="6" t="s">
        <v>38</v>
      </c>
      <c r="F508" s="7">
        <v>43407</v>
      </c>
      <c r="G508" s="7">
        <v>192332</v>
      </c>
      <c r="H508" s="6">
        <f t="shared" si="14"/>
        <v>4.4308982422189969</v>
      </c>
      <c r="I508" s="3" t="s">
        <v>941</v>
      </c>
      <c r="J508" s="6" t="str">
        <f t="shared" si="15"/>
        <v>http://konect.cc/files/download.tsv.edit-plwikinews.tar.bz2</v>
      </c>
      <c r="L508" s="5"/>
    </row>
    <row r="509" spans="3:12" x14ac:dyDescent="0.3">
      <c r="C509" s="6" t="s">
        <v>3222</v>
      </c>
      <c r="D509" s="3" t="s">
        <v>3223</v>
      </c>
      <c r="E509" s="6" t="s">
        <v>33</v>
      </c>
      <c r="F509" s="7">
        <v>43169</v>
      </c>
      <c r="G509" s="7">
        <v>1250082</v>
      </c>
      <c r="H509" s="6">
        <f t="shared" si="14"/>
        <v>28.957863281521462</v>
      </c>
      <c r="I509" s="3" t="s">
        <v>1072</v>
      </c>
      <c r="J509" s="6" t="str">
        <f t="shared" si="15"/>
        <v>http://konect.cc/files/download.tsv.wikipedia_link_su.tar.bz2</v>
      </c>
      <c r="L509" s="5"/>
    </row>
    <row r="510" spans="3:12" x14ac:dyDescent="0.3">
      <c r="C510" s="6" t="s">
        <v>2584</v>
      </c>
      <c r="D510" s="3" t="s">
        <v>2585</v>
      </c>
      <c r="E510" s="6" t="s">
        <v>38</v>
      </c>
      <c r="F510" s="7">
        <v>42932</v>
      </c>
      <c r="G510" s="7">
        <v>64908</v>
      </c>
      <c r="H510" s="6">
        <f t="shared" si="14"/>
        <v>1.5118792509084134</v>
      </c>
      <c r="I510" s="3" t="s">
        <v>720</v>
      </c>
      <c r="J510" s="6" t="str">
        <f t="shared" si="15"/>
        <v>http://konect.cc/files/download.tsv.edit-sqwiktionary.tar.bz2</v>
      </c>
      <c r="L510" s="5"/>
    </row>
    <row r="511" spans="3:12" x14ac:dyDescent="0.3">
      <c r="C511" s="6" t="s">
        <v>3179</v>
      </c>
      <c r="D511" s="3" t="s">
        <v>3180</v>
      </c>
      <c r="E511" s="6" t="s">
        <v>38</v>
      </c>
      <c r="F511" s="7">
        <v>42623</v>
      </c>
      <c r="G511" s="7">
        <v>513672</v>
      </c>
      <c r="H511" s="6">
        <f t="shared" si="14"/>
        <v>12.051521479013678</v>
      </c>
      <c r="I511" s="3" t="s">
        <v>1048</v>
      </c>
      <c r="J511" s="6" t="str">
        <f t="shared" si="15"/>
        <v>http://konect.cc/files/download.tsv.edit-eswikinews.tar.bz2</v>
      </c>
      <c r="L511" s="5"/>
    </row>
    <row r="512" spans="3:12" x14ac:dyDescent="0.3">
      <c r="C512" s="6" t="s">
        <v>3024</v>
      </c>
      <c r="D512" s="3" t="s">
        <v>3025</v>
      </c>
      <c r="E512" s="6" t="s">
        <v>38</v>
      </c>
      <c r="F512" s="7">
        <v>42449</v>
      </c>
      <c r="G512" s="7">
        <v>247874</v>
      </c>
      <c r="H512" s="6">
        <f t="shared" si="14"/>
        <v>5.8393366157035498</v>
      </c>
      <c r="I512" s="3" t="s">
        <v>971</v>
      </c>
      <c r="J512" s="6" t="str">
        <f t="shared" si="15"/>
        <v>http://konect.cc/files/download.tsv.edit-ptwikinews.tar.bz2</v>
      </c>
      <c r="L512" s="5"/>
    </row>
    <row r="513" spans="3:12" x14ac:dyDescent="0.3">
      <c r="C513" s="6" t="s">
        <v>3135</v>
      </c>
      <c r="D513" s="3" t="s">
        <v>3136</v>
      </c>
      <c r="E513" s="6" t="s">
        <v>38</v>
      </c>
      <c r="F513" s="7">
        <v>41947</v>
      </c>
      <c r="G513" s="7">
        <v>444794</v>
      </c>
      <c r="H513" s="6">
        <f t="shared" si="14"/>
        <v>10.603714210789807</v>
      </c>
      <c r="I513" s="3" t="s">
        <v>1026</v>
      </c>
      <c r="J513" s="6" t="str">
        <f t="shared" si="15"/>
        <v>http://konect.cc/files/download.tsv.edit-oswiki.tar.bz2</v>
      </c>
      <c r="L513" s="5"/>
    </row>
    <row r="514" spans="3:12" x14ac:dyDescent="0.3">
      <c r="C514" s="6" t="s">
        <v>2835</v>
      </c>
      <c r="D514" s="3" t="s">
        <v>2836</v>
      </c>
      <c r="E514" s="6" t="s">
        <v>145</v>
      </c>
      <c r="F514" s="7">
        <v>41452</v>
      </c>
      <c r="G514" s="7">
        <v>131884</v>
      </c>
      <c r="H514" s="6">
        <f t="shared" ref="H514:H577" si="16">G514/F514</f>
        <v>3.1816076425745439</v>
      </c>
      <c r="I514" s="3" t="s">
        <v>865</v>
      </c>
      <c r="J514" s="6" t="str">
        <f t="shared" ref="J514:J577" si="17">"http://konect.cc/files/download.tsv."&amp;I514&amp;".tar.bz2"</f>
        <v>http://konect.cc/files/download.tsv.wiki_talk_sk.tar.bz2</v>
      </c>
      <c r="L514" s="5"/>
    </row>
    <row r="515" spans="3:12" x14ac:dyDescent="0.3">
      <c r="C515" s="6" t="s">
        <v>2630</v>
      </c>
      <c r="D515" s="3" t="s">
        <v>2631</v>
      </c>
      <c r="E515" s="6" t="s">
        <v>145</v>
      </c>
      <c r="F515" s="7">
        <v>41424</v>
      </c>
      <c r="G515" s="7">
        <v>73900</v>
      </c>
      <c r="H515" s="6">
        <f t="shared" si="16"/>
        <v>1.7839899575125531</v>
      </c>
      <c r="I515" s="3" t="s">
        <v>749</v>
      </c>
      <c r="J515" s="6" t="str">
        <f t="shared" si="17"/>
        <v>http://konect.cc/files/download.tsv.wiki_talk_lv.tar.bz2</v>
      </c>
      <c r="L515" s="5"/>
    </row>
    <row r="516" spans="3:12" x14ac:dyDescent="0.3">
      <c r="C516" s="6" t="s">
        <v>3157</v>
      </c>
      <c r="D516" s="3" t="s">
        <v>3158</v>
      </c>
      <c r="E516" s="6" t="s">
        <v>38</v>
      </c>
      <c r="F516" s="7">
        <v>41363</v>
      </c>
      <c r="G516" s="7">
        <v>474132</v>
      </c>
      <c r="H516" s="6">
        <f t="shared" si="16"/>
        <v>11.462708217489061</v>
      </c>
      <c r="I516" s="3" t="s">
        <v>1037</v>
      </c>
      <c r="J516" s="6" t="str">
        <f t="shared" si="17"/>
        <v>http://konect.cc/files/download.tsv.edit-yiwiki.tar.bz2</v>
      </c>
      <c r="L516" s="5"/>
    </row>
    <row r="517" spans="3:12" x14ac:dyDescent="0.3">
      <c r="C517" s="6" t="s">
        <v>2695</v>
      </c>
      <c r="D517" s="3" t="s">
        <v>2696</v>
      </c>
      <c r="E517" s="6" t="s">
        <v>38</v>
      </c>
      <c r="F517" s="7">
        <v>41220</v>
      </c>
      <c r="G517" s="7">
        <v>88652</v>
      </c>
      <c r="H517" s="6">
        <f t="shared" si="16"/>
        <v>2.1507035419699174</v>
      </c>
      <c r="I517" s="3" t="s">
        <v>788</v>
      </c>
      <c r="J517" s="6" t="str">
        <f t="shared" si="17"/>
        <v>http://konect.cc/files/download.tsv.edit-kmwiktionary.tar.bz2</v>
      </c>
      <c r="L517" s="5"/>
    </row>
    <row r="518" spans="3:12" x14ac:dyDescent="0.3">
      <c r="C518" s="6" t="s">
        <v>3186</v>
      </c>
      <c r="D518" s="3" t="s">
        <v>3187</v>
      </c>
      <c r="E518" s="6" t="s">
        <v>33</v>
      </c>
      <c r="F518" s="7">
        <v>41205</v>
      </c>
      <c r="G518" s="7">
        <v>1042990</v>
      </c>
      <c r="H518" s="6">
        <f t="shared" si="16"/>
        <v>25.312219390850625</v>
      </c>
      <c r="I518" s="3" t="s">
        <v>1052</v>
      </c>
      <c r="J518" s="6" t="str">
        <f t="shared" si="17"/>
        <v>http://konect.cc/files/download.tsv.wikipedia_link_yo.tar.bz2</v>
      </c>
      <c r="L518" s="5"/>
    </row>
    <row r="519" spans="3:12" x14ac:dyDescent="0.3">
      <c r="C519" s="6" t="s">
        <v>2870</v>
      </c>
      <c r="D519" s="3" t="s">
        <v>2997</v>
      </c>
      <c r="E519" s="6" t="s">
        <v>38</v>
      </c>
      <c r="F519" s="7">
        <v>41101</v>
      </c>
      <c r="G519" s="7">
        <v>224685</v>
      </c>
      <c r="H519" s="6">
        <f t="shared" si="16"/>
        <v>5.4666553125228097</v>
      </c>
      <c r="I519" s="3" t="s">
        <v>955</v>
      </c>
      <c r="J519" s="6" t="str">
        <f t="shared" si="17"/>
        <v>http://konect.cc/files/download.tsv.edit-hrwiktionary.tar.bz2</v>
      </c>
      <c r="L519" s="5"/>
    </row>
    <row r="520" spans="3:12" x14ac:dyDescent="0.3">
      <c r="C520" s="6" t="s">
        <v>2556</v>
      </c>
      <c r="D520" s="3" t="s">
        <v>2557</v>
      </c>
      <c r="E520" s="6" t="s">
        <v>145</v>
      </c>
      <c r="F520" s="7">
        <v>40993</v>
      </c>
      <c r="G520" s="7">
        <v>58120</v>
      </c>
      <c r="H520" s="6">
        <f t="shared" si="16"/>
        <v>1.4178030395433368</v>
      </c>
      <c r="I520" s="3" t="s">
        <v>704</v>
      </c>
      <c r="J520" s="6" t="str">
        <f t="shared" si="17"/>
        <v>http://konect.cc/files/download.tsv.wiki_talk_eu.tar.bz2</v>
      </c>
      <c r="L520" s="5"/>
    </row>
    <row r="521" spans="3:12" x14ac:dyDescent="0.3">
      <c r="C521" s="6" t="s">
        <v>3092</v>
      </c>
      <c r="D521" s="3" t="s">
        <v>3093</v>
      </c>
      <c r="E521" s="6" t="s">
        <v>33</v>
      </c>
      <c r="F521" s="7">
        <v>40757</v>
      </c>
      <c r="G521" s="7">
        <v>664036</v>
      </c>
      <c r="H521" s="6">
        <f t="shared" si="16"/>
        <v>16.292563240670315</v>
      </c>
      <c r="I521" s="3" t="s">
        <v>1004</v>
      </c>
      <c r="J521" s="6" t="str">
        <f t="shared" si="17"/>
        <v>http://konect.cc/files/download.tsv.wikipedia_link_bar.tar.bz2</v>
      </c>
      <c r="L521" s="5"/>
    </row>
    <row r="522" spans="3:12" x14ac:dyDescent="0.3">
      <c r="C522" s="6" t="s">
        <v>2961</v>
      </c>
      <c r="D522" s="3" t="s">
        <v>2962</v>
      </c>
      <c r="E522" s="6" t="s">
        <v>145</v>
      </c>
      <c r="F522" s="7">
        <v>40254</v>
      </c>
      <c r="G522" s="7">
        <v>190279</v>
      </c>
      <c r="H522" s="6">
        <f t="shared" si="16"/>
        <v>4.7269588115466785</v>
      </c>
      <c r="I522" s="3" t="s">
        <v>936</v>
      </c>
      <c r="J522" s="6" t="str">
        <f t="shared" si="17"/>
        <v>http://konect.cc/files/download.tsv.wiki_talk_el.tar.bz2</v>
      </c>
      <c r="L522" s="5"/>
    </row>
    <row r="523" spans="3:12" x14ac:dyDescent="0.3">
      <c r="C523" s="6" t="s">
        <v>3010</v>
      </c>
      <c r="D523" s="3" t="s">
        <v>3011</v>
      </c>
      <c r="E523" s="6" t="s">
        <v>38</v>
      </c>
      <c r="F523" s="7">
        <v>40141</v>
      </c>
      <c r="G523" s="7">
        <v>218263</v>
      </c>
      <c r="H523" s="6">
        <f t="shared" si="16"/>
        <v>5.4374081363194735</v>
      </c>
      <c r="I523" s="3" t="s">
        <v>962</v>
      </c>
      <c r="J523" s="6" t="str">
        <f t="shared" si="17"/>
        <v>http://konect.cc/files/download.tsv.edit-eswikibooks.tar.bz2</v>
      </c>
      <c r="L523" s="5"/>
    </row>
    <row r="524" spans="3:12" x14ac:dyDescent="0.3">
      <c r="C524" s="6" t="s">
        <v>3246</v>
      </c>
      <c r="D524" s="3" t="s">
        <v>3247</v>
      </c>
      <c r="E524" s="6" t="s">
        <v>33</v>
      </c>
      <c r="F524" s="7">
        <v>39957</v>
      </c>
      <c r="G524" s="7">
        <v>1182785</v>
      </c>
      <c r="H524" s="6">
        <f t="shared" si="16"/>
        <v>29.601446555046675</v>
      </c>
      <c r="I524" s="3" t="s">
        <v>1084</v>
      </c>
      <c r="J524" s="6" t="str">
        <f t="shared" si="17"/>
        <v>http://konect.cc/files/download.tsv.wikipedia_link_scn.tar.bz2</v>
      </c>
      <c r="L524" s="5"/>
    </row>
    <row r="525" spans="3:12" x14ac:dyDescent="0.3">
      <c r="C525" s="6" t="s">
        <v>3075</v>
      </c>
      <c r="D525" s="3" t="s">
        <v>3076</v>
      </c>
      <c r="E525" s="6" t="s">
        <v>38</v>
      </c>
      <c r="F525" s="7">
        <v>39858</v>
      </c>
      <c r="G525" s="7">
        <v>317875</v>
      </c>
      <c r="H525" s="6">
        <f t="shared" si="16"/>
        <v>7.9751869135430775</v>
      </c>
      <c r="I525" s="3" t="s">
        <v>997</v>
      </c>
      <c r="J525" s="6" t="str">
        <f t="shared" si="17"/>
        <v>http://konect.cc/files/download.tsv.edit-sahwiki.tar.bz2</v>
      </c>
      <c r="L525" s="5"/>
    </row>
    <row r="526" spans="3:12" x14ac:dyDescent="0.3">
      <c r="C526" s="6" t="s">
        <v>3067</v>
      </c>
      <c r="D526" s="3" t="s">
        <v>3068</v>
      </c>
      <c r="E526" s="6" t="s">
        <v>38</v>
      </c>
      <c r="F526" s="7">
        <v>39779</v>
      </c>
      <c r="G526" s="7">
        <v>315895</v>
      </c>
      <c r="H526" s="6">
        <f t="shared" si="16"/>
        <v>7.9412504085070008</v>
      </c>
      <c r="I526" s="3" t="s">
        <v>993</v>
      </c>
      <c r="J526" s="6" t="str">
        <f t="shared" si="17"/>
        <v>http://konect.cc/files/download.tsv.edit-fowiki.tar.bz2</v>
      </c>
      <c r="L526" s="5"/>
    </row>
    <row r="527" spans="3:12" x14ac:dyDescent="0.3">
      <c r="C527" s="6" t="s">
        <v>3038</v>
      </c>
      <c r="D527" s="3" t="s">
        <v>3039</v>
      </c>
      <c r="E527" s="6" t="s">
        <v>33</v>
      </c>
      <c r="F527" s="7">
        <v>39753</v>
      </c>
      <c r="G527" s="7">
        <v>537334</v>
      </c>
      <c r="H527" s="6">
        <f t="shared" si="16"/>
        <v>13.516816340905089</v>
      </c>
      <c r="I527" s="3" t="s">
        <v>978</v>
      </c>
      <c r="J527" s="6" t="str">
        <f t="shared" si="17"/>
        <v>http://konect.cc/files/download.tsv.wikipedia_link_pa.tar.bz2</v>
      </c>
      <c r="L527" s="5"/>
    </row>
    <row r="528" spans="3:12" x14ac:dyDescent="0.3">
      <c r="C528" s="6" t="s">
        <v>2697</v>
      </c>
      <c r="D528" s="3" t="s">
        <v>2698</v>
      </c>
      <c r="E528" s="6" t="s">
        <v>1827</v>
      </c>
      <c r="F528" s="7">
        <v>39577</v>
      </c>
      <c r="G528" s="7">
        <v>175691</v>
      </c>
      <c r="H528" s="6">
        <f t="shared" si="16"/>
        <v>4.4392197488440255</v>
      </c>
      <c r="I528" s="3" t="s">
        <v>789</v>
      </c>
      <c r="J528" s="6" t="str">
        <f t="shared" si="17"/>
        <v>http://konect.cc/files/download.tsv.dimacs10-cond-mat-2005.tar.bz2</v>
      </c>
      <c r="L528" s="5"/>
    </row>
    <row r="529" spans="3:12" x14ac:dyDescent="0.3">
      <c r="C529" s="6" t="s">
        <v>2866</v>
      </c>
      <c r="D529" s="3" t="s">
        <v>2867</v>
      </c>
      <c r="E529" s="6" t="s">
        <v>38</v>
      </c>
      <c r="F529" s="7">
        <v>39264</v>
      </c>
      <c r="G529" s="7">
        <v>142592</v>
      </c>
      <c r="H529" s="6">
        <f t="shared" si="16"/>
        <v>3.6316218418907904</v>
      </c>
      <c r="I529" s="3" t="s">
        <v>884</v>
      </c>
      <c r="J529" s="6" t="str">
        <f t="shared" si="17"/>
        <v>http://konect.cc/files/download.tsv.edit-aswiki.tar.bz2</v>
      </c>
      <c r="L529" s="5"/>
    </row>
    <row r="530" spans="3:12" x14ac:dyDescent="0.3">
      <c r="C530" s="6" t="s">
        <v>2459</v>
      </c>
      <c r="D530" s="3" t="s">
        <v>2460</v>
      </c>
      <c r="E530" s="6" t="s">
        <v>2461</v>
      </c>
      <c r="F530" s="7">
        <v>39199</v>
      </c>
      <c r="G530" s="7">
        <v>87415</v>
      </c>
      <c r="H530" s="6">
        <f t="shared" si="16"/>
        <v>2.2300313783514887</v>
      </c>
      <c r="I530" s="3" t="s">
        <v>3885</v>
      </c>
      <c r="J530" s="6" t="str">
        <f t="shared" si="17"/>
        <v>http://konect.cc/files/download.tsv.filmtipset_friend.tar.bz2</v>
      </c>
      <c r="L530" s="5"/>
    </row>
    <row r="531" spans="3:12" x14ac:dyDescent="0.3">
      <c r="C531" s="6" t="s">
        <v>3044</v>
      </c>
      <c r="D531" s="3" t="s">
        <v>3045</v>
      </c>
      <c r="E531" s="6" t="s">
        <v>33</v>
      </c>
      <c r="F531" s="7">
        <v>39034</v>
      </c>
      <c r="G531" s="7">
        <v>541578</v>
      </c>
      <c r="H531" s="6">
        <f t="shared" si="16"/>
        <v>13.874519649536301</v>
      </c>
      <c r="I531" s="3" t="s">
        <v>981</v>
      </c>
      <c r="J531" s="6" t="str">
        <f t="shared" si="17"/>
        <v>http://konect.cc/files/download.tsv.wikipedia_link_nds.tar.bz2</v>
      </c>
      <c r="L531" s="5"/>
    </row>
    <row r="532" spans="3:12" x14ac:dyDescent="0.3">
      <c r="C532" s="6" t="s">
        <v>3059</v>
      </c>
      <c r="D532" s="3" t="s">
        <v>3060</v>
      </c>
      <c r="E532" s="6" t="s">
        <v>38</v>
      </c>
      <c r="F532" s="7">
        <v>38946</v>
      </c>
      <c r="G532" s="7">
        <v>311049</v>
      </c>
      <c r="H532" s="6">
        <f t="shared" si="16"/>
        <v>7.9866738561084576</v>
      </c>
      <c r="I532" s="3" t="s">
        <v>988</v>
      </c>
      <c r="J532" s="6" t="str">
        <f t="shared" si="17"/>
        <v>http://konect.cc/files/download.tsv.edit-wawiki.tar.bz2</v>
      </c>
      <c r="L532" s="5"/>
    </row>
    <row r="533" spans="3:12" x14ac:dyDescent="0.3">
      <c r="C533" s="6" t="s">
        <v>2387</v>
      </c>
      <c r="D533" s="3" t="s">
        <v>2388</v>
      </c>
      <c r="E533" s="6" t="s">
        <v>36</v>
      </c>
      <c r="F533" s="7">
        <v>38741</v>
      </c>
      <c r="G533" s="7">
        <v>58595</v>
      </c>
      <c r="H533" s="6">
        <f t="shared" si="16"/>
        <v>1.512480318009344</v>
      </c>
      <c r="I533" s="3" t="s">
        <v>610</v>
      </c>
      <c r="J533" s="6" t="str">
        <f t="shared" si="17"/>
        <v>http://konect.cc/files/download.tsv.opsahl-collaboration.tar.bz2</v>
      </c>
      <c r="L533" s="5"/>
    </row>
    <row r="534" spans="3:12" x14ac:dyDescent="0.3">
      <c r="C534" s="6" t="s">
        <v>2660</v>
      </c>
      <c r="D534" s="3" t="s">
        <v>2661</v>
      </c>
      <c r="E534" s="6" t="s">
        <v>38</v>
      </c>
      <c r="F534" s="7">
        <v>38382</v>
      </c>
      <c r="G534" s="7">
        <v>91702</v>
      </c>
      <c r="H534" s="6">
        <f t="shared" si="16"/>
        <v>2.3891928508154865</v>
      </c>
      <c r="I534" s="3" t="s">
        <v>792</v>
      </c>
      <c r="J534" s="6" t="str">
        <f t="shared" si="17"/>
        <v>http://konect.cc/files/download.tsv.edit-cawikisource.tar.bz2</v>
      </c>
      <c r="L534" s="5"/>
    </row>
    <row r="535" spans="3:12" x14ac:dyDescent="0.3">
      <c r="C535" s="6" t="s">
        <v>3359</v>
      </c>
      <c r="D535" s="3" t="s">
        <v>3360</v>
      </c>
      <c r="E535" s="6" t="s">
        <v>38</v>
      </c>
      <c r="F535" s="7">
        <v>38179</v>
      </c>
      <c r="G535" s="7">
        <v>907499</v>
      </c>
      <c r="H535" s="6">
        <f t="shared" si="16"/>
        <v>23.76958537415857</v>
      </c>
      <c r="I535" s="3" t="s">
        <v>1143</v>
      </c>
      <c r="J535" s="6" t="str">
        <f t="shared" si="17"/>
        <v>http://konect.cc/files/download.tsv.edit-itwikinews.tar.bz2</v>
      </c>
      <c r="L535" s="5"/>
    </row>
    <row r="536" spans="3:12" x14ac:dyDescent="0.3">
      <c r="C536" s="6" t="s">
        <v>2998</v>
      </c>
      <c r="D536" s="3" t="s">
        <v>2999</v>
      </c>
      <c r="E536" s="6" t="s">
        <v>38</v>
      </c>
      <c r="F536" s="7">
        <v>38019</v>
      </c>
      <c r="G536" s="7">
        <v>223551</v>
      </c>
      <c r="H536" s="6">
        <f t="shared" si="16"/>
        <v>5.8799810621005291</v>
      </c>
      <c r="I536" s="3" t="s">
        <v>956</v>
      </c>
      <c r="J536" s="6" t="str">
        <f t="shared" si="17"/>
        <v>http://konect.cc/files/download.tsv.edit-hewiktionary.tar.bz2</v>
      </c>
      <c r="L536" s="5"/>
    </row>
    <row r="537" spans="3:12" x14ac:dyDescent="0.3">
      <c r="C537" s="6" t="s">
        <v>2980</v>
      </c>
      <c r="D537" s="3" t="s">
        <v>2981</v>
      </c>
      <c r="E537" s="6" t="s">
        <v>38</v>
      </c>
      <c r="F537" s="7">
        <v>37740</v>
      </c>
      <c r="G537" s="7">
        <v>204682</v>
      </c>
      <c r="H537" s="6">
        <f t="shared" si="16"/>
        <v>5.4234764175940651</v>
      </c>
      <c r="I537" s="3" t="s">
        <v>946</v>
      </c>
      <c r="J537" s="6" t="str">
        <f t="shared" si="17"/>
        <v>http://konect.cc/files/download.tsv.edit-ruwikiquote.tar.bz2</v>
      </c>
      <c r="L537" s="5"/>
    </row>
    <row r="538" spans="3:12" x14ac:dyDescent="0.3">
      <c r="C538" s="6" t="s">
        <v>3224</v>
      </c>
      <c r="D538" s="3" t="s">
        <v>3225</v>
      </c>
      <c r="E538" s="6" t="s">
        <v>33</v>
      </c>
      <c r="F538" s="7">
        <v>37219</v>
      </c>
      <c r="G538" s="7">
        <v>1165599</v>
      </c>
      <c r="H538" s="6">
        <f t="shared" si="16"/>
        <v>31.317311050807383</v>
      </c>
      <c r="I538" s="3" t="s">
        <v>1073</v>
      </c>
      <c r="J538" s="6" t="str">
        <f t="shared" si="17"/>
        <v>http://konect.cc/files/download.tsv.wikipedia_link_qu.tar.bz2</v>
      </c>
      <c r="L538" s="5"/>
    </row>
    <row r="539" spans="3:12" x14ac:dyDescent="0.3">
      <c r="C539" s="6" t="s">
        <v>3125</v>
      </c>
      <c r="D539" s="3" t="s">
        <v>3126</v>
      </c>
      <c r="E539" s="6" t="s">
        <v>33</v>
      </c>
      <c r="F539" s="7">
        <v>37123</v>
      </c>
      <c r="G539" s="7">
        <v>805932</v>
      </c>
      <c r="H539" s="6">
        <f t="shared" si="16"/>
        <v>21.709775610807316</v>
      </c>
      <c r="I539" s="3" t="s">
        <v>1021</v>
      </c>
      <c r="J539" s="6" t="str">
        <f t="shared" si="17"/>
        <v>http://konect.cc/files/download.tsv.wikipedia_link_ku.tar.bz2</v>
      </c>
      <c r="L539" s="5"/>
    </row>
    <row r="540" spans="3:12" x14ac:dyDescent="0.3">
      <c r="C540" s="6" t="s">
        <v>2076</v>
      </c>
      <c r="D540" s="3" t="s">
        <v>2478</v>
      </c>
      <c r="E540" s="6" t="s">
        <v>2078</v>
      </c>
      <c r="F540" s="7">
        <v>36682</v>
      </c>
      <c r="G540" s="7">
        <v>88328</v>
      </c>
      <c r="H540" s="6">
        <f t="shared" si="16"/>
        <v>2.4079384984461045</v>
      </c>
      <c r="I540" s="3" t="s">
        <v>660</v>
      </c>
      <c r="J540" s="6" t="str">
        <f t="shared" si="17"/>
        <v>http://konect.cc/files/download.tsv.p2p-Gnutella30.tar.bz2</v>
      </c>
      <c r="L540" s="5"/>
    </row>
    <row r="541" spans="3:12" x14ac:dyDescent="0.3">
      <c r="C541" s="6" t="s">
        <v>2415</v>
      </c>
      <c r="D541" s="3" t="s">
        <v>2416</v>
      </c>
      <c r="E541" s="6" t="s">
        <v>38</v>
      </c>
      <c r="F541" s="7">
        <v>36229</v>
      </c>
      <c r="G541" s="7">
        <v>82236</v>
      </c>
      <c r="H541" s="6">
        <f t="shared" si="16"/>
        <v>2.2698942835849736</v>
      </c>
      <c r="I541" s="3" t="s">
        <v>764</v>
      </c>
      <c r="J541" s="6" t="str">
        <f t="shared" si="17"/>
        <v>http://konect.cc/files/download.tsv.edit-huwikisource.tar.bz2</v>
      </c>
      <c r="L541" s="5"/>
    </row>
    <row r="542" spans="3:12" x14ac:dyDescent="0.3">
      <c r="C542" s="6" t="s">
        <v>3424</v>
      </c>
      <c r="D542" s="3" t="s">
        <v>3425</v>
      </c>
      <c r="E542" s="6" t="s">
        <v>33</v>
      </c>
      <c r="F542" s="7">
        <v>36211</v>
      </c>
      <c r="G542" s="7">
        <v>2941201</v>
      </c>
      <c r="H542" s="6">
        <f t="shared" si="16"/>
        <v>81.223965093479876</v>
      </c>
      <c r="I542" s="3" t="s">
        <v>1179</v>
      </c>
      <c r="J542" s="6" t="str">
        <f t="shared" si="17"/>
        <v>http://konect.cc/files/download.tsv.wikipedia_link_ne.tar.bz2</v>
      </c>
      <c r="L542" s="5"/>
    </row>
    <row r="543" spans="3:12" x14ac:dyDescent="0.3">
      <c r="C543" s="6" t="s">
        <v>2570</v>
      </c>
      <c r="D543" s="3" t="s">
        <v>2571</v>
      </c>
      <c r="E543" s="6" t="s">
        <v>38</v>
      </c>
      <c r="F543" s="7">
        <v>36071</v>
      </c>
      <c r="G543" s="7">
        <v>82153</v>
      </c>
      <c r="H543" s="6">
        <f t="shared" si="16"/>
        <v>2.2775359707244047</v>
      </c>
      <c r="I543" s="3" t="s">
        <v>770</v>
      </c>
      <c r="J543" s="6" t="str">
        <f t="shared" si="17"/>
        <v>http://konect.cc/files/download.tsv.edit-ukwikisource.tar.bz2</v>
      </c>
      <c r="L543" s="5"/>
    </row>
    <row r="544" spans="3:12" x14ac:dyDescent="0.3">
      <c r="C544" s="6" t="s">
        <v>2254</v>
      </c>
      <c r="D544" s="3" t="s">
        <v>2255</v>
      </c>
      <c r="E544" s="6" t="s">
        <v>38</v>
      </c>
      <c r="F544" s="7">
        <v>35955</v>
      </c>
      <c r="G544" s="7">
        <v>138598</v>
      </c>
      <c r="H544" s="6">
        <f t="shared" si="16"/>
        <v>3.8547628980670283</v>
      </c>
      <c r="I544" s="3" t="s">
        <v>877</v>
      </c>
      <c r="J544" s="6" t="str">
        <f t="shared" si="17"/>
        <v>http://konect.cc/files/download.tsv.edit-kowikisource.tar.bz2</v>
      </c>
      <c r="L544" s="5"/>
    </row>
    <row r="545" spans="3:12" x14ac:dyDescent="0.3">
      <c r="C545" s="6" t="s">
        <v>3195</v>
      </c>
      <c r="D545" s="3" t="s">
        <v>3196</v>
      </c>
      <c r="E545" s="6" t="s">
        <v>38</v>
      </c>
      <c r="F545" s="7">
        <v>35868</v>
      </c>
      <c r="G545" s="7">
        <v>540090</v>
      </c>
      <c r="H545" s="6">
        <f t="shared" si="16"/>
        <v>15.057711609233857</v>
      </c>
      <c r="I545" s="3" t="s">
        <v>1058</v>
      </c>
      <c r="J545" s="6" t="str">
        <f t="shared" si="17"/>
        <v>http://konect.cc/files/download.tsv.edit-vecwiki.tar.bz2</v>
      </c>
      <c r="L545" s="5"/>
    </row>
    <row r="546" spans="3:12" x14ac:dyDescent="0.3">
      <c r="C546" s="6" t="s">
        <v>2974</v>
      </c>
      <c r="D546" s="3" t="s">
        <v>2975</v>
      </c>
      <c r="E546" s="6" t="s">
        <v>38</v>
      </c>
      <c r="F546" s="7">
        <v>35344</v>
      </c>
      <c r="G546" s="7">
        <v>202296</v>
      </c>
      <c r="H546" s="6">
        <f t="shared" si="16"/>
        <v>5.7236306020823902</v>
      </c>
      <c r="I546" s="3" t="s">
        <v>943</v>
      </c>
      <c r="J546" s="6" t="str">
        <f t="shared" si="17"/>
        <v>http://konect.cc/files/download.tsv.edit-eswikiquote.tar.bz2</v>
      </c>
      <c r="L546" s="5"/>
    </row>
    <row r="547" spans="3:12" x14ac:dyDescent="0.3">
      <c r="C547" s="6" t="s">
        <v>3190</v>
      </c>
      <c r="D547" s="3" t="s">
        <v>3191</v>
      </c>
      <c r="E547" s="6" t="s">
        <v>38</v>
      </c>
      <c r="F547" s="7">
        <v>35162</v>
      </c>
      <c r="G547" s="7">
        <v>521965</v>
      </c>
      <c r="H547" s="6">
        <f t="shared" si="16"/>
        <v>14.844576531482851</v>
      </c>
      <c r="I547" s="3" t="s">
        <v>1054</v>
      </c>
      <c r="J547" s="6" t="str">
        <f t="shared" si="17"/>
        <v>http://konect.cc/files/download.tsv.edit-iawiki.tar.bz2</v>
      </c>
      <c r="L547" s="5"/>
    </row>
    <row r="548" spans="3:12" x14ac:dyDescent="0.3">
      <c r="C548" s="6" t="s">
        <v>2934</v>
      </c>
      <c r="D548" s="3" t="s">
        <v>2935</v>
      </c>
      <c r="E548" s="6" t="s">
        <v>2936</v>
      </c>
      <c r="F548" s="7">
        <v>34761</v>
      </c>
      <c r="G548" s="7">
        <v>171403</v>
      </c>
      <c r="H548" s="6">
        <f t="shared" si="16"/>
        <v>4.9308995713587063</v>
      </c>
      <c r="I548" s="3" t="s">
        <v>922</v>
      </c>
      <c r="J548" s="6" t="str">
        <f t="shared" si="17"/>
        <v>http://konect.cc/files/download.tsv.topology.tar.bz2</v>
      </c>
      <c r="L548" s="5"/>
    </row>
    <row r="549" spans="3:12" x14ac:dyDescent="0.3">
      <c r="C549" s="6" t="s">
        <v>2982</v>
      </c>
      <c r="D549" s="3" t="s">
        <v>2983</v>
      </c>
      <c r="E549" s="6" t="s">
        <v>33</v>
      </c>
      <c r="F549" s="7">
        <v>34546</v>
      </c>
      <c r="G549" s="7">
        <v>421578</v>
      </c>
      <c r="H549" s="6">
        <f t="shared" si="16"/>
        <v>12.203380999247381</v>
      </c>
      <c r="I549" s="3" t="s">
        <v>947</v>
      </c>
      <c r="J549" s="6" t="str">
        <f t="shared" si="17"/>
        <v>http://konect.cc/files/download.tsv.cit-HepPh.tar.bz2</v>
      </c>
      <c r="L549" s="5"/>
    </row>
    <row r="550" spans="3:12" x14ac:dyDescent="0.3">
      <c r="C550" s="6" t="s">
        <v>3109</v>
      </c>
      <c r="D550" s="3" t="s">
        <v>3110</v>
      </c>
      <c r="E550" s="6" t="s">
        <v>38</v>
      </c>
      <c r="F550" s="7">
        <v>34354</v>
      </c>
      <c r="G550" s="7">
        <v>382174</v>
      </c>
      <c r="H550" s="6">
        <f t="shared" si="16"/>
        <v>11.124585201141061</v>
      </c>
      <c r="I550" s="3" t="s">
        <v>1013</v>
      </c>
      <c r="J550" s="6" t="str">
        <f t="shared" si="17"/>
        <v>http://konect.cc/files/download.tsv.edit-ganwiki.tar.bz2</v>
      </c>
      <c r="L550" s="5"/>
    </row>
    <row r="551" spans="3:12" x14ac:dyDescent="0.3">
      <c r="C551" s="6" t="s">
        <v>2656</v>
      </c>
      <c r="D551" s="3" t="s">
        <v>2657</v>
      </c>
      <c r="E551" s="6" t="s">
        <v>38</v>
      </c>
      <c r="F551" s="7">
        <v>33968</v>
      </c>
      <c r="G551" s="7">
        <v>81516</v>
      </c>
      <c r="H551" s="6">
        <f t="shared" si="16"/>
        <v>2.3997880357983985</v>
      </c>
      <c r="I551" s="3" t="s">
        <v>763</v>
      </c>
      <c r="J551" s="6" t="str">
        <f t="shared" si="17"/>
        <v>http://konect.cc/files/download.tsv.edit-tgwiktionary.tar.bz2</v>
      </c>
      <c r="L551" s="5"/>
    </row>
    <row r="552" spans="3:12" x14ac:dyDescent="0.3">
      <c r="C552" s="6" t="s">
        <v>2864</v>
      </c>
      <c r="D552" s="3" t="s">
        <v>2865</v>
      </c>
      <c r="E552" s="6" t="s">
        <v>38</v>
      </c>
      <c r="F552" s="7">
        <v>33865</v>
      </c>
      <c r="G552" s="7">
        <v>140034</v>
      </c>
      <c r="H552" s="6">
        <f t="shared" si="16"/>
        <v>4.1350657020522661</v>
      </c>
      <c r="I552" s="3" t="s">
        <v>883</v>
      </c>
      <c r="J552" s="6" t="str">
        <f t="shared" si="17"/>
        <v>http://konect.cc/files/download.tsv.edit-maiwiki.tar.bz2</v>
      </c>
      <c r="L552" s="5"/>
    </row>
    <row r="553" spans="3:12" x14ac:dyDescent="0.3">
      <c r="C553" s="6" t="s">
        <v>2560</v>
      </c>
      <c r="D553" s="3" t="s">
        <v>2632</v>
      </c>
      <c r="E553" s="6" t="s">
        <v>2405</v>
      </c>
      <c r="F553" s="7">
        <v>33736</v>
      </c>
      <c r="G553" s="7">
        <v>72665</v>
      </c>
      <c r="H553" s="6">
        <f t="shared" si="16"/>
        <v>2.1539305193265355</v>
      </c>
      <c r="I553" s="3" t="s">
        <v>750</v>
      </c>
      <c r="J553" s="6" t="str">
        <f t="shared" si="17"/>
        <v>http://konect.cc/files/download.tsv.librec-ciaodvd-movie_ratings.tar.bz2</v>
      </c>
      <c r="L553" s="5"/>
    </row>
    <row r="554" spans="3:12" x14ac:dyDescent="0.3">
      <c r="C554" s="6" t="s">
        <v>3123</v>
      </c>
      <c r="D554" s="3" t="s">
        <v>3124</v>
      </c>
      <c r="E554" s="6" t="s">
        <v>38</v>
      </c>
      <c r="F554" s="7">
        <v>33632</v>
      </c>
      <c r="G554" s="7">
        <v>400482</v>
      </c>
      <c r="H554" s="6">
        <f t="shared" si="16"/>
        <v>11.907766412940058</v>
      </c>
      <c r="I554" s="3" t="s">
        <v>1020</v>
      </c>
      <c r="J554" s="6" t="str">
        <f t="shared" si="17"/>
        <v>http://konect.cc/files/download.tsv.edit-simplewiktionary.tar.bz2</v>
      </c>
      <c r="L554" s="5"/>
    </row>
    <row r="555" spans="3:12" x14ac:dyDescent="0.3">
      <c r="C555" s="6" t="s">
        <v>2785</v>
      </c>
      <c r="D555" s="3" t="s">
        <v>2786</v>
      </c>
      <c r="E555" s="6" t="s">
        <v>38</v>
      </c>
      <c r="F555" s="7">
        <v>33077</v>
      </c>
      <c r="G555" s="7">
        <v>115434</v>
      </c>
      <c r="H555" s="6">
        <f t="shared" si="16"/>
        <v>3.4898570003325573</v>
      </c>
      <c r="I555" s="3" t="s">
        <v>839</v>
      </c>
      <c r="J555" s="6" t="str">
        <f t="shared" si="17"/>
        <v>http://konect.cc/files/download.tsv.edit-ndswiktionary.tar.bz2</v>
      </c>
      <c r="L555" s="5"/>
    </row>
    <row r="556" spans="3:12" x14ac:dyDescent="0.3">
      <c r="C556" s="6" t="s">
        <v>3167</v>
      </c>
      <c r="D556" s="3" t="s">
        <v>3168</v>
      </c>
      <c r="E556" s="6" t="s">
        <v>38</v>
      </c>
      <c r="F556" s="7">
        <v>32651</v>
      </c>
      <c r="G556" s="7">
        <v>491755</v>
      </c>
      <c r="H556" s="6">
        <f t="shared" si="16"/>
        <v>15.06094759731708</v>
      </c>
      <c r="I556" s="3" t="s">
        <v>1042</v>
      </c>
      <c r="J556" s="6" t="str">
        <f t="shared" si="17"/>
        <v>http://konect.cc/files/download.tsv.edit-gdwiki.tar.bz2</v>
      </c>
      <c r="L556" s="5"/>
    </row>
    <row r="557" spans="3:12" x14ac:dyDescent="0.3">
      <c r="C557" s="6" t="s">
        <v>2544</v>
      </c>
      <c r="D557" s="3" t="s">
        <v>2545</v>
      </c>
      <c r="E557" s="6" t="s">
        <v>38</v>
      </c>
      <c r="F557" s="7">
        <v>32565</v>
      </c>
      <c r="G557" s="7">
        <v>58217</v>
      </c>
      <c r="H557" s="6">
        <f t="shared" si="16"/>
        <v>1.7877168739444189</v>
      </c>
      <c r="I557" s="3" t="s">
        <v>698</v>
      </c>
      <c r="J557" s="6" t="str">
        <f t="shared" si="17"/>
        <v>http://konect.cc/files/download.tsv.edit-arwikibooks.tar.bz2</v>
      </c>
      <c r="L557" s="5"/>
    </row>
    <row r="558" spans="3:12" x14ac:dyDescent="0.3">
      <c r="C558" s="6" t="s">
        <v>2150</v>
      </c>
      <c r="D558" s="3" t="s">
        <v>2151</v>
      </c>
      <c r="E558" s="6" t="s">
        <v>38</v>
      </c>
      <c r="F558" s="7">
        <v>32494</v>
      </c>
      <c r="G558" s="7">
        <v>87102</v>
      </c>
      <c r="H558" s="6">
        <f t="shared" si="16"/>
        <v>2.6805564104142303</v>
      </c>
      <c r="I558" s="3" t="s">
        <v>779</v>
      </c>
      <c r="J558" s="6" t="str">
        <f t="shared" si="17"/>
        <v>http://konect.cc/files/download.tsv.edit-rowikisource.tar.bz2</v>
      </c>
      <c r="L558" s="5"/>
    </row>
    <row r="559" spans="3:12" x14ac:dyDescent="0.3">
      <c r="C559" s="6" t="s">
        <v>3079</v>
      </c>
      <c r="D559" s="3" t="s">
        <v>3080</v>
      </c>
      <c r="E559" s="6" t="s">
        <v>38</v>
      </c>
      <c r="F559" s="7">
        <v>32373</v>
      </c>
      <c r="G559" s="7">
        <v>331012</v>
      </c>
      <c r="H559" s="6">
        <f t="shared" si="16"/>
        <v>10.224940536867143</v>
      </c>
      <c r="I559" s="3" t="s">
        <v>999</v>
      </c>
      <c r="J559" s="6" t="str">
        <f t="shared" si="17"/>
        <v>http://konect.cc/files/download.tsv.edit-hsbwiki.tar.bz2</v>
      </c>
      <c r="L559" s="5"/>
    </row>
    <row r="560" spans="3:12" x14ac:dyDescent="0.3">
      <c r="C560" s="6" t="s">
        <v>2922</v>
      </c>
      <c r="D560" s="3" t="s">
        <v>2923</v>
      </c>
      <c r="E560" s="6" t="s">
        <v>38</v>
      </c>
      <c r="F560" s="7">
        <v>32313</v>
      </c>
      <c r="G560" s="7">
        <v>170714</v>
      </c>
      <c r="H560" s="6">
        <f t="shared" si="16"/>
        <v>5.2831368179989475</v>
      </c>
      <c r="I560" s="3" t="s">
        <v>915</v>
      </c>
      <c r="J560" s="6" t="str">
        <f t="shared" si="17"/>
        <v>http://konect.cc/files/download.tsv.edit-fjwiktionary.tar.bz2</v>
      </c>
      <c r="L560" s="5"/>
    </row>
    <row r="561" spans="3:12" x14ac:dyDescent="0.3">
      <c r="C561" s="6" t="s">
        <v>2620</v>
      </c>
      <c r="D561" s="3" t="s">
        <v>2621</v>
      </c>
      <c r="E561" s="6" t="s">
        <v>38</v>
      </c>
      <c r="F561" s="7">
        <v>31993</v>
      </c>
      <c r="G561" s="7">
        <v>71196</v>
      </c>
      <c r="H561" s="6">
        <f t="shared" si="16"/>
        <v>2.2253617978932891</v>
      </c>
      <c r="I561" s="3" t="s">
        <v>743</v>
      </c>
      <c r="J561" s="6" t="str">
        <f t="shared" si="17"/>
        <v>http://konect.cc/files/download.tsv.edit-fawikisource.tar.bz2</v>
      </c>
      <c r="L561" s="5"/>
    </row>
    <row r="562" spans="3:12" x14ac:dyDescent="0.3">
      <c r="C562" s="6" t="s">
        <v>2976</v>
      </c>
      <c r="D562" s="3" t="s">
        <v>2977</v>
      </c>
      <c r="E562" s="6" t="s">
        <v>38</v>
      </c>
      <c r="F562" s="7">
        <v>31566</v>
      </c>
      <c r="G562" s="7">
        <v>208674</v>
      </c>
      <c r="H562" s="6">
        <f t="shared" si="16"/>
        <v>6.6107203953620983</v>
      </c>
      <c r="I562" s="3" t="s">
        <v>944</v>
      </c>
      <c r="J562" s="6" t="str">
        <f t="shared" si="17"/>
        <v>http://konect.cc/files/download.tsv.edit-hifwiki.tar.bz2</v>
      </c>
      <c r="L562" s="5"/>
    </row>
    <row r="563" spans="3:12" x14ac:dyDescent="0.3">
      <c r="C563" s="6" t="s">
        <v>3129</v>
      </c>
      <c r="D563" s="3" t="s">
        <v>3130</v>
      </c>
      <c r="E563" s="6" t="s">
        <v>38</v>
      </c>
      <c r="F563" s="7">
        <v>31501</v>
      </c>
      <c r="G563" s="7">
        <v>419474</v>
      </c>
      <c r="H563" s="6">
        <f t="shared" si="16"/>
        <v>13.316212183740198</v>
      </c>
      <c r="I563" s="3" t="s">
        <v>1023</v>
      </c>
      <c r="J563" s="6" t="str">
        <f t="shared" si="17"/>
        <v>http://konect.cc/files/download.tsv.edit-itwikivoyage.tar.bz2</v>
      </c>
      <c r="L563" s="5"/>
    </row>
    <row r="564" spans="3:12" x14ac:dyDescent="0.3">
      <c r="C564" s="6" t="s">
        <v>3119</v>
      </c>
      <c r="D564" s="3" t="s">
        <v>3120</v>
      </c>
      <c r="E564" s="6" t="s">
        <v>33</v>
      </c>
      <c r="F564" s="7">
        <v>31011</v>
      </c>
      <c r="G564" s="7">
        <v>805095</v>
      </c>
      <c r="H564" s="6">
        <f t="shared" si="16"/>
        <v>25.961594272999903</v>
      </c>
      <c r="I564" s="3" t="s">
        <v>1018</v>
      </c>
      <c r="J564" s="6" t="str">
        <f t="shared" si="17"/>
        <v>http://konect.cc/files/download.tsv.wikipedia_link_io.tar.bz2</v>
      </c>
      <c r="L564" s="5"/>
    </row>
    <row r="565" spans="3:12" x14ac:dyDescent="0.3">
      <c r="C565" s="6" t="s">
        <v>2748</v>
      </c>
      <c r="D565" s="3" t="s">
        <v>2749</v>
      </c>
      <c r="E565" s="6" t="s">
        <v>33</v>
      </c>
      <c r="F565" s="7">
        <v>30837</v>
      </c>
      <c r="G565" s="7">
        <v>213954</v>
      </c>
      <c r="H565" s="6">
        <f t="shared" si="16"/>
        <v>6.9382235626033664</v>
      </c>
      <c r="I565" s="3" t="s">
        <v>817</v>
      </c>
      <c r="J565" s="6" t="str">
        <f t="shared" si="17"/>
        <v>http://konect.cc/files/download.tsv.linux.tar.bz2</v>
      </c>
      <c r="L565" s="5"/>
    </row>
    <row r="566" spans="3:12" x14ac:dyDescent="0.3">
      <c r="C566" s="6" t="s">
        <v>2939</v>
      </c>
      <c r="D566" s="3" t="s">
        <v>2940</v>
      </c>
      <c r="E566" s="6" t="s">
        <v>38</v>
      </c>
      <c r="F566" s="7">
        <v>30656</v>
      </c>
      <c r="G566" s="7">
        <v>177936</v>
      </c>
      <c r="H566" s="6">
        <f t="shared" si="16"/>
        <v>5.8042797494780789</v>
      </c>
      <c r="I566" s="3" t="s">
        <v>924</v>
      </c>
      <c r="J566" s="6" t="str">
        <f t="shared" si="17"/>
        <v>http://konect.cc/files/download.tsv.edit-lawiktionary.tar.bz2</v>
      </c>
      <c r="L566" s="5"/>
    </row>
    <row r="567" spans="3:12" x14ac:dyDescent="0.3">
      <c r="C567" s="6" t="s">
        <v>2803</v>
      </c>
      <c r="D567" s="3" t="s">
        <v>2804</v>
      </c>
      <c r="E567" s="6" t="s">
        <v>38</v>
      </c>
      <c r="F567" s="7">
        <v>30579</v>
      </c>
      <c r="G567" s="7">
        <v>124568</v>
      </c>
      <c r="H567" s="6">
        <f t="shared" si="16"/>
        <v>4.07364531214232</v>
      </c>
      <c r="I567" s="3" t="s">
        <v>848</v>
      </c>
      <c r="J567" s="6" t="str">
        <f t="shared" si="17"/>
        <v>http://konect.cc/files/download.tsv.edit-ptwikiquote.tar.bz2</v>
      </c>
      <c r="L567" s="5"/>
    </row>
    <row r="568" spans="3:12" x14ac:dyDescent="0.3">
      <c r="C568" s="6" t="s">
        <v>2560</v>
      </c>
      <c r="D568" s="3" t="s">
        <v>2561</v>
      </c>
      <c r="E568" s="6" t="s">
        <v>1827</v>
      </c>
      <c r="F568" s="7">
        <v>30460</v>
      </c>
      <c r="G568" s="7">
        <v>120029</v>
      </c>
      <c r="H568" s="6">
        <f t="shared" si="16"/>
        <v>3.9405449770190413</v>
      </c>
      <c r="I568" s="3" t="s">
        <v>706</v>
      </c>
      <c r="J568" s="6" t="str">
        <f t="shared" si="17"/>
        <v>http://konect.cc/files/download.tsv.dimacs10-cond-mat-2003.tar.bz2</v>
      </c>
      <c r="L568" s="5"/>
    </row>
    <row r="569" spans="3:12" x14ac:dyDescent="0.3">
      <c r="C569" s="6" t="s">
        <v>3274</v>
      </c>
      <c r="D569" s="3" t="s">
        <v>3275</v>
      </c>
      <c r="E569" s="6" t="s">
        <v>33</v>
      </c>
      <c r="F569" s="7">
        <v>30430</v>
      </c>
      <c r="G569" s="7">
        <v>1327439</v>
      </c>
      <c r="H569" s="6">
        <f t="shared" si="16"/>
        <v>43.62270785409136</v>
      </c>
      <c r="I569" s="3" t="s">
        <v>1099</v>
      </c>
      <c r="J569" s="6" t="str">
        <f t="shared" si="17"/>
        <v>http://konect.cc/files/download.tsv.wikipedia_link_gu.tar.bz2</v>
      </c>
      <c r="L569" s="5"/>
    </row>
    <row r="570" spans="3:12" x14ac:dyDescent="0.3">
      <c r="C570" s="6" t="s">
        <v>2725</v>
      </c>
      <c r="D570" s="3" t="s">
        <v>1503</v>
      </c>
      <c r="E570" s="6" t="s">
        <v>42</v>
      </c>
      <c r="F570" s="7">
        <v>30398</v>
      </c>
      <c r="G570" s="7">
        <v>87627</v>
      </c>
      <c r="H570" s="6">
        <f t="shared" si="16"/>
        <v>2.8826567537337984</v>
      </c>
      <c r="I570" s="3" t="s">
        <v>804</v>
      </c>
      <c r="J570" s="6" t="str">
        <f t="shared" si="17"/>
        <v>http://konect.cc/files/download.tsv.munmun_digg_reply.tar.bz2</v>
      </c>
      <c r="L570" s="5"/>
    </row>
    <row r="571" spans="3:12" x14ac:dyDescent="0.3">
      <c r="C571" s="6" t="s">
        <v>3020</v>
      </c>
      <c r="D571" s="3" t="s">
        <v>3021</v>
      </c>
      <c r="E571" s="6" t="s">
        <v>38</v>
      </c>
      <c r="F571" s="7">
        <v>30047</v>
      </c>
      <c r="G571" s="7">
        <v>238977</v>
      </c>
      <c r="H571" s="6">
        <f t="shared" si="16"/>
        <v>7.9534396112756678</v>
      </c>
      <c r="I571" s="3" t="s">
        <v>969</v>
      </c>
      <c r="J571" s="6" t="str">
        <f t="shared" si="17"/>
        <v>http://konect.cc/files/download.tsv.edit-itwikibooks.tar.bz2</v>
      </c>
      <c r="L571" s="5"/>
    </row>
    <row r="572" spans="3:12" x14ac:dyDescent="0.3">
      <c r="C572" s="6" t="s">
        <v>2991</v>
      </c>
      <c r="D572" s="3" t="s">
        <v>2992</v>
      </c>
      <c r="E572" s="6" t="s">
        <v>38</v>
      </c>
      <c r="F572" s="7">
        <v>29946</v>
      </c>
      <c r="G572" s="7">
        <v>213603</v>
      </c>
      <c r="H572" s="6">
        <f t="shared" si="16"/>
        <v>7.1329392907233018</v>
      </c>
      <c r="I572" s="3" t="s">
        <v>951</v>
      </c>
      <c r="J572" s="6" t="str">
        <f t="shared" si="17"/>
        <v>http://konect.cc/files/download.tsv.edit-nlwikibooks.tar.bz2</v>
      </c>
      <c r="L572" s="5"/>
    </row>
    <row r="573" spans="3:12" x14ac:dyDescent="0.3">
      <c r="C573" s="6" t="s">
        <v>3090</v>
      </c>
      <c r="D573" s="3" t="s">
        <v>3091</v>
      </c>
      <c r="E573" s="6" t="s">
        <v>118</v>
      </c>
      <c r="F573" s="7">
        <v>29714</v>
      </c>
      <c r="G573" s="7">
        <v>316266</v>
      </c>
      <c r="H573" s="6">
        <f t="shared" si="16"/>
        <v>10.643669650669718</v>
      </c>
      <c r="I573" s="3" t="s">
        <v>3886</v>
      </c>
      <c r="J573" s="6" t="str">
        <f t="shared" si="17"/>
        <v>http://konect.cc/files/download.tsv.sap.tar.bz2</v>
      </c>
      <c r="L573" s="5"/>
    </row>
    <row r="574" spans="3:12" x14ac:dyDescent="0.3">
      <c r="C574" s="6" t="s">
        <v>2878</v>
      </c>
      <c r="D574" s="3" t="s">
        <v>2879</v>
      </c>
      <c r="E574" s="6" t="s">
        <v>33</v>
      </c>
      <c r="F574" s="7">
        <v>29531</v>
      </c>
      <c r="G574" s="7">
        <v>310910</v>
      </c>
      <c r="H574" s="6">
        <f t="shared" si="16"/>
        <v>10.528258440283093</v>
      </c>
      <c r="I574" s="3" t="s">
        <v>891</v>
      </c>
      <c r="J574" s="6" t="str">
        <f t="shared" si="17"/>
        <v>http://konect.cc/files/download.tsv.wikipedia_link_kn.tar.bz2</v>
      </c>
      <c r="L574" s="5"/>
    </row>
    <row r="575" spans="3:12" x14ac:dyDescent="0.3">
      <c r="C575" s="6" t="s">
        <v>3113</v>
      </c>
      <c r="D575" s="3" t="s">
        <v>3114</v>
      </c>
      <c r="E575" s="6" t="s">
        <v>33</v>
      </c>
      <c r="F575" s="7">
        <v>29511</v>
      </c>
      <c r="G575" s="7">
        <v>763424</v>
      </c>
      <c r="H575" s="6">
        <f t="shared" si="16"/>
        <v>25.869133543424486</v>
      </c>
      <c r="I575" s="3" t="s">
        <v>1015</v>
      </c>
      <c r="J575" s="6" t="str">
        <f t="shared" si="17"/>
        <v>http://konect.cc/files/download.tsv.wikipedia_link_als.tar.bz2</v>
      </c>
      <c r="L575" s="5"/>
    </row>
    <row r="576" spans="3:12" x14ac:dyDescent="0.3">
      <c r="C576" s="6" t="s">
        <v>2344</v>
      </c>
      <c r="D576" s="3" t="s">
        <v>2345</v>
      </c>
      <c r="E576" s="6" t="s">
        <v>38</v>
      </c>
      <c r="F576" s="7">
        <v>29080</v>
      </c>
      <c r="G576" s="7">
        <v>132041</v>
      </c>
      <c r="H576" s="6">
        <f t="shared" si="16"/>
        <v>4.5406121045392025</v>
      </c>
      <c r="I576" s="3" t="s">
        <v>872</v>
      </c>
      <c r="J576" s="6" t="str">
        <f t="shared" si="17"/>
        <v>http://konect.cc/files/download.tsv.edit-slwikisource.tar.bz2</v>
      </c>
      <c r="L576" s="5"/>
    </row>
    <row r="577" spans="3:12" x14ac:dyDescent="0.3">
      <c r="C577" s="6" t="s">
        <v>2639</v>
      </c>
      <c r="D577" s="3" t="s">
        <v>2640</v>
      </c>
      <c r="E577" s="6" t="s">
        <v>33</v>
      </c>
      <c r="F577" s="7">
        <v>29021</v>
      </c>
      <c r="G577" s="7">
        <v>162508</v>
      </c>
      <c r="H577" s="6">
        <f t="shared" si="16"/>
        <v>5.5996692050584063</v>
      </c>
      <c r="I577" s="3" t="s">
        <v>754</v>
      </c>
      <c r="J577" s="6" t="str">
        <f t="shared" si="17"/>
        <v>http://konect.cc/files/download.tsv.wikipedia_link_wa.tar.bz2</v>
      </c>
      <c r="L577" s="5"/>
    </row>
    <row r="578" spans="3:12" x14ac:dyDescent="0.3">
      <c r="C578" s="6" t="s">
        <v>2590</v>
      </c>
      <c r="D578" s="3" t="s">
        <v>2591</v>
      </c>
      <c r="E578" s="6" t="s">
        <v>38</v>
      </c>
      <c r="F578" s="7">
        <v>28802</v>
      </c>
      <c r="G578" s="7">
        <v>66112</v>
      </c>
      <c r="H578" s="6">
        <f t="shared" ref="H578:H641" si="18">G578/F578</f>
        <v>2.2953961530449276</v>
      </c>
      <c r="I578" s="3" t="s">
        <v>723</v>
      </c>
      <c r="J578" s="6" t="str">
        <f t="shared" ref="J578:J641" si="19">"http://konect.cc/files/download.tsv."&amp;I578&amp;".tar.bz2"</f>
        <v>http://konect.cc/files/download.tsv.edit-pswiktionary.tar.bz2</v>
      </c>
      <c r="L578" s="5"/>
    </row>
    <row r="579" spans="3:12" x14ac:dyDescent="0.3">
      <c r="C579" s="6" t="s">
        <v>3071</v>
      </c>
      <c r="D579" s="3" t="s">
        <v>3072</v>
      </c>
      <c r="E579" s="6" t="s">
        <v>38</v>
      </c>
      <c r="F579" s="7">
        <v>28718</v>
      </c>
      <c r="G579" s="7">
        <v>319814</v>
      </c>
      <c r="H579" s="6">
        <f t="shared" si="18"/>
        <v>11.136360470784874</v>
      </c>
      <c r="I579" s="3" t="s">
        <v>995</v>
      </c>
      <c r="J579" s="6" t="str">
        <f t="shared" si="19"/>
        <v>http://konect.cc/files/download.tsv.edit-bat_smgwiki.tar.bz2</v>
      </c>
      <c r="L579" s="5"/>
    </row>
    <row r="580" spans="3:12" x14ac:dyDescent="0.3">
      <c r="C580" s="6" t="s">
        <v>1924</v>
      </c>
      <c r="D580" s="3" t="s">
        <v>1925</v>
      </c>
      <c r="E580" s="6" t="s">
        <v>38</v>
      </c>
      <c r="F580" s="7">
        <v>28603</v>
      </c>
      <c r="G580" s="7">
        <v>71811</v>
      </c>
      <c r="H580" s="6">
        <f t="shared" si="18"/>
        <v>2.5106107750935216</v>
      </c>
      <c r="I580" s="3" t="s">
        <v>748</v>
      </c>
      <c r="J580" s="6" t="str">
        <f t="shared" si="19"/>
        <v>http://konect.cc/files/download.tsv.edit-knwikisource.tar.bz2</v>
      </c>
      <c r="L580" s="5"/>
    </row>
    <row r="581" spans="3:12" x14ac:dyDescent="0.3">
      <c r="C581" s="6" t="s">
        <v>2728</v>
      </c>
      <c r="D581" s="3" t="s">
        <v>2729</v>
      </c>
      <c r="E581" s="6" t="s">
        <v>38</v>
      </c>
      <c r="F581" s="7">
        <v>28563</v>
      </c>
      <c r="G581" s="7">
        <v>97631</v>
      </c>
      <c r="H581" s="6">
        <f t="shared" si="18"/>
        <v>3.4180933375345726</v>
      </c>
      <c r="I581" s="3" t="s">
        <v>806</v>
      </c>
      <c r="J581" s="6" t="str">
        <f t="shared" si="19"/>
        <v>http://konect.cc/files/download.tsv.edit-emlwiki.tar.bz2</v>
      </c>
      <c r="L581" s="5"/>
    </row>
    <row r="582" spans="3:12" x14ac:dyDescent="0.3">
      <c r="C582" s="6" t="s">
        <v>2918</v>
      </c>
      <c r="D582" s="3" t="s">
        <v>2919</v>
      </c>
      <c r="E582" s="6" t="s">
        <v>38</v>
      </c>
      <c r="F582" s="7">
        <v>28481</v>
      </c>
      <c r="G582" s="7">
        <v>164036</v>
      </c>
      <c r="H582" s="6">
        <f t="shared" si="18"/>
        <v>5.7594887819950138</v>
      </c>
      <c r="I582" s="3" t="s">
        <v>913</v>
      </c>
      <c r="J582" s="6" t="str">
        <f t="shared" si="19"/>
        <v>http://konect.cc/files/download.tsv.edit-kmwiki.tar.bz2</v>
      </c>
      <c r="L582" s="5"/>
    </row>
    <row r="583" spans="3:12" x14ac:dyDescent="0.3">
      <c r="C583" s="6" t="s">
        <v>2950</v>
      </c>
      <c r="D583" s="3" t="s">
        <v>2951</v>
      </c>
      <c r="E583" s="6" t="s">
        <v>38</v>
      </c>
      <c r="F583" s="7">
        <v>28464</v>
      </c>
      <c r="G583" s="7">
        <v>185840</v>
      </c>
      <c r="H583" s="6">
        <f t="shared" si="18"/>
        <v>6.5289488476672286</v>
      </c>
      <c r="I583" s="3" t="s">
        <v>930</v>
      </c>
      <c r="J583" s="6" t="str">
        <f t="shared" si="19"/>
        <v>http://konect.cc/files/download.tsv.edit-map_bmswiki.tar.bz2</v>
      </c>
      <c r="L583" s="5"/>
    </row>
    <row r="584" spans="3:12" x14ac:dyDescent="0.3">
      <c r="C584" s="6" t="s">
        <v>2825</v>
      </c>
      <c r="D584" s="3" t="s">
        <v>2826</v>
      </c>
      <c r="E584" s="6" t="s">
        <v>38</v>
      </c>
      <c r="F584" s="7">
        <v>28129</v>
      </c>
      <c r="G584" s="7">
        <v>130249</v>
      </c>
      <c r="H584" s="6">
        <f t="shared" si="18"/>
        <v>4.630417007358953</v>
      </c>
      <c r="I584" s="3" t="s">
        <v>860</v>
      </c>
      <c r="J584" s="6" t="str">
        <f t="shared" si="19"/>
        <v>http://konect.cc/files/download.tsv.edit-mznwiki.tar.bz2</v>
      </c>
      <c r="L584" s="5"/>
    </row>
    <row r="585" spans="3:12" x14ac:dyDescent="0.3">
      <c r="C585" s="6" t="s">
        <v>2856</v>
      </c>
      <c r="D585" s="3" t="s">
        <v>2857</v>
      </c>
      <c r="E585" s="6" t="s">
        <v>38</v>
      </c>
      <c r="F585" s="7">
        <v>28112</v>
      </c>
      <c r="G585" s="7">
        <v>145672</v>
      </c>
      <c r="H585" s="6">
        <f t="shared" si="18"/>
        <v>5.1818440523619804</v>
      </c>
      <c r="I585" s="3" t="s">
        <v>879</v>
      </c>
      <c r="J585" s="6" t="str">
        <f t="shared" si="19"/>
        <v>http://konect.cc/files/download.tsv.edit-scnwiktionary.tar.bz2</v>
      </c>
      <c r="L585" s="5"/>
    </row>
    <row r="586" spans="3:12" x14ac:dyDescent="0.3">
      <c r="C586" s="6" t="s">
        <v>3661</v>
      </c>
      <c r="D586" s="3" t="s">
        <v>2983</v>
      </c>
      <c r="E586" s="6" t="s">
        <v>151</v>
      </c>
      <c r="F586" s="7">
        <v>28093</v>
      </c>
      <c r="G586" s="7">
        <v>4596803</v>
      </c>
      <c r="H586" s="6">
        <f t="shared" si="18"/>
        <v>163.6280568113053</v>
      </c>
      <c r="I586" s="3" t="s">
        <v>1303</v>
      </c>
      <c r="J586" s="6" t="str">
        <f t="shared" si="19"/>
        <v>http://konect.cc/files/download.tsv.ca-cit-HepPh.tar.bz2</v>
      </c>
      <c r="L586" s="5"/>
    </row>
    <row r="587" spans="3:12" x14ac:dyDescent="0.3">
      <c r="C587" s="6" t="s">
        <v>3203</v>
      </c>
      <c r="D587" s="3" t="s">
        <v>3204</v>
      </c>
      <c r="E587" s="6" t="s">
        <v>38</v>
      </c>
      <c r="F587" s="7">
        <v>28033</v>
      </c>
      <c r="G587" s="7">
        <v>551457</v>
      </c>
      <c r="H587" s="6">
        <f t="shared" si="18"/>
        <v>19.671708343737738</v>
      </c>
      <c r="I587" s="3" t="s">
        <v>1062</v>
      </c>
      <c r="J587" s="6" t="str">
        <f t="shared" si="19"/>
        <v>http://konect.cc/files/download.tsv.edit-napwiki.tar.bz2</v>
      </c>
      <c r="L587" s="5"/>
    </row>
    <row r="588" spans="3:12" x14ac:dyDescent="0.3">
      <c r="C588" s="6" t="s">
        <v>2959</v>
      </c>
      <c r="D588" s="3" t="s">
        <v>2960</v>
      </c>
      <c r="E588" s="6" t="s">
        <v>38</v>
      </c>
      <c r="F588" s="7">
        <v>27896</v>
      </c>
      <c r="G588" s="7">
        <v>184257</v>
      </c>
      <c r="H588" s="6">
        <f t="shared" si="18"/>
        <v>6.6051405219386288</v>
      </c>
      <c r="I588" s="3" t="s">
        <v>935</v>
      </c>
      <c r="J588" s="6" t="str">
        <f t="shared" si="19"/>
        <v>http://konect.cc/files/download.tsv.edit-frwikiquote.tar.bz2</v>
      </c>
      <c r="L588" s="5"/>
    </row>
    <row r="589" spans="3:12" x14ac:dyDescent="0.3">
      <c r="C589" s="6" t="s">
        <v>2928</v>
      </c>
      <c r="D589" s="3" t="s">
        <v>2929</v>
      </c>
      <c r="E589" s="6" t="s">
        <v>33</v>
      </c>
      <c r="F589" s="7">
        <v>27770</v>
      </c>
      <c r="G589" s="7">
        <v>352807</v>
      </c>
      <c r="H589" s="6">
        <f t="shared" si="18"/>
        <v>12.704609290601368</v>
      </c>
      <c r="I589" s="3" t="s">
        <v>918</v>
      </c>
      <c r="J589" s="6" t="str">
        <f t="shared" si="19"/>
        <v>http://konect.cc/files/download.tsv.cit-HepTh.tar.bz2</v>
      </c>
      <c r="L589" s="5"/>
    </row>
    <row r="590" spans="3:12" x14ac:dyDescent="0.3">
      <c r="C590" s="6" t="s">
        <v>2880</v>
      </c>
      <c r="D590" s="3" t="s">
        <v>2881</v>
      </c>
      <c r="E590" s="6" t="s">
        <v>38</v>
      </c>
      <c r="F590" s="7">
        <v>27506</v>
      </c>
      <c r="G590" s="7">
        <v>154093</v>
      </c>
      <c r="H590" s="6">
        <f t="shared" si="18"/>
        <v>5.6021595288300734</v>
      </c>
      <c r="I590" s="3" t="s">
        <v>892</v>
      </c>
      <c r="J590" s="6" t="str">
        <f t="shared" si="19"/>
        <v>http://konect.cc/files/download.tsv.edit-cywiktionary.tar.bz2</v>
      </c>
      <c r="L590" s="5"/>
    </row>
    <row r="591" spans="3:12" x14ac:dyDescent="0.3">
      <c r="C591" s="6" t="s">
        <v>3000</v>
      </c>
      <c r="D591" s="3" t="s">
        <v>3001</v>
      </c>
      <c r="E591" s="6" t="s">
        <v>38</v>
      </c>
      <c r="F591" s="7">
        <v>27295</v>
      </c>
      <c r="G591" s="7">
        <v>231555</v>
      </c>
      <c r="H591" s="6">
        <f t="shared" si="18"/>
        <v>8.4834218721377539</v>
      </c>
      <c r="I591" s="3" t="s">
        <v>957</v>
      </c>
      <c r="J591" s="6" t="str">
        <f t="shared" si="19"/>
        <v>http://konect.cc/files/download.tsv.edit-diqwiki.tar.bz2</v>
      </c>
      <c r="L591" s="5"/>
    </row>
    <row r="592" spans="3:12" x14ac:dyDescent="0.3">
      <c r="C592" s="6" t="s">
        <v>3012</v>
      </c>
      <c r="D592" s="3" t="s">
        <v>3013</v>
      </c>
      <c r="E592" s="6" t="s">
        <v>38</v>
      </c>
      <c r="F592" s="7">
        <v>27047</v>
      </c>
      <c r="G592" s="7">
        <v>236424</v>
      </c>
      <c r="H592" s="6">
        <f t="shared" si="18"/>
        <v>8.7412282323363026</v>
      </c>
      <c r="I592" s="3" t="s">
        <v>964</v>
      </c>
      <c r="J592" s="6" t="str">
        <f t="shared" si="19"/>
        <v>http://konect.cc/files/download.tsv.edit-iswiktionary.tar.bz2</v>
      </c>
      <c r="L592" s="5"/>
    </row>
    <row r="593" spans="3:12" x14ac:dyDescent="0.3">
      <c r="C593" s="6" t="s">
        <v>2403</v>
      </c>
      <c r="D593" s="3" t="s">
        <v>2404</v>
      </c>
      <c r="E593" s="6" t="s">
        <v>2405</v>
      </c>
      <c r="F593" s="7">
        <v>26911</v>
      </c>
      <c r="G593" s="7">
        <v>29062</v>
      </c>
      <c r="H593" s="6">
        <f t="shared" si="18"/>
        <v>1.0799301400914125</v>
      </c>
      <c r="I593" s="3" t="s">
        <v>618</v>
      </c>
      <c r="J593" s="6" t="str">
        <f t="shared" si="19"/>
        <v>http://konect.cc/files/download.tsv.wang-amazon.tar.bz2</v>
      </c>
      <c r="L593" s="5"/>
    </row>
    <row r="594" spans="3:12" x14ac:dyDescent="0.3">
      <c r="C594" s="6" t="s">
        <v>2076</v>
      </c>
      <c r="D594" s="3" t="s">
        <v>2406</v>
      </c>
      <c r="E594" s="6" t="s">
        <v>2078</v>
      </c>
      <c r="F594" s="7">
        <v>26518</v>
      </c>
      <c r="G594" s="7">
        <v>65369</v>
      </c>
      <c r="H594" s="6">
        <f t="shared" si="18"/>
        <v>2.4650803227996079</v>
      </c>
      <c r="I594" s="3" t="s">
        <v>619</v>
      </c>
      <c r="J594" s="6" t="str">
        <f t="shared" si="19"/>
        <v>http://konect.cc/files/download.tsv.p2p-Gnutella24.tar.bz2</v>
      </c>
      <c r="L594" s="5"/>
    </row>
    <row r="595" spans="3:12" x14ac:dyDescent="0.3">
      <c r="C595" s="6" t="s">
        <v>2322</v>
      </c>
      <c r="D595" s="3" t="s">
        <v>1492</v>
      </c>
      <c r="E595" s="6" t="s">
        <v>1641</v>
      </c>
      <c r="F595" s="7">
        <v>26475</v>
      </c>
      <c r="G595" s="7">
        <v>53381</v>
      </c>
      <c r="H595" s="6">
        <f t="shared" si="18"/>
        <v>2.0162795089707273</v>
      </c>
      <c r="I595" s="3" t="s">
        <v>573</v>
      </c>
      <c r="J595" s="6" t="str">
        <f t="shared" si="19"/>
        <v>http://konect.cc/files/download.tsv.as-caida20071105.tar.bz2</v>
      </c>
      <c r="L595" s="5"/>
    </row>
    <row r="596" spans="3:12" x14ac:dyDescent="0.3">
      <c r="C596" s="6" t="s">
        <v>2837</v>
      </c>
      <c r="D596" s="3" t="s">
        <v>2838</v>
      </c>
      <c r="E596" s="6" t="s">
        <v>38</v>
      </c>
      <c r="F596" s="7">
        <v>26220</v>
      </c>
      <c r="G596" s="7">
        <v>132830</v>
      </c>
      <c r="H596" s="6">
        <f t="shared" si="18"/>
        <v>5.0659801678108316</v>
      </c>
      <c r="I596" s="3" t="s">
        <v>866</v>
      </c>
      <c r="J596" s="6" t="str">
        <f t="shared" si="19"/>
        <v>http://konect.cc/files/download.tsv.edit-jawikinews.tar.bz2</v>
      </c>
      <c r="L596" s="5"/>
    </row>
    <row r="597" spans="3:12" x14ac:dyDescent="0.3">
      <c r="C597" s="6" t="s">
        <v>2829</v>
      </c>
      <c r="D597" s="3" t="s">
        <v>2830</v>
      </c>
      <c r="E597" s="6" t="s">
        <v>38</v>
      </c>
      <c r="F597" s="7">
        <v>26189</v>
      </c>
      <c r="G597" s="7">
        <v>130807</v>
      </c>
      <c r="H597" s="6">
        <f t="shared" si="18"/>
        <v>4.9947306120890449</v>
      </c>
      <c r="I597" s="3" t="s">
        <v>862</v>
      </c>
      <c r="J597" s="6" t="str">
        <f t="shared" si="19"/>
        <v>http://konect.cc/files/download.tsv.edit-tlwiktionary.tar.bz2</v>
      </c>
      <c r="L597" s="5"/>
    </row>
    <row r="598" spans="3:12" x14ac:dyDescent="0.3">
      <c r="C598" s="6" t="s">
        <v>2898</v>
      </c>
      <c r="D598" s="3" t="s">
        <v>2899</v>
      </c>
      <c r="E598" s="6" t="s">
        <v>38</v>
      </c>
      <c r="F598" s="7">
        <v>26094</v>
      </c>
      <c r="G598" s="7">
        <v>161969</v>
      </c>
      <c r="H598" s="6">
        <f t="shared" si="18"/>
        <v>6.2071357400168621</v>
      </c>
      <c r="I598" s="3" t="s">
        <v>903</v>
      </c>
      <c r="J598" s="6" t="str">
        <f t="shared" si="19"/>
        <v>http://konect.cc/files/download.tsv.edit-pswiki.tar.bz2</v>
      </c>
      <c r="L598" s="5"/>
    </row>
    <row r="599" spans="3:12" x14ac:dyDescent="0.3">
      <c r="C599" s="6" t="s">
        <v>2523</v>
      </c>
      <c r="D599" s="3" t="s">
        <v>2524</v>
      </c>
      <c r="E599" s="6" t="s">
        <v>38</v>
      </c>
      <c r="F599" s="7">
        <v>26047</v>
      </c>
      <c r="G599" s="7">
        <v>54524</v>
      </c>
      <c r="H599" s="6">
        <f t="shared" si="18"/>
        <v>2.0932928936153874</v>
      </c>
      <c r="I599" s="3" t="s">
        <v>686</v>
      </c>
      <c r="J599" s="6" t="str">
        <f t="shared" si="19"/>
        <v>http://konect.cc/files/download.tsv.edit-cdowiki.tar.bz2</v>
      </c>
      <c r="L599" s="5"/>
    </row>
    <row r="600" spans="3:12" x14ac:dyDescent="0.3">
      <c r="C600" s="6" t="s">
        <v>2797</v>
      </c>
      <c r="D600" s="3" t="s">
        <v>2798</v>
      </c>
      <c r="E600" s="6" t="s">
        <v>38</v>
      </c>
      <c r="F600" s="7">
        <v>25928</v>
      </c>
      <c r="G600" s="7">
        <v>123243</v>
      </c>
      <c r="H600" s="6">
        <f t="shared" si="18"/>
        <v>4.7532783091638384</v>
      </c>
      <c r="I600" s="3" t="s">
        <v>845</v>
      </c>
      <c r="J600" s="6" t="str">
        <f t="shared" si="19"/>
        <v>http://konect.cc/files/download.tsv.edit-xmfwiki.tar.bz2</v>
      </c>
      <c r="L600" s="5"/>
    </row>
    <row r="601" spans="3:12" x14ac:dyDescent="0.3">
      <c r="C601" s="6" t="s">
        <v>1585</v>
      </c>
      <c r="D601" s="3" t="s">
        <v>1495</v>
      </c>
      <c r="E601" s="6" t="s">
        <v>36</v>
      </c>
      <c r="F601" s="7">
        <v>25914</v>
      </c>
      <c r="G601" s="7">
        <v>96662</v>
      </c>
      <c r="H601" s="6">
        <f t="shared" si="18"/>
        <v>3.7301072779192714</v>
      </c>
      <c r="I601" s="3" t="s">
        <v>665</v>
      </c>
      <c r="J601" s="6" t="str">
        <f t="shared" si="19"/>
        <v>http://konect.cc/files/download.tsv.marvel.tar.bz2</v>
      </c>
      <c r="L601" s="5"/>
    </row>
    <row r="602" spans="3:12" x14ac:dyDescent="0.3">
      <c r="C602" s="6" t="s">
        <v>2610</v>
      </c>
      <c r="D602" s="3" t="s">
        <v>2611</v>
      </c>
      <c r="E602" s="6" t="s">
        <v>38</v>
      </c>
      <c r="F602" s="7">
        <v>25887</v>
      </c>
      <c r="G602" s="7">
        <v>70629</v>
      </c>
      <c r="H602" s="6">
        <f t="shared" si="18"/>
        <v>2.7283578630200487</v>
      </c>
      <c r="I602" s="3" t="s">
        <v>736</v>
      </c>
      <c r="J602" s="6" t="str">
        <f t="shared" si="19"/>
        <v>http://konect.cc/files/download.tsv.edit-sdwiki.tar.bz2</v>
      </c>
      <c r="L602" s="5"/>
    </row>
    <row r="603" spans="3:12" x14ac:dyDescent="0.3">
      <c r="C603" s="6" t="s">
        <v>3004</v>
      </c>
      <c r="D603" s="3" t="s">
        <v>3005</v>
      </c>
      <c r="E603" s="6" t="s">
        <v>33</v>
      </c>
      <c r="F603" s="7">
        <v>25876</v>
      </c>
      <c r="G603" s="7">
        <v>439724</v>
      </c>
      <c r="H603" s="6">
        <f t="shared" si="18"/>
        <v>16.993507497294789</v>
      </c>
      <c r="I603" s="3" t="s">
        <v>959</v>
      </c>
      <c r="J603" s="6" t="str">
        <f t="shared" si="19"/>
        <v>http://konect.cc/files/download.tsv.wikipedia_link_or.tar.bz2</v>
      </c>
      <c r="L603" s="5"/>
    </row>
    <row r="604" spans="3:12" x14ac:dyDescent="0.3">
      <c r="C604" s="6" t="s">
        <v>2750</v>
      </c>
      <c r="D604" s="3" t="s">
        <v>2751</v>
      </c>
      <c r="E604" s="6" t="s">
        <v>38</v>
      </c>
      <c r="F604" s="7">
        <v>25842</v>
      </c>
      <c r="G604" s="7">
        <v>100229</v>
      </c>
      <c r="H604" s="6">
        <f t="shared" si="18"/>
        <v>3.8785310734463279</v>
      </c>
      <c r="I604" s="3" t="s">
        <v>818</v>
      </c>
      <c r="J604" s="6" t="str">
        <f t="shared" si="19"/>
        <v>http://konect.cc/files/download.tsv.edit-zhwikinews.tar.bz2</v>
      </c>
      <c r="L604" s="5"/>
    </row>
    <row r="605" spans="3:12" x14ac:dyDescent="0.3">
      <c r="C605" s="6" t="s">
        <v>2198</v>
      </c>
      <c r="D605" s="3" t="s">
        <v>2199</v>
      </c>
      <c r="E605" s="6" t="s">
        <v>38</v>
      </c>
      <c r="F605" s="7">
        <v>25654</v>
      </c>
      <c r="G605" s="7">
        <v>61174</v>
      </c>
      <c r="H605" s="6">
        <f t="shared" si="18"/>
        <v>2.3845794028221721</v>
      </c>
      <c r="I605" s="3" t="s">
        <v>713</v>
      </c>
      <c r="J605" s="6" t="str">
        <f t="shared" si="19"/>
        <v>http://konect.cc/files/download.tsv.edit-thwikisource.tar.bz2</v>
      </c>
      <c r="L605" s="5"/>
    </row>
    <row r="606" spans="3:12" x14ac:dyDescent="0.3">
      <c r="C606" s="6" t="s">
        <v>2620</v>
      </c>
      <c r="D606" s="3" t="s">
        <v>2621</v>
      </c>
      <c r="E606" s="6" t="s">
        <v>38</v>
      </c>
      <c r="F606" s="7">
        <v>25584</v>
      </c>
      <c r="G606" s="7">
        <v>108605</v>
      </c>
      <c r="H606" s="6">
        <f t="shared" si="18"/>
        <v>4.2450359599749845</v>
      </c>
      <c r="I606" s="3" t="s">
        <v>833</v>
      </c>
      <c r="J606" s="6" t="str">
        <f t="shared" si="19"/>
        <v>http://konect.cc/files/download.tsv.edit-fawikiquote.tar.bz2</v>
      </c>
      <c r="L606" s="5"/>
    </row>
    <row r="607" spans="3:12" x14ac:dyDescent="0.3">
      <c r="C607" s="6" t="s">
        <v>2542</v>
      </c>
      <c r="D607" s="3" t="s">
        <v>2543</v>
      </c>
      <c r="E607" s="6" t="s">
        <v>38</v>
      </c>
      <c r="F607" s="7">
        <v>25516</v>
      </c>
      <c r="G607" s="7">
        <v>58054</v>
      </c>
      <c r="H607" s="6">
        <f t="shared" si="18"/>
        <v>2.2751998745884934</v>
      </c>
      <c r="I607" s="3" t="s">
        <v>697</v>
      </c>
      <c r="J607" s="6" t="str">
        <f t="shared" si="19"/>
        <v>http://konect.cc/files/download.tsv.edit-arwikinews.tar.bz2</v>
      </c>
      <c r="L607" s="5"/>
    </row>
    <row r="608" spans="3:12" x14ac:dyDescent="0.3">
      <c r="C608" s="6" t="s">
        <v>2968</v>
      </c>
      <c r="D608" s="3" t="s">
        <v>2969</v>
      </c>
      <c r="E608" s="6" t="s">
        <v>38</v>
      </c>
      <c r="F608" s="7">
        <v>25457</v>
      </c>
      <c r="G608" s="7">
        <v>195457</v>
      </c>
      <c r="H608" s="6">
        <f t="shared" si="18"/>
        <v>7.6779274855638917</v>
      </c>
      <c r="I608" s="3" t="s">
        <v>940</v>
      </c>
      <c r="J608" s="6" t="str">
        <f t="shared" si="19"/>
        <v>http://konect.cc/files/download.tsv.edit-vowiktionary.tar.bz2</v>
      </c>
      <c r="L608" s="5"/>
    </row>
    <row r="609" spans="3:12" x14ac:dyDescent="0.3">
      <c r="C609" s="6" t="s">
        <v>3393</v>
      </c>
      <c r="D609" s="3" t="s">
        <v>3394</v>
      </c>
      <c r="E609" s="6" t="s">
        <v>98</v>
      </c>
      <c r="F609" s="7">
        <v>25379</v>
      </c>
      <c r="G609" s="7">
        <v>2411436</v>
      </c>
      <c r="H609" s="6">
        <f t="shared" si="18"/>
        <v>95.016982544623502</v>
      </c>
      <c r="I609" s="3" t="s">
        <v>1164</v>
      </c>
      <c r="J609" s="6" t="str">
        <f t="shared" si="19"/>
        <v>http://konect.cc/files/download.tsv.wikipedia_link_bpy.tar.bz2</v>
      </c>
      <c r="L609" s="5"/>
    </row>
    <row r="610" spans="3:12" x14ac:dyDescent="0.3">
      <c r="C610" s="6" t="s">
        <v>3081</v>
      </c>
      <c r="D610" s="3" t="s">
        <v>3082</v>
      </c>
      <c r="E610" s="6" t="s">
        <v>33</v>
      </c>
      <c r="F610" s="7">
        <v>25250</v>
      </c>
      <c r="G610" s="7">
        <v>698864</v>
      </c>
      <c r="H610" s="6">
        <f t="shared" si="18"/>
        <v>27.677782178217821</v>
      </c>
      <c r="I610" s="3" t="s">
        <v>1000</v>
      </c>
      <c r="J610" s="6" t="str">
        <f t="shared" si="19"/>
        <v>http://konect.cc/files/download.tsv.wikipedia_link_yi.tar.bz2</v>
      </c>
      <c r="L610" s="5"/>
    </row>
    <row r="611" spans="3:12" x14ac:dyDescent="0.3">
      <c r="C611" s="6" t="s">
        <v>3050</v>
      </c>
      <c r="D611" s="3" t="s">
        <v>3051</v>
      </c>
      <c r="E611" s="6" t="s">
        <v>38</v>
      </c>
      <c r="F611" s="7">
        <v>25086</v>
      </c>
      <c r="G611" s="7">
        <v>283080</v>
      </c>
      <c r="H611" s="6">
        <f t="shared" si="18"/>
        <v>11.284381726859603</v>
      </c>
      <c r="I611" s="3" t="s">
        <v>984</v>
      </c>
      <c r="J611" s="6" t="str">
        <f t="shared" si="19"/>
        <v>http://konect.cc/files/download.tsv.edit-frwikivoyage.tar.bz2</v>
      </c>
      <c r="L611" s="5"/>
    </row>
    <row r="612" spans="3:12" x14ac:dyDescent="0.3">
      <c r="C612" s="6" t="s">
        <v>1987</v>
      </c>
      <c r="D612" s="3" t="s">
        <v>1988</v>
      </c>
      <c r="E612" s="6" t="s">
        <v>38</v>
      </c>
      <c r="F612" s="7">
        <v>24998</v>
      </c>
      <c r="G612" s="7">
        <v>72730</v>
      </c>
      <c r="H612" s="6">
        <f t="shared" si="18"/>
        <v>2.9094327546203695</v>
      </c>
      <c r="I612" s="3" t="s">
        <v>742</v>
      </c>
      <c r="J612" s="6" t="str">
        <f t="shared" si="19"/>
        <v>http://konect.cc/files/download.tsv.edit-lawikisource.tar.bz2</v>
      </c>
      <c r="L612" s="5"/>
    </row>
    <row r="613" spans="3:12" x14ac:dyDescent="0.3">
      <c r="C613" s="6" t="s">
        <v>3002</v>
      </c>
      <c r="D613" s="3" t="s">
        <v>3003</v>
      </c>
      <c r="E613" s="6" t="s">
        <v>33</v>
      </c>
      <c r="F613" s="7">
        <v>24958</v>
      </c>
      <c r="G613" s="7">
        <v>502048</v>
      </c>
      <c r="H613" s="6">
        <f t="shared" si="18"/>
        <v>20.115714400192324</v>
      </c>
      <c r="I613" s="3" t="s">
        <v>958</v>
      </c>
      <c r="J613" s="6" t="str">
        <f t="shared" si="19"/>
        <v>http://konect.cc/files/download.tsv.wikipedia_link_arz.tar.bz2</v>
      </c>
      <c r="L613" s="5"/>
    </row>
    <row r="614" spans="3:12" x14ac:dyDescent="0.3">
      <c r="C614" s="6" t="s">
        <v>2995</v>
      </c>
      <c r="D614" s="3" t="s">
        <v>2996</v>
      </c>
      <c r="E614" s="6" t="s">
        <v>33</v>
      </c>
      <c r="F614" s="7">
        <v>24924</v>
      </c>
      <c r="G614" s="7">
        <v>488451</v>
      </c>
      <c r="H614" s="6">
        <f t="shared" si="18"/>
        <v>19.597616754935004</v>
      </c>
      <c r="I614" s="3" t="s">
        <v>954</v>
      </c>
      <c r="J614" s="6" t="str">
        <f t="shared" si="19"/>
        <v>http://konect.cc/files/download.tsv.wikipedia_link_mn.tar.bz2</v>
      </c>
      <c r="L614" s="5"/>
    </row>
    <row r="615" spans="3:12" x14ac:dyDescent="0.3">
      <c r="C615" s="6" t="s">
        <v>2719</v>
      </c>
      <c r="D615" s="3" t="s">
        <v>2720</v>
      </c>
      <c r="E615" s="6" t="s">
        <v>33</v>
      </c>
      <c r="F615" s="7">
        <v>24913</v>
      </c>
      <c r="G615" s="7">
        <v>197952</v>
      </c>
      <c r="H615" s="6">
        <f t="shared" si="18"/>
        <v>7.9457311443824512</v>
      </c>
      <c r="I615" s="3" t="s">
        <v>801</v>
      </c>
      <c r="J615" s="6" t="str">
        <f t="shared" si="19"/>
        <v>http://konect.cc/files/download.tsv.wikipedia_link_si.tar.bz2</v>
      </c>
      <c r="L615" s="5"/>
    </row>
    <row r="616" spans="3:12" x14ac:dyDescent="0.3">
      <c r="C616" s="6" t="s">
        <v>3194</v>
      </c>
      <c r="D616" s="3" t="s">
        <v>1517</v>
      </c>
      <c r="E616" s="6" t="s">
        <v>42</v>
      </c>
      <c r="F616" s="7">
        <v>24818</v>
      </c>
      <c r="G616" s="7">
        <v>506550</v>
      </c>
      <c r="H616" s="6">
        <f t="shared" si="18"/>
        <v>20.410589088564752</v>
      </c>
      <c r="I616" s="3" t="s">
        <v>1057</v>
      </c>
      <c r="J616" s="6" t="str">
        <f t="shared" si="19"/>
        <v>http://konect.cc/files/download.tsv.sx-mathoverflow.tar.bz2</v>
      </c>
      <c r="L616" s="5"/>
    </row>
    <row r="617" spans="3:12" x14ac:dyDescent="0.3">
      <c r="C617" s="6" t="s">
        <v>3073</v>
      </c>
      <c r="D617" s="3" t="s">
        <v>3074</v>
      </c>
      <c r="E617" s="6" t="s">
        <v>38</v>
      </c>
      <c r="F617" s="7">
        <v>24753</v>
      </c>
      <c r="G617" s="7">
        <v>323207</v>
      </c>
      <c r="H617" s="6">
        <f t="shared" si="18"/>
        <v>13.057285985537106</v>
      </c>
      <c r="I617" s="3" t="s">
        <v>996</v>
      </c>
      <c r="J617" s="6" t="str">
        <f t="shared" si="19"/>
        <v>http://konect.cc/files/download.tsv.edit-dewikiquote.tar.bz2</v>
      </c>
      <c r="L617" s="5"/>
    </row>
    <row r="618" spans="3:12" x14ac:dyDescent="0.3">
      <c r="C618" s="6" t="s">
        <v>2740</v>
      </c>
      <c r="D618" s="3" t="s">
        <v>2741</v>
      </c>
      <c r="E618" s="6" t="s">
        <v>38</v>
      </c>
      <c r="F618" s="7">
        <v>24129</v>
      </c>
      <c r="G618" s="7">
        <v>95580</v>
      </c>
      <c r="H618" s="6">
        <f t="shared" si="18"/>
        <v>3.961208504289444</v>
      </c>
      <c r="I618" s="3" t="s">
        <v>813</v>
      </c>
      <c r="J618" s="6" t="str">
        <f t="shared" si="19"/>
        <v>http://konect.cc/files/download.tsv.movielens-10m_ti.tar.bz2</v>
      </c>
      <c r="L618" s="5"/>
    </row>
    <row r="619" spans="3:12" x14ac:dyDescent="0.3">
      <c r="C619" s="6" t="s">
        <v>3371</v>
      </c>
      <c r="D619" s="3" t="s">
        <v>3372</v>
      </c>
      <c r="E619" s="6" t="s">
        <v>33</v>
      </c>
      <c r="F619" s="7">
        <v>24031</v>
      </c>
      <c r="G619" s="7">
        <v>2204006</v>
      </c>
      <c r="H619" s="6">
        <f t="shared" si="18"/>
        <v>91.7151179726187</v>
      </c>
      <c r="I619" s="3" t="s">
        <v>1151</v>
      </c>
      <c r="J619" s="6" t="str">
        <f t="shared" si="19"/>
        <v>http://konect.cc/files/download.tsv.wikipedia_link_ia.tar.bz2</v>
      </c>
      <c r="L619" s="5"/>
    </row>
    <row r="620" spans="3:12" x14ac:dyDescent="0.3">
      <c r="C620" s="6" t="s">
        <v>2252</v>
      </c>
      <c r="D620" s="3" t="s">
        <v>2253</v>
      </c>
      <c r="E620" s="6" t="s">
        <v>2083</v>
      </c>
      <c r="F620" s="7">
        <v>23965</v>
      </c>
      <c r="G620" s="7">
        <v>35377</v>
      </c>
      <c r="H620" s="6">
        <f t="shared" si="18"/>
        <v>1.4761944502399333</v>
      </c>
      <c r="I620" s="3" t="s">
        <v>3882</v>
      </c>
      <c r="J620" s="6" t="str">
        <f t="shared" si="19"/>
        <v>http://konect.cc/files/download.tsv.prosper-watch.tar.bz2</v>
      </c>
      <c r="L620" s="5"/>
    </row>
    <row r="621" spans="3:12" x14ac:dyDescent="0.3">
      <c r="C621" s="6" t="s">
        <v>2872</v>
      </c>
      <c r="D621" s="3" t="s">
        <v>2873</v>
      </c>
      <c r="E621" s="6" t="s">
        <v>38</v>
      </c>
      <c r="F621" s="7">
        <v>23748</v>
      </c>
      <c r="G621" s="7">
        <v>151552</v>
      </c>
      <c r="H621" s="6">
        <f t="shared" si="18"/>
        <v>6.3816742462523157</v>
      </c>
      <c r="I621" s="3" t="s">
        <v>888</v>
      </c>
      <c r="J621" s="6" t="str">
        <f t="shared" si="19"/>
        <v>http://konect.cc/files/download.tsv.edit-zh_min_nanwiktionary.tar.bz2</v>
      </c>
      <c r="L621" s="5"/>
    </row>
    <row r="622" spans="3:12" x14ac:dyDescent="0.3">
      <c r="C622" s="6" t="s">
        <v>2272</v>
      </c>
      <c r="D622" s="3" t="s">
        <v>2273</v>
      </c>
      <c r="E622" s="6" t="s">
        <v>98</v>
      </c>
      <c r="F622" s="7">
        <v>23628</v>
      </c>
      <c r="G622" s="7">
        <v>39242</v>
      </c>
      <c r="H622" s="6">
        <f t="shared" si="18"/>
        <v>1.6608261384797698</v>
      </c>
      <c r="I622" s="3" t="s">
        <v>549</v>
      </c>
      <c r="J622" s="6" t="str">
        <f t="shared" si="19"/>
        <v>http://konect.cc/files/download.tsv.ego-gplus.tar.bz2</v>
      </c>
      <c r="L622" s="5"/>
    </row>
    <row r="623" spans="3:12" x14ac:dyDescent="0.3">
      <c r="C623" s="6" t="s">
        <v>2455</v>
      </c>
      <c r="D623" s="3" t="s">
        <v>2456</v>
      </c>
      <c r="E623" s="6" t="s">
        <v>38</v>
      </c>
      <c r="F623" s="7">
        <v>23375</v>
      </c>
      <c r="G623" s="7">
        <v>43758</v>
      </c>
      <c r="H623" s="6">
        <f t="shared" si="18"/>
        <v>1.8720000000000001</v>
      </c>
      <c r="I623" s="3" t="s">
        <v>647</v>
      </c>
      <c r="J623" s="6" t="str">
        <f t="shared" si="19"/>
        <v>http://konect.cc/files/download.tsv.edit-arwikiquote.tar.bz2</v>
      </c>
      <c r="L623" s="5"/>
    </row>
    <row r="624" spans="3:12" x14ac:dyDescent="0.3">
      <c r="C624" s="6" t="s">
        <v>2223</v>
      </c>
      <c r="D624" s="3" t="s">
        <v>2224</v>
      </c>
      <c r="E624" s="6" t="s">
        <v>98</v>
      </c>
      <c r="F624" s="7">
        <v>23370</v>
      </c>
      <c r="G624" s="7">
        <v>33101</v>
      </c>
      <c r="H624" s="6">
        <f t="shared" si="18"/>
        <v>1.4163885323063756</v>
      </c>
      <c r="I624" s="3" t="s">
        <v>525</v>
      </c>
      <c r="J624" s="6" t="str">
        <f t="shared" si="19"/>
        <v>http://konect.cc/files/download.tsv.ego-twitter.tar.bz2</v>
      </c>
      <c r="L624" s="5"/>
    </row>
    <row r="625" spans="3:12" x14ac:dyDescent="0.3">
      <c r="C625" s="6" t="s">
        <v>2276</v>
      </c>
      <c r="D625" s="3" t="s">
        <v>2277</v>
      </c>
      <c r="E625" s="6" t="s">
        <v>38</v>
      </c>
      <c r="F625" s="7">
        <v>23281</v>
      </c>
      <c r="G625" s="7">
        <v>84615</v>
      </c>
      <c r="H625" s="6">
        <f t="shared" si="18"/>
        <v>3.6345088269404235</v>
      </c>
      <c r="I625" s="3" t="s">
        <v>771</v>
      </c>
      <c r="J625" s="6" t="str">
        <f t="shared" si="19"/>
        <v>http://konect.cc/files/download.tsv.edit-elwikisource.tar.bz2</v>
      </c>
      <c r="L625" s="5"/>
    </row>
    <row r="626" spans="3:12" x14ac:dyDescent="0.3">
      <c r="C626" s="6" t="s">
        <v>2489</v>
      </c>
      <c r="D626" s="3" t="s">
        <v>1496</v>
      </c>
      <c r="E626" s="6" t="s">
        <v>98</v>
      </c>
      <c r="F626" s="7">
        <v>23166</v>
      </c>
      <c r="G626" s="7">
        <v>91500</v>
      </c>
      <c r="H626" s="6">
        <f t="shared" si="18"/>
        <v>3.9497539497539496</v>
      </c>
      <c r="I626" s="3" t="s">
        <v>668</v>
      </c>
      <c r="J626" s="6" t="str">
        <f t="shared" si="19"/>
        <v>http://konect.cc/files/download.tsv.subelj_cora.tar.bz2</v>
      </c>
      <c r="L626" s="5"/>
    </row>
    <row r="627" spans="3:12" x14ac:dyDescent="0.3">
      <c r="C627" s="6" t="s">
        <v>2932</v>
      </c>
      <c r="D627" s="3" t="s">
        <v>2933</v>
      </c>
      <c r="E627" s="6" t="s">
        <v>96</v>
      </c>
      <c r="F627" s="7">
        <v>23132</v>
      </c>
      <c r="G627" s="7">
        <v>511764</v>
      </c>
      <c r="H627" s="6">
        <f t="shared" si="18"/>
        <v>22.123638250043228</v>
      </c>
      <c r="I627" s="3" t="s">
        <v>921</v>
      </c>
      <c r="J627" s="6" t="str">
        <f t="shared" si="19"/>
        <v>http://konect.cc/files/download.tsv.eat.tar.bz2</v>
      </c>
      <c r="L627" s="5"/>
    </row>
    <row r="628" spans="3:12" x14ac:dyDescent="0.3">
      <c r="C628" s="6" t="s">
        <v>2362</v>
      </c>
      <c r="D628" s="3" t="s">
        <v>2363</v>
      </c>
      <c r="E628" s="6" t="s">
        <v>145</v>
      </c>
      <c r="F628" s="7">
        <v>23132</v>
      </c>
      <c r="G628" s="7">
        <v>27432</v>
      </c>
      <c r="H628" s="6">
        <f t="shared" si="18"/>
        <v>1.185889676638423</v>
      </c>
      <c r="I628" s="3" t="s">
        <v>597</v>
      </c>
      <c r="J628" s="6" t="str">
        <f t="shared" si="19"/>
        <v>http://konect.cc/files/download.tsv.wiki_talk_nds.tar.bz2</v>
      </c>
      <c r="L628" s="5"/>
    </row>
    <row r="629" spans="3:12" x14ac:dyDescent="0.3">
      <c r="C629" s="6" t="s">
        <v>2870</v>
      </c>
      <c r="D629" s="3" t="s">
        <v>2871</v>
      </c>
      <c r="E629" s="6" t="s">
        <v>38</v>
      </c>
      <c r="F629" s="7">
        <v>22981</v>
      </c>
      <c r="G629" s="7">
        <v>151128</v>
      </c>
      <c r="H629" s="6">
        <f t="shared" si="18"/>
        <v>6.5762151342413295</v>
      </c>
      <c r="I629" s="3" t="s">
        <v>887</v>
      </c>
      <c r="J629" s="6" t="str">
        <f t="shared" si="19"/>
        <v>http://konect.cc/files/download.tsv.edit-mhrwiki.tar.bz2</v>
      </c>
      <c r="L629" s="5"/>
    </row>
    <row r="630" spans="3:12" x14ac:dyDescent="0.3">
      <c r="C630" s="6" t="s">
        <v>2902</v>
      </c>
      <c r="D630" s="3" t="s">
        <v>2903</v>
      </c>
      <c r="E630" s="6" t="s">
        <v>33</v>
      </c>
      <c r="F630" s="7">
        <v>22978</v>
      </c>
      <c r="G630" s="7">
        <v>340005</v>
      </c>
      <c r="H630" s="6">
        <f t="shared" si="18"/>
        <v>14.796979719731917</v>
      </c>
      <c r="I630" s="3" t="s">
        <v>905</v>
      </c>
      <c r="J630" s="6" t="str">
        <f t="shared" si="19"/>
        <v>http://konect.cc/files/download.tsv.wikipedia_link_gd.tar.bz2</v>
      </c>
      <c r="L630" s="5"/>
    </row>
    <row r="631" spans="3:12" x14ac:dyDescent="0.3">
      <c r="C631" s="6" t="s">
        <v>1995</v>
      </c>
      <c r="D631" s="3" t="s">
        <v>2296</v>
      </c>
      <c r="E631" s="6" t="s">
        <v>2297</v>
      </c>
      <c r="F631" s="7">
        <v>22963</v>
      </c>
      <c r="G631" s="7">
        <v>48436</v>
      </c>
      <c r="H631" s="6">
        <f t="shared" si="18"/>
        <v>2.1093062753124592</v>
      </c>
      <c r="I631" s="3" t="s">
        <v>560</v>
      </c>
      <c r="J631" s="6" t="str">
        <f t="shared" si="19"/>
        <v>http://konect.cc/files/download.tsv.dimacs10-as-22july06.tar.bz2</v>
      </c>
      <c r="L631" s="5"/>
    </row>
    <row r="632" spans="3:12" x14ac:dyDescent="0.3">
      <c r="C632" s="6" t="s">
        <v>3482</v>
      </c>
      <c r="D632" s="3" t="s">
        <v>2929</v>
      </c>
      <c r="E632" s="6" t="s">
        <v>151</v>
      </c>
      <c r="F632" s="7">
        <v>22908</v>
      </c>
      <c r="G632" s="7">
        <v>2673133</v>
      </c>
      <c r="H632" s="6">
        <f t="shared" si="18"/>
        <v>116.68993364763402</v>
      </c>
      <c r="I632" s="3" t="s">
        <v>1212</v>
      </c>
      <c r="J632" s="6" t="str">
        <f t="shared" si="19"/>
        <v>http://konect.cc/files/download.tsv.ca-cit-HepTh.tar.bz2</v>
      </c>
      <c r="L632" s="5"/>
    </row>
    <row r="633" spans="3:12" x14ac:dyDescent="0.3">
      <c r="C633" s="6" t="s">
        <v>2766</v>
      </c>
      <c r="D633" s="3" t="s">
        <v>2767</v>
      </c>
      <c r="E633" s="6" t="s">
        <v>38</v>
      </c>
      <c r="F633" s="7">
        <v>22838</v>
      </c>
      <c r="G633" s="7">
        <v>104220</v>
      </c>
      <c r="H633" s="6">
        <f t="shared" si="18"/>
        <v>4.5634468867676681</v>
      </c>
      <c r="I633" s="3" t="s">
        <v>827</v>
      </c>
      <c r="J633" s="6" t="str">
        <f t="shared" si="19"/>
        <v>http://konect.cc/files/download.tsv.edit-ruwikiversity.tar.bz2</v>
      </c>
      <c r="L633" s="5"/>
    </row>
    <row r="634" spans="3:12" x14ac:dyDescent="0.3">
      <c r="C634" s="6" t="s">
        <v>2076</v>
      </c>
      <c r="D634" s="3" t="s">
        <v>2354</v>
      </c>
      <c r="E634" s="6" t="s">
        <v>2078</v>
      </c>
      <c r="F634" s="7">
        <v>22687</v>
      </c>
      <c r="G634" s="7">
        <v>54705</v>
      </c>
      <c r="H634" s="6">
        <f t="shared" si="18"/>
        <v>2.4112928108608456</v>
      </c>
      <c r="I634" s="3" t="s">
        <v>592</v>
      </c>
      <c r="J634" s="6" t="str">
        <f t="shared" si="19"/>
        <v>http://konect.cc/files/download.tsv.p2p-Gnutella25.tar.bz2</v>
      </c>
      <c r="L634" s="5"/>
    </row>
    <row r="635" spans="3:12" x14ac:dyDescent="0.3">
      <c r="C635" s="6" t="s">
        <v>2773</v>
      </c>
      <c r="D635" s="3" t="s">
        <v>2774</v>
      </c>
      <c r="E635" s="6" t="s">
        <v>38</v>
      </c>
      <c r="F635" s="7">
        <v>22385</v>
      </c>
      <c r="G635" s="7">
        <v>109533</v>
      </c>
      <c r="H635" s="6">
        <f t="shared" si="18"/>
        <v>4.8931427295063656</v>
      </c>
      <c r="I635" s="3" t="s">
        <v>831</v>
      </c>
      <c r="J635" s="6" t="str">
        <f t="shared" si="19"/>
        <v>http://konect.cc/files/download.tsv.edit-skwiktionary.tar.bz2</v>
      </c>
      <c r="L635" s="5"/>
    </row>
    <row r="636" spans="3:12" x14ac:dyDescent="0.3">
      <c r="C636" s="6" t="s">
        <v>2839</v>
      </c>
      <c r="D636" s="3" t="s">
        <v>2840</v>
      </c>
      <c r="E636" s="6" t="s">
        <v>38</v>
      </c>
      <c r="F636" s="7">
        <v>22147</v>
      </c>
      <c r="G636" s="7">
        <v>134781</v>
      </c>
      <c r="H636" s="6">
        <f t="shared" si="18"/>
        <v>6.0857452476633407</v>
      </c>
      <c r="I636" s="3" t="s">
        <v>867</v>
      </c>
      <c r="J636" s="6" t="str">
        <f t="shared" si="19"/>
        <v>http://konect.cc/files/download.tsv.edit-afwiktionary.tar.bz2</v>
      </c>
      <c r="L636" s="5"/>
    </row>
    <row r="637" spans="3:12" x14ac:dyDescent="0.3">
      <c r="C637" s="6" t="s">
        <v>2920</v>
      </c>
      <c r="D637" s="3" t="s">
        <v>2921</v>
      </c>
      <c r="E637" s="6" t="s">
        <v>38</v>
      </c>
      <c r="F637" s="7">
        <v>22048</v>
      </c>
      <c r="G637" s="7">
        <v>175134</v>
      </c>
      <c r="H637" s="6">
        <f t="shared" si="18"/>
        <v>7.9433055152394774</v>
      </c>
      <c r="I637" s="3" t="s">
        <v>914</v>
      </c>
      <c r="J637" s="6" t="str">
        <f t="shared" si="19"/>
        <v>http://konect.cc/files/download.tsv.edit-astwiktionary.tar.bz2</v>
      </c>
      <c r="L637" s="5"/>
    </row>
    <row r="638" spans="3:12" x14ac:dyDescent="0.3">
      <c r="C638" s="6" t="s">
        <v>2914</v>
      </c>
      <c r="D638" s="3" t="s">
        <v>2915</v>
      </c>
      <c r="E638" s="6" t="s">
        <v>38</v>
      </c>
      <c r="F638" s="7">
        <v>22011</v>
      </c>
      <c r="G638" s="7">
        <v>163911</v>
      </c>
      <c r="H638" s="6">
        <f t="shared" si="18"/>
        <v>7.4467766116941529</v>
      </c>
      <c r="I638" s="3" t="s">
        <v>911</v>
      </c>
      <c r="J638" s="6" t="str">
        <f t="shared" si="19"/>
        <v>http://konect.cc/files/download.tsv.edit-plwikibooks.tar.bz2</v>
      </c>
      <c r="L638" s="5"/>
    </row>
    <row r="639" spans="3:12" x14ac:dyDescent="0.3">
      <c r="C639" s="6" t="s">
        <v>2566</v>
      </c>
      <c r="D639" s="3" t="s">
        <v>2567</v>
      </c>
      <c r="E639" s="6" t="s">
        <v>33</v>
      </c>
      <c r="F639" s="7">
        <v>21900</v>
      </c>
      <c r="G639" s="7">
        <v>123807</v>
      </c>
      <c r="H639" s="6">
        <f t="shared" si="18"/>
        <v>5.653287671232877</v>
      </c>
      <c r="I639" s="3" t="s">
        <v>709</v>
      </c>
      <c r="J639" s="6" t="str">
        <f t="shared" si="19"/>
        <v>http://konect.cc/files/download.tsv.wikipedia_link_bat_smg.tar.bz2</v>
      </c>
      <c r="L639" s="5"/>
    </row>
    <row r="640" spans="3:12" x14ac:dyDescent="0.3">
      <c r="C640" s="6" t="s">
        <v>2841</v>
      </c>
      <c r="D640" s="3" t="s">
        <v>2842</v>
      </c>
      <c r="E640" s="6" t="s">
        <v>38</v>
      </c>
      <c r="F640" s="7">
        <v>21860</v>
      </c>
      <c r="G640" s="7">
        <v>129951</v>
      </c>
      <c r="H640" s="6">
        <f t="shared" si="18"/>
        <v>5.944693504117109</v>
      </c>
      <c r="I640" s="3" t="s">
        <v>868</v>
      </c>
      <c r="J640" s="6" t="str">
        <f t="shared" si="19"/>
        <v>http://konect.cc/files/download.tsv.edit-itwikiversity.tar.bz2</v>
      </c>
      <c r="L640" s="5"/>
    </row>
    <row r="641" spans="3:12" x14ac:dyDescent="0.3">
      <c r="C641" s="6" t="s">
        <v>3511</v>
      </c>
      <c r="D641" s="3" t="s">
        <v>3512</v>
      </c>
      <c r="E641" s="6" t="s">
        <v>33</v>
      </c>
      <c r="F641" s="7">
        <v>21779</v>
      </c>
      <c r="G641" s="7">
        <v>3720076</v>
      </c>
      <c r="H641" s="6">
        <f t="shared" si="18"/>
        <v>170.81023003811012</v>
      </c>
      <c r="I641" s="3" t="s">
        <v>1228</v>
      </c>
      <c r="J641" s="6" t="str">
        <f t="shared" si="19"/>
        <v>http://konect.cc/files/download.tsv.wikipedia_link_sa.tar.bz2</v>
      </c>
      <c r="L641" s="5"/>
    </row>
    <row r="642" spans="3:12" x14ac:dyDescent="0.3">
      <c r="C642" s="6" t="s">
        <v>2626</v>
      </c>
      <c r="D642" s="3" t="s">
        <v>2627</v>
      </c>
      <c r="E642" s="6" t="s">
        <v>38</v>
      </c>
      <c r="F642" s="7">
        <v>21611</v>
      </c>
      <c r="G642" s="7">
        <v>72250</v>
      </c>
      <c r="H642" s="6">
        <f t="shared" ref="H642:H705" si="20">G642/F642</f>
        <v>3.3432048493822588</v>
      </c>
      <c r="I642" s="3" t="s">
        <v>746</v>
      </c>
      <c r="J642" s="6" t="str">
        <f t="shared" ref="J642:J705" si="21">"http://konect.cc/files/download.tsv."&amp;I642&amp;".tar.bz2"</f>
        <v>http://konect.cc/files/download.tsv.edit-jawikibooks.tar.bz2</v>
      </c>
      <c r="L642" s="5"/>
    </row>
    <row r="643" spans="3:12" x14ac:dyDescent="0.3">
      <c r="C643" s="6" t="s">
        <v>2070</v>
      </c>
      <c r="D643" s="3" t="s">
        <v>2071</v>
      </c>
      <c r="E643" s="6" t="s">
        <v>38</v>
      </c>
      <c r="F643" s="7">
        <v>21230</v>
      </c>
      <c r="G643" s="7">
        <v>36012</v>
      </c>
      <c r="H643" s="6">
        <f t="shared" si="20"/>
        <v>1.6962788506829958</v>
      </c>
      <c r="I643" s="3" t="s">
        <v>626</v>
      </c>
      <c r="J643" s="6" t="str">
        <f t="shared" si="21"/>
        <v>http://konect.cc/files/download.tsv.edit-dawikisource.tar.bz2</v>
      </c>
      <c r="L643" s="5"/>
    </row>
    <row r="644" spans="3:12" x14ac:dyDescent="0.3">
      <c r="C644" s="6" t="s">
        <v>2282</v>
      </c>
      <c r="D644" s="3" t="s">
        <v>2283</v>
      </c>
      <c r="E644" s="6" t="s">
        <v>38</v>
      </c>
      <c r="F644" s="7">
        <v>21208</v>
      </c>
      <c r="G644" s="7">
        <v>71279</v>
      </c>
      <c r="H644" s="6">
        <f t="shared" si="20"/>
        <v>3.3609486986043002</v>
      </c>
      <c r="I644" s="3" t="s">
        <v>740</v>
      </c>
      <c r="J644" s="6" t="str">
        <f t="shared" si="21"/>
        <v>http://konect.cc/files/download.tsv.edit-jawikisource.tar.bz2</v>
      </c>
      <c r="L644" s="5"/>
    </row>
    <row r="645" spans="3:12" x14ac:dyDescent="0.3">
      <c r="C645" s="6" t="s">
        <v>2512</v>
      </c>
      <c r="D645" s="3" t="s">
        <v>2513</v>
      </c>
      <c r="E645" s="6" t="s">
        <v>33</v>
      </c>
      <c r="F645" s="7">
        <v>20943</v>
      </c>
      <c r="G645" s="7">
        <v>105746</v>
      </c>
      <c r="H645" s="6">
        <f t="shared" si="20"/>
        <v>5.0492288592847254</v>
      </c>
      <c r="I645" s="3" t="s">
        <v>680</v>
      </c>
      <c r="J645" s="6" t="str">
        <f t="shared" si="21"/>
        <v>http://konect.cc/files/download.tsv.wikipedia_link_am.tar.bz2</v>
      </c>
      <c r="L645" s="5"/>
    </row>
    <row r="646" spans="3:12" x14ac:dyDescent="0.3">
      <c r="C646" s="6" t="s">
        <v>2037</v>
      </c>
      <c r="D646" s="3" t="s">
        <v>2038</v>
      </c>
      <c r="E646" s="6" t="s">
        <v>38</v>
      </c>
      <c r="F646" s="7">
        <v>20902</v>
      </c>
      <c r="G646" s="7">
        <v>37403</v>
      </c>
      <c r="H646" s="6">
        <f t="shared" si="20"/>
        <v>1.7894459860300449</v>
      </c>
      <c r="I646" s="3" t="s">
        <v>633</v>
      </c>
      <c r="J646" s="6" t="str">
        <f t="shared" si="21"/>
        <v>http://konect.cc/files/download.tsv.edit-etwikisource.tar.bz2</v>
      </c>
      <c r="L646" s="5"/>
    </row>
    <row r="647" spans="3:12" x14ac:dyDescent="0.3">
      <c r="C647" s="6" t="s">
        <v>2833</v>
      </c>
      <c r="D647" s="3" t="s">
        <v>2834</v>
      </c>
      <c r="E647" s="6" t="s">
        <v>33</v>
      </c>
      <c r="F647" s="7">
        <v>20874</v>
      </c>
      <c r="G647" s="7">
        <v>265981</v>
      </c>
      <c r="H647" s="6">
        <f t="shared" si="20"/>
        <v>12.742215195937529</v>
      </c>
      <c r="I647" s="3" t="s">
        <v>864</v>
      </c>
      <c r="J647" s="6" t="str">
        <f t="shared" si="21"/>
        <v>http://konect.cc/files/download.tsv.wikipedia_link_os.tar.bz2</v>
      </c>
      <c r="L647" s="5"/>
    </row>
    <row r="648" spans="3:12" x14ac:dyDescent="0.3">
      <c r="C648" s="6" t="s">
        <v>2744</v>
      </c>
      <c r="D648" s="3" t="s">
        <v>2745</v>
      </c>
      <c r="E648" s="6" t="s">
        <v>38</v>
      </c>
      <c r="F648" s="7">
        <v>20537</v>
      </c>
      <c r="G648" s="7">
        <v>95580</v>
      </c>
      <c r="H648" s="6">
        <f t="shared" si="20"/>
        <v>4.6540390514680823</v>
      </c>
      <c r="I648" s="3" t="s">
        <v>815</v>
      </c>
      <c r="J648" s="6" t="str">
        <f t="shared" si="21"/>
        <v>http://konect.cc/files/download.tsv.movielens-10m_ut.tar.bz2</v>
      </c>
      <c r="L648" s="5"/>
    </row>
    <row r="649" spans="3:12" x14ac:dyDescent="0.3">
      <c r="C649" s="6" t="s">
        <v>3244</v>
      </c>
      <c r="D649" s="3" t="s">
        <v>3245</v>
      </c>
      <c r="E649" s="6" t="s">
        <v>33</v>
      </c>
      <c r="F649" s="7">
        <v>20485</v>
      </c>
      <c r="G649" s="7">
        <v>1244270</v>
      </c>
      <c r="H649" s="6">
        <f t="shared" si="20"/>
        <v>60.740541859897483</v>
      </c>
      <c r="I649" s="3" t="s">
        <v>1083</v>
      </c>
      <c r="J649" s="6" t="str">
        <f t="shared" si="21"/>
        <v>http://konect.cc/files/download.tsv.wikipedia_link_ilo.tar.bz2</v>
      </c>
      <c r="L649" s="5"/>
    </row>
    <row r="650" spans="3:12" x14ac:dyDescent="0.3">
      <c r="C650" s="6" t="s">
        <v>2813</v>
      </c>
      <c r="D650" s="3" t="s">
        <v>2814</v>
      </c>
      <c r="E650" s="6" t="s">
        <v>38</v>
      </c>
      <c r="F650" s="7">
        <v>20387</v>
      </c>
      <c r="G650" s="7">
        <v>127958</v>
      </c>
      <c r="H650" s="6">
        <f t="shared" si="20"/>
        <v>6.2764506793544905</v>
      </c>
      <c r="I650" s="3" t="s">
        <v>854</v>
      </c>
      <c r="J650" s="6" t="str">
        <f t="shared" si="21"/>
        <v>http://konect.cc/files/download.tsv.edit-sowiki.tar.bz2</v>
      </c>
      <c r="L650" s="5"/>
    </row>
    <row r="651" spans="3:12" x14ac:dyDescent="0.3">
      <c r="C651" s="6" t="s">
        <v>2671</v>
      </c>
      <c r="D651" s="3" t="s">
        <v>2672</v>
      </c>
      <c r="E651" s="6" t="s">
        <v>38</v>
      </c>
      <c r="F651" s="7">
        <v>20349</v>
      </c>
      <c r="G651" s="7">
        <v>85549</v>
      </c>
      <c r="H651" s="6">
        <f t="shared" si="20"/>
        <v>4.2040886530050621</v>
      </c>
      <c r="I651" s="3" t="s">
        <v>774</v>
      </c>
      <c r="J651" s="6" t="str">
        <f t="shared" si="21"/>
        <v>http://konect.cc/files/download.tsv.edit-fawikivoyage.tar.bz2</v>
      </c>
      <c r="L651" s="5"/>
    </row>
    <row r="652" spans="3:12" x14ac:dyDescent="0.3">
      <c r="C652" s="6" t="s">
        <v>2791</v>
      </c>
      <c r="D652" s="3" t="s">
        <v>2792</v>
      </c>
      <c r="E652" s="6" t="s">
        <v>38</v>
      </c>
      <c r="F652" s="7">
        <v>20137</v>
      </c>
      <c r="G652" s="7">
        <v>123282</v>
      </c>
      <c r="H652" s="6">
        <f t="shared" si="20"/>
        <v>6.1221631822019171</v>
      </c>
      <c r="I652" s="3" t="s">
        <v>842</v>
      </c>
      <c r="J652" s="6" t="str">
        <f t="shared" si="21"/>
        <v>http://konect.cc/files/download.tsv.edit-frrwiki.tar.bz2</v>
      </c>
      <c r="L652" s="5"/>
    </row>
    <row r="653" spans="3:12" x14ac:dyDescent="0.3">
      <c r="C653" s="6" t="s">
        <v>3086</v>
      </c>
      <c r="D653" s="3" t="s">
        <v>3087</v>
      </c>
      <c r="E653" s="6" t="s">
        <v>38</v>
      </c>
      <c r="F653" s="7">
        <v>20068</v>
      </c>
      <c r="G653" s="7">
        <v>336603</v>
      </c>
      <c r="H653" s="6">
        <f t="shared" si="20"/>
        <v>16.773121387283236</v>
      </c>
      <c r="I653" s="3" t="s">
        <v>1002</v>
      </c>
      <c r="J653" s="6" t="str">
        <f t="shared" si="21"/>
        <v>http://konect.cc/files/download.tsv.edit-nahwiki.tar.bz2</v>
      </c>
      <c r="L653" s="5"/>
    </row>
    <row r="654" spans="3:12" x14ac:dyDescent="0.3">
      <c r="C654" s="6" t="s">
        <v>2811</v>
      </c>
      <c r="D654" s="3" t="s">
        <v>2812</v>
      </c>
      <c r="E654" s="6" t="s">
        <v>38</v>
      </c>
      <c r="F654" s="7">
        <v>19970</v>
      </c>
      <c r="G654" s="7">
        <v>128264</v>
      </c>
      <c r="H654" s="6">
        <f t="shared" si="20"/>
        <v>6.4228342513770658</v>
      </c>
      <c r="I654" s="3" t="s">
        <v>853</v>
      </c>
      <c r="J654" s="6" t="str">
        <f t="shared" si="21"/>
        <v>http://konect.cc/files/download.tsv.edit-crhwiki.tar.bz2</v>
      </c>
      <c r="L654" s="5"/>
    </row>
    <row r="655" spans="3:12" x14ac:dyDescent="0.3">
      <c r="C655" s="6" t="s">
        <v>3036</v>
      </c>
      <c r="D655" s="3" t="s">
        <v>3037</v>
      </c>
      <c r="E655" s="6" t="s">
        <v>38</v>
      </c>
      <c r="F655" s="7">
        <v>19886</v>
      </c>
      <c r="G655" s="7">
        <v>264055</v>
      </c>
      <c r="H655" s="6">
        <f t="shared" si="20"/>
        <v>13.2784370914211</v>
      </c>
      <c r="I655" s="3" t="s">
        <v>977</v>
      </c>
      <c r="J655" s="6" t="str">
        <f t="shared" si="21"/>
        <v>http://konect.cc/files/download.tsv.edit-vlswiki.tar.bz2</v>
      </c>
      <c r="L655" s="5"/>
    </row>
    <row r="656" spans="3:12" x14ac:dyDescent="0.3">
      <c r="C656" s="6" t="s">
        <v>2425</v>
      </c>
      <c r="D656" s="3" t="s">
        <v>2426</v>
      </c>
      <c r="E656" s="6" t="s">
        <v>38</v>
      </c>
      <c r="F656" s="7">
        <v>19818</v>
      </c>
      <c r="G656" s="7">
        <v>100424</v>
      </c>
      <c r="H656" s="6">
        <f t="shared" si="20"/>
        <v>5.0673125441517808</v>
      </c>
      <c r="I656" s="3" t="s">
        <v>811</v>
      </c>
      <c r="J656" s="6" t="str">
        <f t="shared" si="21"/>
        <v>http://konect.cc/files/download.tsv.edit-trwikiquote.tar.bz2</v>
      </c>
      <c r="L656" s="5"/>
    </row>
    <row r="657" spans="3:12" x14ac:dyDescent="0.3">
      <c r="C657" s="6" t="s">
        <v>3032</v>
      </c>
      <c r="D657" s="3" t="s">
        <v>3033</v>
      </c>
      <c r="E657" s="6" t="s">
        <v>38</v>
      </c>
      <c r="F657" s="7">
        <v>19529</v>
      </c>
      <c r="G657" s="7">
        <v>265279</v>
      </c>
      <c r="H657" s="6">
        <f t="shared" si="20"/>
        <v>13.583849659480773</v>
      </c>
      <c r="I657" s="3" t="s">
        <v>975</v>
      </c>
      <c r="J657" s="6" t="str">
        <f t="shared" si="21"/>
        <v>http://konect.cc/files/download.tsv.edit-pamwiki.tar.bz2</v>
      </c>
      <c r="L657" s="5"/>
    </row>
    <row r="658" spans="3:12" x14ac:dyDescent="0.3">
      <c r="C658" s="6" t="s">
        <v>2483</v>
      </c>
      <c r="D658" s="3" t="s">
        <v>2484</v>
      </c>
      <c r="E658" s="6" t="s">
        <v>38</v>
      </c>
      <c r="F658" s="7">
        <v>19504</v>
      </c>
      <c r="G658" s="7">
        <v>55674</v>
      </c>
      <c r="H658" s="6">
        <f t="shared" si="20"/>
        <v>2.8544913863822807</v>
      </c>
      <c r="I658" s="3" t="s">
        <v>689</v>
      </c>
      <c r="J658" s="6" t="str">
        <f t="shared" si="21"/>
        <v>http://konect.cc/files/download.tsv.edit-nlwikisource.tar.bz2</v>
      </c>
      <c r="L658" s="5"/>
    </row>
    <row r="659" spans="3:12" x14ac:dyDescent="0.3">
      <c r="C659" s="6" t="s">
        <v>1656</v>
      </c>
      <c r="D659" s="3" t="s">
        <v>2943</v>
      </c>
      <c r="E659" s="6" t="s">
        <v>38</v>
      </c>
      <c r="F659" s="7">
        <v>19261</v>
      </c>
      <c r="G659" s="7">
        <v>184412</v>
      </c>
      <c r="H659" s="6">
        <f t="shared" si="20"/>
        <v>9.5743730855095794</v>
      </c>
      <c r="I659" s="3" t="s">
        <v>926</v>
      </c>
      <c r="J659" s="6" t="str">
        <f t="shared" si="21"/>
        <v>http://konect.cc/files/download.tsv.edit-bugwiki.tar.bz2</v>
      </c>
      <c r="L659" s="5"/>
    </row>
    <row r="660" spans="3:12" x14ac:dyDescent="0.3">
      <c r="C660" s="6" t="s">
        <v>2539</v>
      </c>
      <c r="D660" s="3" t="s">
        <v>2717</v>
      </c>
      <c r="E660" s="6" t="s">
        <v>2718</v>
      </c>
      <c r="F660" s="7">
        <v>18771</v>
      </c>
      <c r="G660" s="7">
        <v>198050</v>
      </c>
      <c r="H660" s="6">
        <f t="shared" si="20"/>
        <v>10.550849714985883</v>
      </c>
      <c r="I660" s="3" t="s">
        <v>800</v>
      </c>
      <c r="J660" s="6" t="str">
        <f t="shared" si="21"/>
        <v>http://konect.cc/files/download.tsv.ca-AstroPh.tar.bz2</v>
      </c>
      <c r="L660" s="5"/>
    </row>
    <row r="661" spans="3:12" x14ac:dyDescent="0.3">
      <c r="C661" s="6" t="s">
        <v>2500</v>
      </c>
      <c r="D661" s="3" t="s">
        <v>2501</v>
      </c>
      <c r="E661" s="6" t="s">
        <v>38</v>
      </c>
      <c r="F661" s="7">
        <v>18752</v>
      </c>
      <c r="G661" s="7">
        <v>50405</v>
      </c>
      <c r="H661" s="6">
        <f t="shared" si="20"/>
        <v>2.6879799488054608</v>
      </c>
      <c r="I661" s="3" t="s">
        <v>674</v>
      </c>
      <c r="J661" s="6" t="str">
        <f t="shared" si="21"/>
        <v>http://konect.cc/files/download.tsv.edit-arwikiversity.tar.bz2</v>
      </c>
      <c r="L661" s="5"/>
    </row>
    <row r="662" spans="3:12" x14ac:dyDescent="0.3">
      <c r="C662" s="6" t="s">
        <v>2286</v>
      </c>
      <c r="D662" s="3" t="s">
        <v>2287</v>
      </c>
      <c r="E662" s="6" t="s">
        <v>38</v>
      </c>
      <c r="F662" s="7">
        <v>18737</v>
      </c>
      <c r="G662" s="7">
        <v>45947</v>
      </c>
      <c r="H662" s="6">
        <f t="shared" si="20"/>
        <v>2.452206863425308</v>
      </c>
      <c r="I662" s="3" t="s">
        <v>656</v>
      </c>
      <c r="J662" s="6" t="str">
        <f t="shared" si="21"/>
        <v>http://konect.cc/files/download.tsv.edit-viwikisource.tar.bz2</v>
      </c>
      <c r="L662" s="5"/>
    </row>
    <row r="663" spans="3:12" x14ac:dyDescent="0.3">
      <c r="C663" s="6" t="s">
        <v>2738</v>
      </c>
      <c r="D663" s="3" t="s">
        <v>2739</v>
      </c>
      <c r="E663" s="6" t="s">
        <v>38</v>
      </c>
      <c r="F663" s="7">
        <v>18548</v>
      </c>
      <c r="G663" s="7">
        <v>100052</v>
      </c>
      <c r="H663" s="6">
        <f t="shared" si="20"/>
        <v>5.394220401121415</v>
      </c>
      <c r="I663" s="3" t="s">
        <v>812</v>
      </c>
      <c r="J663" s="6" t="str">
        <f t="shared" si="21"/>
        <v>http://konect.cc/files/download.tsv.edit-hewikibooks.tar.bz2</v>
      </c>
      <c r="L663" s="5"/>
    </row>
    <row r="664" spans="3:12" x14ac:dyDescent="0.3">
      <c r="C664" s="6" t="s">
        <v>3030</v>
      </c>
      <c r="D664" s="3" t="s">
        <v>3031</v>
      </c>
      <c r="E664" s="6" t="s">
        <v>38</v>
      </c>
      <c r="F664" s="7">
        <v>18232</v>
      </c>
      <c r="G664" s="7">
        <v>262921</v>
      </c>
      <c r="H664" s="6">
        <f t="shared" si="20"/>
        <v>14.420853444493199</v>
      </c>
      <c r="I664" s="3" t="s">
        <v>974</v>
      </c>
      <c r="J664" s="6" t="str">
        <f t="shared" si="21"/>
        <v>http://konect.cc/files/download.tsv.edit-nds_nlwiki.tar.bz2</v>
      </c>
      <c r="L664" s="5"/>
    </row>
    <row r="665" spans="3:12" x14ac:dyDescent="0.3">
      <c r="C665" s="6" t="s">
        <v>3261</v>
      </c>
      <c r="D665" s="3" t="s">
        <v>3262</v>
      </c>
      <c r="E665" s="6" t="s">
        <v>33</v>
      </c>
      <c r="F665" s="7">
        <v>18112</v>
      </c>
      <c r="G665" s="7">
        <v>1476267</v>
      </c>
      <c r="H665" s="6">
        <f t="shared" si="20"/>
        <v>81.50767446996467</v>
      </c>
      <c r="I665" s="3" t="s">
        <v>1092</v>
      </c>
      <c r="J665" s="6" t="str">
        <f t="shared" si="21"/>
        <v>http://konect.cc/files/download.tsv.wikipedia_link_mzn.tar.bz2</v>
      </c>
      <c r="L665" s="5"/>
    </row>
    <row r="666" spans="3:12" x14ac:dyDescent="0.3">
      <c r="C666" s="6" t="s">
        <v>3046</v>
      </c>
      <c r="D666" s="3" t="s">
        <v>3047</v>
      </c>
      <c r="E666" s="6" t="s">
        <v>38</v>
      </c>
      <c r="F666" s="7">
        <v>18060</v>
      </c>
      <c r="G666" s="7">
        <v>281618</v>
      </c>
      <c r="H666" s="6">
        <f t="shared" si="20"/>
        <v>15.593466223698782</v>
      </c>
      <c r="I666" s="3" t="s">
        <v>982</v>
      </c>
      <c r="J666" s="6" t="str">
        <f t="shared" si="21"/>
        <v>http://konect.cc/files/download.tsv.edit-gvwiki.tar.bz2</v>
      </c>
      <c r="L666" s="5"/>
    </row>
    <row r="667" spans="3:12" x14ac:dyDescent="0.3">
      <c r="C667" s="6" t="s">
        <v>3028</v>
      </c>
      <c r="D667" s="3" t="s">
        <v>3029</v>
      </c>
      <c r="E667" s="6" t="s">
        <v>38</v>
      </c>
      <c r="F667" s="7">
        <v>18055</v>
      </c>
      <c r="G667" s="7">
        <v>261169</v>
      </c>
      <c r="H667" s="6">
        <f t="shared" si="20"/>
        <v>14.465189698144558</v>
      </c>
      <c r="I667" s="3" t="s">
        <v>973</v>
      </c>
      <c r="J667" s="6" t="str">
        <f t="shared" si="21"/>
        <v>http://konect.cc/files/download.tsv.edit-sewiki.tar.bz2</v>
      </c>
      <c r="L667" s="5"/>
    </row>
    <row r="668" spans="3:12" x14ac:dyDescent="0.3">
      <c r="C668" s="6" t="s">
        <v>2805</v>
      </c>
      <c r="D668" s="3" t="s">
        <v>2806</v>
      </c>
      <c r="E668" s="6" t="s">
        <v>38</v>
      </c>
      <c r="F668" s="7">
        <v>18036</v>
      </c>
      <c r="G668" s="7">
        <v>126492</v>
      </c>
      <c r="H668" s="6">
        <f t="shared" si="20"/>
        <v>7.0133067198935466</v>
      </c>
      <c r="I668" s="3" t="s">
        <v>849</v>
      </c>
      <c r="J668" s="6" t="str">
        <f t="shared" si="21"/>
        <v>http://konect.cc/files/download.tsv.edit-roa_tarawiki.tar.bz2</v>
      </c>
      <c r="L668" s="5"/>
    </row>
    <row r="669" spans="3:12" x14ac:dyDescent="0.3">
      <c r="C669" s="6" t="s">
        <v>2862</v>
      </c>
      <c r="D669" s="3" t="s">
        <v>2863</v>
      </c>
      <c r="E669" s="6" t="s">
        <v>38</v>
      </c>
      <c r="F669" s="7">
        <v>18033</v>
      </c>
      <c r="G669" s="7">
        <v>145064</v>
      </c>
      <c r="H669" s="6">
        <f t="shared" si="20"/>
        <v>8.0443631120723111</v>
      </c>
      <c r="I669" s="3" t="s">
        <v>882</v>
      </c>
      <c r="J669" s="6" t="str">
        <f t="shared" si="21"/>
        <v>http://konect.cc/files/download.tsv.edit-wuuwiki.tar.bz2</v>
      </c>
      <c r="L669" s="5"/>
    </row>
    <row r="670" spans="3:12" x14ac:dyDescent="0.3">
      <c r="C670" s="6" t="s">
        <v>2823</v>
      </c>
      <c r="D670" s="3" t="s">
        <v>2824</v>
      </c>
      <c r="E670" s="6" t="s">
        <v>33</v>
      </c>
      <c r="F670" s="7">
        <v>17665</v>
      </c>
      <c r="G670" s="7">
        <v>280929</v>
      </c>
      <c r="H670" s="6">
        <f t="shared" si="20"/>
        <v>15.903141805830739</v>
      </c>
      <c r="I670" s="3" t="s">
        <v>859</v>
      </c>
      <c r="J670" s="6" t="str">
        <f t="shared" si="21"/>
        <v>http://konect.cc/files/download.tsv.wikipedia_link_hsb.tar.bz2</v>
      </c>
      <c r="L670" s="5"/>
    </row>
    <row r="671" spans="3:12" x14ac:dyDescent="0.3">
      <c r="C671" s="6" t="s">
        <v>2821</v>
      </c>
      <c r="D671" s="3" t="s">
        <v>2822</v>
      </c>
      <c r="E671" s="6" t="s">
        <v>33</v>
      </c>
      <c r="F671" s="7">
        <v>17649</v>
      </c>
      <c r="G671" s="7">
        <v>296944</v>
      </c>
      <c r="H671" s="6">
        <f t="shared" si="20"/>
        <v>16.824975919315541</v>
      </c>
      <c r="I671" s="3" t="s">
        <v>858</v>
      </c>
      <c r="J671" s="6" t="str">
        <f t="shared" si="21"/>
        <v>http://konect.cc/files/download.tsv.wikipedia_link_fo.tar.bz2</v>
      </c>
      <c r="L671" s="5"/>
    </row>
    <row r="672" spans="3:12" x14ac:dyDescent="0.3">
      <c r="C672" s="6" t="s">
        <v>2641</v>
      </c>
      <c r="D672" s="3" t="s">
        <v>2642</v>
      </c>
      <c r="E672" s="6" t="s">
        <v>38</v>
      </c>
      <c r="F672" s="7">
        <v>17579</v>
      </c>
      <c r="G672" s="7">
        <v>77059</v>
      </c>
      <c r="H672" s="6">
        <f t="shared" si="20"/>
        <v>4.38358268388418</v>
      </c>
      <c r="I672" s="3" t="s">
        <v>755</v>
      </c>
      <c r="J672" s="6" t="str">
        <f t="shared" si="21"/>
        <v>http://konect.cc/files/download.tsv.edit-ptwikiversity.tar.bz2</v>
      </c>
      <c r="L672" s="5"/>
    </row>
    <row r="673" spans="3:12" x14ac:dyDescent="0.3">
      <c r="C673" s="6" t="s">
        <v>2849</v>
      </c>
      <c r="D673" s="3" t="s">
        <v>2850</v>
      </c>
      <c r="E673" s="6" t="s">
        <v>33</v>
      </c>
      <c r="F673" s="7">
        <v>17524</v>
      </c>
      <c r="G673" s="7">
        <v>293008</v>
      </c>
      <c r="H673" s="6">
        <f t="shared" si="20"/>
        <v>16.720383474092674</v>
      </c>
      <c r="I673" s="3" t="s">
        <v>873</v>
      </c>
      <c r="J673" s="6" t="str">
        <f t="shared" si="21"/>
        <v>http://konect.cc/files/download.tsv.wikipedia_link_vec.tar.bz2</v>
      </c>
      <c r="L673" s="5"/>
    </row>
    <row r="674" spans="3:12" x14ac:dyDescent="0.3">
      <c r="C674" s="6" t="s">
        <v>2809</v>
      </c>
      <c r="D674" s="3" t="s">
        <v>2810</v>
      </c>
      <c r="E674" s="6" t="s">
        <v>38</v>
      </c>
      <c r="F674" s="7">
        <v>17503</v>
      </c>
      <c r="G674" s="7">
        <v>127908</v>
      </c>
      <c r="H674" s="6">
        <f t="shared" si="20"/>
        <v>7.3077758098611669</v>
      </c>
      <c r="I674" s="3" t="s">
        <v>852</v>
      </c>
      <c r="J674" s="6" t="str">
        <f t="shared" si="21"/>
        <v>http://konect.cc/files/download.tsv.edit-fywiktionary.tar.bz2</v>
      </c>
      <c r="L674" s="5"/>
    </row>
    <row r="675" spans="3:12" x14ac:dyDescent="0.3">
      <c r="C675" s="6" t="s">
        <v>2570</v>
      </c>
      <c r="D675" s="3" t="s">
        <v>2571</v>
      </c>
      <c r="E675" s="6" t="s">
        <v>38</v>
      </c>
      <c r="F675" s="7">
        <v>17478</v>
      </c>
      <c r="G675" s="7">
        <v>61669</v>
      </c>
      <c r="H675" s="6">
        <f t="shared" si="20"/>
        <v>3.5283785330129307</v>
      </c>
      <c r="I675" s="3" t="s">
        <v>711</v>
      </c>
      <c r="J675" s="6" t="str">
        <f t="shared" si="21"/>
        <v>http://konect.cc/files/download.tsv.edit-ukwikiquote.tar.bz2</v>
      </c>
      <c r="L675" s="5"/>
    </row>
    <row r="676" spans="3:12" x14ac:dyDescent="0.3">
      <c r="C676" s="6" t="s">
        <v>3006</v>
      </c>
      <c r="D676" s="3" t="s">
        <v>3007</v>
      </c>
      <c r="E676" s="6" t="s">
        <v>38</v>
      </c>
      <c r="F676" s="7">
        <v>17279</v>
      </c>
      <c r="G676" s="7">
        <v>241703</v>
      </c>
      <c r="H676" s="6">
        <f t="shared" si="20"/>
        <v>13.988251634932578</v>
      </c>
      <c r="I676" s="3" t="s">
        <v>960</v>
      </c>
      <c r="J676" s="6" t="str">
        <f t="shared" si="21"/>
        <v>http://konect.cc/files/download.tsv.edit-fawikinews.tar.bz2</v>
      </c>
      <c r="L676" s="5"/>
    </row>
    <row r="677" spans="3:12" x14ac:dyDescent="0.3">
      <c r="C677" s="6" t="s">
        <v>2787</v>
      </c>
      <c r="D677" s="3" t="s">
        <v>2788</v>
      </c>
      <c r="E677" s="6" t="s">
        <v>38</v>
      </c>
      <c r="F677" s="7">
        <v>17244</v>
      </c>
      <c r="G677" s="7">
        <v>116737</v>
      </c>
      <c r="H677" s="6">
        <f t="shared" si="20"/>
        <v>6.7697170030155416</v>
      </c>
      <c r="I677" s="3" t="s">
        <v>840</v>
      </c>
      <c r="J677" s="6" t="str">
        <f t="shared" si="21"/>
        <v>http://konect.cc/files/download.tsv.edit-bowiki.tar.bz2</v>
      </c>
      <c r="L677" s="5"/>
    </row>
    <row r="678" spans="3:12" x14ac:dyDescent="0.3">
      <c r="C678" s="6" t="s">
        <v>2946</v>
      </c>
      <c r="D678" s="3" t="s">
        <v>2947</v>
      </c>
      <c r="E678" s="6" t="s">
        <v>38</v>
      </c>
      <c r="F678" s="7">
        <v>17240</v>
      </c>
      <c r="G678" s="7">
        <v>189325</v>
      </c>
      <c r="H678" s="6">
        <f t="shared" si="20"/>
        <v>10.981728538283063</v>
      </c>
      <c r="I678" s="3" t="s">
        <v>928</v>
      </c>
      <c r="J678" s="6" t="str">
        <f t="shared" si="21"/>
        <v>http://konect.cc/files/download.tsv.edit-szlwiki.tar.bz2</v>
      </c>
      <c r="L678" s="5"/>
    </row>
    <row r="679" spans="3:12" x14ac:dyDescent="0.3">
      <c r="C679" s="6" t="s">
        <v>2056</v>
      </c>
      <c r="D679" s="3" t="s">
        <v>2057</v>
      </c>
      <c r="E679" s="6" t="s">
        <v>38</v>
      </c>
      <c r="F679" s="7">
        <v>17185</v>
      </c>
      <c r="G679" s="7">
        <v>46213</v>
      </c>
      <c r="H679" s="6">
        <f t="shared" si="20"/>
        <v>2.6891475123654351</v>
      </c>
      <c r="I679" s="3" t="s">
        <v>657</v>
      </c>
      <c r="J679" s="6" t="str">
        <f t="shared" si="21"/>
        <v>http://konect.cc/files/download.tsv.edit-srwikisource.tar.bz2</v>
      </c>
      <c r="L679" s="5"/>
    </row>
    <row r="680" spans="3:12" x14ac:dyDescent="0.3">
      <c r="C680" s="6" t="s">
        <v>2675</v>
      </c>
      <c r="D680" s="3" t="s">
        <v>2676</v>
      </c>
      <c r="E680" s="6" t="s">
        <v>38</v>
      </c>
      <c r="F680" s="7">
        <v>17107</v>
      </c>
      <c r="G680" s="7">
        <v>87803</v>
      </c>
      <c r="H680" s="6">
        <f t="shared" si="20"/>
        <v>5.1325773075349268</v>
      </c>
      <c r="I680" s="3" t="s">
        <v>776</v>
      </c>
      <c r="J680" s="6" t="str">
        <f t="shared" si="21"/>
        <v>http://konect.cc/files/download.tsv.edit-vepwiki.tar.bz2</v>
      </c>
      <c r="L680" s="5"/>
    </row>
    <row r="681" spans="3:12" x14ac:dyDescent="0.3">
      <c r="C681" s="6" t="s">
        <v>2520</v>
      </c>
      <c r="D681" s="3" t="s">
        <v>2521</v>
      </c>
      <c r="E681" s="6" t="s">
        <v>2522</v>
      </c>
      <c r="F681" s="7">
        <v>16730</v>
      </c>
      <c r="G681" s="7">
        <v>50632</v>
      </c>
      <c r="H681" s="6">
        <f t="shared" si="20"/>
        <v>3.0264196054991035</v>
      </c>
      <c r="I681" s="3" t="s">
        <v>685</v>
      </c>
      <c r="J681" s="6" t="str">
        <f t="shared" si="21"/>
        <v>http://konect.cc/files/download.tsv.escorts.tar.bz2</v>
      </c>
      <c r="L681" s="5"/>
    </row>
    <row r="682" spans="3:12" x14ac:dyDescent="0.3">
      <c r="C682" s="6" t="s">
        <v>2817</v>
      </c>
      <c r="D682" s="3" t="s">
        <v>2818</v>
      </c>
      <c r="E682" s="6" t="s">
        <v>38</v>
      </c>
      <c r="F682" s="7">
        <v>16657</v>
      </c>
      <c r="G682" s="7">
        <v>130193</v>
      </c>
      <c r="H682" s="6">
        <f t="shared" si="20"/>
        <v>7.8161133457405292</v>
      </c>
      <c r="I682" s="3" t="s">
        <v>856</v>
      </c>
      <c r="J682" s="6" t="str">
        <f t="shared" si="21"/>
        <v>http://konect.cc/files/download.tsv.edit-slwiktionary.tar.bz2</v>
      </c>
      <c r="L682" s="5"/>
    </row>
    <row r="683" spans="3:12" x14ac:dyDescent="0.3">
      <c r="C683" s="6" t="s">
        <v>2957</v>
      </c>
      <c r="D683" s="3" t="s">
        <v>2958</v>
      </c>
      <c r="E683" s="6" t="s">
        <v>38</v>
      </c>
      <c r="F683" s="7">
        <v>16613</v>
      </c>
      <c r="G683" s="7">
        <v>194277</v>
      </c>
      <c r="H683" s="6">
        <f t="shared" si="20"/>
        <v>11.694275567326793</v>
      </c>
      <c r="I683" s="3" t="s">
        <v>934</v>
      </c>
      <c r="J683" s="6" t="str">
        <f t="shared" si="21"/>
        <v>http://konect.cc/files/download.tsv.edit-ruwikivoyage.tar.bz2</v>
      </c>
      <c r="L683" s="5"/>
    </row>
    <row r="684" spans="3:12" x14ac:dyDescent="0.3">
      <c r="C684" s="6" t="s">
        <v>2954</v>
      </c>
      <c r="D684" s="3" t="s">
        <v>2955</v>
      </c>
      <c r="E684" s="6" t="s">
        <v>38</v>
      </c>
      <c r="F684" s="7">
        <v>16594</v>
      </c>
      <c r="G684" s="7">
        <v>190769</v>
      </c>
      <c r="H684" s="6">
        <f t="shared" si="20"/>
        <v>11.496263709774617</v>
      </c>
      <c r="I684" s="3" t="s">
        <v>932</v>
      </c>
      <c r="J684" s="6" t="str">
        <f t="shared" si="21"/>
        <v>http://konect.cc/files/download.tsv.edit-mtwiki.tar.bz2</v>
      </c>
      <c r="L684" s="5"/>
    </row>
    <row r="685" spans="3:12" x14ac:dyDescent="0.3">
      <c r="C685" s="6" t="s">
        <v>2122</v>
      </c>
      <c r="D685" s="3" t="s">
        <v>2123</v>
      </c>
      <c r="E685" s="6" t="s">
        <v>38</v>
      </c>
      <c r="F685" s="7">
        <v>16580</v>
      </c>
      <c r="G685" s="7">
        <v>69559</v>
      </c>
      <c r="H685" s="6">
        <f t="shared" si="20"/>
        <v>4.1953558504221951</v>
      </c>
      <c r="I685" s="3" t="s">
        <v>733</v>
      </c>
      <c r="J685" s="6" t="str">
        <f t="shared" si="21"/>
        <v>http://konect.cc/files/download.tsv.edit-guwikisource.tar.bz2</v>
      </c>
      <c r="L685" s="5"/>
    </row>
    <row r="686" spans="3:12" x14ac:dyDescent="0.3">
      <c r="C686" s="6" t="s">
        <v>2699</v>
      </c>
      <c r="D686" s="3" t="s">
        <v>2700</v>
      </c>
      <c r="E686" s="6" t="s">
        <v>38</v>
      </c>
      <c r="F686" s="7">
        <v>16447</v>
      </c>
      <c r="G686" s="7">
        <v>88077</v>
      </c>
      <c r="H686" s="6">
        <f t="shared" si="20"/>
        <v>5.3552015565148663</v>
      </c>
      <c r="I686" s="3" t="s">
        <v>790</v>
      </c>
      <c r="J686" s="6" t="str">
        <f t="shared" si="21"/>
        <v>http://konect.cc/files/download.tsv.edit-ruwikibooks.tar.bz2</v>
      </c>
      <c r="L686" s="5"/>
    </row>
    <row r="687" spans="3:12" x14ac:dyDescent="0.3">
      <c r="C687" s="6" t="s">
        <v>2789</v>
      </c>
      <c r="D687" s="3" t="s">
        <v>2790</v>
      </c>
      <c r="E687" s="6" t="s">
        <v>38</v>
      </c>
      <c r="F687" s="7">
        <v>16439</v>
      </c>
      <c r="G687" s="7">
        <v>120851</v>
      </c>
      <c r="H687" s="6">
        <f t="shared" si="20"/>
        <v>7.3514812336516817</v>
      </c>
      <c r="I687" s="3" t="s">
        <v>841</v>
      </c>
      <c r="J687" s="6" t="str">
        <f t="shared" si="21"/>
        <v>http://konect.cc/files/download.tsv.edit-swwiktionary.tar.bz2</v>
      </c>
      <c r="L687" s="5"/>
    </row>
    <row r="688" spans="3:12" x14ac:dyDescent="0.3">
      <c r="C688" s="6" t="s">
        <v>2665</v>
      </c>
      <c r="D688" s="3" t="s">
        <v>2666</v>
      </c>
      <c r="E688" s="6" t="s">
        <v>38</v>
      </c>
      <c r="F688" s="7">
        <v>16270</v>
      </c>
      <c r="G688" s="7">
        <v>82011</v>
      </c>
      <c r="H688" s="6">
        <f t="shared" si="20"/>
        <v>5.0406269207129686</v>
      </c>
      <c r="I688" s="3" t="s">
        <v>769</v>
      </c>
      <c r="J688" s="6" t="str">
        <f t="shared" si="21"/>
        <v>http://konect.cc/files/download.tsv.edit-eswikiversity.tar.bz2</v>
      </c>
      <c r="L688" s="5"/>
    </row>
    <row r="689" spans="3:12" x14ac:dyDescent="0.3">
      <c r="C689" s="6" t="s">
        <v>2447</v>
      </c>
      <c r="D689" s="3" t="s">
        <v>2448</v>
      </c>
      <c r="E689" s="6" t="s">
        <v>38</v>
      </c>
      <c r="F689" s="7">
        <v>16231</v>
      </c>
      <c r="G689" s="7">
        <v>45841</v>
      </c>
      <c r="H689" s="6">
        <f t="shared" si="20"/>
        <v>2.8242868584806851</v>
      </c>
      <c r="I689" s="3" t="s">
        <v>653</v>
      </c>
      <c r="J689" s="6" t="str">
        <f t="shared" si="21"/>
        <v>http://konect.cc/files/download.tsv.edit-azwikisource.tar.bz2</v>
      </c>
      <c r="L689" s="5"/>
    </row>
    <row r="690" spans="3:12" x14ac:dyDescent="0.3">
      <c r="C690" s="6" t="s">
        <v>2912</v>
      </c>
      <c r="D690" s="3" t="s">
        <v>2913</v>
      </c>
      <c r="E690" s="6" t="s">
        <v>38</v>
      </c>
      <c r="F690" s="7">
        <v>16202</v>
      </c>
      <c r="G690" s="7">
        <v>168436</v>
      </c>
      <c r="H690" s="6">
        <f t="shared" si="20"/>
        <v>10.396000493766202</v>
      </c>
      <c r="I690" s="3" t="s">
        <v>910</v>
      </c>
      <c r="J690" s="6" t="str">
        <f t="shared" si="21"/>
        <v>http://konect.cc/files/download.tsv.edit-angwiki.tar.bz2</v>
      </c>
      <c r="L690" s="5"/>
    </row>
    <row r="691" spans="3:12" x14ac:dyDescent="0.3">
      <c r="C691" s="6" t="s">
        <v>2539</v>
      </c>
      <c r="D691" s="3" t="s">
        <v>1497</v>
      </c>
      <c r="E691" s="6" t="s">
        <v>1827</v>
      </c>
      <c r="F691" s="7">
        <v>16046</v>
      </c>
      <c r="G691" s="7">
        <v>121251</v>
      </c>
      <c r="H691" s="6">
        <f t="shared" si="20"/>
        <v>7.5564626698242554</v>
      </c>
      <c r="I691" s="3" t="s">
        <v>695</v>
      </c>
      <c r="J691" s="6" t="str">
        <f t="shared" si="21"/>
        <v>http://konect.cc/files/download.tsv.dimacs10-astro-ph.tar.bz2</v>
      </c>
      <c r="L691" s="5"/>
    </row>
    <row r="692" spans="3:12" x14ac:dyDescent="0.3">
      <c r="C692" s="6" t="s">
        <v>2558</v>
      </c>
      <c r="D692" s="3" t="s">
        <v>2559</v>
      </c>
      <c r="E692" s="6" t="s">
        <v>38</v>
      </c>
      <c r="F692" s="7">
        <v>16002</v>
      </c>
      <c r="G692" s="7">
        <v>59647</v>
      </c>
      <c r="H692" s="6">
        <f t="shared" si="20"/>
        <v>3.727471566054243</v>
      </c>
      <c r="I692" s="3" t="s">
        <v>705</v>
      </c>
      <c r="J692" s="6" t="str">
        <f t="shared" si="21"/>
        <v>http://konect.cc/files/download.tsv.edit-fawikibooks.tar.bz2</v>
      </c>
      <c r="L692" s="5"/>
    </row>
    <row r="693" spans="3:12" x14ac:dyDescent="0.3">
      <c r="C693" s="6" t="s">
        <v>2711</v>
      </c>
      <c r="D693" s="3" t="s">
        <v>2712</v>
      </c>
      <c r="E693" s="6" t="s">
        <v>33</v>
      </c>
      <c r="F693" s="7">
        <v>15989</v>
      </c>
      <c r="G693" s="7">
        <v>200929</v>
      </c>
      <c r="H693" s="6">
        <f t="shared" si="20"/>
        <v>12.566702107699044</v>
      </c>
      <c r="I693" s="3" t="s">
        <v>797</v>
      </c>
      <c r="J693" s="6" t="str">
        <f t="shared" si="21"/>
        <v>http://konect.cc/files/download.tsv.wikipedia_link_as.tar.bz2</v>
      </c>
      <c r="L693" s="5"/>
    </row>
    <row r="694" spans="3:12" x14ac:dyDescent="0.3">
      <c r="C694" s="6" t="s">
        <v>2726</v>
      </c>
      <c r="D694" s="3" t="s">
        <v>2727</v>
      </c>
      <c r="E694" s="6" t="s">
        <v>38</v>
      </c>
      <c r="F694" s="7">
        <v>15890</v>
      </c>
      <c r="G694" s="7">
        <v>99585</v>
      </c>
      <c r="H694" s="6">
        <f t="shared" si="20"/>
        <v>6.267149150409062</v>
      </c>
      <c r="I694" s="3" t="s">
        <v>805</v>
      </c>
      <c r="J694" s="6" t="str">
        <f t="shared" si="21"/>
        <v>http://konect.cc/files/download.tsv.edit-hakwiki.tar.bz2</v>
      </c>
      <c r="L694" s="5"/>
    </row>
    <row r="695" spans="3:12" x14ac:dyDescent="0.3">
      <c r="C695" s="6" t="s">
        <v>2669</v>
      </c>
      <c r="D695" s="3" t="s">
        <v>2670</v>
      </c>
      <c r="E695" s="6" t="s">
        <v>33</v>
      </c>
      <c r="F695" s="7">
        <v>15763</v>
      </c>
      <c r="G695" s="7">
        <v>171206</v>
      </c>
      <c r="H695" s="6">
        <f t="shared" si="20"/>
        <v>10.861257374865191</v>
      </c>
      <c r="I695" s="3" t="s">
        <v>773</v>
      </c>
      <c r="J695" s="6" t="str">
        <f t="shared" si="21"/>
        <v>http://konect.cc/files/download.tsv.cfinder-google.tar.bz2</v>
      </c>
      <c r="L695" s="5"/>
    </row>
    <row r="696" spans="3:12" x14ac:dyDescent="0.3">
      <c r="C696" s="6" t="s">
        <v>2453</v>
      </c>
      <c r="D696" s="3" t="s">
        <v>2454</v>
      </c>
      <c r="E696" s="6" t="s">
        <v>38</v>
      </c>
      <c r="F696" s="7">
        <v>15676</v>
      </c>
      <c r="G696" s="7">
        <v>93388</v>
      </c>
      <c r="H696" s="6">
        <f t="shared" si="20"/>
        <v>5.9573870885429958</v>
      </c>
      <c r="I696" s="3" t="s">
        <v>784</v>
      </c>
      <c r="J696" s="6" t="str">
        <f t="shared" si="21"/>
        <v>http://konect.cc/files/download.tsv.edit-fiwikisource.tar.bz2</v>
      </c>
      <c r="L696" s="5"/>
    </row>
    <row r="697" spans="3:12" x14ac:dyDescent="0.3">
      <c r="C697" s="6" t="s">
        <v>2952</v>
      </c>
      <c r="D697" s="3" t="s">
        <v>2953</v>
      </c>
      <c r="E697" s="6" t="s">
        <v>33</v>
      </c>
      <c r="F697" s="7">
        <v>15600</v>
      </c>
      <c r="G697" s="7">
        <v>405676</v>
      </c>
      <c r="H697" s="6">
        <f t="shared" si="20"/>
        <v>26.004871794871796</v>
      </c>
      <c r="I697" s="3" t="s">
        <v>931</v>
      </c>
      <c r="J697" s="6" t="str">
        <f t="shared" si="21"/>
        <v>http://konect.cc/files/download.tsv.wikipedia_link_xmf.tar.bz2</v>
      </c>
      <c r="L697" s="5"/>
    </row>
    <row r="698" spans="3:12" x14ac:dyDescent="0.3">
      <c r="C698" s="6" t="s">
        <v>2930</v>
      </c>
      <c r="D698" s="3" t="s">
        <v>2931</v>
      </c>
      <c r="E698" s="6" t="s">
        <v>33</v>
      </c>
      <c r="F698" s="7">
        <v>15581</v>
      </c>
      <c r="G698" s="7">
        <v>382620</v>
      </c>
      <c r="H698" s="6">
        <f t="shared" si="20"/>
        <v>24.556832039021884</v>
      </c>
      <c r="I698" s="3" t="s">
        <v>920</v>
      </c>
      <c r="J698" s="6" t="str">
        <f t="shared" si="21"/>
        <v>http://konect.cc/files/download.tsv.wikipedia_link_bh.tar.bz2</v>
      </c>
      <c r="L698" s="5"/>
    </row>
    <row r="699" spans="3:12" x14ac:dyDescent="0.3">
      <c r="C699" s="6" t="s">
        <v>2893</v>
      </c>
      <c r="D699" s="3" t="s">
        <v>2894</v>
      </c>
      <c r="E699" s="6" t="s">
        <v>33</v>
      </c>
      <c r="F699" s="7">
        <v>15531</v>
      </c>
      <c r="G699" s="7">
        <v>352209</v>
      </c>
      <c r="H699" s="6">
        <f t="shared" si="20"/>
        <v>22.677805678964653</v>
      </c>
      <c r="I699" s="3" t="s">
        <v>900</v>
      </c>
      <c r="J699" s="6" t="str">
        <f t="shared" si="21"/>
        <v>http://konect.cc/files/download.tsv.wikipedia_link_sah.tar.bz2</v>
      </c>
      <c r="L699" s="5"/>
    </row>
    <row r="700" spans="3:12" x14ac:dyDescent="0.3">
      <c r="C700" s="6" t="s">
        <v>3163</v>
      </c>
      <c r="D700" s="3" t="s">
        <v>3164</v>
      </c>
      <c r="E700" s="6" t="s">
        <v>33</v>
      </c>
      <c r="F700" s="7">
        <v>15441</v>
      </c>
      <c r="G700" s="7">
        <v>993392</v>
      </c>
      <c r="H700" s="6">
        <f t="shared" si="20"/>
        <v>64.334693348876371</v>
      </c>
      <c r="I700" s="3" t="s">
        <v>1040</v>
      </c>
      <c r="J700" s="6" t="str">
        <f t="shared" si="21"/>
        <v>http://konect.cc/files/download.tsv.wikipedia_link_nap.tar.bz2</v>
      </c>
      <c r="L700" s="5"/>
    </row>
    <row r="701" spans="3:12" x14ac:dyDescent="0.3">
      <c r="C701" s="6" t="s">
        <v>2685</v>
      </c>
      <c r="D701" s="3" t="s">
        <v>2686</v>
      </c>
      <c r="E701" s="6" t="s">
        <v>38</v>
      </c>
      <c r="F701" s="7">
        <v>15123</v>
      </c>
      <c r="G701" s="7">
        <v>88622</v>
      </c>
      <c r="H701" s="6">
        <f t="shared" si="20"/>
        <v>5.8600806718243739</v>
      </c>
      <c r="I701" s="3" t="s">
        <v>782</v>
      </c>
      <c r="J701" s="6" t="str">
        <f t="shared" si="21"/>
        <v>http://konect.cc/files/download.tsv.edit-mrjwiki.tar.bz2</v>
      </c>
      <c r="L701" s="5"/>
    </row>
    <row r="702" spans="3:12" x14ac:dyDescent="0.3">
      <c r="C702" s="6" t="s">
        <v>2924</v>
      </c>
      <c r="D702" s="3" t="s">
        <v>2925</v>
      </c>
      <c r="E702" s="6" t="s">
        <v>38</v>
      </c>
      <c r="F702" s="7">
        <v>15044</v>
      </c>
      <c r="G702" s="7">
        <v>174807</v>
      </c>
      <c r="H702" s="6">
        <f t="shared" si="20"/>
        <v>11.61971550119649</v>
      </c>
      <c r="I702" s="3" t="s">
        <v>916</v>
      </c>
      <c r="J702" s="6" t="str">
        <f t="shared" si="21"/>
        <v>http://konect.cc/files/download.tsv.edit-ladwiki.tar.bz2</v>
      </c>
      <c r="L702" s="5"/>
    </row>
    <row r="703" spans="3:12" x14ac:dyDescent="0.3">
      <c r="C703" s="6" t="s">
        <v>2854</v>
      </c>
      <c r="D703" s="3" t="s">
        <v>2855</v>
      </c>
      <c r="E703" s="6" t="s">
        <v>38</v>
      </c>
      <c r="F703" s="7">
        <v>14834</v>
      </c>
      <c r="G703" s="7">
        <v>142783</v>
      </c>
      <c r="H703" s="6">
        <f t="shared" si="20"/>
        <v>9.6253876230281783</v>
      </c>
      <c r="I703" s="3" t="s">
        <v>878</v>
      </c>
      <c r="J703" s="6" t="str">
        <f t="shared" si="21"/>
        <v>http://konect.cc/files/download.tsv.edit-lijwiki.tar.bz2</v>
      </c>
      <c r="L703" s="5"/>
    </row>
    <row r="704" spans="3:12" x14ac:dyDescent="0.3">
      <c r="C704" s="6" t="s">
        <v>2852</v>
      </c>
      <c r="D704" s="3" t="s">
        <v>2853</v>
      </c>
      <c r="E704" s="6" t="s">
        <v>38</v>
      </c>
      <c r="F704" s="7">
        <v>14833</v>
      </c>
      <c r="G704" s="7">
        <v>141787</v>
      </c>
      <c r="H704" s="6">
        <f t="shared" si="20"/>
        <v>9.5588889637969388</v>
      </c>
      <c r="I704" s="3" t="s">
        <v>876</v>
      </c>
      <c r="J704" s="6" t="str">
        <f t="shared" si="21"/>
        <v>http://konect.cc/files/download.tsv.edit-nvwiki.tar.bz2</v>
      </c>
      <c r="L704" s="5"/>
    </row>
    <row r="705" spans="3:12" x14ac:dyDescent="0.3">
      <c r="C705" s="6" t="s">
        <v>2858</v>
      </c>
      <c r="D705" s="3" t="s">
        <v>2859</v>
      </c>
      <c r="E705" s="6" t="s">
        <v>33</v>
      </c>
      <c r="F705" s="7">
        <v>14816</v>
      </c>
      <c r="G705" s="7">
        <v>306031</v>
      </c>
      <c r="H705" s="6">
        <f t="shared" si="20"/>
        <v>20.655440064794817</v>
      </c>
      <c r="I705" s="3" t="s">
        <v>880</v>
      </c>
      <c r="J705" s="6" t="str">
        <f t="shared" si="21"/>
        <v>http://konect.cc/files/download.tsv.wikipedia_link_cdo.tar.bz2</v>
      </c>
      <c r="L705" s="5"/>
    </row>
    <row r="706" spans="3:12" x14ac:dyDescent="0.3">
      <c r="C706" s="6" t="s">
        <v>2235</v>
      </c>
      <c r="D706" s="3" t="s">
        <v>2236</v>
      </c>
      <c r="E706" s="6" t="s">
        <v>38</v>
      </c>
      <c r="F706" s="7">
        <v>14701</v>
      </c>
      <c r="G706" s="7">
        <v>42896</v>
      </c>
      <c r="H706" s="6">
        <f t="shared" ref="H706:H769" si="22">G706/F706</f>
        <v>2.9178967417182506</v>
      </c>
      <c r="I706" s="3" t="s">
        <v>643</v>
      </c>
      <c r="J706" s="6" t="str">
        <f t="shared" ref="J706:J769" si="23">"http://konect.cc/files/download.tsv."&amp;I706&amp;".tar.bz2"</f>
        <v>http://konect.cc/files/download.tsv.edit-hrwikisource.tar.bz2</v>
      </c>
      <c r="L706" s="5"/>
    </row>
    <row r="707" spans="3:12" x14ac:dyDescent="0.3">
      <c r="C707" s="6" t="s">
        <v>2758</v>
      </c>
      <c r="D707" s="3" t="s">
        <v>2759</v>
      </c>
      <c r="E707" s="6" t="s">
        <v>33</v>
      </c>
      <c r="F707" s="7">
        <v>14569</v>
      </c>
      <c r="G707" s="7">
        <v>226643</v>
      </c>
      <c r="H707" s="6">
        <f t="shared" si="22"/>
        <v>15.556524126570114</v>
      </c>
      <c r="I707" s="3" t="s">
        <v>823</v>
      </c>
      <c r="J707" s="6" t="str">
        <f t="shared" si="23"/>
        <v>http://konect.cc/files/download.tsv.wikipedia_link_mhr.tar.bz2</v>
      </c>
      <c r="L707" s="5"/>
    </row>
    <row r="708" spans="3:12" x14ac:dyDescent="0.3">
      <c r="C708" s="6" t="s">
        <v>2084</v>
      </c>
      <c r="D708" s="3" t="s">
        <v>2085</v>
      </c>
      <c r="E708" s="6" t="s">
        <v>83</v>
      </c>
      <c r="F708" s="7">
        <v>14274</v>
      </c>
      <c r="G708" s="7">
        <v>20573</v>
      </c>
      <c r="H708" s="6">
        <f t="shared" si="22"/>
        <v>1.4412918593246462</v>
      </c>
      <c r="I708" s="3" t="s">
        <v>450</v>
      </c>
      <c r="J708" s="6" t="str">
        <f t="shared" si="23"/>
        <v>http://konect.cc/files/download.tsv.twin.tar.bz2</v>
      </c>
      <c r="L708" s="5"/>
    </row>
    <row r="709" spans="3:12" x14ac:dyDescent="0.3">
      <c r="C709" s="6" t="s">
        <v>3606</v>
      </c>
      <c r="D709" s="3" t="s">
        <v>3607</v>
      </c>
      <c r="E709" s="6" t="s">
        <v>33</v>
      </c>
      <c r="F709" s="7">
        <v>14266</v>
      </c>
      <c r="G709" s="7">
        <v>6504058</v>
      </c>
      <c r="H709" s="6">
        <f t="shared" si="22"/>
        <v>455.91322024393662</v>
      </c>
      <c r="I709" s="3" t="s">
        <v>1275</v>
      </c>
      <c r="J709" s="6" t="str">
        <f t="shared" si="23"/>
        <v>http://konect.cc/files/download.tsv.wikipedia_link_bug.tar.bz2</v>
      </c>
      <c r="L709" s="5"/>
    </row>
    <row r="710" spans="3:12" x14ac:dyDescent="0.3">
      <c r="C710" s="6" t="s">
        <v>2635</v>
      </c>
      <c r="D710" s="3" t="s">
        <v>2636</v>
      </c>
      <c r="E710" s="6" t="s">
        <v>38</v>
      </c>
      <c r="F710" s="7">
        <v>14166</v>
      </c>
      <c r="G710" s="7">
        <v>79460</v>
      </c>
      <c r="H710" s="6">
        <f t="shared" si="22"/>
        <v>5.6092051390653674</v>
      </c>
      <c r="I710" s="3" t="s">
        <v>752</v>
      </c>
      <c r="J710" s="6" t="str">
        <f t="shared" si="23"/>
        <v>http://konect.cc/files/download.tsv.edit-lvwiktionary.tar.bz2</v>
      </c>
      <c r="L710" s="5"/>
    </row>
    <row r="711" spans="3:12" x14ac:dyDescent="0.3">
      <c r="C711" s="6" t="s">
        <v>2895</v>
      </c>
      <c r="D711" s="3" t="s">
        <v>2896</v>
      </c>
      <c r="E711" s="6" t="s">
        <v>33</v>
      </c>
      <c r="F711" s="7">
        <v>14162</v>
      </c>
      <c r="G711" s="7">
        <v>345041</v>
      </c>
      <c r="H711" s="6">
        <f t="shared" si="22"/>
        <v>24.363861036576754</v>
      </c>
      <c r="I711" s="3" t="s">
        <v>901</v>
      </c>
      <c r="J711" s="6" t="str">
        <f t="shared" si="23"/>
        <v>http://konect.cc/files/download.tsv.wikipedia_link_map_bms.tar.bz2</v>
      </c>
      <c r="L711" s="5"/>
    </row>
    <row r="712" spans="3:12" x14ac:dyDescent="0.3">
      <c r="C712" s="6" t="s">
        <v>2527</v>
      </c>
      <c r="D712" s="3" t="s">
        <v>2528</v>
      </c>
      <c r="E712" s="6" t="s">
        <v>38</v>
      </c>
      <c r="F712" s="7">
        <v>14125</v>
      </c>
      <c r="G712" s="7">
        <v>53881</v>
      </c>
      <c r="H712" s="6">
        <f t="shared" si="22"/>
        <v>3.8145840707964602</v>
      </c>
      <c r="I712" s="3" t="s">
        <v>688</v>
      </c>
      <c r="J712" s="6" t="str">
        <f t="shared" si="23"/>
        <v>http://konect.cc/files/download.tsv.edit-zhwikibooks.tar.bz2</v>
      </c>
      <c r="L712" s="5"/>
    </row>
    <row r="713" spans="3:12" x14ac:dyDescent="0.3">
      <c r="C713" s="6" t="s">
        <v>2451</v>
      </c>
      <c r="D713" s="3" t="s">
        <v>2452</v>
      </c>
      <c r="E713" s="6" t="s">
        <v>38</v>
      </c>
      <c r="F713" s="7">
        <v>14005</v>
      </c>
      <c r="G713" s="7">
        <v>44804</v>
      </c>
      <c r="H713" s="6">
        <f t="shared" si="22"/>
        <v>3.1991431631560157</v>
      </c>
      <c r="I713" s="3" t="s">
        <v>645</v>
      </c>
      <c r="J713" s="6" t="str">
        <f t="shared" si="23"/>
        <v>http://konect.cc/files/download.tsv.edit-tawikinews.tar.bz2</v>
      </c>
      <c r="L713" s="5"/>
    </row>
    <row r="714" spans="3:12" x14ac:dyDescent="0.3">
      <c r="C714" s="6" t="s">
        <v>2926</v>
      </c>
      <c r="D714" s="3" t="s">
        <v>2927</v>
      </c>
      <c r="E714" s="6" t="s">
        <v>38</v>
      </c>
      <c r="F714" s="7">
        <v>13948</v>
      </c>
      <c r="G714" s="7">
        <v>177084</v>
      </c>
      <c r="H714" s="6">
        <f t="shared" si="22"/>
        <v>12.696013765414396</v>
      </c>
      <c r="I714" s="3" t="s">
        <v>917</v>
      </c>
      <c r="J714" s="6" t="str">
        <f t="shared" si="23"/>
        <v>http://konect.cc/files/download.tsv.edit-cowiki.tar.bz2</v>
      </c>
      <c r="L714" s="5"/>
    </row>
    <row r="715" spans="3:12" x14ac:dyDescent="0.3">
      <c r="C715" s="6" t="s">
        <v>2730</v>
      </c>
      <c r="D715" s="3" t="s">
        <v>2731</v>
      </c>
      <c r="E715" s="6" t="s">
        <v>38</v>
      </c>
      <c r="F715" s="7">
        <v>13944</v>
      </c>
      <c r="G715" s="7">
        <v>100023</v>
      </c>
      <c r="H715" s="6">
        <f t="shared" si="22"/>
        <v>7.1731927710843371</v>
      </c>
      <c r="I715" s="3" t="s">
        <v>807</v>
      </c>
      <c r="J715" s="6" t="str">
        <f t="shared" si="23"/>
        <v>http://konect.cc/files/download.tsv.edit-krcwiki.tar.bz2</v>
      </c>
      <c r="L715" s="5"/>
    </row>
    <row r="716" spans="3:12" x14ac:dyDescent="0.3">
      <c r="C716" s="6" t="s">
        <v>2622</v>
      </c>
      <c r="D716" s="3" t="s">
        <v>2623</v>
      </c>
      <c r="E716" s="6" t="s">
        <v>38</v>
      </c>
      <c r="F716" s="7">
        <v>13925</v>
      </c>
      <c r="G716" s="7">
        <v>74531</v>
      </c>
      <c r="H716" s="6">
        <f t="shared" si="22"/>
        <v>5.3523159784560139</v>
      </c>
      <c r="I716" s="3" t="s">
        <v>744</v>
      </c>
      <c r="J716" s="6" t="str">
        <f t="shared" si="23"/>
        <v>http://konect.cc/files/download.tsv.edit-nnwiktionary.tar.bz2</v>
      </c>
      <c r="L716" s="5"/>
    </row>
    <row r="717" spans="3:12" x14ac:dyDescent="0.3">
      <c r="C717" s="6" t="s">
        <v>3107</v>
      </c>
      <c r="D717" s="3" t="s">
        <v>3108</v>
      </c>
      <c r="E717" s="6" t="s">
        <v>58</v>
      </c>
      <c r="F717" s="7">
        <v>13875</v>
      </c>
      <c r="G717" s="7">
        <v>1932365</v>
      </c>
      <c r="H717" s="6">
        <f t="shared" si="22"/>
        <v>139.26954954954954</v>
      </c>
      <c r="I717" s="3" t="s">
        <v>1012</v>
      </c>
      <c r="J717" s="6" t="str">
        <f t="shared" si="23"/>
        <v>http://konect.cc/files/download.tsv.bag-nips.tar.bz2</v>
      </c>
      <c r="L717" s="5"/>
    </row>
    <row r="718" spans="3:12" x14ac:dyDescent="0.3">
      <c r="C718" s="6" t="s">
        <v>2470</v>
      </c>
      <c r="D718" s="3" t="s">
        <v>2471</v>
      </c>
      <c r="E718" s="6" t="s">
        <v>38</v>
      </c>
      <c r="F718" s="7">
        <v>13841</v>
      </c>
      <c r="G718" s="7">
        <v>45536</v>
      </c>
      <c r="H718" s="6">
        <f t="shared" si="22"/>
        <v>3.2899356982876959</v>
      </c>
      <c r="I718" s="3" t="s">
        <v>654</v>
      </c>
      <c r="J718" s="6" t="str">
        <f t="shared" si="23"/>
        <v>http://konect.cc/files/download.tsv.edit-idwikibooks.tar.bz2</v>
      </c>
      <c r="L718" s="5"/>
    </row>
    <row r="719" spans="3:12" x14ac:dyDescent="0.3">
      <c r="C719" s="6" t="s">
        <v>2845</v>
      </c>
      <c r="D719" s="3" t="s">
        <v>2846</v>
      </c>
      <c r="E719" s="6" t="s">
        <v>38</v>
      </c>
      <c r="F719" s="7">
        <v>13743</v>
      </c>
      <c r="G719" s="7">
        <v>136602</v>
      </c>
      <c r="H719" s="6">
        <f t="shared" si="22"/>
        <v>9.9397511460379828</v>
      </c>
      <c r="I719" s="3" t="s">
        <v>870</v>
      </c>
      <c r="J719" s="6" t="str">
        <f t="shared" si="23"/>
        <v>http://konect.cc/files/download.tsv.edit-miwiki.tar.bz2</v>
      </c>
      <c r="L719" s="5"/>
    </row>
    <row r="720" spans="3:12" x14ac:dyDescent="0.3">
      <c r="C720" s="6" t="s">
        <v>2807</v>
      </c>
      <c r="D720" s="3" t="s">
        <v>2808</v>
      </c>
      <c r="E720" s="6" t="s">
        <v>38</v>
      </c>
      <c r="F720" s="7">
        <v>13682</v>
      </c>
      <c r="G720" s="7">
        <v>127309</v>
      </c>
      <c r="H720" s="6">
        <f t="shared" si="22"/>
        <v>9.3048530916532677</v>
      </c>
      <c r="I720" s="3" t="s">
        <v>851</v>
      </c>
      <c r="J720" s="6" t="str">
        <f t="shared" si="23"/>
        <v>http://konect.cc/files/download.tsv.edit-scwiki.tar.bz2</v>
      </c>
      <c r="L720" s="5"/>
    </row>
    <row r="721" spans="3:12" x14ac:dyDescent="0.3">
      <c r="C721" s="6" t="s">
        <v>2944</v>
      </c>
      <c r="D721" s="3" t="s">
        <v>2945</v>
      </c>
      <c r="E721" s="6" t="s">
        <v>38</v>
      </c>
      <c r="F721" s="7">
        <v>13512</v>
      </c>
      <c r="G721" s="7">
        <v>186243</v>
      </c>
      <c r="H721" s="6">
        <f t="shared" si="22"/>
        <v>13.783525754884547</v>
      </c>
      <c r="I721" s="3" t="s">
        <v>927</v>
      </c>
      <c r="J721" s="6" t="str">
        <f t="shared" si="23"/>
        <v>http://konect.cc/files/download.tsv.edit-tkwiki.tar.bz2</v>
      </c>
      <c r="L721" s="5"/>
    </row>
    <row r="722" spans="3:12" x14ac:dyDescent="0.3">
      <c r="C722" s="6" t="s">
        <v>2606</v>
      </c>
      <c r="D722" s="3" t="s">
        <v>1499</v>
      </c>
      <c r="E722" s="6" t="s">
        <v>50</v>
      </c>
      <c r="F722" s="7">
        <v>13356</v>
      </c>
      <c r="G722" s="7">
        <v>125207</v>
      </c>
      <c r="H722" s="6">
        <f t="shared" si="22"/>
        <v>9.3745882000598986</v>
      </c>
      <c r="I722" s="3" t="s">
        <v>732</v>
      </c>
      <c r="J722" s="6" t="str">
        <f t="shared" si="23"/>
        <v>http://konect.cc/files/download.tsv.foldoc.tar.bz2</v>
      </c>
      <c r="L722" s="5"/>
    </row>
    <row r="723" spans="3:12" x14ac:dyDescent="0.3">
      <c r="C723" s="6" t="s">
        <v>2876</v>
      </c>
      <c r="D723" s="3" t="s">
        <v>2877</v>
      </c>
      <c r="E723" s="6" t="s">
        <v>38</v>
      </c>
      <c r="F723" s="7">
        <v>13304</v>
      </c>
      <c r="G723" s="7">
        <v>156093</v>
      </c>
      <c r="H723" s="6">
        <f t="shared" si="22"/>
        <v>11.732787131689717</v>
      </c>
      <c r="I723" s="3" t="s">
        <v>890</v>
      </c>
      <c r="J723" s="6" t="str">
        <f t="shared" si="23"/>
        <v>http://konect.cc/files/download.tsv.edit-bclwiki.tar.bz2</v>
      </c>
      <c r="L723" s="5"/>
    </row>
    <row r="724" spans="3:12" x14ac:dyDescent="0.3">
      <c r="C724" s="6" t="s">
        <v>2827</v>
      </c>
      <c r="D724" s="3" t="s">
        <v>2828</v>
      </c>
      <c r="E724" s="6" t="s">
        <v>38</v>
      </c>
      <c r="F724" s="7">
        <v>13272</v>
      </c>
      <c r="G724" s="7">
        <v>137890</v>
      </c>
      <c r="H724" s="6">
        <f t="shared" si="22"/>
        <v>10.38954189270645</v>
      </c>
      <c r="I724" s="3" t="s">
        <v>861</v>
      </c>
      <c r="J724" s="6" t="str">
        <f t="shared" si="23"/>
        <v>http://konect.cc/files/download.tsv.edit-hewikivoyage.tar.bz2</v>
      </c>
      <c r="L724" s="5"/>
    </row>
    <row r="725" spans="3:12" x14ac:dyDescent="0.3">
      <c r="C725" s="6" t="s">
        <v>2683</v>
      </c>
      <c r="D725" s="3" t="s">
        <v>2684</v>
      </c>
      <c r="E725" s="6" t="s">
        <v>38</v>
      </c>
      <c r="F725" s="7">
        <v>12989</v>
      </c>
      <c r="G725" s="7">
        <v>87673</v>
      </c>
      <c r="H725" s="6">
        <f t="shared" si="22"/>
        <v>6.7497882823927942</v>
      </c>
      <c r="I725" s="3" t="s">
        <v>781</v>
      </c>
      <c r="J725" s="6" t="str">
        <f t="shared" si="23"/>
        <v>http://konect.cc/files/download.tsv.edit-hewikiquote.tar.bz2</v>
      </c>
      <c r="L725" s="5"/>
    </row>
    <row r="726" spans="3:12" x14ac:dyDescent="0.3">
      <c r="C726" s="6" t="s">
        <v>2268</v>
      </c>
      <c r="D726" s="3" t="s">
        <v>1491</v>
      </c>
      <c r="E726" s="6" t="s">
        <v>98</v>
      </c>
      <c r="F726" s="7">
        <v>12982</v>
      </c>
      <c r="G726" s="7">
        <v>39018</v>
      </c>
      <c r="H726" s="6">
        <f t="shared" si="22"/>
        <v>3.005546140810353</v>
      </c>
      <c r="I726" s="3" t="s">
        <v>547</v>
      </c>
      <c r="J726" s="6" t="str">
        <f t="shared" si="23"/>
        <v>http://konect.cc/files/download.tsv.tntp-ChicagoRegional.tar.bz2</v>
      </c>
      <c r="L726" s="5"/>
    </row>
    <row r="727" spans="3:12" x14ac:dyDescent="0.3">
      <c r="C727" s="6" t="s">
        <v>3052</v>
      </c>
      <c r="D727" s="3" t="s">
        <v>3053</v>
      </c>
      <c r="E727" s="6" t="s">
        <v>33</v>
      </c>
      <c r="F727" s="7">
        <v>12949</v>
      </c>
      <c r="G727" s="7">
        <v>637529</v>
      </c>
      <c r="H727" s="6">
        <f t="shared" si="22"/>
        <v>49.233840451000077</v>
      </c>
      <c r="I727" s="3" t="s">
        <v>985</v>
      </c>
      <c r="J727" s="6" t="str">
        <f t="shared" si="23"/>
        <v>http://konect.cc/files/download.tsv.wikipedia_link_ps.tar.bz2</v>
      </c>
      <c r="L727" s="5"/>
    </row>
    <row r="728" spans="3:12" x14ac:dyDescent="0.3">
      <c r="C728" s="6" t="s">
        <v>2580</v>
      </c>
      <c r="D728" s="3" t="s">
        <v>2581</v>
      </c>
      <c r="E728" s="6" t="s">
        <v>38</v>
      </c>
      <c r="F728" s="7">
        <v>12878</v>
      </c>
      <c r="G728" s="7">
        <v>64726</v>
      </c>
      <c r="H728" s="6">
        <f t="shared" si="22"/>
        <v>5.0260910079204848</v>
      </c>
      <c r="I728" s="3" t="s">
        <v>717</v>
      </c>
      <c r="J728" s="6" t="str">
        <f t="shared" si="23"/>
        <v>http://konect.cc/files/download.tsv.edit-cswikiquote.tar.bz2</v>
      </c>
      <c r="L728" s="5"/>
    </row>
    <row r="729" spans="3:12" x14ac:dyDescent="0.3">
      <c r="C729" s="6" t="s">
        <v>2681</v>
      </c>
      <c r="D729" s="3" t="s">
        <v>2682</v>
      </c>
      <c r="E729" s="6" t="s">
        <v>38</v>
      </c>
      <c r="F729" s="7">
        <v>12844</v>
      </c>
      <c r="G729" s="7">
        <v>89021</v>
      </c>
      <c r="H729" s="6">
        <f t="shared" si="22"/>
        <v>6.9309405169729059</v>
      </c>
      <c r="I729" s="3" t="s">
        <v>780</v>
      </c>
      <c r="J729" s="6" t="str">
        <f t="shared" si="23"/>
        <v>http://konect.cc/files/download.tsv.edit-acewiki.tar.bz2</v>
      </c>
      <c r="L729" s="5"/>
    </row>
    <row r="730" spans="3:12" x14ac:dyDescent="0.3">
      <c r="C730" s="6" t="s">
        <v>2421</v>
      </c>
      <c r="D730" s="3" t="s">
        <v>2422</v>
      </c>
      <c r="E730" s="6" t="s">
        <v>38</v>
      </c>
      <c r="F730" s="7">
        <v>12825</v>
      </c>
      <c r="G730" s="7">
        <v>36620</v>
      </c>
      <c r="H730" s="6">
        <f t="shared" si="22"/>
        <v>2.8553606237816762</v>
      </c>
      <c r="I730" s="3" t="s">
        <v>628</v>
      </c>
      <c r="J730" s="6" t="str">
        <f t="shared" si="23"/>
        <v>http://konect.cc/files/download.tsv.edit-glkwiki.tar.bz2</v>
      </c>
      <c r="L730" s="5"/>
    </row>
    <row r="731" spans="3:12" x14ac:dyDescent="0.3">
      <c r="C731" s="6" t="s">
        <v>2508</v>
      </c>
      <c r="D731" s="3" t="s">
        <v>2509</v>
      </c>
      <c r="E731" s="6" t="s">
        <v>38</v>
      </c>
      <c r="F731" s="7">
        <v>12801</v>
      </c>
      <c r="G731" s="7">
        <v>53330</v>
      </c>
      <c r="H731" s="6">
        <f t="shared" si="22"/>
        <v>4.1660807749394575</v>
      </c>
      <c r="I731" s="3" t="s">
        <v>678</v>
      </c>
      <c r="J731" s="6" t="str">
        <f t="shared" si="23"/>
        <v>http://konect.cc/files/download.tsv.edit-bjnwiki.tar.bz2</v>
      </c>
      <c r="L731" s="5"/>
    </row>
    <row r="732" spans="3:12" x14ac:dyDescent="0.3">
      <c r="C732" s="6" t="s">
        <v>2425</v>
      </c>
      <c r="D732" s="3" t="s">
        <v>2426</v>
      </c>
      <c r="E732" s="6" t="s">
        <v>38</v>
      </c>
      <c r="F732" s="7">
        <v>12748</v>
      </c>
      <c r="G732" s="7">
        <v>36566</v>
      </c>
      <c r="H732" s="6">
        <f t="shared" si="22"/>
        <v>2.8683715092563538</v>
      </c>
      <c r="I732" s="3" t="s">
        <v>630</v>
      </c>
      <c r="J732" s="6" t="str">
        <f t="shared" si="23"/>
        <v>http://konect.cc/files/download.tsv.edit-trwikisource.tar.bz2</v>
      </c>
      <c r="L732" s="5"/>
    </row>
    <row r="733" spans="3:12" x14ac:dyDescent="0.3">
      <c r="C733" s="6" t="s">
        <v>2401</v>
      </c>
      <c r="D733" s="3" t="s">
        <v>2402</v>
      </c>
      <c r="E733" s="6" t="s">
        <v>38</v>
      </c>
      <c r="F733" s="7">
        <v>12734</v>
      </c>
      <c r="G733" s="7">
        <v>33220</v>
      </c>
      <c r="H733" s="6">
        <f t="shared" si="22"/>
        <v>2.6087639390607822</v>
      </c>
      <c r="I733" s="3" t="s">
        <v>617</v>
      </c>
      <c r="J733" s="6" t="str">
        <f t="shared" si="23"/>
        <v>http://konect.cc/files/download.tsv.edit-thwikibooks.tar.bz2</v>
      </c>
      <c r="L733" s="5"/>
    </row>
    <row r="734" spans="3:12" x14ac:dyDescent="0.3">
      <c r="C734" s="6" t="s">
        <v>2736</v>
      </c>
      <c r="D734" s="3" t="s">
        <v>2737</v>
      </c>
      <c r="E734" s="6" t="s">
        <v>38</v>
      </c>
      <c r="F734" s="7">
        <v>12679</v>
      </c>
      <c r="G734" s="7">
        <v>103017</v>
      </c>
      <c r="H734" s="6">
        <f t="shared" si="22"/>
        <v>8.1250098588216737</v>
      </c>
      <c r="I734" s="3" t="s">
        <v>810</v>
      </c>
      <c r="J734" s="6" t="str">
        <f t="shared" si="23"/>
        <v>http://konect.cc/files/download.tsv.edit-nlwikivoyage.tar.bz2</v>
      </c>
      <c r="L734" s="5"/>
    </row>
    <row r="735" spans="3:12" x14ac:dyDescent="0.3">
      <c r="C735" s="6" t="s">
        <v>2502</v>
      </c>
      <c r="D735" s="3" t="s">
        <v>71</v>
      </c>
      <c r="E735" s="6" t="s">
        <v>2503</v>
      </c>
      <c r="F735" s="7">
        <v>12590</v>
      </c>
      <c r="G735" s="7">
        <v>49759</v>
      </c>
      <c r="H735" s="6">
        <f t="shared" si="22"/>
        <v>3.9522637013502782</v>
      </c>
      <c r="I735" s="3" t="s">
        <v>675</v>
      </c>
      <c r="J735" s="6" t="str">
        <f t="shared" si="23"/>
        <v>http://konect.cc/files/download.tsv.dblp-cite.tar.bz2</v>
      </c>
      <c r="L735" s="5"/>
    </row>
    <row r="736" spans="3:12" x14ac:dyDescent="0.3">
      <c r="C736" s="6" t="s">
        <v>2779</v>
      </c>
      <c r="D736" s="3" t="s">
        <v>2780</v>
      </c>
      <c r="E736" s="6" t="s">
        <v>38</v>
      </c>
      <c r="F736" s="7">
        <v>12240</v>
      </c>
      <c r="G736" s="7">
        <v>114939</v>
      </c>
      <c r="H736" s="6">
        <f t="shared" si="22"/>
        <v>9.3904411764705884</v>
      </c>
      <c r="I736" s="3" t="s">
        <v>836</v>
      </c>
      <c r="J736" s="6" t="str">
        <f t="shared" si="23"/>
        <v>http://konect.cc/files/download.tsv.edit-kvwiki.tar.bz2</v>
      </c>
      <c r="L736" s="5"/>
    </row>
    <row r="737" spans="3:12" x14ac:dyDescent="0.3">
      <c r="C737" s="6" t="s">
        <v>2504</v>
      </c>
      <c r="D737" s="3" t="s">
        <v>2505</v>
      </c>
      <c r="E737" s="6" t="s">
        <v>38</v>
      </c>
      <c r="F737" s="7">
        <v>12202</v>
      </c>
      <c r="G737" s="7">
        <v>53354</v>
      </c>
      <c r="H737" s="6">
        <f t="shared" si="22"/>
        <v>4.3725618751024422</v>
      </c>
      <c r="I737" s="3" t="s">
        <v>676</v>
      </c>
      <c r="J737" s="6" t="str">
        <f t="shared" si="23"/>
        <v>http://konect.cc/files/download.tsv.edit-vecwikisource.tar.bz2</v>
      </c>
      <c r="L737" s="5"/>
    </row>
    <row r="738" spans="3:12" x14ac:dyDescent="0.3">
      <c r="C738" s="6" t="s">
        <v>2783</v>
      </c>
      <c r="D738" s="3" t="s">
        <v>2784</v>
      </c>
      <c r="E738" s="6" t="s">
        <v>38</v>
      </c>
      <c r="F738" s="7">
        <v>12183</v>
      </c>
      <c r="G738" s="7">
        <v>116274</v>
      </c>
      <c r="H738" s="6">
        <f t="shared" si="22"/>
        <v>9.543954690962817</v>
      </c>
      <c r="I738" s="3" t="s">
        <v>838</v>
      </c>
      <c r="J738" s="6" t="str">
        <f t="shared" si="23"/>
        <v>http://konect.cc/files/download.tsv.edit-ugwiki.tar.bz2</v>
      </c>
      <c r="L738" s="5"/>
    </row>
    <row r="739" spans="3:12" x14ac:dyDescent="0.3">
      <c r="C739" s="6" t="s">
        <v>2801</v>
      </c>
      <c r="D739" s="3" t="s">
        <v>2802</v>
      </c>
      <c r="E739" s="6" t="s">
        <v>38</v>
      </c>
      <c r="F739" s="7">
        <v>11942</v>
      </c>
      <c r="G739" s="7">
        <v>125869</v>
      </c>
      <c r="H739" s="6">
        <f t="shared" si="22"/>
        <v>10.540026796181545</v>
      </c>
      <c r="I739" s="3" t="s">
        <v>847</v>
      </c>
      <c r="J739" s="6" t="str">
        <f t="shared" si="23"/>
        <v>http://konect.cc/files/download.tsv.edit-cawikinews.tar.bz2</v>
      </c>
      <c r="L739" s="5"/>
    </row>
    <row r="740" spans="3:12" x14ac:dyDescent="0.3">
      <c r="C740" s="6" t="s">
        <v>2624</v>
      </c>
      <c r="D740" s="3" t="s">
        <v>2625</v>
      </c>
      <c r="E740" s="6" t="s">
        <v>38</v>
      </c>
      <c r="F740" s="7">
        <v>11867</v>
      </c>
      <c r="G740" s="7">
        <v>74980</v>
      </c>
      <c r="H740" s="6">
        <f t="shared" si="22"/>
        <v>6.3183618437684332</v>
      </c>
      <c r="I740" s="3" t="s">
        <v>745</v>
      </c>
      <c r="J740" s="6" t="str">
        <f t="shared" si="23"/>
        <v>http://konect.cc/files/download.tsv.edit-zhwikivoyage.tar.bz2</v>
      </c>
      <c r="L740" s="5"/>
    </row>
    <row r="741" spans="3:12" x14ac:dyDescent="0.3">
      <c r="C741" s="6" t="s">
        <v>3300</v>
      </c>
      <c r="D741" s="3" t="s">
        <v>3301</v>
      </c>
      <c r="E741" s="6" t="s">
        <v>98</v>
      </c>
      <c r="F741" s="7">
        <v>11856</v>
      </c>
      <c r="G741" s="7">
        <v>1895125</v>
      </c>
      <c r="H741" s="6">
        <f t="shared" si="22"/>
        <v>159.84522604588395</v>
      </c>
      <c r="I741" s="3" t="s">
        <v>1110</v>
      </c>
      <c r="J741" s="6" t="str">
        <f t="shared" si="23"/>
        <v>http://konect.cc/files/download.tsv.wikipedia_link_eml.tar.bz2</v>
      </c>
      <c r="L741" s="5"/>
    </row>
    <row r="742" spans="3:12" x14ac:dyDescent="0.3">
      <c r="C742" s="6" t="s">
        <v>2594</v>
      </c>
      <c r="D742" s="3" t="s">
        <v>2595</v>
      </c>
      <c r="E742" s="6" t="s">
        <v>38</v>
      </c>
      <c r="F742" s="7">
        <v>11811</v>
      </c>
      <c r="G742" s="7">
        <v>69000</v>
      </c>
      <c r="H742" s="6">
        <f t="shared" si="22"/>
        <v>5.842011684023368</v>
      </c>
      <c r="I742" s="3" t="s">
        <v>725</v>
      </c>
      <c r="J742" s="6" t="str">
        <f t="shared" si="23"/>
        <v>http://konect.cc/files/download.tsv.edit-lbwiktionary.tar.bz2</v>
      </c>
      <c r="L742" s="5"/>
    </row>
    <row r="743" spans="3:12" x14ac:dyDescent="0.3">
      <c r="C743" s="6" t="s">
        <v>2847</v>
      </c>
      <c r="D743" s="3" t="s">
        <v>2848</v>
      </c>
      <c r="E743" s="6" t="s">
        <v>33</v>
      </c>
      <c r="F743" s="7">
        <v>11810</v>
      </c>
      <c r="G743" s="7">
        <v>310697</v>
      </c>
      <c r="H743" s="6">
        <f t="shared" si="22"/>
        <v>26.307959356477561</v>
      </c>
      <c r="I743" s="3" t="s">
        <v>871</v>
      </c>
      <c r="J743" s="6" t="str">
        <f t="shared" si="23"/>
        <v>http://konect.cc/files/download.tsv.wikipedia_link_diq.tar.bz2</v>
      </c>
      <c r="L743" s="5"/>
    </row>
    <row r="744" spans="3:12" x14ac:dyDescent="0.3">
      <c r="C744" s="6" t="s">
        <v>2658</v>
      </c>
      <c r="D744" s="3" t="s">
        <v>2659</v>
      </c>
      <c r="E744" s="6" t="s">
        <v>38</v>
      </c>
      <c r="F744" s="7">
        <v>11769</v>
      </c>
      <c r="G744" s="7">
        <v>82866</v>
      </c>
      <c r="H744" s="6">
        <f t="shared" si="22"/>
        <v>7.0410400203925567</v>
      </c>
      <c r="I744" s="3" t="s">
        <v>765</v>
      </c>
      <c r="J744" s="6" t="str">
        <f t="shared" si="23"/>
        <v>http://konect.cc/files/download.tsv.edit-fiwikibooks.tar.bz2</v>
      </c>
      <c r="L744" s="5"/>
    </row>
    <row r="745" spans="3:12" x14ac:dyDescent="0.3">
      <c r="C745" s="6" t="s">
        <v>2637</v>
      </c>
      <c r="D745" s="3" t="s">
        <v>2638</v>
      </c>
      <c r="E745" s="6" t="s">
        <v>38</v>
      </c>
      <c r="F745" s="7">
        <v>11715</v>
      </c>
      <c r="G745" s="7">
        <v>80547</v>
      </c>
      <c r="H745" s="6">
        <f t="shared" si="22"/>
        <v>6.8755441741357233</v>
      </c>
      <c r="I745" s="3" t="s">
        <v>753</v>
      </c>
      <c r="J745" s="6" t="str">
        <f t="shared" si="23"/>
        <v>http://konect.cc/files/download.tsv.edit-kawiktionary.tar.bz2</v>
      </c>
      <c r="L745" s="5"/>
    </row>
    <row r="746" spans="3:12" x14ac:dyDescent="0.3">
      <c r="C746" s="6" t="s">
        <v>2793</v>
      </c>
      <c r="D746" s="3" t="s">
        <v>2794</v>
      </c>
      <c r="E746" s="6" t="s">
        <v>38</v>
      </c>
      <c r="F746" s="7">
        <v>11708</v>
      </c>
      <c r="G746" s="7">
        <v>122987</v>
      </c>
      <c r="H746" s="6">
        <f t="shared" si="22"/>
        <v>10.504526819268875</v>
      </c>
      <c r="I746" s="3" t="s">
        <v>843</v>
      </c>
      <c r="J746" s="6" t="str">
        <f t="shared" si="23"/>
        <v>http://konect.cc/files/download.tsv.edit-dsbwiki.tar.bz2</v>
      </c>
      <c r="L746" s="5"/>
    </row>
    <row r="747" spans="3:12" x14ac:dyDescent="0.3">
      <c r="C747" s="6" t="s">
        <v>2891</v>
      </c>
      <c r="D747" s="3" t="s">
        <v>2892</v>
      </c>
      <c r="E747" s="6" t="s">
        <v>38</v>
      </c>
      <c r="F747" s="7">
        <v>11673</v>
      </c>
      <c r="G747" s="7">
        <v>161147</v>
      </c>
      <c r="H747" s="6">
        <f t="shared" si="22"/>
        <v>13.805105799708729</v>
      </c>
      <c r="I747" s="3" t="s">
        <v>899</v>
      </c>
      <c r="J747" s="6" t="str">
        <f t="shared" si="23"/>
        <v>http://konect.cc/files/download.tsv.edit-kshwiki.tar.bz2</v>
      </c>
      <c r="L747" s="5"/>
    </row>
    <row r="748" spans="3:12" x14ac:dyDescent="0.3">
      <c r="C748" s="6" t="s">
        <v>2537</v>
      </c>
      <c r="D748" s="3" t="s">
        <v>2538</v>
      </c>
      <c r="E748" s="6" t="s">
        <v>38</v>
      </c>
      <c r="F748" s="7">
        <v>11662</v>
      </c>
      <c r="G748" s="7">
        <v>58677</v>
      </c>
      <c r="H748" s="6">
        <f t="shared" si="22"/>
        <v>5.0314697307494427</v>
      </c>
      <c r="I748" s="3" t="s">
        <v>694</v>
      </c>
      <c r="J748" s="6" t="str">
        <f t="shared" si="23"/>
        <v>http://konect.cc/files/download.tsv.edit-kabwiki.tar.bz2</v>
      </c>
      <c r="L748" s="5"/>
    </row>
    <row r="749" spans="3:12" x14ac:dyDescent="0.3">
      <c r="C749" s="6" t="s">
        <v>2904</v>
      </c>
      <c r="D749" s="3" t="s">
        <v>2905</v>
      </c>
      <c r="E749" s="6" t="s">
        <v>38</v>
      </c>
      <c r="F749" s="7">
        <v>11657</v>
      </c>
      <c r="G749" s="7">
        <v>163422</v>
      </c>
      <c r="H749" s="6">
        <f t="shared" si="22"/>
        <v>14.019215921763747</v>
      </c>
      <c r="I749" s="3" t="s">
        <v>906</v>
      </c>
      <c r="J749" s="6" t="str">
        <f t="shared" si="23"/>
        <v>http://konect.cc/files/download.tsv.edit-gomwiki.tar.bz2</v>
      </c>
      <c r="L749" s="5"/>
    </row>
    <row r="750" spans="3:12" x14ac:dyDescent="0.3">
      <c r="C750" s="6" t="s">
        <v>2086</v>
      </c>
      <c r="D750" s="3" t="s">
        <v>2087</v>
      </c>
      <c r="E750" s="6" t="s">
        <v>38</v>
      </c>
      <c r="F750" s="7">
        <v>11633</v>
      </c>
      <c r="G750" s="7">
        <v>66820</v>
      </c>
      <c r="H750" s="6">
        <f t="shared" si="22"/>
        <v>5.7440041261927277</v>
      </c>
      <c r="I750" s="3" t="s">
        <v>718</v>
      </c>
      <c r="J750" s="6" t="str">
        <f t="shared" si="23"/>
        <v>http://konect.cc/files/download.tsv.edit-bgwikiquote.tar.bz2</v>
      </c>
      <c r="L750" s="5"/>
    </row>
    <row r="751" spans="3:12" x14ac:dyDescent="0.3">
      <c r="C751" s="6" t="s">
        <v>2742</v>
      </c>
      <c r="D751" s="3" t="s">
        <v>2743</v>
      </c>
      <c r="E751" s="6" t="s">
        <v>38</v>
      </c>
      <c r="F751" s="7">
        <v>11610</v>
      </c>
      <c r="G751" s="7">
        <v>95580</v>
      </c>
      <c r="H751" s="6">
        <f t="shared" si="22"/>
        <v>8.2325581395348841</v>
      </c>
      <c r="I751" s="3" t="s">
        <v>814</v>
      </c>
      <c r="J751" s="6" t="str">
        <f t="shared" si="23"/>
        <v>http://konect.cc/files/download.tsv.movielens-10m_ui.tar.bz2</v>
      </c>
      <c r="L751" s="5"/>
    </row>
    <row r="752" spans="3:12" x14ac:dyDescent="0.3">
      <c r="C752" s="6" t="s">
        <v>2963</v>
      </c>
      <c r="D752" s="3" t="s">
        <v>2964</v>
      </c>
      <c r="E752" s="6" t="s">
        <v>33</v>
      </c>
      <c r="F752" s="7">
        <v>11487</v>
      </c>
      <c r="G752" s="7">
        <v>427057</v>
      </c>
      <c r="H752" s="6">
        <f t="shared" si="22"/>
        <v>37.177417950726905</v>
      </c>
      <c r="I752" s="3" t="s">
        <v>937</v>
      </c>
      <c r="J752" s="6" t="str">
        <f t="shared" si="23"/>
        <v>http://konect.cc/files/download.tsv.wikipedia_link_hak.tar.bz2</v>
      </c>
      <c r="L752" s="5"/>
    </row>
    <row r="753" spans="3:12" x14ac:dyDescent="0.3">
      <c r="C753" s="6" t="s">
        <v>2707</v>
      </c>
      <c r="D753" s="3" t="s">
        <v>2708</v>
      </c>
      <c r="E753" s="6" t="s">
        <v>38</v>
      </c>
      <c r="F753" s="7">
        <v>11473</v>
      </c>
      <c r="G753" s="7">
        <v>93003</v>
      </c>
      <c r="H753" s="6">
        <f t="shared" si="22"/>
        <v>8.1062494552427431</v>
      </c>
      <c r="I753" s="3" t="s">
        <v>795</v>
      </c>
      <c r="J753" s="6" t="str">
        <f t="shared" si="23"/>
        <v>http://konect.cc/files/download.tsv.edit-eswikivoyage.tar.bz2</v>
      </c>
      <c r="L753" s="5"/>
    </row>
    <row r="754" spans="3:12" x14ac:dyDescent="0.3">
      <c r="C754" s="6" t="s">
        <v>2572</v>
      </c>
      <c r="D754" s="3" t="s">
        <v>2573</v>
      </c>
      <c r="E754" s="6" t="s">
        <v>38</v>
      </c>
      <c r="F754" s="7">
        <v>11470</v>
      </c>
      <c r="G754" s="7">
        <v>64859</v>
      </c>
      <c r="H754" s="6">
        <f t="shared" si="22"/>
        <v>5.6546643417611158</v>
      </c>
      <c r="I754" s="3" t="s">
        <v>712</v>
      </c>
      <c r="J754" s="6" t="str">
        <f t="shared" si="23"/>
        <v>http://konect.cc/files/download.tsv.edit-cowiktionary.tar.bz2</v>
      </c>
      <c r="L754" s="5"/>
    </row>
    <row r="755" spans="3:12" x14ac:dyDescent="0.3">
      <c r="C755" s="6" t="s">
        <v>2760</v>
      </c>
      <c r="D755" s="3" t="s">
        <v>2761</v>
      </c>
      <c r="E755" s="6" t="s">
        <v>38</v>
      </c>
      <c r="F755" s="7">
        <v>11438</v>
      </c>
      <c r="G755" s="7">
        <v>108959</v>
      </c>
      <c r="H755" s="6">
        <f t="shared" si="22"/>
        <v>9.5260535058576679</v>
      </c>
      <c r="I755" s="3" t="s">
        <v>824</v>
      </c>
      <c r="J755" s="6" t="str">
        <f t="shared" si="23"/>
        <v>http://konect.cc/files/download.tsv.edit-dvwiki.tar.bz2</v>
      </c>
      <c r="L755" s="5"/>
    </row>
    <row r="756" spans="3:12" x14ac:dyDescent="0.3">
      <c r="C756" s="6" t="s">
        <v>2705</v>
      </c>
      <c r="D756" s="3" t="s">
        <v>2706</v>
      </c>
      <c r="E756" s="6" t="s">
        <v>38</v>
      </c>
      <c r="F756" s="7">
        <v>11377</v>
      </c>
      <c r="G756" s="7">
        <v>94459</v>
      </c>
      <c r="H756" s="6">
        <f t="shared" si="22"/>
        <v>8.3026281093434129</v>
      </c>
      <c r="I756" s="3" t="s">
        <v>794</v>
      </c>
      <c r="J756" s="6" t="str">
        <f t="shared" si="23"/>
        <v>http://konect.cc/files/download.tsv.edit-ruewiki.tar.bz2</v>
      </c>
      <c r="L756" s="5"/>
    </row>
    <row r="757" spans="3:12" x14ac:dyDescent="0.3">
      <c r="C757" s="6" t="s">
        <v>2604</v>
      </c>
      <c r="D757" s="3" t="s">
        <v>2605</v>
      </c>
      <c r="E757" s="6" t="s">
        <v>38</v>
      </c>
      <c r="F757" s="7">
        <v>11266</v>
      </c>
      <c r="G757" s="7">
        <v>71820</v>
      </c>
      <c r="H757" s="6">
        <f t="shared" si="22"/>
        <v>6.3749334280134917</v>
      </c>
      <c r="I757" s="3" t="s">
        <v>731</v>
      </c>
      <c r="J757" s="6" t="str">
        <f t="shared" si="23"/>
        <v>http://konect.cc/files/download.tsv.edit-cswikiversity.tar.bz2</v>
      </c>
      <c r="L757" s="5"/>
    </row>
    <row r="758" spans="3:12" x14ac:dyDescent="0.3">
      <c r="C758" s="6" t="s">
        <v>2435</v>
      </c>
      <c r="D758" s="3" t="s">
        <v>2436</v>
      </c>
      <c r="E758" s="6" t="s">
        <v>38</v>
      </c>
      <c r="F758" s="7">
        <v>11212</v>
      </c>
      <c r="G758" s="7">
        <v>39548</v>
      </c>
      <c r="H758" s="6">
        <f t="shared" si="22"/>
        <v>3.5272921869425615</v>
      </c>
      <c r="I758" s="3" t="s">
        <v>636</v>
      </c>
      <c r="J758" s="6" t="str">
        <f t="shared" si="23"/>
        <v>http://konect.cc/files/download.tsv.edit-lbewiki.tar.bz2</v>
      </c>
      <c r="L758" s="5"/>
    </row>
    <row r="759" spans="3:12" x14ac:dyDescent="0.3">
      <c r="C759" s="6" t="s">
        <v>2449</v>
      </c>
      <c r="D759" s="3" t="s">
        <v>2450</v>
      </c>
      <c r="E759" s="6" t="s">
        <v>38</v>
      </c>
      <c r="F759" s="7">
        <v>11164</v>
      </c>
      <c r="G759" s="7">
        <v>41991</v>
      </c>
      <c r="H759" s="6">
        <f t="shared" si="22"/>
        <v>3.7612862773199569</v>
      </c>
      <c r="I759" s="3" t="s">
        <v>644</v>
      </c>
      <c r="J759" s="6" t="str">
        <f t="shared" si="23"/>
        <v>http://konect.cc/files/download.tsv.edit-zhwikiquote.tar.bz2</v>
      </c>
      <c r="L759" s="5"/>
    </row>
    <row r="760" spans="3:12" x14ac:dyDescent="0.3">
      <c r="C760" s="6" t="s">
        <v>2576</v>
      </c>
      <c r="D760" s="3" t="s">
        <v>2577</v>
      </c>
      <c r="E760" s="6" t="s">
        <v>38</v>
      </c>
      <c r="F760" s="7">
        <v>11151</v>
      </c>
      <c r="G760" s="7">
        <v>65410</v>
      </c>
      <c r="H760" s="6">
        <f t="shared" si="22"/>
        <v>5.8658416285534933</v>
      </c>
      <c r="I760" s="3" t="s">
        <v>715</v>
      </c>
      <c r="J760" s="6" t="str">
        <f t="shared" si="23"/>
        <v>http://konect.cc/files/download.tsv.edit-svwikivoyage.tar.bz2</v>
      </c>
      <c r="L760" s="5"/>
    </row>
    <row r="761" spans="3:12" x14ac:dyDescent="0.3">
      <c r="C761" s="6" t="s">
        <v>2715</v>
      </c>
      <c r="D761" s="3" t="s">
        <v>2716</v>
      </c>
      <c r="E761" s="6" t="s">
        <v>38</v>
      </c>
      <c r="F761" s="7">
        <v>11065</v>
      </c>
      <c r="G761" s="7">
        <v>96529</v>
      </c>
      <c r="H761" s="6">
        <f t="shared" si="22"/>
        <v>8.7238138273836423</v>
      </c>
      <c r="I761" s="3" t="s">
        <v>799</v>
      </c>
      <c r="J761" s="6" t="str">
        <f t="shared" si="23"/>
        <v>http://konect.cc/files/download.tsv.edit-udmwiki.tar.bz2</v>
      </c>
      <c r="L761" s="5"/>
    </row>
    <row r="762" spans="3:12" x14ac:dyDescent="0.3">
      <c r="C762" s="6" t="s">
        <v>2533</v>
      </c>
      <c r="D762" s="3" t="s">
        <v>2534</v>
      </c>
      <c r="E762" s="6" t="s">
        <v>38</v>
      </c>
      <c r="F762" s="7">
        <v>10982</v>
      </c>
      <c r="G762" s="7">
        <v>59782</v>
      </c>
      <c r="H762" s="6">
        <f t="shared" si="22"/>
        <v>5.443635039154981</v>
      </c>
      <c r="I762" s="3" t="s">
        <v>692</v>
      </c>
      <c r="J762" s="6" t="str">
        <f t="shared" si="23"/>
        <v>http://konect.cc/files/download.tsv.edit-elwikinews.tar.bz2</v>
      </c>
      <c r="L762" s="5"/>
    </row>
    <row r="763" spans="3:12" x14ac:dyDescent="0.3">
      <c r="C763" s="6" t="s">
        <v>2464</v>
      </c>
      <c r="D763" s="3" t="s">
        <v>2465</v>
      </c>
      <c r="E763" s="6" t="s">
        <v>38</v>
      </c>
      <c r="F763" s="7">
        <v>10943</v>
      </c>
      <c r="G763" s="7">
        <v>47698</v>
      </c>
      <c r="H763" s="6">
        <f t="shared" si="22"/>
        <v>4.3587681622955312</v>
      </c>
      <c r="I763" s="3" t="s">
        <v>650</v>
      </c>
      <c r="J763" s="6" t="str">
        <f t="shared" si="23"/>
        <v>http://konect.cc/files/download.tsv.edit-cswikinews.tar.bz2</v>
      </c>
      <c r="L763" s="5"/>
    </row>
    <row r="764" spans="3:12" x14ac:dyDescent="0.3">
      <c r="C764" s="6" t="s">
        <v>2882</v>
      </c>
      <c r="D764" s="3" t="s">
        <v>2883</v>
      </c>
      <c r="E764" s="6" t="s">
        <v>38</v>
      </c>
      <c r="F764" s="7">
        <v>10914</v>
      </c>
      <c r="G764" s="7">
        <v>157786</v>
      </c>
      <c r="H764" s="6">
        <f t="shared" si="22"/>
        <v>14.457210921751878</v>
      </c>
      <c r="I764" s="3" t="s">
        <v>893</v>
      </c>
      <c r="J764" s="6" t="str">
        <f t="shared" si="23"/>
        <v>http://konect.cc/files/download.tsv.edit-fiu_vrowiki.tar.bz2</v>
      </c>
      <c r="L764" s="5"/>
    </row>
    <row r="765" spans="3:12" x14ac:dyDescent="0.3">
      <c r="C765" s="6" t="s">
        <v>2548</v>
      </c>
      <c r="D765" s="3" t="s">
        <v>2549</v>
      </c>
      <c r="E765" s="6" t="s">
        <v>38</v>
      </c>
      <c r="F765" s="7">
        <v>10882</v>
      </c>
      <c r="G765" s="7">
        <v>60663</v>
      </c>
      <c r="H765" s="6">
        <f t="shared" si="22"/>
        <v>5.5746186362800954</v>
      </c>
      <c r="I765" s="3" t="s">
        <v>700</v>
      </c>
      <c r="J765" s="6" t="str">
        <f t="shared" si="23"/>
        <v>http://konect.cc/files/download.tsv.edit-bswiktionary.tar.bz2</v>
      </c>
      <c r="L765" s="5"/>
    </row>
    <row r="766" spans="3:12" x14ac:dyDescent="0.3">
      <c r="C766" s="6" t="s">
        <v>2076</v>
      </c>
      <c r="D766" s="3" t="s">
        <v>2260</v>
      </c>
      <c r="E766" s="6" t="s">
        <v>2078</v>
      </c>
      <c r="F766" s="7">
        <v>10876</v>
      </c>
      <c r="G766" s="7">
        <v>39994</v>
      </c>
      <c r="H766" s="6">
        <f t="shared" si="22"/>
        <v>3.6772710555351233</v>
      </c>
      <c r="I766" s="3" t="s">
        <v>542</v>
      </c>
      <c r="J766" s="6" t="str">
        <f t="shared" si="23"/>
        <v>http://konect.cc/files/download.tsv.p2p-Gnutella04.tar.bz2</v>
      </c>
      <c r="L766" s="5"/>
    </row>
    <row r="767" spans="3:12" x14ac:dyDescent="0.3">
      <c r="C767" s="6" t="s">
        <v>2112</v>
      </c>
      <c r="D767" s="3" t="s">
        <v>2113</v>
      </c>
      <c r="E767" s="6" t="s">
        <v>43</v>
      </c>
      <c r="F767" s="7">
        <v>10680</v>
      </c>
      <c r="G767" s="7">
        <v>24316</v>
      </c>
      <c r="H767" s="6">
        <f t="shared" si="22"/>
        <v>2.2767790262172283</v>
      </c>
      <c r="I767" s="3" t="s">
        <v>464</v>
      </c>
      <c r="J767" s="6" t="str">
        <f t="shared" si="23"/>
        <v>http://konect.cc/files/download.tsv.arenas-pgp.tar.bz2</v>
      </c>
      <c r="L767" s="5"/>
    </row>
    <row r="768" spans="3:12" x14ac:dyDescent="0.3">
      <c r="C768" s="6" t="s">
        <v>2756</v>
      </c>
      <c r="D768" s="3" t="s">
        <v>2757</v>
      </c>
      <c r="E768" s="6" t="s">
        <v>38</v>
      </c>
      <c r="F768" s="7">
        <v>10580</v>
      </c>
      <c r="G768" s="7">
        <v>109121</v>
      </c>
      <c r="H768" s="6">
        <f t="shared" si="22"/>
        <v>10.313894139886578</v>
      </c>
      <c r="I768" s="3" t="s">
        <v>822</v>
      </c>
      <c r="J768" s="6" t="str">
        <f t="shared" si="23"/>
        <v>http://konect.cc/files/download.tsv.edit-stqwiki.tar.bz2</v>
      </c>
      <c r="L768" s="5"/>
    </row>
    <row r="769" spans="3:12" x14ac:dyDescent="0.3">
      <c r="C769" s="6" t="s">
        <v>2607</v>
      </c>
      <c r="D769" s="3" t="s">
        <v>2608</v>
      </c>
      <c r="E769" s="6" t="s">
        <v>38</v>
      </c>
      <c r="F769" s="7">
        <v>10532</v>
      </c>
      <c r="G769" s="7">
        <v>71329</v>
      </c>
      <c r="H769" s="6">
        <f t="shared" si="22"/>
        <v>6.7725977971895173</v>
      </c>
      <c r="I769" s="3" t="s">
        <v>734</v>
      </c>
      <c r="J769" s="6" t="str">
        <f t="shared" si="23"/>
        <v>http://konect.cc/files/download.tsv.edit-xalwiki.tar.bz2</v>
      </c>
      <c r="L769" s="5"/>
    </row>
    <row r="770" spans="3:12" x14ac:dyDescent="0.3">
      <c r="C770" s="6" t="s">
        <v>2574</v>
      </c>
      <c r="D770" s="3" t="s">
        <v>2575</v>
      </c>
      <c r="E770" s="6" t="s">
        <v>33</v>
      </c>
      <c r="F770" s="7">
        <v>10453</v>
      </c>
      <c r="G770" s="7">
        <v>140501</v>
      </c>
      <c r="H770" s="6">
        <f t="shared" ref="H770:H833" si="24">G770/F770</f>
        <v>13.441213048885487</v>
      </c>
      <c r="I770" s="3" t="s">
        <v>714</v>
      </c>
      <c r="J770" s="6" t="str">
        <f t="shared" ref="J770:J833" si="25">"http://konect.cc/files/download.tsv."&amp;I770&amp;".tar.bz2"</f>
        <v>http://konect.cc/files/download.tsv.wikipedia_link_nds_nl.tar.bz2</v>
      </c>
      <c r="L770" s="5"/>
    </row>
    <row r="771" spans="3:12" x14ac:dyDescent="0.3">
      <c r="C771" s="6" t="s">
        <v>3171</v>
      </c>
      <c r="D771" s="3" t="s">
        <v>3172</v>
      </c>
      <c r="E771" s="6" t="s">
        <v>33</v>
      </c>
      <c r="F771" s="7">
        <v>10423</v>
      </c>
      <c r="G771" s="7">
        <v>1089948</v>
      </c>
      <c r="H771" s="6">
        <f t="shared" si="24"/>
        <v>104.57142857142857</v>
      </c>
      <c r="I771" s="3" t="s">
        <v>1044</v>
      </c>
      <c r="J771" s="6" t="str">
        <f t="shared" si="25"/>
        <v>http://konect.cc/files/download.tsv.wikipedia_link_roa_tara.tar.bz2</v>
      </c>
      <c r="L771" s="5"/>
    </row>
    <row r="772" spans="3:12" x14ac:dyDescent="0.3">
      <c r="C772" s="6" t="s">
        <v>2948</v>
      </c>
      <c r="D772" s="3" t="s">
        <v>2949</v>
      </c>
      <c r="E772" s="6" t="s">
        <v>58</v>
      </c>
      <c r="F772" s="7">
        <v>10336</v>
      </c>
      <c r="G772" s="7">
        <v>467714</v>
      </c>
      <c r="H772" s="6">
        <f t="shared" si="24"/>
        <v>45.25096749226006</v>
      </c>
      <c r="I772" s="3" t="s">
        <v>929</v>
      </c>
      <c r="J772" s="6" t="str">
        <f t="shared" si="25"/>
        <v>http://konect.cc/files/download.tsv.bag-kos.tar.bz2</v>
      </c>
      <c r="L772" s="5"/>
    </row>
    <row r="773" spans="3:12" x14ac:dyDescent="0.3">
      <c r="C773" s="6" t="s">
        <v>2314</v>
      </c>
      <c r="D773" s="3" t="s">
        <v>2315</v>
      </c>
      <c r="E773" s="6" t="s">
        <v>38</v>
      </c>
      <c r="F773" s="7">
        <v>10310</v>
      </c>
      <c r="G773" s="7">
        <v>23901</v>
      </c>
      <c r="H773" s="6">
        <f t="shared" si="24"/>
        <v>2.3182347235693501</v>
      </c>
      <c r="I773" s="3" t="s">
        <v>569</v>
      </c>
      <c r="J773" s="6" t="str">
        <f t="shared" si="25"/>
        <v>http://konect.cc/files/download.tsv.edit-pnbwiktionary.tar.bz2</v>
      </c>
      <c r="L773" s="5"/>
    </row>
    <row r="774" spans="3:12" x14ac:dyDescent="0.3">
      <c r="C774" s="6" t="s">
        <v>2650</v>
      </c>
      <c r="D774" s="3" t="s">
        <v>2651</v>
      </c>
      <c r="E774" s="6" t="s">
        <v>33</v>
      </c>
      <c r="F774" s="7">
        <v>10285</v>
      </c>
      <c r="G774" s="7">
        <v>180916</v>
      </c>
      <c r="H774" s="6">
        <f t="shared" si="24"/>
        <v>17.590277102576568</v>
      </c>
      <c r="I774" s="3" t="s">
        <v>760</v>
      </c>
      <c r="J774" s="6" t="str">
        <f t="shared" si="25"/>
        <v>http://konect.cc/files/download.tsv.wikipedia_link_nah.tar.bz2</v>
      </c>
      <c r="L774" s="5"/>
    </row>
    <row r="775" spans="3:12" x14ac:dyDescent="0.3">
      <c r="C775" s="6" t="s">
        <v>2660</v>
      </c>
      <c r="D775" s="3" t="s">
        <v>2661</v>
      </c>
      <c r="E775" s="6" t="s">
        <v>38</v>
      </c>
      <c r="F775" s="7">
        <v>10263</v>
      </c>
      <c r="G775" s="7">
        <v>84728</v>
      </c>
      <c r="H775" s="6">
        <f t="shared" si="24"/>
        <v>8.2556757283445386</v>
      </c>
      <c r="I775" s="3" t="s">
        <v>766</v>
      </c>
      <c r="J775" s="6" t="str">
        <f t="shared" si="25"/>
        <v>http://konect.cc/files/download.tsv.edit-cawikiquote.tar.bz2</v>
      </c>
      <c r="L775" s="5"/>
    </row>
    <row r="776" spans="3:12" x14ac:dyDescent="0.3">
      <c r="C776" s="6" t="s">
        <v>2419</v>
      </c>
      <c r="D776" s="3" t="s">
        <v>2420</v>
      </c>
      <c r="E776" s="6" t="s">
        <v>38</v>
      </c>
      <c r="F776" s="7">
        <v>10258</v>
      </c>
      <c r="G776" s="7">
        <v>36040</v>
      </c>
      <c r="H776" s="6">
        <f t="shared" si="24"/>
        <v>3.5133554299083642</v>
      </c>
      <c r="I776" s="3" t="s">
        <v>627</v>
      </c>
      <c r="J776" s="6" t="str">
        <f t="shared" si="25"/>
        <v>http://konect.cc/files/download.tsv.edit-bnwiktionary.tar.bz2</v>
      </c>
      <c r="L776" s="5"/>
    </row>
    <row r="777" spans="3:12" x14ac:dyDescent="0.3">
      <c r="C777" s="6" t="s">
        <v>2582</v>
      </c>
      <c r="D777" s="3" t="s">
        <v>2583</v>
      </c>
      <c r="E777" s="6" t="s">
        <v>38</v>
      </c>
      <c r="F777" s="7">
        <v>10197</v>
      </c>
      <c r="G777" s="7">
        <v>67119</v>
      </c>
      <c r="H777" s="6">
        <f t="shared" si="24"/>
        <v>6.5822300676669609</v>
      </c>
      <c r="I777" s="3" t="s">
        <v>719</v>
      </c>
      <c r="J777" s="6" t="str">
        <f t="shared" si="25"/>
        <v>http://konect.cc/files/download.tsv.edit-lezwiki.tar.bz2</v>
      </c>
      <c r="L777" s="5"/>
    </row>
    <row r="778" spans="3:12" x14ac:dyDescent="0.3">
      <c r="C778" s="6" t="s">
        <v>2662</v>
      </c>
      <c r="D778" s="3" t="s">
        <v>2663</v>
      </c>
      <c r="E778" s="6" t="s">
        <v>38</v>
      </c>
      <c r="F778" s="7">
        <v>10175</v>
      </c>
      <c r="G778" s="7">
        <v>85777</v>
      </c>
      <c r="H778" s="6">
        <f t="shared" si="24"/>
        <v>8.4301719901719903</v>
      </c>
      <c r="I778" s="3" t="s">
        <v>767</v>
      </c>
      <c r="J778" s="6" t="str">
        <f t="shared" si="25"/>
        <v>http://konect.cc/files/download.tsv.edit-mwlwiki.tar.bz2</v>
      </c>
      <c r="L778" s="5"/>
    </row>
    <row r="779" spans="3:12" x14ac:dyDescent="0.3">
      <c r="C779" s="6" t="s">
        <v>1950</v>
      </c>
      <c r="D779" s="3" t="s">
        <v>1951</v>
      </c>
      <c r="E779" s="6" t="s">
        <v>38</v>
      </c>
      <c r="F779" s="7">
        <v>10087</v>
      </c>
      <c r="G779" s="7">
        <v>25040</v>
      </c>
      <c r="H779" s="6">
        <f t="shared" si="24"/>
        <v>2.4824030930901162</v>
      </c>
      <c r="I779" s="3" t="s">
        <v>574</v>
      </c>
      <c r="J779" s="6" t="str">
        <f t="shared" si="25"/>
        <v>http://konect.cc/files/download.tsv.edit-bewikisource.tar.bz2</v>
      </c>
      <c r="L779" s="5"/>
    </row>
    <row r="780" spans="3:12" x14ac:dyDescent="0.3">
      <c r="C780" s="6" t="s">
        <v>2993</v>
      </c>
      <c r="D780" s="3" t="s">
        <v>2994</v>
      </c>
      <c r="E780" s="6" t="s">
        <v>38</v>
      </c>
      <c r="F780" s="7">
        <v>10072</v>
      </c>
      <c r="G780" s="7">
        <v>235204</v>
      </c>
      <c r="H780" s="6">
        <f t="shared" si="24"/>
        <v>23.352263701350278</v>
      </c>
      <c r="I780" s="3" t="s">
        <v>952</v>
      </c>
      <c r="J780" s="6" t="str">
        <f t="shared" si="25"/>
        <v>http://konect.cc/files/download.tsv.edit-trwikinews.tar.bz2</v>
      </c>
      <c r="L780" s="5"/>
    </row>
    <row r="781" spans="3:12" x14ac:dyDescent="0.3">
      <c r="C781" s="6" t="s">
        <v>2128</v>
      </c>
      <c r="D781" s="3" t="s">
        <v>2129</v>
      </c>
      <c r="E781" s="6" t="s">
        <v>38</v>
      </c>
      <c r="F781" s="7">
        <v>10063</v>
      </c>
      <c r="G781" s="7">
        <v>25631</v>
      </c>
      <c r="H781" s="6">
        <f t="shared" si="24"/>
        <v>2.5470535625558979</v>
      </c>
      <c r="I781" s="3" t="s">
        <v>576</v>
      </c>
      <c r="J781" s="6" t="str">
        <f t="shared" si="25"/>
        <v>http://konect.cc/files/download.tsv.edit-idwikisource.tar.bz2</v>
      </c>
      <c r="L781" s="5"/>
    </row>
    <row r="782" spans="3:12" x14ac:dyDescent="0.3">
      <c r="C782" s="6" t="s">
        <v>2540</v>
      </c>
      <c r="D782" s="3" t="s">
        <v>2541</v>
      </c>
      <c r="E782" s="6" t="s">
        <v>33</v>
      </c>
      <c r="F782" s="7">
        <v>9941</v>
      </c>
      <c r="G782" s="7">
        <v>128212</v>
      </c>
      <c r="H782" s="6">
        <f t="shared" si="24"/>
        <v>12.897294034805352</v>
      </c>
      <c r="I782" s="3" t="s">
        <v>696</v>
      </c>
      <c r="J782" s="6" t="str">
        <f t="shared" si="25"/>
        <v>http://konect.cc/files/download.tsv.wikipedia_link_vls.tar.bz2</v>
      </c>
      <c r="L782" s="5"/>
    </row>
    <row r="783" spans="3:12" x14ac:dyDescent="0.3">
      <c r="C783" s="6" t="s">
        <v>2667</v>
      </c>
      <c r="D783" s="3" t="s">
        <v>2668</v>
      </c>
      <c r="E783" s="6" t="s">
        <v>38</v>
      </c>
      <c r="F783" s="7">
        <v>9885</v>
      </c>
      <c r="G783" s="7">
        <v>87120</v>
      </c>
      <c r="H783" s="6">
        <f t="shared" si="24"/>
        <v>8.8133535660091056</v>
      </c>
      <c r="I783" s="3" t="s">
        <v>772</v>
      </c>
      <c r="J783" s="6" t="str">
        <f t="shared" si="25"/>
        <v>http://konect.cc/files/download.tsv.edit-myvwiki.tar.bz2</v>
      </c>
      <c r="L783" s="5"/>
    </row>
    <row r="784" spans="3:12" x14ac:dyDescent="0.3">
      <c r="C784" s="6" t="s">
        <v>2381</v>
      </c>
      <c r="D784" s="3" t="s">
        <v>2382</v>
      </c>
      <c r="E784" s="6" t="s">
        <v>38</v>
      </c>
      <c r="F784" s="7">
        <v>9785</v>
      </c>
      <c r="G784" s="7">
        <v>32788</v>
      </c>
      <c r="H784" s="6">
        <f t="shared" si="24"/>
        <v>3.3508431272355645</v>
      </c>
      <c r="I784" s="3" t="s">
        <v>607</v>
      </c>
      <c r="J784" s="6" t="str">
        <f t="shared" si="25"/>
        <v>http://konect.cc/files/download.tsv.edit-nsowiki.tar.bz2</v>
      </c>
      <c r="L784" s="5"/>
    </row>
    <row r="785" spans="3:12" x14ac:dyDescent="0.3">
      <c r="C785" s="6" t="s">
        <v>3353</v>
      </c>
      <c r="D785" s="3" t="s">
        <v>3354</v>
      </c>
      <c r="E785" s="6" t="s">
        <v>56</v>
      </c>
      <c r="F785" s="7">
        <v>9746</v>
      </c>
      <c r="G785" s="7">
        <v>1000209</v>
      </c>
      <c r="H785" s="6">
        <f t="shared" si="24"/>
        <v>102.62764210958342</v>
      </c>
      <c r="I785" s="3" t="s">
        <v>1140</v>
      </c>
      <c r="J785" s="6" t="str">
        <f t="shared" si="25"/>
        <v>http://konect.cc/files/download.tsv.movielens-1m.tar.bz2</v>
      </c>
      <c r="L785" s="5"/>
    </row>
    <row r="786" spans="3:12" x14ac:dyDescent="0.3">
      <c r="C786" s="6" t="s">
        <v>2860</v>
      </c>
      <c r="D786" s="3" t="s">
        <v>2861</v>
      </c>
      <c r="E786" s="6" t="s">
        <v>38</v>
      </c>
      <c r="F786" s="7">
        <v>9613</v>
      </c>
      <c r="G786" s="7">
        <v>147841</v>
      </c>
      <c r="H786" s="6">
        <f t="shared" si="24"/>
        <v>15.379278060959118</v>
      </c>
      <c r="I786" s="3" t="s">
        <v>881</v>
      </c>
      <c r="J786" s="6" t="str">
        <f t="shared" si="25"/>
        <v>http://konect.cc/files/download.tsv.edit-csbwiki.tar.bz2</v>
      </c>
      <c r="L786" s="5"/>
    </row>
    <row r="787" spans="3:12" x14ac:dyDescent="0.3">
      <c r="C787" s="6" t="s">
        <v>2531</v>
      </c>
      <c r="D787" s="3" t="s">
        <v>2532</v>
      </c>
      <c r="E787" s="6" t="s">
        <v>38</v>
      </c>
      <c r="F787" s="7">
        <v>9589</v>
      </c>
      <c r="G787" s="7">
        <v>57932</v>
      </c>
      <c r="H787" s="6">
        <f t="shared" si="24"/>
        <v>6.0415058921681091</v>
      </c>
      <c r="I787" s="3" t="s">
        <v>691</v>
      </c>
      <c r="J787" s="6" t="str">
        <f t="shared" si="25"/>
        <v>http://konect.cc/files/download.tsv.edit-avwiki.tar.bz2</v>
      </c>
      <c r="L787" s="5"/>
    </row>
    <row r="788" spans="3:12" x14ac:dyDescent="0.3">
      <c r="C788" s="6" t="s">
        <v>2746</v>
      </c>
      <c r="D788" s="3" t="s">
        <v>2747</v>
      </c>
      <c r="E788" s="6" t="s">
        <v>33</v>
      </c>
      <c r="F788" s="7">
        <v>9537</v>
      </c>
      <c r="G788" s="7">
        <v>220180</v>
      </c>
      <c r="H788" s="6">
        <f t="shared" si="24"/>
        <v>23.086924609415959</v>
      </c>
      <c r="I788" s="3" t="s">
        <v>816</v>
      </c>
      <c r="J788" s="6" t="str">
        <f t="shared" si="25"/>
        <v>http://konect.cc/files/download.tsv.wikipedia_link_pam.tar.bz2</v>
      </c>
      <c r="L788" s="5"/>
    </row>
    <row r="789" spans="3:12" x14ac:dyDescent="0.3">
      <c r="C789" s="6" t="s">
        <v>2795</v>
      </c>
      <c r="D789" s="3" t="s">
        <v>2796</v>
      </c>
      <c r="E789" s="6" t="s">
        <v>38</v>
      </c>
      <c r="F789" s="7">
        <v>9312</v>
      </c>
      <c r="G789" s="7">
        <v>124234</v>
      </c>
      <c r="H789" s="6">
        <f t="shared" si="24"/>
        <v>13.341280068728523</v>
      </c>
      <c r="I789" s="3" t="s">
        <v>844</v>
      </c>
      <c r="J789" s="6" t="str">
        <f t="shared" si="25"/>
        <v>http://konect.cc/files/download.tsv.edit-rmwiki.tar.bz2</v>
      </c>
      <c r="L789" s="5"/>
    </row>
    <row r="790" spans="3:12" x14ac:dyDescent="0.3">
      <c r="C790" s="6" t="s">
        <v>2713</v>
      </c>
      <c r="D790" s="3" t="s">
        <v>2714</v>
      </c>
      <c r="E790" s="6" t="s">
        <v>38</v>
      </c>
      <c r="F790" s="7">
        <v>9240</v>
      </c>
      <c r="G790" s="7">
        <v>95290</v>
      </c>
      <c r="H790" s="6">
        <f t="shared" si="24"/>
        <v>10.312770562770563</v>
      </c>
      <c r="I790" s="3" t="s">
        <v>798</v>
      </c>
      <c r="J790" s="6" t="str">
        <f t="shared" si="25"/>
        <v>http://konect.cc/files/download.tsv.edit-zeawiki.tar.bz2</v>
      </c>
      <c r="L790" s="5"/>
    </row>
    <row r="791" spans="3:12" x14ac:dyDescent="0.3">
      <c r="C791" s="6" t="s">
        <v>2701</v>
      </c>
      <c r="D791" s="3" t="s">
        <v>2702</v>
      </c>
      <c r="E791" s="6" t="s">
        <v>38</v>
      </c>
      <c r="F791" s="7">
        <v>9234</v>
      </c>
      <c r="G791" s="7">
        <v>98528</v>
      </c>
      <c r="H791" s="6">
        <f t="shared" si="24"/>
        <v>10.670132120424519</v>
      </c>
      <c r="I791" s="3" t="s">
        <v>791</v>
      </c>
      <c r="J791" s="6" t="str">
        <f t="shared" si="25"/>
        <v>http://konect.cc/files/download.tsv.edit-mswiktionary.tar.bz2</v>
      </c>
      <c r="L791" s="5"/>
    </row>
    <row r="792" spans="3:12" x14ac:dyDescent="0.3">
      <c r="C792" s="6" t="s">
        <v>2476</v>
      </c>
      <c r="D792" s="3" t="s">
        <v>2477</v>
      </c>
      <c r="E792" s="6" t="s">
        <v>38</v>
      </c>
      <c r="F792" s="7">
        <v>9196</v>
      </c>
      <c r="G792" s="7">
        <v>47745</v>
      </c>
      <c r="H792" s="6">
        <f t="shared" si="24"/>
        <v>5.1919312744671595</v>
      </c>
      <c r="I792" s="3" t="s">
        <v>659</v>
      </c>
      <c r="J792" s="6" t="str">
        <f t="shared" si="25"/>
        <v>http://konect.cc/files/download.tsv.edit-nahwiktionary.tar.bz2</v>
      </c>
      <c r="L792" s="5"/>
    </row>
    <row r="793" spans="3:12" x14ac:dyDescent="0.3">
      <c r="C793" s="6" t="s">
        <v>2646</v>
      </c>
      <c r="D793" s="3" t="s">
        <v>2647</v>
      </c>
      <c r="E793" s="6" t="s">
        <v>33</v>
      </c>
      <c r="F793" s="7">
        <v>9189</v>
      </c>
      <c r="G793" s="7">
        <v>176051</v>
      </c>
      <c r="H793" s="6">
        <f t="shared" si="24"/>
        <v>19.15888562411579</v>
      </c>
      <c r="I793" s="3" t="s">
        <v>758</v>
      </c>
      <c r="J793" s="6" t="str">
        <f t="shared" si="25"/>
        <v>http://konect.cc/files/download.tsv.wikipedia_link_gan.tar.bz2</v>
      </c>
      <c r="L793" s="5"/>
    </row>
    <row r="794" spans="3:12" x14ac:dyDescent="0.3">
      <c r="C794" s="6" t="s">
        <v>2596</v>
      </c>
      <c r="D794" s="3" t="s">
        <v>2597</v>
      </c>
      <c r="E794" s="6" t="s">
        <v>38</v>
      </c>
      <c r="F794" s="7">
        <v>9149</v>
      </c>
      <c r="G794" s="7">
        <v>68723</v>
      </c>
      <c r="H794" s="6">
        <f t="shared" si="24"/>
        <v>7.5115313148978027</v>
      </c>
      <c r="I794" s="3" t="s">
        <v>726</v>
      </c>
      <c r="J794" s="6" t="str">
        <f t="shared" si="25"/>
        <v>http://konect.cc/files/download.tsv.edit-ttwiktionary.tar.bz2</v>
      </c>
      <c r="L794" s="5"/>
    </row>
    <row r="795" spans="3:12" x14ac:dyDescent="0.3">
      <c r="C795" s="6" t="s">
        <v>2397</v>
      </c>
      <c r="D795" s="3" t="s">
        <v>2398</v>
      </c>
      <c r="E795" s="6" t="s">
        <v>38</v>
      </c>
      <c r="F795" s="7">
        <v>9144</v>
      </c>
      <c r="G795" s="7">
        <v>32618</v>
      </c>
      <c r="H795" s="6">
        <f t="shared" si="24"/>
        <v>3.5671478565179351</v>
      </c>
      <c r="I795" s="3" t="s">
        <v>615</v>
      </c>
      <c r="J795" s="6" t="str">
        <f t="shared" si="25"/>
        <v>http://konect.cc/files/download.tsv.edit-viwikibooks.tar.bz2</v>
      </c>
      <c r="L795" s="5"/>
    </row>
    <row r="796" spans="3:12" x14ac:dyDescent="0.3">
      <c r="C796" s="6" t="s">
        <v>2399</v>
      </c>
      <c r="D796" s="3" t="s">
        <v>2400</v>
      </c>
      <c r="E796" s="6" t="s">
        <v>38</v>
      </c>
      <c r="F796" s="7">
        <v>9105</v>
      </c>
      <c r="G796" s="7">
        <v>34241</v>
      </c>
      <c r="H796" s="6">
        <f t="shared" si="24"/>
        <v>3.7606809445359692</v>
      </c>
      <c r="I796" s="3" t="s">
        <v>616</v>
      </c>
      <c r="J796" s="6" t="str">
        <f t="shared" si="25"/>
        <v>http://konect.cc/files/download.tsv.edit-svwikinews.tar.bz2</v>
      </c>
      <c r="L796" s="5"/>
    </row>
    <row r="797" spans="3:12" x14ac:dyDescent="0.3">
      <c r="C797" s="6" t="s">
        <v>2310</v>
      </c>
      <c r="D797" s="3" t="s">
        <v>2311</v>
      </c>
      <c r="E797" s="6" t="s">
        <v>38</v>
      </c>
      <c r="F797" s="7">
        <v>9102</v>
      </c>
      <c r="G797" s="7">
        <v>23164</v>
      </c>
      <c r="H797" s="6">
        <f t="shared" si="24"/>
        <v>2.5449351790815204</v>
      </c>
      <c r="I797" s="3" t="s">
        <v>567</v>
      </c>
      <c r="J797" s="6" t="str">
        <f t="shared" si="25"/>
        <v>http://konect.cc/files/download.tsv.edit-orwikisource.tar.bz2</v>
      </c>
      <c r="L797" s="5"/>
    </row>
    <row r="798" spans="3:12" x14ac:dyDescent="0.3">
      <c r="C798" s="6" t="s">
        <v>2417</v>
      </c>
      <c r="D798" s="3" t="s">
        <v>2418</v>
      </c>
      <c r="E798" s="6" t="s">
        <v>38</v>
      </c>
      <c r="F798" s="7">
        <v>9067</v>
      </c>
      <c r="G798" s="7">
        <v>36007</v>
      </c>
      <c r="H798" s="6">
        <f t="shared" si="24"/>
        <v>3.9712142935921473</v>
      </c>
      <c r="I798" s="3" t="s">
        <v>625</v>
      </c>
      <c r="J798" s="6" t="str">
        <f t="shared" si="25"/>
        <v>http://konect.cc/files/download.tsv.edit-snwiki.tar.bz2</v>
      </c>
      <c r="L798" s="5"/>
    </row>
    <row r="799" spans="3:12" x14ac:dyDescent="0.3">
      <c r="C799" s="6" t="s">
        <v>2474</v>
      </c>
      <c r="D799" s="3" t="s">
        <v>2475</v>
      </c>
      <c r="E799" s="6" t="s">
        <v>38</v>
      </c>
      <c r="F799" s="7">
        <v>8990</v>
      </c>
      <c r="G799" s="7">
        <v>46786</v>
      </c>
      <c r="H799" s="6">
        <f t="shared" si="24"/>
        <v>5.2042269187986649</v>
      </c>
      <c r="I799" s="3" t="s">
        <v>658</v>
      </c>
      <c r="J799" s="6" t="str">
        <f t="shared" si="25"/>
        <v>http://konect.cc/files/download.tsv.edit-lowiki.tar.bz2</v>
      </c>
      <c r="L799" s="5"/>
    </row>
    <row r="800" spans="3:12" x14ac:dyDescent="0.3">
      <c r="C800" s="6" t="s">
        <v>2612</v>
      </c>
      <c r="D800" s="3" t="s">
        <v>2613</v>
      </c>
      <c r="E800" s="6" t="s">
        <v>38</v>
      </c>
      <c r="F800" s="7">
        <v>8945</v>
      </c>
      <c r="G800" s="7">
        <v>74313</v>
      </c>
      <c r="H800" s="6">
        <f t="shared" si="24"/>
        <v>8.3077697037451088</v>
      </c>
      <c r="I800" s="3" t="s">
        <v>737</v>
      </c>
      <c r="J800" s="6" t="str">
        <f t="shared" si="25"/>
        <v>http://konect.cc/files/download.tsv.edit-lrcwiki.tar.bz2</v>
      </c>
      <c r="L800" s="5"/>
    </row>
    <row r="801" spans="3:12" x14ac:dyDescent="0.3">
      <c r="C801" s="6" t="s">
        <v>2965</v>
      </c>
      <c r="D801" s="3" t="s">
        <v>2966</v>
      </c>
      <c r="E801" s="6" t="s">
        <v>38</v>
      </c>
      <c r="F801" s="7">
        <v>8944</v>
      </c>
      <c r="G801" s="7">
        <v>201831</v>
      </c>
      <c r="H801" s="6">
        <f t="shared" si="24"/>
        <v>22.566077817531305</v>
      </c>
      <c r="I801" s="3" t="s">
        <v>938</v>
      </c>
      <c r="J801" s="6" t="str">
        <f t="shared" si="25"/>
        <v>http://konect.cc/files/download.tsv.edit-nrmwiki.tar.bz2</v>
      </c>
      <c r="L801" s="5"/>
    </row>
    <row r="802" spans="3:12" x14ac:dyDescent="0.3">
      <c r="C802" s="6" t="s">
        <v>2076</v>
      </c>
      <c r="D802" s="3" t="s">
        <v>2191</v>
      </c>
      <c r="E802" s="6" t="s">
        <v>2078</v>
      </c>
      <c r="F802" s="7">
        <v>8846</v>
      </c>
      <c r="G802" s="7">
        <v>31839</v>
      </c>
      <c r="H802" s="6">
        <f t="shared" si="24"/>
        <v>3.5992539000678274</v>
      </c>
      <c r="I802" s="3" t="s">
        <v>507</v>
      </c>
      <c r="J802" s="6" t="str">
        <f t="shared" si="25"/>
        <v>http://konect.cc/files/download.tsv.p2p-Gnutella05.tar.bz2</v>
      </c>
      <c r="L802" s="5"/>
    </row>
    <row r="803" spans="3:12" x14ac:dyDescent="0.3">
      <c r="C803" s="6" t="s">
        <v>2703</v>
      </c>
      <c r="D803" s="3" t="s">
        <v>2704</v>
      </c>
      <c r="E803" s="6" t="s">
        <v>38</v>
      </c>
      <c r="F803" s="7">
        <v>8759</v>
      </c>
      <c r="G803" s="7">
        <v>94059</v>
      </c>
      <c r="H803" s="6">
        <f t="shared" si="24"/>
        <v>10.738554629523918</v>
      </c>
      <c r="I803" s="3" t="s">
        <v>793</v>
      </c>
      <c r="J803" s="6" t="str">
        <f t="shared" si="25"/>
        <v>http://konect.cc/files/download.tsv.edit-ptwikivoyage.tar.bz2</v>
      </c>
      <c r="L803" s="5"/>
    </row>
    <row r="804" spans="3:12" x14ac:dyDescent="0.3">
      <c r="C804" s="6" t="s">
        <v>2843</v>
      </c>
      <c r="D804" s="3" t="s">
        <v>2844</v>
      </c>
      <c r="E804" s="6" t="s">
        <v>98</v>
      </c>
      <c r="F804" s="7">
        <v>8758</v>
      </c>
      <c r="G804" s="7">
        <v>335267</v>
      </c>
      <c r="H804" s="6">
        <f t="shared" si="24"/>
        <v>38.28122859100251</v>
      </c>
      <c r="I804" s="3" t="s">
        <v>869</v>
      </c>
      <c r="J804" s="6" t="str">
        <f t="shared" si="25"/>
        <v>http://konect.cc/files/download.tsv.wikipedia_link_hif.tar.bz2</v>
      </c>
      <c r="L804" s="5"/>
    </row>
    <row r="805" spans="3:12" x14ac:dyDescent="0.3">
      <c r="C805" s="6" t="s">
        <v>2076</v>
      </c>
      <c r="D805" s="3" t="s">
        <v>2188</v>
      </c>
      <c r="E805" s="6" t="s">
        <v>2078</v>
      </c>
      <c r="F805" s="7">
        <v>8717</v>
      </c>
      <c r="G805" s="7">
        <v>31525</v>
      </c>
      <c r="H805" s="6">
        <f t="shared" si="24"/>
        <v>3.6164965010898245</v>
      </c>
      <c r="I805" s="3" t="s">
        <v>505</v>
      </c>
      <c r="J805" s="6" t="str">
        <f t="shared" si="25"/>
        <v>http://konect.cc/files/download.tsv.p2p-Gnutella06.tar.bz2</v>
      </c>
      <c r="L805" s="5"/>
    </row>
    <row r="806" spans="3:12" x14ac:dyDescent="0.3">
      <c r="C806" s="6" t="s">
        <v>2600</v>
      </c>
      <c r="D806" s="3" t="s">
        <v>2601</v>
      </c>
      <c r="E806" s="6" t="s">
        <v>38</v>
      </c>
      <c r="F806" s="7">
        <v>8674</v>
      </c>
      <c r="G806" s="7">
        <v>70203</v>
      </c>
      <c r="H806" s="6">
        <f t="shared" si="24"/>
        <v>8.0934978095457684</v>
      </c>
      <c r="I806" s="3" t="s">
        <v>728</v>
      </c>
      <c r="J806" s="6" t="str">
        <f t="shared" si="25"/>
        <v>http://konect.cc/files/download.tsv.edit-hywikiquote.tar.bz2</v>
      </c>
      <c r="L806" s="5"/>
    </row>
    <row r="807" spans="3:12" x14ac:dyDescent="0.3">
      <c r="C807" s="6" t="s">
        <v>2618</v>
      </c>
      <c r="D807" s="3" t="s">
        <v>2619</v>
      </c>
      <c r="E807" s="6" t="s">
        <v>38</v>
      </c>
      <c r="F807" s="7">
        <v>8649</v>
      </c>
      <c r="G807" s="7">
        <v>74029</v>
      </c>
      <c r="H807" s="6">
        <f t="shared" si="24"/>
        <v>8.5592554052491625</v>
      </c>
      <c r="I807" s="3" t="s">
        <v>741</v>
      </c>
      <c r="J807" s="6" t="str">
        <f t="shared" si="25"/>
        <v>http://konect.cc/files/download.tsv.edit-aywiki.tar.bz2</v>
      </c>
      <c r="L807" s="5"/>
    </row>
    <row r="808" spans="3:12" x14ac:dyDescent="0.3">
      <c r="C808" s="6" t="s">
        <v>2752</v>
      </c>
      <c r="D808" s="3" t="s">
        <v>2753</v>
      </c>
      <c r="E808" s="6" t="s">
        <v>38</v>
      </c>
      <c r="F808" s="7">
        <v>8637</v>
      </c>
      <c r="G808" s="7">
        <v>106315</v>
      </c>
      <c r="H808" s="6">
        <f t="shared" si="24"/>
        <v>12.309250897302304</v>
      </c>
      <c r="I808" s="3" t="s">
        <v>820</v>
      </c>
      <c r="J808" s="6" t="str">
        <f t="shared" si="25"/>
        <v>http://konect.cc/files/download.tsv.edit-lnwiki.tar.bz2</v>
      </c>
      <c r="L808" s="5"/>
    </row>
    <row r="809" spans="3:12" x14ac:dyDescent="0.3">
      <c r="C809" s="6" t="s">
        <v>2888</v>
      </c>
      <c r="D809" s="3" t="s">
        <v>2889</v>
      </c>
      <c r="E809" s="6" t="s">
        <v>38</v>
      </c>
      <c r="F809" s="7">
        <v>8623</v>
      </c>
      <c r="G809" s="7">
        <v>160255</v>
      </c>
      <c r="H809" s="6">
        <f t="shared" si="24"/>
        <v>18.584599327380261</v>
      </c>
      <c r="I809" s="3" t="s">
        <v>897</v>
      </c>
      <c r="J809" s="6" t="str">
        <f t="shared" si="25"/>
        <v>http://konect.cc/files/download.tsv.edit-kwwiki.tar.bz2</v>
      </c>
      <c r="L809" s="5"/>
    </row>
    <row r="810" spans="3:12" x14ac:dyDescent="0.3">
      <c r="C810" s="6" t="s">
        <v>2781</v>
      </c>
      <c r="D810" s="3" t="s">
        <v>2782</v>
      </c>
      <c r="E810" s="6" t="s">
        <v>33</v>
      </c>
      <c r="F810" s="7">
        <v>8622</v>
      </c>
      <c r="G810" s="7">
        <v>259998</v>
      </c>
      <c r="H810" s="6">
        <f t="shared" si="24"/>
        <v>30.15518441196938</v>
      </c>
      <c r="I810" s="3" t="s">
        <v>837</v>
      </c>
      <c r="J810" s="6" t="str">
        <f t="shared" si="25"/>
        <v>http://konect.cc/files/download.tsv.wikipedia_link_se.tar.bz2</v>
      </c>
      <c r="L810" s="5"/>
    </row>
    <row r="811" spans="3:12" x14ac:dyDescent="0.3">
      <c r="C811" s="6" t="s">
        <v>2487</v>
      </c>
      <c r="D811" s="3" t="s">
        <v>2488</v>
      </c>
      <c r="E811" s="6" t="s">
        <v>38</v>
      </c>
      <c r="F811" s="7">
        <v>8580</v>
      </c>
      <c r="G811" s="7">
        <v>50982</v>
      </c>
      <c r="H811" s="6">
        <f t="shared" si="24"/>
        <v>5.941958041958042</v>
      </c>
      <c r="I811" s="3" t="s">
        <v>667</v>
      </c>
      <c r="J811" s="6" t="str">
        <f t="shared" si="25"/>
        <v>http://konect.cc/files/download.tsv.edit-pcdwiki.tar.bz2</v>
      </c>
      <c r="L811" s="5"/>
    </row>
    <row r="812" spans="3:12" x14ac:dyDescent="0.3">
      <c r="C812" s="6" t="s">
        <v>2689</v>
      </c>
      <c r="D812" s="3" t="s">
        <v>2690</v>
      </c>
      <c r="E812" s="6" t="s">
        <v>38</v>
      </c>
      <c r="F812" s="7">
        <v>8568</v>
      </c>
      <c r="G812" s="7">
        <v>91541</v>
      </c>
      <c r="H812" s="6">
        <f t="shared" si="24"/>
        <v>10.68405695611578</v>
      </c>
      <c r="I812" s="3" t="s">
        <v>785</v>
      </c>
      <c r="J812" s="6" t="str">
        <f t="shared" si="25"/>
        <v>http://konect.cc/files/download.tsv.edit-gnwiki.tar.bz2</v>
      </c>
      <c r="L812" s="5"/>
    </row>
    <row r="813" spans="3:12" x14ac:dyDescent="0.3">
      <c r="C813" s="6" t="s">
        <v>2043</v>
      </c>
      <c r="D813" s="3" t="s">
        <v>2044</v>
      </c>
      <c r="E813" s="6" t="s">
        <v>38</v>
      </c>
      <c r="F813" s="7">
        <v>8557</v>
      </c>
      <c r="G813" s="7">
        <v>48896</v>
      </c>
      <c r="H813" s="6">
        <f t="shared" si="24"/>
        <v>5.7141521561294848</v>
      </c>
      <c r="I813" s="3" t="s">
        <v>661</v>
      </c>
      <c r="J813" s="6" t="str">
        <f t="shared" si="25"/>
        <v>http://konect.cc/files/download.tsv.edit-bswikiquote.tar.bz2</v>
      </c>
      <c r="L813" s="5"/>
    </row>
    <row r="814" spans="3:12" x14ac:dyDescent="0.3">
      <c r="C814" s="6" t="s">
        <v>2535</v>
      </c>
      <c r="D814" s="3" t="s">
        <v>2536</v>
      </c>
      <c r="E814" s="6" t="s">
        <v>38</v>
      </c>
      <c r="F814" s="7">
        <v>8552</v>
      </c>
      <c r="G814" s="7">
        <v>57815</v>
      </c>
      <c r="H814" s="6">
        <f t="shared" si="24"/>
        <v>6.7604069223573431</v>
      </c>
      <c r="I814" s="3" t="s">
        <v>693</v>
      </c>
      <c r="J814" s="6" t="str">
        <f t="shared" si="25"/>
        <v>http://konect.cc/files/download.tsv.edit-smwiktionary.tar.bz2</v>
      </c>
      <c r="L814" s="5"/>
    </row>
    <row r="815" spans="3:12" x14ac:dyDescent="0.3">
      <c r="C815" s="6" t="s">
        <v>2679</v>
      </c>
      <c r="D815" s="3" t="s">
        <v>2680</v>
      </c>
      <c r="E815" s="6" t="s">
        <v>38</v>
      </c>
      <c r="F815" s="7">
        <v>8546</v>
      </c>
      <c r="G815" s="7">
        <v>88160</v>
      </c>
      <c r="H815" s="6">
        <f t="shared" si="24"/>
        <v>10.31593728059911</v>
      </c>
      <c r="I815" s="3" t="s">
        <v>778</v>
      </c>
      <c r="J815" s="6" t="str">
        <f t="shared" si="25"/>
        <v>http://konect.cc/files/download.tsv.edit-kkwiktionary.tar.bz2</v>
      </c>
      <c r="L815" s="5"/>
    </row>
    <row r="816" spans="3:12" x14ac:dyDescent="0.3">
      <c r="C816" s="6" t="s">
        <v>2221</v>
      </c>
      <c r="D816" s="3" t="s">
        <v>2222</v>
      </c>
      <c r="E816" s="6" t="s">
        <v>38</v>
      </c>
      <c r="F816" s="7">
        <v>8456</v>
      </c>
      <c r="G816" s="7">
        <v>16967</v>
      </c>
      <c r="H816" s="6">
        <f t="shared" si="24"/>
        <v>2.0065042573320717</v>
      </c>
      <c r="I816" s="3" t="s">
        <v>524</v>
      </c>
      <c r="J816" s="6" t="str">
        <f t="shared" si="25"/>
        <v>http://konect.cc/files/download.tsv.edit-urwiktionary.tar.bz2</v>
      </c>
      <c r="L816" s="5"/>
    </row>
    <row r="817" spans="3:12" x14ac:dyDescent="0.3">
      <c r="C817" s="6" t="s">
        <v>2868</v>
      </c>
      <c r="D817" s="3" t="s">
        <v>2869</v>
      </c>
      <c r="E817" s="6" t="s">
        <v>38</v>
      </c>
      <c r="F817" s="7">
        <v>8444</v>
      </c>
      <c r="G817" s="7">
        <v>151824</v>
      </c>
      <c r="H817" s="6">
        <f t="shared" si="24"/>
        <v>17.98010421601137</v>
      </c>
      <c r="I817" s="3" t="s">
        <v>885</v>
      </c>
      <c r="J817" s="6" t="str">
        <f t="shared" si="25"/>
        <v>http://konect.cc/files/download.tsv.edit-furwiki.tar.bz2</v>
      </c>
      <c r="L817" s="5"/>
    </row>
    <row r="818" spans="3:12" x14ac:dyDescent="0.3">
      <c r="C818" s="6" t="s">
        <v>2633</v>
      </c>
      <c r="D818" s="3" t="s">
        <v>2634</v>
      </c>
      <c r="E818" s="6" t="s">
        <v>33</v>
      </c>
      <c r="F818" s="7">
        <v>8286</v>
      </c>
      <c r="G818" s="7">
        <v>175470</v>
      </c>
      <c r="H818" s="6">
        <f t="shared" si="24"/>
        <v>21.17668356263577</v>
      </c>
      <c r="I818" s="3" t="s">
        <v>751</v>
      </c>
      <c r="J818" s="6" t="str">
        <f t="shared" si="25"/>
        <v>http://konect.cc/files/download.tsv.wikipedia_link_crh.tar.bz2</v>
      </c>
      <c r="L818" s="5"/>
    </row>
    <row r="819" spans="3:12" x14ac:dyDescent="0.3">
      <c r="C819" s="6" t="s">
        <v>2644</v>
      </c>
      <c r="D819" s="3" t="s">
        <v>2645</v>
      </c>
      <c r="E819" s="6" t="s">
        <v>98</v>
      </c>
      <c r="F819" s="7">
        <v>8252</v>
      </c>
      <c r="G819" s="7">
        <v>177420</v>
      </c>
      <c r="H819" s="6">
        <f t="shared" si="24"/>
        <v>21.500242365487154</v>
      </c>
      <c r="I819" s="3" t="s">
        <v>757</v>
      </c>
      <c r="J819" s="6" t="str">
        <f t="shared" si="25"/>
        <v>http://konect.cc/files/download.tsv.wikipedia_link_co.tar.bz2</v>
      </c>
      <c r="L819" s="5"/>
    </row>
    <row r="820" spans="3:12" x14ac:dyDescent="0.3">
      <c r="C820" s="6" t="s">
        <v>2441</v>
      </c>
      <c r="D820" s="3" t="s">
        <v>2442</v>
      </c>
      <c r="E820" s="6" t="s">
        <v>38</v>
      </c>
      <c r="F820" s="7">
        <v>8187</v>
      </c>
      <c r="G820" s="7">
        <v>41140</v>
      </c>
      <c r="H820" s="6">
        <f t="shared" si="24"/>
        <v>5.0250396970807376</v>
      </c>
      <c r="I820" s="3" t="s">
        <v>639</v>
      </c>
      <c r="J820" s="6" t="str">
        <f t="shared" si="25"/>
        <v>http://konect.cc/files/download.tsv.edit-bxrwiki.tar.bz2</v>
      </c>
      <c r="L820" s="5"/>
    </row>
    <row r="821" spans="3:12" x14ac:dyDescent="0.3">
      <c r="C821" s="6" t="s">
        <v>2978</v>
      </c>
      <c r="D821" s="3" t="s">
        <v>2979</v>
      </c>
      <c r="E821" s="6" t="s">
        <v>33</v>
      </c>
      <c r="F821" s="7">
        <v>8152</v>
      </c>
      <c r="G821" s="7">
        <v>455809</v>
      </c>
      <c r="H821" s="6">
        <f t="shared" si="24"/>
        <v>55.913763493621197</v>
      </c>
      <c r="I821" s="3" t="s">
        <v>945</v>
      </c>
      <c r="J821" s="6" t="str">
        <f t="shared" si="25"/>
        <v>http://konect.cc/files/download.tsv.wikipedia_link_nso.tar.bz2</v>
      </c>
      <c r="L821" s="5"/>
    </row>
    <row r="822" spans="3:12" x14ac:dyDescent="0.3">
      <c r="C822" s="6" t="s">
        <v>2900</v>
      </c>
      <c r="D822" s="3" t="s">
        <v>2901</v>
      </c>
      <c r="E822" s="6" t="s">
        <v>33</v>
      </c>
      <c r="F822" s="7">
        <v>8130</v>
      </c>
      <c r="G822" s="7">
        <v>349496</v>
      </c>
      <c r="H822" s="6">
        <f t="shared" si="24"/>
        <v>42.988437884378847</v>
      </c>
      <c r="I822" s="3" t="s">
        <v>904</v>
      </c>
      <c r="J822" s="6" t="str">
        <f t="shared" si="25"/>
        <v>http://konect.cc/files/download.tsv.wikipedia_link_bcl.tar.bz2</v>
      </c>
      <c r="L822" s="5"/>
    </row>
    <row r="823" spans="3:12" x14ac:dyDescent="0.3">
      <c r="C823" s="6" t="s">
        <v>2076</v>
      </c>
      <c r="D823" s="3" t="s">
        <v>2132</v>
      </c>
      <c r="E823" s="6" t="s">
        <v>2078</v>
      </c>
      <c r="F823" s="7">
        <v>8114</v>
      </c>
      <c r="G823" s="7">
        <v>26013</v>
      </c>
      <c r="H823" s="6">
        <f t="shared" si="24"/>
        <v>3.2059403500123245</v>
      </c>
      <c r="I823" s="3" t="s">
        <v>474</v>
      </c>
      <c r="J823" s="6" t="str">
        <f t="shared" si="25"/>
        <v>http://konect.cc/files/download.tsv.p2p-Gnutella09.tar.bz2</v>
      </c>
      <c r="L823" s="5"/>
    </row>
    <row r="824" spans="3:12" x14ac:dyDescent="0.3">
      <c r="C824" s="6" t="s">
        <v>2568</v>
      </c>
      <c r="D824" s="3" t="s">
        <v>2569</v>
      </c>
      <c r="E824" s="6" t="s">
        <v>145</v>
      </c>
      <c r="F824" s="7">
        <v>8097</v>
      </c>
      <c r="G824" s="7">
        <v>63809</v>
      </c>
      <c r="H824" s="6">
        <f t="shared" si="24"/>
        <v>7.880573051747561</v>
      </c>
      <c r="I824" s="3" t="s">
        <v>710</v>
      </c>
      <c r="J824" s="6" t="str">
        <f t="shared" si="25"/>
        <v>http://konect.cc/files/download.tsv.wiki_talk_gl.tar.bz2</v>
      </c>
      <c r="L824" s="5"/>
    </row>
    <row r="825" spans="3:12" x14ac:dyDescent="0.3">
      <c r="C825" s="6" t="s">
        <v>2490</v>
      </c>
      <c r="D825" s="3" t="s">
        <v>2491</v>
      </c>
      <c r="E825" s="6" t="s">
        <v>38</v>
      </c>
      <c r="F825" s="7">
        <v>8052</v>
      </c>
      <c r="G825" s="7">
        <v>49287</v>
      </c>
      <c r="H825" s="6">
        <f t="shared" si="24"/>
        <v>6.121087928464978</v>
      </c>
      <c r="I825" s="3" t="s">
        <v>669</v>
      </c>
      <c r="J825" s="6" t="str">
        <f t="shared" si="25"/>
        <v>http://konect.cc/files/download.tsv.edit-cawikibooks.tar.bz2</v>
      </c>
      <c r="L825" s="5"/>
    </row>
    <row r="826" spans="3:12" x14ac:dyDescent="0.3">
      <c r="C826" s="6" t="s">
        <v>2721</v>
      </c>
      <c r="D826" s="3" t="s">
        <v>2722</v>
      </c>
      <c r="E826" s="6" t="s">
        <v>38</v>
      </c>
      <c r="F826" s="7">
        <v>8010</v>
      </c>
      <c r="G826" s="7">
        <v>98264</v>
      </c>
      <c r="H826" s="6">
        <f t="shared" si="24"/>
        <v>12.267665418227216</v>
      </c>
      <c r="I826" s="3" t="s">
        <v>802</v>
      </c>
      <c r="J826" s="6" t="str">
        <f t="shared" si="25"/>
        <v>http://konect.cc/files/download.tsv.edit-extwiki.tar.bz2</v>
      </c>
      <c r="L826" s="5"/>
    </row>
    <row r="827" spans="3:12" x14ac:dyDescent="0.3">
      <c r="C827" s="6" t="s">
        <v>1930</v>
      </c>
      <c r="D827" s="3" t="s">
        <v>1931</v>
      </c>
      <c r="E827" s="6" t="s">
        <v>38</v>
      </c>
      <c r="F827" s="7">
        <v>8005</v>
      </c>
      <c r="G827" s="7">
        <v>71775</v>
      </c>
      <c r="H827" s="6">
        <f t="shared" si="24"/>
        <v>8.9662710805746411</v>
      </c>
      <c r="I827" s="3" t="s">
        <v>730</v>
      </c>
      <c r="J827" s="6" t="str">
        <f t="shared" si="25"/>
        <v>http://konect.cc/files/download.tsv.edit-skwikiquote.tar.bz2</v>
      </c>
      <c r="L827" s="5"/>
    </row>
    <row r="828" spans="3:12" x14ac:dyDescent="0.3">
      <c r="C828" s="6" t="s">
        <v>2498</v>
      </c>
      <c r="D828" s="3" t="s">
        <v>2499</v>
      </c>
      <c r="E828" s="6" t="s">
        <v>38</v>
      </c>
      <c r="F828" s="7">
        <v>8000</v>
      </c>
      <c r="G828" s="7">
        <v>50296</v>
      </c>
      <c r="H828" s="6">
        <f t="shared" si="24"/>
        <v>6.2869999999999999</v>
      </c>
      <c r="I828" s="3" t="s">
        <v>673</v>
      </c>
      <c r="J828" s="6" t="str">
        <f t="shared" si="25"/>
        <v>http://konect.cc/files/download.tsv.edit-nlwikinews.tar.bz2</v>
      </c>
      <c r="L828" s="5"/>
    </row>
    <row r="829" spans="3:12" x14ac:dyDescent="0.3">
      <c r="C829" s="6" t="s">
        <v>2514</v>
      </c>
      <c r="D829" s="3" t="s">
        <v>2515</v>
      </c>
      <c r="E829" s="6" t="s">
        <v>33</v>
      </c>
      <c r="F829" s="7">
        <v>7996</v>
      </c>
      <c r="G829" s="7">
        <v>116464</v>
      </c>
      <c r="H829" s="6">
        <f t="shared" si="24"/>
        <v>14.56528264132066</v>
      </c>
      <c r="I829" s="3" t="s">
        <v>681</v>
      </c>
      <c r="J829" s="6" t="str">
        <f t="shared" si="25"/>
        <v>http://konect.cc/files/download.tsv.wikipedia_link_mi.tar.bz2</v>
      </c>
      <c r="L829" s="5"/>
    </row>
    <row r="830" spans="3:12" x14ac:dyDescent="0.3">
      <c r="C830" s="6" t="s">
        <v>2472</v>
      </c>
      <c r="D830" s="3" t="s">
        <v>2473</v>
      </c>
      <c r="E830" s="6" t="s">
        <v>38</v>
      </c>
      <c r="F830" s="7">
        <v>7853</v>
      </c>
      <c r="G830" s="7">
        <v>47678</v>
      </c>
      <c r="H830" s="6">
        <f t="shared" si="24"/>
        <v>6.0713103272634665</v>
      </c>
      <c r="I830" s="3" t="s">
        <v>655</v>
      </c>
      <c r="J830" s="6" t="str">
        <f t="shared" si="25"/>
        <v>http://konect.cc/files/download.tsv.edit-pagwiki.tar.bz2</v>
      </c>
      <c r="L830" s="5"/>
    </row>
    <row r="831" spans="3:12" x14ac:dyDescent="0.3">
      <c r="C831" s="6" t="s">
        <v>2332</v>
      </c>
      <c r="D831" s="3" t="s">
        <v>2333</v>
      </c>
      <c r="E831" s="6" t="s">
        <v>38</v>
      </c>
      <c r="F831" s="7">
        <v>7741</v>
      </c>
      <c r="G831" s="7">
        <v>26566</v>
      </c>
      <c r="H831" s="6">
        <f t="shared" si="24"/>
        <v>3.431856349308875</v>
      </c>
      <c r="I831" s="3" t="s">
        <v>580</v>
      </c>
      <c r="J831" s="6" t="str">
        <f t="shared" si="25"/>
        <v>http://konect.cc/files/download.tsv.edit-rowikinews.tar.bz2</v>
      </c>
      <c r="L831" s="5"/>
    </row>
    <row r="832" spans="3:12" x14ac:dyDescent="0.3">
      <c r="C832" s="6" t="s">
        <v>2525</v>
      </c>
      <c r="D832" s="3" t="s">
        <v>2526</v>
      </c>
      <c r="E832" s="6" t="s">
        <v>38</v>
      </c>
      <c r="F832" s="7">
        <v>7735</v>
      </c>
      <c r="G832" s="7">
        <v>56019</v>
      </c>
      <c r="H832" s="6">
        <f t="shared" si="24"/>
        <v>7.2422753716871364</v>
      </c>
      <c r="I832" s="3" t="s">
        <v>687</v>
      </c>
      <c r="J832" s="6" t="str">
        <f t="shared" si="25"/>
        <v>http://konect.cc/files/download.tsv.edit-plwikivoyage.tar.bz2</v>
      </c>
      <c r="L832" s="5"/>
    </row>
    <row r="833" spans="3:12" x14ac:dyDescent="0.3">
      <c r="C833" s="6" t="s">
        <v>2910</v>
      </c>
      <c r="D833" s="3" t="s">
        <v>2911</v>
      </c>
      <c r="E833" s="6" t="s">
        <v>38</v>
      </c>
      <c r="F833" s="7">
        <v>7702</v>
      </c>
      <c r="G833" s="7">
        <v>169876</v>
      </c>
      <c r="H833" s="6">
        <f t="shared" si="24"/>
        <v>22.056089327447417</v>
      </c>
      <c r="I833" s="3" t="s">
        <v>909</v>
      </c>
      <c r="J833" s="6" t="str">
        <f t="shared" si="25"/>
        <v>http://konect.cc/files/download.tsv.edit-frpwiki.tar.bz2</v>
      </c>
      <c r="L833" s="5"/>
    </row>
    <row r="834" spans="3:12" x14ac:dyDescent="0.3">
      <c r="C834" s="6" t="s">
        <v>2468</v>
      </c>
      <c r="D834" s="3" t="s">
        <v>2469</v>
      </c>
      <c r="E834" s="6" t="s">
        <v>38</v>
      </c>
      <c r="F834" s="7">
        <v>7691</v>
      </c>
      <c r="G834" s="7">
        <v>47771</v>
      </c>
      <c r="H834" s="6">
        <f t="shared" ref="H834:H897" si="26">G834/F834</f>
        <v>6.2112859186061629</v>
      </c>
      <c r="I834" s="3" t="s">
        <v>652</v>
      </c>
      <c r="J834" s="6" t="str">
        <f t="shared" ref="J834:J897" si="27">"http://konect.cc/files/download.tsv."&amp;I834&amp;".tar.bz2"</f>
        <v>http://konect.cc/files/download.tsv.edit-koiwiki.tar.bz2</v>
      </c>
      <c r="L834" s="5"/>
    </row>
    <row r="835" spans="3:12" x14ac:dyDescent="0.3">
      <c r="C835" s="6" t="s">
        <v>2266</v>
      </c>
      <c r="D835" s="3" t="s">
        <v>2267</v>
      </c>
      <c r="E835" s="6" t="s">
        <v>38</v>
      </c>
      <c r="F835" s="7">
        <v>7681</v>
      </c>
      <c r="G835" s="7">
        <v>26697</v>
      </c>
      <c r="H835" s="6">
        <f t="shared" si="26"/>
        <v>3.4757193073818513</v>
      </c>
      <c r="I835" s="3" t="s">
        <v>585</v>
      </c>
      <c r="J835" s="6" t="str">
        <f t="shared" si="27"/>
        <v>http://konect.cc/files/download.tsv.edit-eowikisource.tar.bz2</v>
      </c>
      <c r="L835" s="5"/>
    </row>
    <row r="836" spans="3:12" x14ac:dyDescent="0.3">
      <c r="C836" s="6" t="s">
        <v>2330</v>
      </c>
      <c r="D836" s="3" t="s">
        <v>2331</v>
      </c>
      <c r="E836" s="6" t="s">
        <v>38</v>
      </c>
      <c r="F836" s="7">
        <v>7645</v>
      </c>
      <c r="G836" s="7">
        <v>25707</v>
      </c>
      <c r="H836" s="6">
        <f t="shared" si="26"/>
        <v>3.3625899280575537</v>
      </c>
      <c r="I836" s="3" t="s">
        <v>579</v>
      </c>
      <c r="J836" s="6" t="str">
        <f t="shared" si="27"/>
        <v>http://konect.cc/files/download.tsv.edit-iawiktionary.tar.bz2</v>
      </c>
      <c r="L836" s="5"/>
    </row>
    <row r="837" spans="3:12" x14ac:dyDescent="0.3">
      <c r="C837" s="6" t="s">
        <v>2652</v>
      </c>
      <c r="D837" s="3" t="s">
        <v>2653</v>
      </c>
      <c r="E837" s="6" t="s">
        <v>33</v>
      </c>
      <c r="F837" s="7">
        <v>7621</v>
      </c>
      <c r="G837" s="7">
        <v>178842</v>
      </c>
      <c r="H837" s="6">
        <f t="shared" si="26"/>
        <v>23.466999081485369</v>
      </c>
      <c r="I837" s="3" t="s">
        <v>761</v>
      </c>
      <c r="J837" s="6" t="str">
        <f t="shared" si="27"/>
        <v>http://konect.cc/files/download.tsv.wikipedia_link_rue.tar.bz2</v>
      </c>
      <c r="L837" s="5"/>
    </row>
    <row r="838" spans="3:12" x14ac:dyDescent="0.3">
      <c r="C838" s="6" t="s">
        <v>2081</v>
      </c>
      <c r="D838" s="3" t="s">
        <v>2082</v>
      </c>
      <c r="E838" s="6" t="s">
        <v>2083</v>
      </c>
      <c r="F838" s="7">
        <v>7595</v>
      </c>
      <c r="G838" s="7">
        <v>21017</v>
      </c>
      <c r="H838" s="6">
        <f t="shared" si="26"/>
        <v>2.7672152732060566</v>
      </c>
      <c r="I838" s="3" t="s">
        <v>3881</v>
      </c>
      <c r="J838" s="6" t="str">
        <f t="shared" si="27"/>
        <v>http://konect.cc/files/download.tsv.prosper-support.tar.bz2</v>
      </c>
      <c r="L838" s="5"/>
    </row>
    <row r="839" spans="3:12" x14ac:dyDescent="0.3">
      <c r="C839" s="6" t="s">
        <v>2466</v>
      </c>
      <c r="D839" s="3" t="s">
        <v>2467</v>
      </c>
      <c r="E839" s="6" t="s">
        <v>145</v>
      </c>
      <c r="F839" s="7">
        <v>7586</v>
      </c>
      <c r="G839" s="7">
        <v>47070</v>
      </c>
      <c r="H839" s="6">
        <f t="shared" si="26"/>
        <v>6.2048510413920379</v>
      </c>
      <c r="I839" s="3" t="s">
        <v>651</v>
      </c>
      <c r="J839" s="6" t="str">
        <f t="shared" si="27"/>
        <v>http://konect.cc/files/download.tsv.wiki_talk_eo.tar.bz2</v>
      </c>
      <c r="L839" s="5"/>
    </row>
    <row r="840" spans="3:12" x14ac:dyDescent="0.3">
      <c r="C840" s="6" t="s">
        <v>2616</v>
      </c>
      <c r="D840" s="3" t="s">
        <v>2617</v>
      </c>
      <c r="E840" s="6" t="s">
        <v>38</v>
      </c>
      <c r="F840" s="7">
        <v>7452</v>
      </c>
      <c r="G840" s="7">
        <v>74091</v>
      </c>
      <c r="H840" s="6">
        <f t="shared" si="26"/>
        <v>9.9424315619967789</v>
      </c>
      <c r="I840" s="3" t="s">
        <v>739</v>
      </c>
      <c r="J840" s="6" t="str">
        <f t="shared" si="27"/>
        <v>http://konect.cc/files/download.tsv.edit-tpiwiki.tar.bz2</v>
      </c>
      <c r="L840" s="5"/>
    </row>
    <row r="841" spans="3:12" x14ac:dyDescent="0.3">
      <c r="C841" s="6" t="s">
        <v>2516</v>
      </c>
      <c r="D841" s="3" t="s">
        <v>2517</v>
      </c>
      <c r="E841" s="6" t="s">
        <v>33</v>
      </c>
      <c r="F841" s="7">
        <v>7439</v>
      </c>
      <c r="G841" s="7">
        <v>125060</v>
      </c>
      <c r="H841" s="6">
        <f t="shared" si="26"/>
        <v>16.811399381637315</v>
      </c>
      <c r="I841" s="3" t="s">
        <v>683</v>
      </c>
      <c r="J841" s="6" t="str">
        <f t="shared" si="27"/>
        <v>http://konect.cc/files/download.tsv.wikipedia_link_so.tar.bz2</v>
      </c>
      <c r="L841" s="5"/>
    </row>
    <row r="842" spans="3:12" x14ac:dyDescent="0.3">
      <c r="C842" s="6" t="s">
        <v>2445</v>
      </c>
      <c r="D842" s="3" t="s">
        <v>2446</v>
      </c>
      <c r="E842" s="6" t="s">
        <v>38</v>
      </c>
      <c r="F842" s="7">
        <v>7426</v>
      </c>
      <c r="G842" s="7">
        <v>41935</v>
      </c>
      <c r="H842" s="6">
        <f t="shared" si="26"/>
        <v>5.6470509022353887</v>
      </c>
      <c r="I842" s="3" t="s">
        <v>641</v>
      </c>
      <c r="J842" s="6" t="str">
        <f t="shared" si="27"/>
        <v>http://konect.cc/files/download.tsv.edit-bewiktionary.tar.bz2</v>
      </c>
      <c r="L842" s="5"/>
    </row>
    <row r="843" spans="3:12" x14ac:dyDescent="0.3">
      <c r="C843" s="6" t="s">
        <v>2328</v>
      </c>
      <c r="D843" s="3" t="s">
        <v>2329</v>
      </c>
      <c r="E843" s="6" t="s">
        <v>38</v>
      </c>
      <c r="F843" s="7">
        <v>7395</v>
      </c>
      <c r="G843" s="7">
        <v>25452</v>
      </c>
      <c r="H843" s="6">
        <f t="shared" si="26"/>
        <v>3.4417849898580122</v>
      </c>
      <c r="I843" s="3" t="s">
        <v>578</v>
      </c>
      <c r="J843" s="6" t="str">
        <f t="shared" si="27"/>
        <v>http://konect.cc/files/download.tsv.edit-trwikibooks.tar.bz2</v>
      </c>
      <c r="L843" s="5"/>
    </row>
    <row r="844" spans="3:12" x14ac:dyDescent="0.3">
      <c r="C844" s="6" t="s">
        <v>2874</v>
      </c>
      <c r="D844" s="3" t="s">
        <v>2875</v>
      </c>
      <c r="E844" s="6" t="s">
        <v>33</v>
      </c>
      <c r="F844" s="7">
        <v>7332</v>
      </c>
      <c r="G844" s="7">
        <v>340451</v>
      </c>
      <c r="H844" s="6">
        <f t="shared" si="26"/>
        <v>46.433578832515003</v>
      </c>
      <c r="I844" s="3" t="s">
        <v>889</v>
      </c>
      <c r="J844" s="6" t="str">
        <f t="shared" si="27"/>
        <v>http://konect.cc/files/download.tsv.wikipedia_link_glk.tar.bz2</v>
      </c>
      <c r="L844" s="5"/>
    </row>
    <row r="845" spans="3:12" x14ac:dyDescent="0.3">
      <c r="C845" s="6" t="s">
        <v>2614</v>
      </c>
      <c r="D845" s="3" t="s">
        <v>1501</v>
      </c>
      <c r="E845" s="6" t="s">
        <v>2615</v>
      </c>
      <c r="F845" s="7">
        <v>7301</v>
      </c>
      <c r="G845" s="7">
        <v>65053</v>
      </c>
      <c r="H845" s="6">
        <f t="shared" si="26"/>
        <v>8.9101492946171756</v>
      </c>
      <c r="I845" s="3" t="s">
        <v>738</v>
      </c>
      <c r="J845" s="6" t="str">
        <f t="shared" si="27"/>
        <v>http://konect.cc/files/download.tsv.chess.tar.bz2</v>
      </c>
      <c r="L845" s="5"/>
    </row>
    <row r="846" spans="3:12" x14ac:dyDescent="0.3">
      <c r="C846" s="6" t="s">
        <v>1887</v>
      </c>
      <c r="D846" s="3" t="s">
        <v>1888</v>
      </c>
      <c r="E846" s="6" t="s">
        <v>38</v>
      </c>
      <c r="F846" s="7">
        <v>7274</v>
      </c>
      <c r="G846" s="7">
        <v>14859</v>
      </c>
      <c r="H846" s="6">
        <f t="shared" si="26"/>
        <v>2.0427550178718725</v>
      </c>
      <c r="I846" s="3" t="s">
        <v>514</v>
      </c>
      <c r="J846" s="6" t="str">
        <f t="shared" si="27"/>
        <v>http://konect.cc/files/download.tsv.edit-mrwikisource.tar.bz2</v>
      </c>
      <c r="L846" s="5"/>
    </row>
    <row r="847" spans="3:12" x14ac:dyDescent="0.3">
      <c r="C847" s="6" t="s">
        <v>2427</v>
      </c>
      <c r="D847" s="3" t="s">
        <v>2428</v>
      </c>
      <c r="E847" s="6" t="s">
        <v>38</v>
      </c>
      <c r="F847" s="7">
        <v>7253</v>
      </c>
      <c r="G847" s="7">
        <v>37048</v>
      </c>
      <c r="H847" s="6">
        <f t="shared" si="26"/>
        <v>5.1079553288294495</v>
      </c>
      <c r="I847" s="3" t="s">
        <v>631</v>
      </c>
      <c r="J847" s="6" t="str">
        <f t="shared" si="27"/>
        <v>http://konect.cc/files/download.tsv.edit-newiktionary.tar.bz2</v>
      </c>
      <c r="L847" s="5"/>
    </row>
    <row r="848" spans="3:12" x14ac:dyDescent="0.3">
      <c r="C848" s="6" t="s">
        <v>2288</v>
      </c>
      <c r="D848" s="3" t="s">
        <v>2289</v>
      </c>
      <c r="E848" s="6" t="s">
        <v>38</v>
      </c>
      <c r="F848" s="7">
        <v>7177</v>
      </c>
      <c r="G848" s="7">
        <v>21709</v>
      </c>
      <c r="H848" s="6">
        <f t="shared" si="26"/>
        <v>3.0248014490734292</v>
      </c>
      <c r="I848" s="3" t="s">
        <v>556</v>
      </c>
      <c r="J848" s="6" t="str">
        <f t="shared" si="27"/>
        <v>http://konect.cc/files/download.tsv.edit-sqwikibooks.tar.bz2</v>
      </c>
      <c r="L848" s="5"/>
    </row>
    <row r="849" spans="3:12" x14ac:dyDescent="0.3">
      <c r="C849" s="6" t="s">
        <v>2431</v>
      </c>
      <c r="D849" s="3" t="s">
        <v>2432</v>
      </c>
      <c r="E849" s="6" t="s">
        <v>38</v>
      </c>
      <c r="F849" s="7">
        <v>7157</v>
      </c>
      <c r="G849" s="7">
        <v>39586</v>
      </c>
      <c r="H849" s="6">
        <f t="shared" si="26"/>
        <v>5.5310884448791393</v>
      </c>
      <c r="I849" s="3" t="s">
        <v>634</v>
      </c>
      <c r="J849" s="6" t="str">
        <f t="shared" si="27"/>
        <v>http://konect.cc/files/download.tsv.edit-kbdwiki.tar.bz2</v>
      </c>
      <c r="L849" s="5"/>
    </row>
    <row r="850" spans="3:12" x14ac:dyDescent="0.3">
      <c r="C850" s="6" t="s">
        <v>2775</v>
      </c>
      <c r="D850" s="3" t="s">
        <v>2776</v>
      </c>
      <c r="E850" s="6" t="s">
        <v>2777</v>
      </c>
      <c r="F850" s="7">
        <v>7118</v>
      </c>
      <c r="G850" s="7">
        <v>103675</v>
      </c>
      <c r="H850" s="6">
        <f t="shared" si="26"/>
        <v>14.565186850238831</v>
      </c>
      <c r="I850" s="3" t="s">
        <v>834</v>
      </c>
      <c r="J850" s="6" t="str">
        <f t="shared" si="27"/>
        <v>http://konect.cc/files/download.tsv.elec.tar.bz2</v>
      </c>
      <c r="L850" s="5"/>
    </row>
    <row r="851" spans="3:12" x14ac:dyDescent="0.3">
      <c r="C851" s="6" t="s">
        <v>1985</v>
      </c>
      <c r="D851" s="3" t="s">
        <v>1986</v>
      </c>
      <c r="E851" s="6" t="s">
        <v>38</v>
      </c>
      <c r="F851" s="7">
        <v>7109</v>
      </c>
      <c r="G851" s="7">
        <v>12118</v>
      </c>
      <c r="H851" s="6">
        <f t="shared" si="26"/>
        <v>1.7045998030665355</v>
      </c>
      <c r="I851" s="3" t="s">
        <v>475</v>
      </c>
      <c r="J851" s="6" t="str">
        <f t="shared" si="27"/>
        <v>http://konect.cc/files/download.tsv.edit-iswikisource.tar.bz2</v>
      </c>
      <c r="L851" s="5"/>
    </row>
    <row r="852" spans="3:12" x14ac:dyDescent="0.3">
      <c r="C852" s="6" t="s">
        <v>2376</v>
      </c>
      <c r="D852" s="3" t="s">
        <v>2377</v>
      </c>
      <c r="E852" s="6" t="s">
        <v>38</v>
      </c>
      <c r="F852" s="7">
        <v>7094</v>
      </c>
      <c r="G852" s="7">
        <v>30924</v>
      </c>
      <c r="H852" s="6">
        <f t="shared" si="26"/>
        <v>4.3591767691006487</v>
      </c>
      <c r="I852" s="3" t="s">
        <v>604</v>
      </c>
      <c r="J852" s="6" t="str">
        <f t="shared" si="27"/>
        <v>http://konect.cc/files/download.tsv.edit-svwikibooks.tar.bz2</v>
      </c>
      <c r="L852" s="5"/>
    </row>
    <row r="853" spans="3:12" x14ac:dyDescent="0.3">
      <c r="C853" s="6" t="s">
        <v>2518</v>
      </c>
      <c r="D853" s="3" t="s">
        <v>2519</v>
      </c>
      <c r="E853" s="6" t="s">
        <v>38</v>
      </c>
      <c r="F853" s="7">
        <v>6999</v>
      </c>
      <c r="G853" s="7">
        <v>54855</v>
      </c>
      <c r="H853" s="6">
        <f t="shared" si="26"/>
        <v>7.8375482211744538</v>
      </c>
      <c r="I853" s="3" t="s">
        <v>684</v>
      </c>
      <c r="J853" s="6" t="str">
        <f t="shared" si="27"/>
        <v>http://konect.cc/files/download.tsv.edit-gagwiki.tar.bz2</v>
      </c>
      <c r="L853" s="5"/>
    </row>
    <row r="854" spans="3:12" x14ac:dyDescent="0.3">
      <c r="C854" s="6" t="s">
        <v>2764</v>
      </c>
      <c r="D854" s="3" t="s">
        <v>2765</v>
      </c>
      <c r="E854" s="6" t="s">
        <v>38</v>
      </c>
      <c r="F854" s="7">
        <v>6974</v>
      </c>
      <c r="G854" s="7">
        <v>109987</v>
      </c>
      <c r="H854" s="6">
        <f t="shared" si="26"/>
        <v>15.771006595927732</v>
      </c>
      <c r="I854" s="3" t="s">
        <v>826</v>
      </c>
      <c r="J854" s="6" t="str">
        <f t="shared" si="27"/>
        <v>http://konect.cc/files/download.tsv.edit-iewiki.tar.bz2</v>
      </c>
      <c r="L854" s="5"/>
    </row>
    <row r="855" spans="3:12" x14ac:dyDescent="0.3">
      <c r="C855" s="6" t="s">
        <v>2198</v>
      </c>
      <c r="D855" s="3" t="s">
        <v>2199</v>
      </c>
      <c r="E855" s="6" t="s">
        <v>38</v>
      </c>
      <c r="F855" s="7">
        <v>6970</v>
      </c>
      <c r="G855" s="7">
        <v>14858</v>
      </c>
      <c r="H855" s="6">
        <f t="shared" si="26"/>
        <v>2.1317073170731708</v>
      </c>
      <c r="I855" s="3" t="s">
        <v>511</v>
      </c>
      <c r="J855" s="6" t="str">
        <f t="shared" si="27"/>
        <v>http://konect.cc/files/download.tsv.edit-thwikiquote.tar.bz2</v>
      </c>
      <c r="L855" s="5"/>
    </row>
    <row r="856" spans="3:12" x14ac:dyDescent="0.3">
      <c r="C856" s="6" t="s">
        <v>2393</v>
      </c>
      <c r="D856" s="3" t="s">
        <v>2394</v>
      </c>
      <c r="E856" s="6" t="s">
        <v>38</v>
      </c>
      <c r="F856" s="7">
        <v>6964</v>
      </c>
      <c r="G856" s="7">
        <v>32800</v>
      </c>
      <c r="H856" s="6">
        <f t="shared" si="26"/>
        <v>4.7099368179207355</v>
      </c>
      <c r="I856" s="3" t="s">
        <v>613</v>
      </c>
      <c r="J856" s="6" t="str">
        <f t="shared" si="27"/>
        <v>http://konect.cc/files/download.tsv.edit-ukwikinews.tar.bz2</v>
      </c>
      <c r="L856" s="5"/>
    </row>
    <row r="857" spans="3:12" x14ac:dyDescent="0.3">
      <c r="C857" s="6" t="s">
        <v>1977</v>
      </c>
      <c r="D857" s="3" t="s">
        <v>1487</v>
      </c>
      <c r="E857" s="6" t="s">
        <v>1978</v>
      </c>
      <c r="F857" s="7">
        <v>6927</v>
      </c>
      <c r="G857" s="7">
        <v>11850</v>
      </c>
      <c r="H857" s="6">
        <f t="shared" si="26"/>
        <v>1.7106972715461239</v>
      </c>
      <c r="I857" s="3" t="s">
        <v>399</v>
      </c>
      <c r="J857" s="6" t="str">
        <f t="shared" si="27"/>
        <v>http://konect.cc/files/download.tsv.pajek-erdos.tar.bz2</v>
      </c>
      <c r="L857" s="5"/>
    </row>
    <row r="858" spans="3:12" x14ac:dyDescent="0.3">
      <c r="C858" s="6" t="s">
        <v>2723</v>
      </c>
      <c r="D858" s="3" t="s">
        <v>2724</v>
      </c>
      <c r="E858" s="6" t="s">
        <v>98</v>
      </c>
      <c r="F858" s="7">
        <v>6914</v>
      </c>
      <c r="G858" s="7">
        <v>211650</v>
      </c>
      <c r="H858" s="6">
        <f t="shared" si="26"/>
        <v>30.61180214058432</v>
      </c>
      <c r="I858" s="3" t="s">
        <v>803</v>
      </c>
      <c r="J858" s="6" t="str">
        <f t="shared" si="27"/>
        <v>http://konect.cc/files/download.tsv.wikipedia_link_kv.tar.bz2</v>
      </c>
      <c r="L858" s="5"/>
    </row>
    <row r="859" spans="3:12" x14ac:dyDescent="0.3">
      <c r="C859" s="6" t="s">
        <v>2170</v>
      </c>
      <c r="D859" s="3" t="s">
        <v>2171</v>
      </c>
      <c r="E859" s="6" t="s">
        <v>38</v>
      </c>
      <c r="F859" s="7">
        <v>6891</v>
      </c>
      <c r="G859" s="7">
        <v>13801</v>
      </c>
      <c r="H859" s="6">
        <f t="shared" si="26"/>
        <v>2.0027572195617473</v>
      </c>
      <c r="I859" s="3" t="s">
        <v>495</v>
      </c>
      <c r="J859" s="6" t="str">
        <f t="shared" si="27"/>
        <v>http://konect.cc/files/download.tsv.edit-mkwikisource.tar.bz2</v>
      </c>
      <c r="L859" s="5"/>
    </row>
    <row r="860" spans="3:12" x14ac:dyDescent="0.3">
      <c r="C860" s="6" t="s">
        <v>2496</v>
      </c>
      <c r="D860" s="3" t="s">
        <v>2497</v>
      </c>
      <c r="E860" s="6" t="s">
        <v>38</v>
      </c>
      <c r="F860" s="7">
        <v>6866</v>
      </c>
      <c r="G860" s="7">
        <v>49470</v>
      </c>
      <c r="H860" s="6">
        <f t="shared" si="26"/>
        <v>7.2050684532478879</v>
      </c>
      <c r="I860" s="3" t="s">
        <v>672</v>
      </c>
      <c r="J860" s="6" t="str">
        <f t="shared" si="27"/>
        <v>http://konect.cc/files/download.tsv.edit-fiwikinews.tar.bz2</v>
      </c>
      <c r="L860" s="5"/>
    </row>
    <row r="861" spans="3:12" x14ac:dyDescent="0.3">
      <c r="C861" s="6" t="s">
        <v>2592</v>
      </c>
      <c r="D861" s="3" t="s">
        <v>2593</v>
      </c>
      <c r="E861" s="6" t="s">
        <v>33</v>
      </c>
      <c r="F861" s="7">
        <v>6862</v>
      </c>
      <c r="G861" s="7">
        <v>150595</v>
      </c>
      <c r="H861" s="6">
        <f t="shared" si="26"/>
        <v>21.946225590206936</v>
      </c>
      <c r="I861" s="3" t="s">
        <v>724</v>
      </c>
      <c r="J861" s="6" t="str">
        <f t="shared" si="27"/>
        <v>http://konect.cc/files/download.tsv.wikipedia_link_gv.tar.bz2</v>
      </c>
      <c r="L861" s="5"/>
    </row>
    <row r="862" spans="3:12" x14ac:dyDescent="0.3">
      <c r="C862" s="6" t="s">
        <v>2654</v>
      </c>
      <c r="D862" s="3" t="s">
        <v>2655</v>
      </c>
      <c r="E862" s="6" t="s">
        <v>38</v>
      </c>
      <c r="F862" s="7">
        <v>6846</v>
      </c>
      <c r="G862" s="7">
        <v>84862</v>
      </c>
      <c r="H862" s="6">
        <f t="shared" si="26"/>
        <v>12.39585159217061</v>
      </c>
      <c r="I862" s="3" t="s">
        <v>762</v>
      </c>
      <c r="J862" s="6" t="str">
        <f t="shared" si="27"/>
        <v>http://konect.cc/files/download.tsv.edit-arcwiki.tar.bz2</v>
      </c>
      <c r="L862" s="5"/>
    </row>
    <row r="863" spans="3:12" x14ac:dyDescent="0.3">
      <c r="C863" s="6" t="s">
        <v>2453</v>
      </c>
      <c r="D863" s="3" t="s">
        <v>2454</v>
      </c>
      <c r="E863" s="6" t="s">
        <v>38</v>
      </c>
      <c r="F863" s="7">
        <v>6780</v>
      </c>
      <c r="G863" s="7">
        <v>45194</v>
      </c>
      <c r="H863" s="6">
        <f t="shared" si="26"/>
        <v>6.6657817109144544</v>
      </c>
      <c r="I863" s="3" t="s">
        <v>646</v>
      </c>
      <c r="J863" s="6" t="str">
        <f t="shared" si="27"/>
        <v>http://konect.cc/files/download.tsv.edit-fiwikiquote.tar.bz2</v>
      </c>
      <c r="L863" s="5"/>
    </row>
    <row r="864" spans="3:12" x14ac:dyDescent="0.3">
      <c r="C864" s="6" t="s">
        <v>2529</v>
      </c>
      <c r="D864" s="3" t="s">
        <v>2530</v>
      </c>
      <c r="E864" s="6" t="s">
        <v>38</v>
      </c>
      <c r="F864" s="7">
        <v>6754</v>
      </c>
      <c r="G864" s="7">
        <v>57473</v>
      </c>
      <c r="H864" s="6">
        <f t="shared" si="26"/>
        <v>8.5094758661533909</v>
      </c>
      <c r="I864" s="3" t="s">
        <v>690</v>
      </c>
      <c r="J864" s="6" t="str">
        <f t="shared" si="27"/>
        <v>http://konect.cc/files/download.tsv.edit-pflwiki.tar.bz2</v>
      </c>
      <c r="L864" s="5"/>
    </row>
    <row r="865" spans="3:12" x14ac:dyDescent="0.3">
      <c r="C865" s="6" t="s">
        <v>2433</v>
      </c>
      <c r="D865" s="3" t="s">
        <v>2434</v>
      </c>
      <c r="E865" s="6" t="s">
        <v>38</v>
      </c>
      <c r="F865" s="7">
        <v>6698</v>
      </c>
      <c r="G865" s="7">
        <v>39606</v>
      </c>
      <c r="H865" s="6">
        <f t="shared" si="26"/>
        <v>5.9131083905643473</v>
      </c>
      <c r="I865" s="3" t="s">
        <v>635</v>
      </c>
      <c r="J865" s="6" t="str">
        <f t="shared" si="27"/>
        <v>http://konect.cc/files/download.tsv.edit-abwiki.tar.bz2</v>
      </c>
      <c r="L865" s="5"/>
    </row>
    <row r="866" spans="3:12" x14ac:dyDescent="0.3">
      <c r="C866" s="6" t="s">
        <v>2294</v>
      </c>
      <c r="D866" s="3" t="s">
        <v>2295</v>
      </c>
      <c r="E866" s="6" t="s">
        <v>38</v>
      </c>
      <c r="F866" s="7">
        <v>6633</v>
      </c>
      <c r="G866" s="7">
        <v>22016</v>
      </c>
      <c r="H866" s="6">
        <f t="shared" si="26"/>
        <v>3.3191617669229609</v>
      </c>
      <c r="I866" s="3" t="s">
        <v>559</v>
      </c>
      <c r="J866" s="6" t="str">
        <f t="shared" si="27"/>
        <v>http://konect.cc/files/download.tsv.edit-kowikibooks.tar.bz2</v>
      </c>
      <c r="L866" s="5"/>
    </row>
    <row r="867" spans="3:12" x14ac:dyDescent="0.3">
      <c r="C867" s="6" t="s">
        <v>2209</v>
      </c>
      <c r="D867" s="3" t="s">
        <v>2210</v>
      </c>
      <c r="E867" s="6" t="s">
        <v>38</v>
      </c>
      <c r="F867" s="7">
        <v>6596</v>
      </c>
      <c r="G867" s="7">
        <v>15901</v>
      </c>
      <c r="H867" s="6">
        <f t="shared" si="26"/>
        <v>2.410703456640388</v>
      </c>
      <c r="I867" s="3" t="s">
        <v>518</v>
      </c>
      <c r="J867" s="6" t="str">
        <f t="shared" si="27"/>
        <v>http://konect.cc/files/download.tsv.edit-azwikibooks.tar.bz2</v>
      </c>
      <c r="L867" s="5"/>
    </row>
    <row r="868" spans="3:12" x14ac:dyDescent="0.3">
      <c r="C868" s="6" t="s">
        <v>2673</v>
      </c>
      <c r="D868" s="3" t="s">
        <v>2674</v>
      </c>
      <c r="E868" s="6" t="s">
        <v>38</v>
      </c>
      <c r="F868" s="7">
        <v>6592</v>
      </c>
      <c r="G868" s="7">
        <v>87558</v>
      </c>
      <c r="H868" s="6">
        <f t="shared" si="26"/>
        <v>13.282463592233009</v>
      </c>
      <c r="I868" s="3" t="s">
        <v>775</v>
      </c>
      <c r="J868" s="6" t="str">
        <f t="shared" si="27"/>
        <v>http://konect.cc/files/download.tsv.edit-pdcwiki.tar.bz2</v>
      </c>
      <c r="L868" s="5"/>
    </row>
    <row r="869" spans="3:12" x14ac:dyDescent="0.3">
      <c r="C869" s="6" t="s">
        <v>2356</v>
      </c>
      <c r="D869" s="3" t="s">
        <v>1494</v>
      </c>
      <c r="E869" s="6" t="s">
        <v>2357</v>
      </c>
      <c r="F869" s="7">
        <v>6541</v>
      </c>
      <c r="G869" s="7">
        <v>51127</v>
      </c>
      <c r="H869" s="6">
        <f t="shared" si="26"/>
        <v>7.8163889313560615</v>
      </c>
      <c r="I869" s="3" t="s">
        <v>594</v>
      </c>
      <c r="J869" s="6" t="str">
        <f t="shared" si="27"/>
        <v>http://konect.cc/files/download.tsv.advogato.tar.bz2</v>
      </c>
      <c r="L869" s="5"/>
    </row>
    <row r="870" spans="3:12" x14ac:dyDescent="0.3">
      <c r="C870" s="6" t="s">
        <v>1995</v>
      </c>
      <c r="D870" s="3" t="s">
        <v>1996</v>
      </c>
      <c r="E870" s="6" t="s">
        <v>1997</v>
      </c>
      <c r="F870" s="7">
        <v>6474</v>
      </c>
      <c r="G870" s="7">
        <v>13895</v>
      </c>
      <c r="H870" s="6">
        <f t="shared" si="26"/>
        <v>2.1462774173617549</v>
      </c>
      <c r="I870" s="3" t="s">
        <v>409</v>
      </c>
      <c r="J870" s="6" t="str">
        <f t="shared" si="27"/>
        <v>http://konect.cc/files/download.tsv.as20000102.tar.bz2</v>
      </c>
      <c r="L870" s="5"/>
    </row>
    <row r="871" spans="3:12" x14ac:dyDescent="0.3">
      <c r="C871" s="6" t="s">
        <v>2586</v>
      </c>
      <c r="D871" s="3" t="s">
        <v>2587</v>
      </c>
      <c r="E871" s="6" t="s">
        <v>50</v>
      </c>
      <c r="F871" s="7">
        <v>6434</v>
      </c>
      <c r="G871" s="7">
        <v>150985</v>
      </c>
      <c r="H871" s="6">
        <f t="shared" si="26"/>
        <v>23.466739198010568</v>
      </c>
      <c r="I871" s="3" t="s">
        <v>721</v>
      </c>
      <c r="J871" s="6" t="str">
        <f t="shared" si="27"/>
        <v>http://konect.cc/files/download.tsv.subelj_jdk.tar.bz2</v>
      </c>
      <c r="L871" s="5"/>
    </row>
    <row r="872" spans="3:12" x14ac:dyDescent="0.3">
      <c r="C872" s="6" t="s">
        <v>2771</v>
      </c>
      <c r="D872" s="3" t="s">
        <v>2772</v>
      </c>
      <c r="E872" s="6" t="s">
        <v>33</v>
      </c>
      <c r="F872" s="7">
        <v>6424</v>
      </c>
      <c r="G872" s="7">
        <v>280614</v>
      </c>
      <c r="H872" s="6">
        <f t="shared" si="26"/>
        <v>43.682129514321296</v>
      </c>
      <c r="I872" s="3" t="s">
        <v>830</v>
      </c>
      <c r="J872" s="6" t="str">
        <f t="shared" si="27"/>
        <v>http://konect.cc/files/download.tsv.wikipedia_link_fiu_vro.tar.bz2</v>
      </c>
      <c r="L872" s="5"/>
    </row>
    <row r="873" spans="3:12" x14ac:dyDescent="0.3">
      <c r="C873" s="6" t="s">
        <v>2483</v>
      </c>
      <c r="D873" s="3" t="s">
        <v>2484</v>
      </c>
      <c r="E873" s="6" t="s">
        <v>38</v>
      </c>
      <c r="F873" s="7">
        <v>6411</v>
      </c>
      <c r="G873" s="7">
        <v>49046</v>
      </c>
      <c r="H873" s="6">
        <f t="shared" si="26"/>
        <v>7.6502885665262825</v>
      </c>
      <c r="I873" s="3" t="s">
        <v>664</v>
      </c>
      <c r="J873" s="6" t="str">
        <f t="shared" si="27"/>
        <v>http://konect.cc/files/download.tsv.edit-nlwikiquote.tar.bz2</v>
      </c>
      <c r="L873" s="5"/>
    </row>
    <row r="874" spans="3:12" x14ac:dyDescent="0.3">
      <c r="C874" s="6" t="s">
        <v>2437</v>
      </c>
      <c r="D874" s="3" t="s">
        <v>2438</v>
      </c>
      <c r="E874" s="6" t="s">
        <v>38</v>
      </c>
      <c r="F874" s="7">
        <v>6388</v>
      </c>
      <c r="G874" s="7">
        <v>40267</v>
      </c>
      <c r="H874" s="6">
        <f t="shared" si="26"/>
        <v>6.3035378835316216</v>
      </c>
      <c r="I874" s="3" t="s">
        <v>637</v>
      </c>
      <c r="J874" s="6" t="str">
        <f t="shared" si="27"/>
        <v>http://konect.cc/files/download.tsv.edit-mkwiktionary.tar.bz2</v>
      </c>
      <c r="L874" s="5"/>
    </row>
    <row r="875" spans="3:12" x14ac:dyDescent="0.3">
      <c r="C875" s="6" t="s">
        <v>2342</v>
      </c>
      <c r="D875" s="3" t="s">
        <v>2343</v>
      </c>
      <c r="E875" s="6" t="s">
        <v>38</v>
      </c>
      <c r="F875" s="7">
        <v>6366</v>
      </c>
      <c r="G875" s="7">
        <v>27042</v>
      </c>
      <c r="H875" s="6">
        <f t="shared" si="26"/>
        <v>4.2478793590951929</v>
      </c>
      <c r="I875" s="3" t="s">
        <v>586</v>
      </c>
      <c r="J875" s="6" t="str">
        <f t="shared" si="27"/>
        <v>http://konect.cc/files/download.tsv.edit-simplewikiquote.tar.bz2</v>
      </c>
      <c r="L875" s="5"/>
    </row>
    <row r="876" spans="3:12" x14ac:dyDescent="0.3">
      <c r="C876" s="6" t="s">
        <v>2732</v>
      </c>
      <c r="D876" s="3" t="s">
        <v>2733</v>
      </c>
      <c r="E876" s="6" t="s">
        <v>38</v>
      </c>
      <c r="F876" s="7">
        <v>6365</v>
      </c>
      <c r="G876" s="7">
        <v>100039</v>
      </c>
      <c r="H876" s="6">
        <f t="shared" si="26"/>
        <v>15.717046347211312</v>
      </c>
      <c r="I876" s="3" t="s">
        <v>808</v>
      </c>
      <c r="J876" s="6" t="str">
        <f t="shared" si="27"/>
        <v>http://konect.cc/files/download.tsv.edit-jbowiki.tar.bz2</v>
      </c>
      <c r="L876" s="5"/>
    </row>
    <row r="877" spans="3:12" x14ac:dyDescent="0.3">
      <c r="C877" s="6" t="s">
        <v>2609</v>
      </c>
      <c r="D877" s="3" t="s">
        <v>1500</v>
      </c>
      <c r="E877" s="6" t="s">
        <v>91</v>
      </c>
      <c r="F877" s="7">
        <v>6327</v>
      </c>
      <c r="G877" s="7">
        <v>147547</v>
      </c>
      <c r="H877" s="6">
        <f t="shared" si="26"/>
        <v>23.320214951793901</v>
      </c>
      <c r="I877" s="3" t="s">
        <v>735</v>
      </c>
      <c r="J877" s="6" t="str">
        <f t="shared" si="27"/>
        <v>http://konect.cc/files/download.tsv.reactome.tar.bz2</v>
      </c>
      <c r="L877" s="5"/>
    </row>
    <row r="878" spans="3:12" x14ac:dyDescent="0.3">
      <c r="C878" s="6" t="s">
        <v>2076</v>
      </c>
      <c r="D878" s="3" t="s">
        <v>2077</v>
      </c>
      <c r="E878" s="6" t="s">
        <v>2078</v>
      </c>
      <c r="F878" s="7">
        <v>6301</v>
      </c>
      <c r="G878" s="7">
        <v>20777</v>
      </c>
      <c r="H878" s="6">
        <f t="shared" si="26"/>
        <v>3.2974131090303125</v>
      </c>
      <c r="I878" s="3" t="s">
        <v>448</v>
      </c>
      <c r="J878" s="6" t="str">
        <f t="shared" si="27"/>
        <v>http://konect.cc/files/download.tsv.p2p-Gnutella08.tar.bz2</v>
      </c>
      <c r="L878" s="5"/>
    </row>
    <row r="879" spans="3:12" x14ac:dyDescent="0.3">
      <c r="C879" s="6" t="s">
        <v>2588</v>
      </c>
      <c r="D879" s="3" t="s">
        <v>2589</v>
      </c>
      <c r="E879" s="6" t="s">
        <v>33</v>
      </c>
      <c r="F879" s="7">
        <v>6293</v>
      </c>
      <c r="G879" s="7">
        <v>142571</v>
      </c>
      <c r="H879" s="6">
        <f t="shared" si="26"/>
        <v>22.655490227236612</v>
      </c>
      <c r="I879" s="3" t="s">
        <v>722</v>
      </c>
      <c r="J879" s="6" t="str">
        <f t="shared" si="27"/>
        <v>http://konect.cc/files/download.tsv.wikipedia_link_myv.tar.bz2</v>
      </c>
      <c r="L879" s="5"/>
    </row>
    <row r="880" spans="3:12" x14ac:dyDescent="0.3">
      <c r="C880" s="6" t="s">
        <v>2479</v>
      </c>
      <c r="D880" s="3" t="s">
        <v>2480</v>
      </c>
      <c r="E880" s="6" t="s">
        <v>38</v>
      </c>
      <c r="F880" s="7">
        <v>6230</v>
      </c>
      <c r="G880" s="7">
        <v>48432</v>
      </c>
      <c r="H880" s="6">
        <f t="shared" si="26"/>
        <v>7.7739967897271267</v>
      </c>
      <c r="I880" s="3" t="s">
        <v>662</v>
      </c>
      <c r="J880" s="6" t="str">
        <f t="shared" si="27"/>
        <v>http://konect.cc/files/download.tsv.edit-cbk_zamwiki.tar.bz2</v>
      </c>
      <c r="L880" s="5"/>
    </row>
    <row r="881" spans="3:12" x14ac:dyDescent="0.3">
      <c r="C881" s="6" t="s">
        <v>2602</v>
      </c>
      <c r="D881" s="3" t="s">
        <v>2603</v>
      </c>
      <c r="E881" s="6" t="s">
        <v>98</v>
      </c>
      <c r="F881" s="7">
        <v>6138</v>
      </c>
      <c r="G881" s="7">
        <v>167810</v>
      </c>
      <c r="H881" s="6">
        <f t="shared" si="26"/>
        <v>27.339524275008145</v>
      </c>
      <c r="I881" s="3" t="s">
        <v>729</v>
      </c>
      <c r="J881" s="6" t="str">
        <f t="shared" si="27"/>
        <v>http://konect.cc/files/download.tsv.wikipedia_link_tk.tar.bz2</v>
      </c>
      <c r="L881" s="5"/>
    </row>
    <row r="882" spans="3:12" x14ac:dyDescent="0.3">
      <c r="C882" s="6" t="s">
        <v>2552</v>
      </c>
      <c r="D882" s="3" t="s">
        <v>1498</v>
      </c>
      <c r="E882" s="6" t="s">
        <v>50</v>
      </c>
      <c r="F882" s="7">
        <v>6120</v>
      </c>
      <c r="G882" s="7">
        <v>138706</v>
      </c>
      <c r="H882" s="6">
        <f t="shared" si="26"/>
        <v>22.664379084967319</v>
      </c>
      <c r="I882" s="3" t="s">
        <v>702</v>
      </c>
      <c r="J882" s="6" t="str">
        <f t="shared" si="27"/>
        <v>http://konect.cc/files/download.tsv.subelj_jung-j.tar.bz2</v>
      </c>
      <c r="L882" s="5"/>
    </row>
    <row r="883" spans="3:12" x14ac:dyDescent="0.3">
      <c r="C883" s="6" t="s">
        <v>2323</v>
      </c>
      <c r="D883" s="3" t="s">
        <v>2324</v>
      </c>
      <c r="E883" s="6" t="s">
        <v>38</v>
      </c>
      <c r="F883" s="7">
        <v>6101</v>
      </c>
      <c r="G883" s="7">
        <v>25735</v>
      </c>
      <c r="H883" s="6">
        <f t="shared" si="26"/>
        <v>4.2181609572201282</v>
      </c>
      <c r="I883" s="3" t="s">
        <v>575</v>
      </c>
      <c r="J883" s="6" t="str">
        <f t="shared" si="27"/>
        <v>http://konect.cc/files/download.tsv.edit-anwiktionary.tar.bz2</v>
      </c>
      <c r="L883" s="5"/>
    </row>
    <row r="884" spans="3:12" x14ac:dyDescent="0.3">
      <c r="C884" s="6" t="s">
        <v>2815</v>
      </c>
      <c r="D884" s="3" t="s">
        <v>2816</v>
      </c>
      <c r="E884" s="6" t="s">
        <v>38</v>
      </c>
      <c r="F884" s="7">
        <v>6031</v>
      </c>
      <c r="G884" s="7">
        <v>125544</v>
      </c>
      <c r="H884" s="6">
        <f t="shared" si="26"/>
        <v>20.816448350190683</v>
      </c>
      <c r="I884" s="3" t="s">
        <v>855</v>
      </c>
      <c r="J884" s="6" t="str">
        <f t="shared" si="27"/>
        <v>http://konect.cc/files/download.tsv.edit-eowikinews.tar.bz2</v>
      </c>
      <c r="L884" s="5"/>
    </row>
    <row r="885" spans="3:12" x14ac:dyDescent="0.3">
      <c r="C885" s="6" t="s">
        <v>1971</v>
      </c>
      <c r="D885" s="3" t="s">
        <v>1972</v>
      </c>
      <c r="E885" s="6" t="s">
        <v>38</v>
      </c>
      <c r="F885" s="7">
        <v>6008</v>
      </c>
      <c r="G885" s="7">
        <v>54892</v>
      </c>
      <c r="H885" s="6">
        <f t="shared" si="26"/>
        <v>9.1364846870838878</v>
      </c>
      <c r="I885" s="3" t="s">
        <v>682</v>
      </c>
      <c r="J885" s="6" t="str">
        <f t="shared" si="27"/>
        <v>http://konect.cc/files/download.tsv.edit-ltwikiquote.tar.bz2</v>
      </c>
      <c r="L885" s="5"/>
    </row>
    <row r="886" spans="3:12" x14ac:dyDescent="0.3">
      <c r="C886" s="6" t="s">
        <v>2481</v>
      </c>
      <c r="D886" s="3" t="s">
        <v>2482</v>
      </c>
      <c r="E886" s="6" t="s">
        <v>38</v>
      </c>
      <c r="F886" s="7">
        <v>6005</v>
      </c>
      <c r="G886" s="7">
        <v>48361</v>
      </c>
      <c r="H886" s="6">
        <f t="shared" si="26"/>
        <v>8.0534554537885104</v>
      </c>
      <c r="I886" s="3" t="s">
        <v>663</v>
      </c>
      <c r="J886" s="6" t="str">
        <f t="shared" si="27"/>
        <v>http://konect.cc/files/download.tsv.edit-gawiktionary.tar.bz2</v>
      </c>
      <c r="L886" s="5"/>
    </row>
    <row r="887" spans="3:12" x14ac:dyDescent="0.3">
      <c r="C887" s="6" t="s">
        <v>2510</v>
      </c>
      <c r="D887" s="3" t="s">
        <v>2511</v>
      </c>
      <c r="E887" s="6" t="s">
        <v>38</v>
      </c>
      <c r="F887" s="7">
        <v>5978</v>
      </c>
      <c r="G887" s="7">
        <v>53741</v>
      </c>
      <c r="H887" s="6">
        <f t="shared" si="26"/>
        <v>8.9897959183673475</v>
      </c>
      <c r="I887" s="3" t="s">
        <v>679</v>
      </c>
      <c r="J887" s="6" t="str">
        <f t="shared" si="27"/>
        <v>http://konect.cc/files/download.tsv.edit-igwiki.tar.bz2</v>
      </c>
      <c r="L887" s="5"/>
    </row>
    <row r="888" spans="3:12" x14ac:dyDescent="0.3">
      <c r="C888" s="6" t="s">
        <v>2485</v>
      </c>
      <c r="D888" s="3" t="s">
        <v>2486</v>
      </c>
      <c r="E888" s="6" t="s">
        <v>2327</v>
      </c>
      <c r="F888" s="7">
        <v>5881</v>
      </c>
      <c r="G888" s="7">
        <v>35592</v>
      </c>
      <c r="H888" s="6">
        <f t="shared" si="26"/>
        <v>6.0520319673524909</v>
      </c>
      <c r="I888" s="3" t="s">
        <v>666</v>
      </c>
      <c r="J888" s="6" t="str">
        <f t="shared" si="27"/>
        <v>http://konect.cc/files/download.tsv.soc-sign-bitcoinotc.tar.bz2</v>
      </c>
      <c r="L888" s="5"/>
    </row>
    <row r="889" spans="3:12" x14ac:dyDescent="0.3">
      <c r="C889" s="6" t="s">
        <v>2546</v>
      </c>
      <c r="D889" s="3" t="s">
        <v>2547</v>
      </c>
      <c r="E889" s="6" t="s">
        <v>38</v>
      </c>
      <c r="F889" s="7">
        <v>5815</v>
      </c>
      <c r="G889" s="7">
        <v>59837</v>
      </c>
      <c r="H889" s="6">
        <f t="shared" si="26"/>
        <v>10.290111779879622</v>
      </c>
      <c r="I889" s="3" t="s">
        <v>699</v>
      </c>
      <c r="J889" s="6" t="str">
        <f t="shared" si="27"/>
        <v>http://konect.cc/files/download.tsv.edit-rwwiki.tar.bz2</v>
      </c>
      <c r="L889" s="5"/>
    </row>
    <row r="890" spans="3:12" x14ac:dyDescent="0.3">
      <c r="C890" s="6" t="s">
        <v>2284</v>
      </c>
      <c r="D890" s="3" t="s">
        <v>2285</v>
      </c>
      <c r="E890" s="6" t="s">
        <v>38</v>
      </c>
      <c r="F890" s="7">
        <v>5810</v>
      </c>
      <c r="G890" s="7">
        <v>20603</v>
      </c>
      <c r="H890" s="6">
        <f t="shared" si="26"/>
        <v>3.5461273666092943</v>
      </c>
      <c r="I890" s="3" t="s">
        <v>554</v>
      </c>
      <c r="J890" s="6" t="str">
        <f t="shared" si="27"/>
        <v>http://konect.cc/files/download.tsv.edit-tkwiktionary.tar.bz2</v>
      </c>
      <c r="L890" s="5"/>
    </row>
    <row r="891" spans="3:12" x14ac:dyDescent="0.3">
      <c r="C891" s="6" t="s">
        <v>2302</v>
      </c>
      <c r="D891" s="3" t="s">
        <v>2303</v>
      </c>
      <c r="E891" s="6" t="s">
        <v>38</v>
      </c>
      <c r="F891" s="7">
        <v>5803</v>
      </c>
      <c r="G891" s="7">
        <v>22875</v>
      </c>
      <c r="H891" s="6">
        <f t="shared" si="26"/>
        <v>3.9419265896949853</v>
      </c>
      <c r="I891" s="3" t="s">
        <v>563</v>
      </c>
      <c r="J891" s="6" t="str">
        <f t="shared" si="27"/>
        <v>http://konect.cc/files/download.tsv.edit-dtywiki.tar.bz2</v>
      </c>
      <c r="L891" s="5"/>
    </row>
    <row r="892" spans="3:12" x14ac:dyDescent="0.3">
      <c r="C892" s="6" t="s">
        <v>2415</v>
      </c>
      <c r="D892" s="3" t="s">
        <v>2416</v>
      </c>
      <c r="E892" s="6" t="s">
        <v>38</v>
      </c>
      <c r="F892" s="7">
        <v>5720</v>
      </c>
      <c r="G892" s="7">
        <v>37038</v>
      </c>
      <c r="H892" s="6">
        <f t="shared" si="26"/>
        <v>6.4751748251748253</v>
      </c>
      <c r="I892" s="3" t="s">
        <v>624</v>
      </c>
      <c r="J892" s="6" t="str">
        <f t="shared" si="27"/>
        <v>http://konect.cc/files/download.tsv.edit-huwikiquote.tar.bz2</v>
      </c>
      <c r="L892" s="5"/>
    </row>
    <row r="893" spans="3:12" x14ac:dyDescent="0.3">
      <c r="C893" s="6" t="s">
        <v>2106</v>
      </c>
      <c r="D893" s="3" t="s">
        <v>2107</v>
      </c>
      <c r="E893" s="6" t="s">
        <v>38</v>
      </c>
      <c r="F893" s="7">
        <v>5688</v>
      </c>
      <c r="G893" s="7">
        <v>11162</v>
      </c>
      <c r="H893" s="6">
        <f t="shared" si="26"/>
        <v>1.9623769338959212</v>
      </c>
      <c r="I893" s="3" t="s">
        <v>461</v>
      </c>
      <c r="J893" s="6" t="str">
        <f t="shared" si="27"/>
        <v>http://konect.cc/files/download.tsv.edit-bnwikibooks.tar.bz2</v>
      </c>
      <c r="L893" s="5"/>
    </row>
    <row r="894" spans="3:12" x14ac:dyDescent="0.3">
      <c r="C894" s="6" t="s">
        <v>2196</v>
      </c>
      <c r="D894" s="3" t="s">
        <v>2197</v>
      </c>
      <c r="E894" s="6" t="s">
        <v>38</v>
      </c>
      <c r="F894" s="7">
        <v>5591</v>
      </c>
      <c r="G894" s="7">
        <v>15161</v>
      </c>
      <c r="H894" s="6">
        <f t="shared" si="26"/>
        <v>2.7116794848864245</v>
      </c>
      <c r="I894" s="3" t="s">
        <v>510</v>
      </c>
      <c r="J894" s="6" t="str">
        <f t="shared" si="27"/>
        <v>http://konect.cc/files/download.tsv.edit-hsbwiktionary.tar.bz2</v>
      </c>
      <c r="L894" s="5"/>
    </row>
    <row r="895" spans="3:12" x14ac:dyDescent="0.3">
      <c r="C895" s="6" t="s">
        <v>2360</v>
      </c>
      <c r="D895" s="3" t="s">
        <v>2361</v>
      </c>
      <c r="E895" s="6" t="s">
        <v>38</v>
      </c>
      <c r="F895" s="7">
        <v>5581</v>
      </c>
      <c r="G895" s="7">
        <v>29298</v>
      </c>
      <c r="H895" s="6">
        <f t="shared" si="26"/>
        <v>5.2495968464432901</v>
      </c>
      <c r="I895" s="3" t="s">
        <v>596</v>
      </c>
      <c r="J895" s="6" t="str">
        <f t="shared" si="27"/>
        <v>http://konect.cc/files/download.tsv.edit-towiki.tar.bz2</v>
      </c>
      <c r="L895" s="5"/>
    </row>
    <row r="896" spans="3:12" x14ac:dyDescent="0.3">
      <c r="C896" s="6" t="s">
        <v>2628</v>
      </c>
      <c r="D896" s="3" t="s">
        <v>2629</v>
      </c>
      <c r="E896" s="6" t="s">
        <v>98</v>
      </c>
      <c r="F896" s="7">
        <v>5561</v>
      </c>
      <c r="G896" s="7">
        <v>191255</v>
      </c>
      <c r="H896" s="6">
        <f t="shared" si="26"/>
        <v>34.392195648264703</v>
      </c>
      <c r="I896" s="3" t="s">
        <v>747</v>
      </c>
      <c r="J896" s="6" t="str">
        <f t="shared" si="27"/>
        <v>http://konect.cc/files/download.tsv.wikipedia_link_csb.tar.bz2</v>
      </c>
      <c r="L896" s="5"/>
    </row>
    <row r="897" spans="3:12" x14ac:dyDescent="0.3">
      <c r="C897" s="6" t="s">
        <v>2346</v>
      </c>
      <c r="D897" s="3" t="s">
        <v>2347</v>
      </c>
      <c r="E897" s="6" t="s">
        <v>38</v>
      </c>
      <c r="F897" s="7">
        <v>5541</v>
      </c>
      <c r="G897" s="7">
        <v>27265</v>
      </c>
      <c r="H897" s="6">
        <f t="shared" si="26"/>
        <v>4.9205919509113878</v>
      </c>
      <c r="I897" s="3" t="s">
        <v>588</v>
      </c>
      <c r="J897" s="6" t="str">
        <f t="shared" si="27"/>
        <v>http://konect.cc/files/download.tsv.edit-huwikinews.tar.bz2</v>
      </c>
      <c r="L897" s="5"/>
    </row>
    <row r="898" spans="3:12" x14ac:dyDescent="0.3">
      <c r="C898" s="6" t="s">
        <v>2562</v>
      </c>
      <c r="D898" s="3" t="s">
        <v>2563</v>
      </c>
      <c r="E898" s="6" t="s">
        <v>38</v>
      </c>
      <c r="F898" s="7">
        <v>5516</v>
      </c>
      <c r="G898" s="7">
        <v>63049</v>
      </c>
      <c r="H898" s="6">
        <f t="shared" ref="H898:H961" si="28">G898/F898</f>
        <v>11.430203045685278</v>
      </c>
      <c r="I898" s="3" t="s">
        <v>707</v>
      </c>
      <c r="J898" s="6" t="str">
        <f t="shared" ref="J898:J961" si="29">"http://konect.cc/files/download.tsv."&amp;I898&amp;".tar.bz2"</f>
        <v>http://konect.cc/files/download.tsv.edit-cuwiki.tar.bz2</v>
      </c>
      <c r="L898" s="5"/>
    </row>
    <row r="899" spans="3:12" x14ac:dyDescent="0.3">
      <c r="C899" s="6" t="s">
        <v>2168</v>
      </c>
      <c r="D899" s="3" t="s">
        <v>2169</v>
      </c>
      <c r="E899" s="6" t="s">
        <v>38</v>
      </c>
      <c r="F899" s="7">
        <v>5501</v>
      </c>
      <c r="G899" s="7">
        <v>13882</v>
      </c>
      <c r="H899" s="6">
        <f t="shared" si="28"/>
        <v>2.5235411743319398</v>
      </c>
      <c r="I899" s="3" t="s">
        <v>494</v>
      </c>
      <c r="J899" s="6" t="str">
        <f t="shared" si="29"/>
        <v>http://konect.cc/files/download.tsv.edit-yiwikisource.tar.bz2</v>
      </c>
      <c r="L899" s="5"/>
    </row>
    <row r="900" spans="3:12" x14ac:dyDescent="0.3">
      <c r="C900" s="6" t="s">
        <v>2411</v>
      </c>
      <c r="D900" s="3" t="s">
        <v>2412</v>
      </c>
      <c r="E900" s="6" t="s">
        <v>38</v>
      </c>
      <c r="F900" s="7">
        <v>5469</v>
      </c>
      <c r="G900" s="7">
        <v>36012</v>
      </c>
      <c r="H900" s="6">
        <f t="shared" si="28"/>
        <v>6.5847504114097637</v>
      </c>
      <c r="I900" s="3" t="s">
        <v>622</v>
      </c>
      <c r="J900" s="6" t="str">
        <f t="shared" si="29"/>
        <v>http://konect.cc/files/download.tsv.edit-kaawiki.tar.bz2</v>
      </c>
      <c r="L900" s="5"/>
    </row>
    <row r="901" spans="3:12" x14ac:dyDescent="0.3">
      <c r="C901" s="6" t="s">
        <v>2355</v>
      </c>
      <c r="D901" s="3" t="s">
        <v>1493</v>
      </c>
      <c r="E901" s="6" t="s">
        <v>56</v>
      </c>
      <c r="F901" s="7">
        <v>5437</v>
      </c>
      <c r="G901" s="7">
        <v>26937</v>
      </c>
      <c r="H901" s="6">
        <f t="shared" si="28"/>
        <v>4.954386610263013</v>
      </c>
      <c r="I901" s="3" t="s">
        <v>593</v>
      </c>
      <c r="J901" s="6" t="str">
        <f t="shared" si="29"/>
        <v>http://konect.cc/files/download.tsv.wikilens-ratings.tar.bz2</v>
      </c>
      <c r="L901" s="5"/>
    </row>
    <row r="902" spans="3:12" x14ac:dyDescent="0.3">
      <c r="C902" s="6" t="s">
        <v>2550</v>
      </c>
      <c r="D902" s="3" t="s">
        <v>2551</v>
      </c>
      <c r="E902" s="6" t="s">
        <v>38</v>
      </c>
      <c r="F902" s="7">
        <v>5341</v>
      </c>
      <c r="G902" s="7">
        <v>61014</v>
      </c>
      <c r="H902" s="6">
        <f t="shared" si="28"/>
        <v>11.423703426324659</v>
      </c>
      <c r="I902" s="3" t="s">
        <v>701</v>
      </c>
      <c r="J902" s="6" t="str">
        <f t="shared" si="29"/>
        <v>http://konect.cc/files/download.tsv.edit-papwiki.tar.bz2</v>
      </c>
      <c r="L902" s="5"/>
    </row>
    <row r="903" spans="3:12" x14ac:dyDescent="0.3">
      <c r="C903" s="6" t="s">
        <v>2344</v>
      </c>
      <c r="D903" s="3" t="s">
        <v>2345</v>
      </c>
      <c r="E903" s="6" t="s">
        <v>38</v>
      </c>
      <c r="F903" s="7">
        <v>5297</v>
      </c>
      <c r="G903" s="7">
        <v>27934</v>
      </c>
      <c r="H903" s="6">
        <f t="shared" si="28"/>
        <v>5.2735510666414953</v>
      </c>
      <c r="I903" s="3" t="s">
        <v>587</v>
      </c>
      <c r="J903" s="6" t="str">
        <f t="shared" si="29"/>
        <v>http://konect.cc/files/download.tsv.edit-slwikiquote.tar.bz2</v>
      </c>
      <c r="L903" s="5"/>
    </row>
    <row r="904" spans="3:12" x14ac:dyDescent="0.3">
      <c r="C904" s="6" t="s">
        <v>2677</v>
      </c>
      <c r="D904" s="3" t="s">
        <v>2678</v>
      </c>
      <c r="E904" s="6" t="s">
        <v>38</v>
      </c>
      <c r="F904" s="7">
        <v>5292</v>
      </c>
      <c r="G904" s="7">
        <v>88797</v>
      </c>
      <c r="H904" s="6">
        <f t="shared" si="28"/>
        <v>16.779478458049887</v>
      </c>
      <c r="I904" s="3" t="s">
        <v>777</v>
      </c>
      <c r="J904" s="6" t="str">
        <f t="shared" si="29"/>
        <v>http://konect.cc/files/download.tsv.edit-wowiki.tar.bz2</v>
      </c>
      <c r="L904" s="5"/>
    </row>
    <row r="905" spans="3:12" x14ac:dyDescent="0.3">
      <c r="C905" s="6" t="s">
        <v>2130</v>
      </c>
      <c r="D905" s="3" t="s">
        <v>2131</v>
      </c>
      <c r="E905" s="6" t="s">
        <v>38</v>
      </c>
      <c r="F905" s="7">
        <v>5267</v>
      </c>
      <c r="G905" s="7">
        <v>12212</v>
      </c>
      <c r="H905" s="6">
        <f t="shared" si="28"/>
        <v>2.3185874311752421</v>
      </c>
      <c r="I905" s="3" t="s">
        <v>473</v>
      </c>
      <c r="J905" s="6" t="str">
        <f t="shared" si="29"/>
        <v>http://konect.cc/files/download.tsv.edit-kawikibooks.tar.bz2</v>
      </c>
      <c r="L905" s="5"/>
    </row>
    <row r="906" spans="3:12" x14ac:dyDescent="0.3">
      <c r="C906" s="6" t="s">
        <v>2280</v>
      </c>
      <c r="D906" s="3" t="s">
        <v>2281</v>
      </c>
      <c r="E906" s="6" t="s">
        <v>38</v>
      </c>
      <c r="F906" s="7">
        <v>5237</v>
      </c>
      <c r="G906" s="7">
        <v>20835</v>
      </c>
      <c r="H906" s="6">
        <f t="shared" si="28"/>
        <v>3.97842276112278</v>
      </c>
      <c r="I906" s="3" t="s">
        <v>552</v>
      </c>
      <c r="J906" s="6" t="str">
        <f t="shared" si="29"/>
        <v>http://konect.cc/files/download.tsv.edit-sdwiktionary.tar.bz2</v>
      </c>
      <c r="L906" s="5"/>
    </row>
    <row r="907" spans="3:12" x14ac:dyDescent="0.3">
      <c r="C907" s="6" t="s">
        <v>2462</v>
      </c>
      <c r="D907" s="3" t="s">
        <v>2463</v>
      </c>
      <c r="E907" s="6" t="s">
        <v>38</v>
      </c>
      <c r="F907" s="7">
        <v>5216</v>
      </c>
      <c r="G907" s="7">
        <v>46607</v>
      </c>
      <c r="H907" s="6">
        <f t="shared" si="28"/>
        <v>8.935391104294478</v>
      </c>
      <c r="I907" s="3" t="s">
        <v>649</v>
      </c>
      <c r="J907" s="6" t="str">
        <f t="shared" si="29"/>
        <v>http://konect.cc/files/download.tsv.edit-mdfwiki.tar.bz2</v>
      </c>
      <c r="L907" s="5"/>
    </row>
    <row r="908" spans="3:12" x14ac:dyDescent="0.3">
      <c r="C908" s="6" t="s">
        <v>2687</v>
      </c>
      <c r="D908" s="3" t="s">
        <v>2688</v>
      </c>
      <c r="E908" s="6" t="s">
        <v>33</v>
      </c>
      <c r="F908" s="7">
        <v>5171</v>
      </c>
      <c r="G908" s="7">
        <v>204133</v>
      </c>
      <c r="H908" s="6">
        <f t="shared" si="28"/>
        <v>39.476503577644557</v>
      </c>
      <c r="I908" s="3" t="s">
        <v>783</v>
      </c>
      <c r="J908" s="6" t="str">
        <f t="shared" si="29"/>
        <v>http://konect.cc/files/download.tsv.wikipedia_link_lez.tar.bz2</v>
      </c>
      <c r="L908" s="5"/>
    </row>
    <row r="909" spans="3:12" x14ac:dyDescent="0.3">
      <c r="C909" s="6" t="s">
        <v>2754</v>
      </c>
      <c r="D909" s="3" t="s">
        <v>2755</v>
      </c>
      <c r="E909" s="6" t="s">
        <v>38</v>
      </c>
      <c r="F909" s="7">
        <v>5108</v>
      </c>
      <c r="G909" s="7">
        <v>107509</v>
      </c>
      <c r="H909" s="6">
        <f t="shared" si="28"/>
        <v>21.047180892717307</v>
      </c>
      <c r="I909" s="3" t="s">
        <v>821</v>
      </c>
      <c r="J909" s="6" t="str">
        <f t="shared" si="29"/>
        <v>http://konect.cc/files/download.tsv.edit-novwiki.tar.bz2</v>
      </c>
      <c r="L909" s="5"/>
    </row>
    <row r="910" spans="3:12" x14ac:dyDescent="0.3">
      <c r="C910" s="6" t="s">
        <v>2447</v>
      </c>
      <c r="D910" s="3" t="s">
        <v>2448</v>
      </c>
      <c r="E910" s="6" t="s">
        <v>38</v>
      </c>
      <c r="F910" s="7">
        <v>5046</v>
      </c>
      <c r="G910" s="7">
        <v>42321</v>
      </c>
      <c r="H910" s="6">
        <f t="shared" si="28"/>
        <v>8.3870392390011883</v>
      </c>
      <c r="I910" s="3" t="s">
        <v>642</v>
      </c>
      <c r="J910" s="6" t="str">
        <f t="shared" si="29"/>
        <v>http://konect.cc/files/download.tsv.edit-azwikiquote.tar.bz2</v>
      </c>
      <c r="L910" s="5"/>
    </row>
    <row r="911" spans="3:12" x14ac:dyDescent="0.3">
      <c r="C911" s="6" t="s">
        <v>2282</v>
      </c>
      <c r="D911" s="3" t="s">
        <v>2283</v>
      </c>
      <c r="E911" s="6" t="s">
        <v>38</v>
      </c>
      <c r="F911" s="7">
        <v>5011</v>
      </c>
      <c r="G911" s="7">
        <v>20595</v>
      </c>
      <c r="H911" s="6">
        <f t="shared" si="28"/>
        <v>4.1099580921971661</v>
      </c>
      <c r="I911" s="3" t="s">
        <v>553</v>
      </c>
      <c r="J911" s="6" t="str">
        <f t="shared" si="29"/>
        <v>http://konect.cc/files/download.tsv.edit-jawikiquote.tar.bz2</v>
      </c>
      <c r="L911" s="5"/>
    </row>
    <row r="912" spans="3:12" x14ac:dyDescent="0.3">
      <c r="C912" s="6" t="s">
        <v>2383</v>
      </c>
      <c r="D912" s="3" t="s">
        <v>2384</v>
      </c>
      <c r="E912" s="6" t="s">
        <v>38</v>
      </c>
      <c r="F912" s="7">
        <v>4953</v>
      </c>
      <c r="G912" s="7">
        <v>30846</v>
      </c>
      <c r="H912" s="6">
        <f t="shared" si="28"/>
        <v>6.2277407631738342</v>
      </c>
      <c r="I912" s="3" t="s">
        <v>608</v>
      </c>
      <c r="J912" s="6" t="str">
        <f t="shared" si="29"/>
        <v>http://konect.cc/files/download.tsv.edit-elwikibooks.tar.bz2</v>
      </c>
      <c r="L912" s="5"/>
    </row>
    <row r="913" spans="3:12" x14ac:dyDescent="0.3">
      <c r="C913" s="6" t="s">
        <v>2308</v>
      </c>
      <c r="D913" s="3" t="s">
        <v>2309</v>
      </c>
      <c r="E913" s="6" t="s">
        <v>38</v>
      </c>
      <c r="F913" s="7">
        <v>4946</v>
      </c>
      <c r="G913" s="7">
        <v>23441</v>
      </c>
      <c r="H913" s="6">
        <f t="shared" si="28"/>
        <v>4.7393853619086128</v>
      </c>
      <c r="I913" s="3" t="s">
        <v>566</v>
      </c>
      <c r="J913" s="6" t="str">
        <f t="shared" si="29"/>
        <v>http://konect.cc/files/download.tsv.edit-hewikinews.tar.bz2</v>
      </c>
      <c r="L913" s="5"/>
    </row>
    <row r="914" spans="3:12" x14ac:dyDescent="0.3">
      <c r="C914" s="6" t="s">
        <v>1932</v>
      </c>
      <c r="D914" s="3" t="s">
        <v>1933</v>
      </c>
      <c r="E914" s="6" t="s">
        <v>83</v>
      </c>
      <c r="F914" s="7">
        <v>4941</v>
      </c>
      <c r="G914" s="7">
        <v>6594</v>
      </c>
      <c r="H914" s="6">
        <f t="shared" si="28"/>
        <v>1.3345476624165149</v>
      </c>
      <c r="I914" s="3" t="s">
        <v>375</v>
      </c>
      <c r="J914" s="6" t="str">
        <f t="shared" si="29"/>
        <v>http://konect.cc/files/download.tsv.opsahl-powergrid.tar.bz2</v>
      </c>
      <c r="L914" s="5"/>
    </row>
    <row r="915" spans="3:12" x14ac:dyDescent="0.3">
      <c r="C915" s="6" t="s">
        <v>2304</v>
      </c>
      <c r="D915" s="3" t="s">
        <v>2305</v>
      </c>
      <c r="E915" s="6" t="s">
        <v>38</v>
      </c>
      <c r="F915" s="7">
        <v>4918</v>
      </c>
      <c r="G915" s="7">
        <v>22552</v>
      </c>
      <c r="H915" s="6">
        <f t="shared" si="28"/>
        <v>4.5856039040260272</v>
      </c>
      <c r="I915" s="3" t="s">
        <v>564</v>
      </c>
      <c r="J915" s="6" t="str">
        <f t="shared" si="29"/>
        <v>http://konect.cc/files/download.tsv.edit-cswikibooks.tar.bz2</v>
      </c>
      <c r="L915" s="5"/>
    </row>
    <row r="916" spans="3:12" x14ac:dyDescent="0.3">
      <c r="C916" s="6" t="s">
        <v>2691</v>
      </c>
      <c r="D916" s="3" t="s">
        <v>2692</v>
      </c>
      <c r="E916" s="6" t="s">
        <v>38</v>
      </c>
      <c r="F916" s="7">
        <v>4912</v>
      </c>
      <c r="G916" s="7">
        <v>91685</v>
      </c>
      <c r="H916" s="6">
        <f t="shared" si="28"/>
        <v>18.66551302931596</v>
      </c>
      <c r="I916" s="3" t="s">
        <v>786</v>
      </c>
      <c r="J916" s="6" t="str">
        <f t="shared" si="29"/>
        <v>http://konect.cc/files/download.tsv.edit-piwiki.tar.bz2</v>
      </c>
      <c r="L916" s="5"/>
    </row>
    <row r="917" spans="3:12" x14ac:dyDescent="0.3">
      <c r="C917" s="6" t="s">
        <v>2598</v>
      </c>
      <c r="D917" s="3" t="s">
        <v>2599</v>
      </c>
      <c r="E917" s="6" t="s">
        <v>38</v>
      </c>
      <c r="F917" s="7">
        <v>4904</v>
      </c>
      <c r="G917" s="7">
        <v>70695</v>
      </c>
      <c r="H917" s="6">
        <f t="shared" si="28"/>
        <v>14.415783034257748</v>
      </c>
      <c r="I917" s="3" t="s">
        <v>727</v>
      </c>
      <c r="J917" s="6" t="str">
        <f t="shared" si="29"/>
        <v>http://konect.cc/files/download.tsv.edit-nawiki.tar.bz2</v>
      </c>
      <c r="L917" s="5"/>
    </row>
    <row r="918" spans="3:12" x14ac:dyDescent="0.3">
      <c r="C918" s="6" t="s">
        <v>2564</v>
      </c>
      <c r="D918" s="3" t="s">
        <v>2565</v>
      </c>
      <c r="E918" s="6" t="s">
        <v>38</v>
      </c>
      <c r="F918" s="7">
        <v>4880</v>
      </c>
      <c r="G918" s="7">
        <v>61687</v>
      </c>
      <c r="H918" s="6">
        <f t="shared" si="28"/>
        <v>12.640778688524589</v>
      </c>
      <c r="I918" s="3" t="s">
        <v>708</v>
      </c>
      <c r="J918" s="6" t="str">
        <f t="shared" si="29"/>
        <v>http://konect.cc/files/download.tsv.edit-klwiki.tar.bz2</v>
      </c>
      <c r="L918" s="5"/>
    </row>
    <row r="919" spans="3:12" x14ac:dyDescent="0.3">
      <c r="C919" s="6" t="s">
        <v>2372</v>
      </c>
      <c r="D919" s="3" t="s">
        <v>2373</v>
      </c>
      <c r="E919" s="6" t="s">
        <v>38</v>
      </c>
      <c r="F919" s="7">
        <v>4821</v>
      </c>
      <c r="G919" s="7">
        <v>29595</v>
      </c>
      <c r="H919" s="6">
        <f t="shared" si="28"/>
        <v>6.1387678904791541</v>
      </c>
      <c r="I919" s="3" t="s">
        <v>602</v>
      </c>
      <c r="J919" s="6" t="str">
        <f t="shared" si="29"/>
        <v>http://konect.cc/files/download.tsv.edit-nowikibooks.tar.bz2</v>
      </c>
      <c r="L919" s="5"/>
    </row>
    <row r="920" spans="3:12" x14ac:dyDescent="0.3">
      <c r="C920" s="6" t="s">
        <v>2578</v>
      </c>
      <c r="D920" s="3" t="s">
        <v>2579</v>
      </c>
      <c r="E920" s="6" t="s">
        <v>38</v>
      </c>
      <c r="F920" s="7">
        <v>4784</v>
      </c>
      <c r="G920" s="7">
        <v>65031</v>
      </c>
      <c r="H920" s="6">
        <f t="shared" si="28"/>
        <v>13.593436454849499</v>
      </c>
      <c r="I920" s="3" t="s">
        <v>716</v>
      </c>
      <c r="J920" s="6" t="str">
        <f t="shared" si="29"/>
        <v>http://konect.cc/files/download.tsv.edit-hawwiki.tar.bz2</v>
      </c>
      <c r="L920" s="5"/>
    </row>
    <row r="921" spans="3:12" x14ac:dyDescent="0.3">
      <c r="C921" s="6" t="s">
        <v>2250</v>
      </c>
      <c r="D921" s="3" t="s">
        <v>2251</v>
      </c>
      <c r="E921" s="6" t="s">
        <v>38</v>
      </c>
      <c r="F921" s="7">
        <v>4740</v>
      </c>
      <c r="G921" s="7">
        <v>18527</v>
      </c>
      <c r="H921" s="6">
        <f t="shared" si="28"/>
        <v>3.908649789029536</v>
      </c>
      <c r="I921" s="3" t="s">
        <v>538</v>
      </c>
      <c r="J921" s="6" t="str">
        <f t="shared" si="29"/>
        <v>http://konect.cc/files/download.tsv.edit-rowikibooks.tar.bz2</v>
      </c>
      <c r="L921" s="5"/>
    </row>
    <row r="922" spans="3:12" x14ac:dyDescent="0.3">
      <c r="C922" s="6" t="s">
        <v>2316</v>
      </c>
      <c r="D922" s="3" t="s">
        <v>2317</v>
      </c>
      <c r="E922" s="6" t="s">
        <v>38</v>
      </c>
      <c r="F922" s="7">
        <v>4714</v>
      </c>
      <c r="G922" s="7">
        <v>23644</v>
      </c>
      <c r="H922" s="6">
        <f t="shared" si="28"/>
        <v>5.0156979210861268</v>
      </c>
      <c r="I922" s="3" t="s">
        <v>570</v>
      </c>
      <c r="J922" s="6" t="str">
        <f t="shared" si="29"/>
        <v>http://konect.cc/files/download.tsv.edit-elwikiversity.tar.bz2</v>
      </c>
      <c r="L922" s="5"/>
    </row>
    <row r="923" spans="3:12" x14ac:dyDescent="0.3">
      <c r="C923" s="6" t="s">
        <v>2204</v>
      </c>
      <c r="D923" s="3" t="s">
        <v>2205</v>
      </c>
      <c r="E923" s="6" t="s">
        <v>38</v>
      </c>
      <c r="F923" s="7">
        <v>4662</v>
      </c>
      <c r="G923" s="7">
        <v>15425</v>
      </c>
      <c r="H923" s="6">
        <f t="shared" si="28"/>
        <v>3.3086658086658085</v>
      </c>
      <c r="I923" s="3" t="s">
        <v>515</v>
      </c>
      <c r="J923" s="6" t="str">
        <f t="shared" si="29"/>
        <v>http://konect.cc/files/download.tsv.edit-lgwiki.tar.bz2</v>
      </c>
      <c r="L923" s="5"/>
    </row>
    <row r="924" spans="3:12" x14ac:dyDescent="0.3">
      <c r="C924" s="6" t="s">
        <v>2225</v>
      </c>
      <c r="D924" s="3" t="s">
        <v>2226</v>
      </c>
      <c r="E924" s="6" t="s">
        <v>1788</v>
      </c>
      <c r="F924" s="7">
        <v>4658</v>
      </c>
      <c r="G924" s="7">
        <v>40133</v>
      </c>
      <c r="H924" s="6">
        <f t="shared" si="28"/>
        <v>8.6159295835122371</v>
      </c>
      <c r="I924" s="3" t="s">
        <v>526</v>
      </c>
      <c r="J924" s="6" t="str">
        <f t="shared" si="29"/>
        <v>http://konect.cc/files/download.tsv.librec-ciaodvd-trust.tar.bz2</v>
      </c>
      <c r="L924" s="5"/>
    </row>
    <row r="925" spans="3:12" x14ac:dyDescent="0.3">
      <c r="C925" s="6" t="s">
        <v>2146</v>
      </c>
      <c r="D925" s="3" t="s">
        <v>2147</v>
      </c>
      <c r="E925" s="6" t="s">
        <v>38</v>
      </c>
      <c r="F925" s="7">
        <v>4647</v>
      </c>
      <c r="G925" s="7">
        <v>12370</v>
      </c>
      <c r="H925" s="6">
        <f t="shared" si="28"/>
        <v>2.6619324295244242</v>
      </c>
      <c r="I925" s="3" t="s">
        <v>483</v>
      </c>
      <c r="J925" s="6" t="str">
        <f t="shared" si="29"/>
        <v>http://konect.cc/files/download.tsv.edit-pawiktionary.tar.bz2</v>
      </c>
      <c r="L925" s="5"/>
    </row>
    <row r="926" spans="3:12" x14ac:dyDescent="0.3">
      <c r="C926" s="6" t="s">
        <v>2182</v>
      </c>
      <c r="D926" s="3" t="s">
        <v>2183</v>
      </c>
      <c r="E926" s="6" t="s">
        <v>38</v>
      </c>
      <c r="F926" s="7">
        <v>4637</v>
      </c>
      <c r="G926" s="7">
        <v>14598</v>
      </c>
      <c r="H926" s="6">
        <f t="shared" si="28"/>
        <v>3.1481561354323917</v>
      </c>
      <c r="I926" s="3" t="s">
        <v>501</v>
      </c>
      <c r="J926" s="6" t="str">
        <f t="shared" si="29"/>
        <v>http://konect.cc/files/download.tsv.edit-sawikiquote.tar.bz2</v>
      </c>
      <c r="L926" s="5"/>
    </row>
    <row r="927" spans="3:12" x14ac:dyDescent="0.3">
      <c r="C927" s="6" t="s">
        <v>2506</v>
      </c>
      <c r="D927" s="3" t="s">
        <v>2507</v>
      </c>
      <c r="E927" s="6" t="s">
        <v>38</v>
      </c>
      <c r="F927" s="7">
        <v>4623</v>
      </c>
      <c r="G927" s="7">
        <v>53419</v>
      </c>
      <c r="H927" s="6">
        <f t="shared" si="28"/>
        <v>11.555050832792558</v>
      </c>
      <c r="I927" s="3" t="s">
        <v>677</v>
      </c>
      <c r="J927" s="6" t="str">
        <f t="shared" si="29"/>
        <v>http://konect.cc/files/download.tsv.edit-tetwiki.tar.bz2</v>
      </c>
      <c r="L927" s="5"/>
    </row>
    <row r="928" spans="3:12" x14ac:dyDescent="0.3">
      <c r="C928" s="6" t="s">
        <v>2413</v>
      </c>
      <c r="D928" s="3" t="s">
        <v>2414</v>
      </c>
      <c r="E928" s="6" t="s">
        <v>38</v>
      </c>
      <c r="F928" s="7">
        <v>4609</v>
      </c>
      <c r="G928" s="7">
        <v>36438</v>
      </c>
      <c r="H928" s="6">
        <f t="shared" si="28"/>
        <v>7.9058364070297245</v>
      </c>
      <c r="I928" s="3" t="s">
        <v>623</v>
      </c>
      <c r="J928" s="6" t="str">
        <f t="shared" si="29"/>
        <v>http://konect.cc/files/download.tsv.edit-roa_rupwiki.tar.bz2</v>
      </c>
      <c r="L928" s="5"/>
    </row>
    <row r="929" spans="3:12" x14ac:dyDescent="0.3">
      <c r="C929" s="6" t="s">
        <v>2241</v>
      </c>
      <c r="D929" s="3" t="s">
        <v>2242</v>
      </c>
      <c r="E929" s="6" t="s">
        <v>38</v>
      </c>
      <c r="F929" s="7">
        <v>4567</v>
      </c>
      <c r="G929" s="7">
        <v>17832</v>
      </c>
      <c r="H929" s="6">
        <f t="shared" si="28"/>
        <v>3.9045325158747537</v>
      </c>
      <c r="I929" s="3" t="s">
        <v>534</v>
      </c>
      <c r="J929" s="6" t="str">
        <f t="shared" si="29"/>
        <v>http://konect.cc/files/download.tsv.edit-dawikibooks.tar.bz2</v>
      </c>
      <c r="L929" s="5"/>
    </row>
    <row r="930" spans="3:12" x14ac:dyDescent="0.3">
      <c r="C930" s="6" t="s">
        <v>2886</v>
      </c>
      <c r="D930" s="3" t="s">
        <v>2887</v>
      </c>
      <c r="E930" s="6" t="s">
        <v>38</v>
      </c>
      <c r="F930" s="7">
        <v>4551</v>
      </c>
      <c r="G930" s="7">
        <v>161936</v>
      </c>
      <c r="H930" s="6">
        <f t="shared" si="28"/>
        <v>35.582509338606897</v>
      </c>
      <c r="I930" s="3" t="s">
        <v>896</v>
      </c>
      <c r="J930" s="6" t="str">
        <f t="shared" si="29"/>
        <v>http://konect.cc/files/download.tsv.edit-fywiki.tar.bz2</v>
      </c>
      <c r="L930" s="5"/>
    </row>
    <row r="931" spans="3:12" x14ac:dyDescent="0.3">
      <c r="C931" s="6" t="s">
        <v>2258</v>
      </c>
      <c r="D931" s="3" t="s">
        <v>2259</v>
      </c>
      <c r="E931" s="6" t="s">
        <v>38</v>
      </c>
      <c r="F931" s="7">
        <v>4540</v>
      </c>
      <c r="G931" s="7">
        <v>18981</v>
      </c>
      <c r="H931" s="6">
        <f t="shared" si="28"/>
        <v>4.1808370044052863</v>
      </c>
      <c r="I931" s="3" t="s">
        <v>541</v>
      </c>
      <c r="J931" s="6" t="str">
        <f t="shared" si="29"/>
        <v>http://konect.cc/files/download.tsv.edit-bswikinews.tar.bz2</v>
      </c>
      <c r="L931" s="5"/>
    </row>
    <row r="932" spans="3:12" x14ac:dyDescent="0.3">
      <c r="C932" s="6" t="s">
        <v>2340</v>
      </c>
      <c r="D932" s="3" t="s">
        <v>2341</v>
      </c>
      <c r="E932" s="6" t="s">
        <v>38</v>
      </c>
      <c r="F932" s="7">
        <v>4531</v>
      </c>
      <c r="G932" s="7">
        <v>26511</v>
      </c>
      <c r="H932" s="6">
        <f t="shared" si="28"/>
        <v>5.851026263517987</v>
      </c>
      <c r="I932" s="3" t="s">
        <v>584</v>
      </c>
      <c r="J932" s="6" t="str">
        <f t="shared" si="29"/>
        <v>http://konect.cc/files/download.tsv.edit-zuwiki.tar.bz2</v>
      </c>
      <c r="L932" s="5"/>
    </row>
    <row r="933" spans="3:12" x14ac:dyDescent="0.3">
      <c r="C933" s="6" t="s">
        <v>2215</v>
      </c>
      <c r="D933" s="3" t="s">
        <v>2216</v>
      </c>
      <c r="E933" s="6" t="s">
        <v>38</v>
      </c>
      <c r="F933" s="7">
        <v>4523</v>
      </c>
      <c r="G933" s="7">
        <v>16900</v>
      </c>
      <c r="H933" s="6">
        <f t="shared" si="28"/>
        <v>3.736458103028963</v>
      </c>
      <c r="I933" s="3" t="s">
        <v>521</v>
      </c>
      <c r="J933" s="6" t="str">
        <f t="shared" si="29"/>
        <v>http://konect.cc/files/download.tsv.edit-nowikinews.tar.bz2</v>
      </c>
      <c r="L933" s="5"/>
    </row>
    <row r="934" spans="3:12" x14ac:dyDescent="0.3">
      <c r="C934" s="6" t="s">
        <v>2158</v>
      </c>
      <c r="D934" s="3" t="s">
        <v>2159</v>
      </c>
      <c r="E934" s="6" t="s">
        <v>38</v>
      </c>
      <c r="F934" s="7">
        <v>4457</v>
      </c>
      <c r="G934" s="7">
        <v>13336</v>
      </c>
      <c r="H934" s="6">
        <f t="shared" si="28"/>
        <v>2.9921471842046219</v>
      </c>
      <c r="I934" s="3" t="s">
        <v>489</v>
      </c>
      <c r="J934" s="6" t="str">
        <f t="shared" si="29"/>
        <v>http://konect.cc/files/download.tsv.edit-bgwikinews.tar.bz2</v>
      </c>
      <c r="L934" s="5"/>
    </row>
    <row r="935" spans="3:12" x14ac:dyDescent="0.3">
      <c r="C935" s="6" t="s">
        <v>2128</v>
      </c>
      <c r="D935" s="3" t="s">
        <v>2129</v>
      </c>
      <c r="E935" s="6" t="s">
        <v>38</v>
      </c>
      <c r="F935" s="7">
        <v>4414</v>
      </c>
      <c r="G935" s="7">
        <v>11668</v>
      </c>
      <c r="H935" s="6">
        <f t="shared" si="28"/>
        <v>2.6434073402809242</v>
      </c>
      <c r="I935" s="3" t="s">
        <v>472</v>
      </c>
      <c r="J935" s="6" t="str">
        <f t="shared" si="29"/>
        <v>http://konect.cc/files/download.tsv.edit-idwikiquote.tar.bz2</v>
      </c>
      <c r="L935" s="5"/>
    </row>
    <row r="936" spans="3:12" x14ac:dyDescent="0.3">
      <c r="C936" s="6" t="s">
        <v>2389</v>
      </c>
      <c r="D936" s="3" t="s">
        <v>2390</v>
      </c>
      <c r="E936" s="6" t="s">
        <v>38</v>
      </c>
      <c r="F936" s="7">
        <v>4396</v>
      </c>
      <c r="G936" s="7">
        <v>31157</v>
      </c>
      <c r="H936" s="6">
        <f t="shared" si="28"/>
        <v>7.0875796178343951</v>
      </c>
      <c r="I936" s="3" t="s">
        <v>611</v>
      </c>
      <c r="J936" s="6" t="str">
        <f t="shared" si="29"/>
        <v>http://konect.cc/files/download.tsv.edit-fiwikiversity.tar.bz2</v>
      </c>
      <c r="L936" s="5"/>
    </row>
    <row r="937" spans="3:12" x14ac:dyDescent="0.3">
      <c r="C937" s="6" t="s">
        <v>2276</v>
      </c>
      <c r="D937" s="3" t="s">
        <v>2277</v>
      </c>
      <c r="E937" s="6" t="s">
        <v>38</v>
      </c>
      <c r="F937" s="7">
        <v>4390</v>
      </c>
      <c r="G937" s="7">
        <v>20779</v>
      </c>
      <c r="H937" s="6">
        <f t="shared" si="28"/>
        <v>4.7332574031890662</v>
      </c>
      <c r="I937" s="3" t="s">
        <v>550</v>
      </c>
      <c r="J937" s="6" t="str">
        <f t="shared" si="29"/>
        <v>http://konect.cc/files/download.tsv.edit-elwikiquote.tar.bz2</v>
      </c>
      <c r="L937" s="5"/>
    </row>
    <row r="938" spans="3:12" x14ac:dyDescent="0.3">
      <c r="C938" s="6" t="s">
        <v>2290</v>
      </c>
      <c r="D938" s="3" t="s">
        <v>2291</v>
      </c>
      <c r="E938" s="6" t="s">
        <v>38</v>
      </c>
      <c r="F938" s="7">
        <v>4377</v>
      </c>
      <c r="G938" s="7">
        <v>21686</v>
      </c>
      <c r="H938" s="6">
        <f t="shared" si="28"/>
        <v>4.9545350696824313</v>
      </c>
      <c r="I938" s="3" t="s">
        <v>557</v>
      </c>
      <c r="J938" s="6" t="str">
        <f t="shared" si="29"/>
        <v>http://konect.cc/files/download.tsv.edit-gdwiktionary.tar.bz2</v>
      </c>
      <c r="L938" s="5"/>
    </row>
    <row r="939" spans="3:12" x14ac:dyDescent="0.3">
      <c r="C939" s="6" t="s">
        <v>2184</v>
      </c>
      <c r="D939" s="3" t="s">
        <v>2185</v>
      </c>
      <c r="E939" s="6" t="s">
        <v>38</v>
      </c>
      <c r="F939" s="7">
        <v>4337</v>
      </c>
      <c r="G939" s="7">
        <v>14353</v>
      </c>
      <c r="H939" s="6">
        <f t="shared" si="28"/>
        <v>3.3094304818999309</v>
      </c>
      <c r="I939" s="3" t="s">
        <v>502</v>
      </c>
      <c r="J939" s="6" t="str">
        <f t="shared" si="29"/>
        <v>http://konect.cc/files/download.tsv.edit-mrwiktionary.tar.bz2</v>
      </c>
      <c r="L939" s="5"/>
    </row>
    <row r="940" spans="3:12" x14ac:dyDescent="0.3">
      <c r="C940" s="6" t="s">
        <v>2306</v>
      </c>
      <c r="D940" s="3" t="s">
        <v>2307</v>
      </c>
      <c r="E940" s="6" t="s">
        <v>38</v>
      </c>
      <c r="F940" s="7">
        <v>4286</v>
      </c>
      <c r="G940" s="7">
        <v>23338</v>
      </c>
      <c r="H940" s="6">
        <f t="shared" si="28"/>
        <v>5.4451703219785346</v>
      </c>
      <c r="I940" s="3" t="s">
        <v>565</v>
      </c>
      <c r="J940" s="6" t="str">
        <f t="shared" si="29"/>
        <v>http://konect.cc/files/download.tsv.edit-hawiki.tar.bz2</v>
      </c>
      <c r="L940" s="5"/>
    </row>
    <row r="941" spans="3:12" x14ac:dyDescent="0.3">
      <c r="C941" s="6" t="s">
        <v>2364</v>
      </c>
      <c r="D941" s="3" t="s">
        <v>2365</v>
      </c>
      <c r="E941" s="6" t="s">
        <v>38</v>
      </c>
      <c r="F941" s="7">
        <v>4273</v>
      </c>
      <c r="G941" s="7">
        <v>29664</v>
      </c>
      <c r="H941" s="6">
        <f t="shared" si="28"/>
        <v>6.9421951790311258</v>
      </c>
      <c r="I941" s="3" t="s">
        <v>598</v>
      </c>
      <c r="J941" s="6" t="str">
        <f t="shared" si="29"/>
        <v>http://konect.cc/files/download.tsv.edit-chrwiki.tar.bz2</v>
      </c>
      <c r="L941" s="5"/>
    </row>
    <row r="942" spans="3:12" x14ac:dyDescent="0.3">
      <c r="C942" s="6" t="s">
        <v>2693</v>
      </c>
      <c r="D942" s="3" t="s">
        <v>2694</v>
      </c>
      <c r="E942" s="6" t="s">
        <v>98</v>
      </c>
      <c r="F942" s="7">
        <v>4266</v>
      </c>
      <c r="G942" s="7">
        <v>206809</v>
      </c>
      <c r="H942" s="6">
        <f t="shared" si="28"/>
        <v>48.478434130332865</v>
      </c>
      <c r="I942" s="3" t="s">
        <v>787</v>
      </c>
      <c r="J942" s="6" t="str">
        <f t="shared" si="29"/>
        <v>http://konect.cc/files/download.tsv.wikipedia_link_dv.tar.bz2</v>
      </c>
      <c r="L942" s="5"/>
    </row>
    <row r="943" spans="3:12" x14ac:dyDescent="0.3">
      <c r="C943" s="6" t="s">
        <v>2266</v>
      </c>
      <c r="D943" s="3" t="s">
        <v>2267</v>
      </c>
      <c r="E943" s="6" t="s">
        <v>38</v>
      </c>
      <c r="F943" s="7">
        <v>4262</v>
      </c>
      <c r="G943" s="7">
        <v>19798</v>
      </c>
      <c r="H943" s="6">
        <f t="shared" si="28"/>
        <v>4.6452369779446272</v>
      </c>
      <c r="I943" s="3" t="s">
        <v>546</v>
      </c>
      <c r="J943" s="6" t="str">
        <f t="shared" si="29"/>
        <v>http://konect.cc/files/download.tsv.edit-eowikiquote.tar.bz2</v>
      </c>
      <c r="L943" s="5"/>
    </row>
    <row r="944" spans="3:12" x14ac:dyDescent="0.3">
      <c r="C944" s="6" t="s">
        <v>2166</v>
      </c>
      <c r="D944" s="3" t="s">
        <v>2167</v>
      </c>
      <c r="E944" s="6" t="s">
        <v>38</v>
      </c>
      <c r="F944" s="7">
        <v>4232</v>
      </c>
      <c r="G944" s="7">
        <v>13767</v>
      </c>
      <c r="H944" s="6">
        <f t="shared" si="28"/>
        <v>3.2530718336483933</v>
      </c>
      <c r="I944" s="3" t="s">
        <v>493</v>
      </c>
      <c r="J944" s="6" t="str">
        <f t="shared" si="29"/>
        <v>http://konect.cc/files/download.tsv.edit-nnwikiquote.tar.bz2</v>
      </c>
      <c r="L944" s="5"/>
    </row>
    <row r="945" spans="3:12" x14ac:dyDescent="0.3">
      <c r="C945" s="6" t="s">
        <v>2429</v>
      </c>
      <c r="D945" s="3" t="s">
        <v>2430</v>
      </c>
      <c r="E945" s="6" t="s">
        <v>38</v>
      </c>
      <c r="F945" s="7">
        <v>4216</v>
      </c>
      <c r="G945" s="7">
        <v>38039</v>
      </c>
      <c r="H945" s="6">
        <f t="shared" si="28"/>
        <v>9.0225332068311204</v>
      </c>
      <c r="I945" s="3" t="s">
        <v>632</v>
      </c>
      <c r="J945" s="6" t="str">
        <f t="shared" si="29"/>
        <v>http://konect.cc/files/download.tsv.edit-fiwikivoyage.tar.bz2</v>
      </c>
      <c r="L945" s="5"/>
    </row>
    <row r="946" spans="3:12" x14ac:dyDescent="0.3">
      <c r="C946" s="6" t="s">
        <v>2172</v>
      </c>
      <c r="D946" s="3" t="s">
        <v>2173</v>
      </c>
      <c r="E946" s="6" t="s">
        <v>38</v>
      </c>
      <c r="F946" s="7">
        <v>4214</v>
      </c>
      <c r="G946" s="7">
        <v>13905</v>
      </c>
      <c r="H946" s="6">
        <f t="shared" si="28"/>
        <v>3.2997152349311816</v>
      </c>
      <c r="I946" s="3" t="s">
        <v>496</v>
      </c>
      <c r="J946" s="6" t="str">
        <f t="shared" si="29"/>
        <v>http://konect.cc/files/download.tsv.edit-guwiktionary.tar.bz2</v>
      </c>
      <c r="L946" s="5"/>
    </row>
    <row r="947" spans="3:12" x14ac:dyDescent="0.3">
      <c r="C947" s="6" t="s">
        <v>2231</v>
      </c>
      <c r="D947" s="3" t="s">
        <v>2232</v>
      </c>
      <c r="E947" s="6" t="s">
        <v>38</v>
      </c>
      <c r="F947" s="7">
        <v>4205</v>
      </c>
      <c r="G947" s="7">
        <v>17517</v>
      </c>
      <c r="H947" s="6">
        <f t="shared" si="28"/>
        <v>4.1657550535077288</v>
      </c>
      <c r="I947" s="3" t="s">
        <v>529</v>
      </c>
      <c r="J947" s="6" t="str">
        <f t="shared" si="29"/>
        <v>http://konect.cc/files/download.tsv.edit-svwikiquote.tar.bz2</v>
      </c>
      <c r="L947" s="5"/>
    </row>
    <row r="948" spans="3:12" x14ac:dyDescent="0.3">
      <c r="C948" s="6" t="s">
        <v>2254</v>
      </c>
      <c r="D948" s="3" t="s">
        <v>2255</v>
      </c>
      <c r="E948" s="6" t="s">
        <v>38</v>
      </c>
      <c r="F948" s="7">
        <v>4197</v>
      </c>
      <c r="G948" s="7">
        <v>18841</v>
      </c>
      <c r="H948" s="6">
        <f t="shared" si="28"/>
        <v>4.4891589230402671</v>
      </c>
      <c r="I948" s="3" t="s">
        <v>539</v>
      </c>
      <c r="J948" s="6" t="str">
        <f t="shared" si="29"/>
        <v>http://konect.cc/files/download.tsv.edit-kowikiquote.tar.bz2</v>
      </c>
      <c r="L948" s="5"/>
    </row>
    <row r="949" spans="3:12" x14ac:dyDescent="0.3">
      <c r="C949" s="6" t="s">
        <v>2831</v>
      </c>
      <c r="D949" s="3" t="s">
        <v>1506</v>
      </c>
      <c r="E949" s="6" t="s">
        <v>2832</v>
      </c>
      <c r="F949" s="7">
        <v>4179</v>
      </c>
      <c r="G949" s="7">
        <v>343950</v>
      </c>
      <c r="H949" s="6">
        <f t="shared" si="28"/>
        <v>82.304379038047387</v>
      </c>
      <c r="I949" s="3" t="s">
        <v>863</v>
      </c>
      <c r="J949" s="6" t="str">
        <f t="shared" si="29"/>
        <v>http://konect.cc/files/download.tsv.wikispeedia.tar.bz2</v>
      </c>
      <c r="L949" s="5"/>
    </row>
    <row r="950" spans="3:12" x14ac:dyDescent="0.3">
      <c r="C950" s="6" t="s">
        <v>2237</v>
      </c>
      <c r="D950" s="3" t="s">
        <v>2238</v>
      </c>
      <c r="E950" s="6" t="s">
        <v>38</v>
      </c>
      <c r="F950" s="7">
        <v>4156</v>
      </c>
      <c r="G950" s="7">
        <v>18361</v>
      </c>
      <c r="H950" s="6">
        <f t="shared" si="28"/>
        <v>4.4179499518768051</v>
      </c>
      <c r="I950" s="3" t="s">
        <v>532</v>
      </c>
      <c r="J950" s="6" t="str">
        <f t="shared" si="29"/>
        <v>http://konect.cc/files/download.tsv.edit-tyvwiki.tar.bz2</v>
      </c>
      <c r="L950" s="5"/>
    </row>
    <row r="951" spans="3:12" x14ac:dyDescent="0.3">
      <c r="C951" s="6" t="s">
        <v>2312</v>
      </c>
      <c r="D951" s="3" t="s">
        <v>2313</v>
      </c>
      <c r="E951" s="6" t="s">
        <v>38</v>
      </c>
      <c r="F951" s="7">
        <v>4140</v>
      </c>
      <c r="G951" s="7">
        <v>23721</v>
      </c>
      <c r="H951" s="6">
        <f t="shared" si="28"/>
        <v>5.7297101449275365</v>
      </c>
      <c r="I951" s="3" t="s">
        <v>568</v>
      </c>
      <c r="J951" s="6" t="str">
        <f t="shared" si="29"/>
        <v>http://konect.cc/files/download.tsv.edit-kawikiquote.tar.bz2</v>
      </c>
      <c r="L951" s="5"/>
    </row>
    <row r="952" spans="3:12" x14ac:dyDescent="0.3">
      <c r="C952" s="6" t="s">
        <v>2457</v>
      </c>
      <c r="D952" s="3" t="s">
        <v>2458</v>
      </c>
      <c r="E952" s="6" t="s">
        <v>38</v>
      </c>
      <c r="F952" s="7">
        <v>4071</v>
      </c>
      <c r="G952" s="7">
        <v>45925</v>
      </c>
      <c r="H952" s="6">
        <f t="shared" si="28"/>
        <v>11.281012036354705</v>
      </c>
      <c r="I952" s="3" t="s">
        <v>648</v>
      </c>
      <c r="J952" s="6" t="str">
        <f t="shared" si="29"/>
        <v>http://konect.cc/files/download.tsv.edit-angwiktionary.tar.bz2</v>
      </c>
      <c r="L952" s="5"/>
    </row>
    <row r="953" spans="3:12" x14ac:dyDescent="0.3">
      <c r="C953" s="6" t="s">
        <v>2318</v>
      </c>
      <c r="D953" s="3" t="s">
        <v>2319</v>
      </c>
      <c r="E953" s="6" t="s">
        <v>38</v>
      </c>
      <c r="F953" s="7">
        <v>3973</v>
      </c>
      <c r="G953" s="7">
        <v>25348</v>
      </c>
      <c r="H953" s="6">
        <f t="shared" si="28"/>
        <v>6.3800654417316887</v>
      </c>
      <c r="I953" s="3" t="s">
        <v>571</v>
      </c>
      <c r="J953" s="6" t="str">
        <f t="shared" si="29"/>
        <v>http://konect.cc/files/download.tsv.edit-viwikivoyage.tar.bz2</v>
      </c>
      <c r="L953" s="5"/>
    </row>
    <row r="954" spans="3:12" x14ac:dyDescent="0.3">
      <c r="C954" s="6" t="s">
        <v>2239</v>
      </c>
      <c r="D954" s="3" t="s">
        <v>2240</v>
      </c>
      <c r="E954" s="6" t="s">
        <v>38</v>
      </c>
      <c r="F954" s="7">
        <v>3964</v>
      </c>
      <c r="G954" s="7">
        <v>17778</v>
      </c>
      <c r="H954" s="6">
        <f t="shared" si="28"/>
        <v>4.4848637739656914</v>
      </c>
      <c r="I954" s="3" t="s">
        <v>533</v>
      </c>
      <c r="J954" s="6" t="str">
        <f t="shared" si="29"/>
        <v>http://konect.cc/files/download.tsv.edit-wowiktionary.tar.bz2</v>
      </c>
      <c r="L954" s="5"/>
    </row>
    <row r="955" spans="3:12" x14ac:dyDescent="0.3">
      <c r="C955" s="6" t="s">
        <v>2118</v>
      </c>
      <c r="D955" s="3" t="s">
        <v>2119</v>
      </c>
      <c r="E955" s="6" t="s">
        <v>38</v>
      </c>
      <c r="F955" s="7">
        <v>3955</v>
      </c>
      <c r="G955" s="7">
        <v>11388</v>
      </c>
      <c r="H955" s="6">
        <f t="shared" si="28"/>
        <v>2.879393173198483</v>
      </c>
      <c r="I955" s="3" t="s">
        <v>467</v>
      </c>
      <c r="J955" s="6" t="str">
        <f t="shared" si="29"/>
        <v>http://konect.cc/files/download.tsv.edit-mlwikibooks.tar.bz2</v>
      </c>
      <c r="L955" s="5"/>
    </row>
    <row r="956" spans="3:12" x14ac:dyDescent="0.3">
      <c r="C956" s="6" t="s">
        <v>2336</v>
      </c>
      <c r="D956" s="3" t="s">
        <v>2337</v>
      </c>
      <c r="E956" s="6" t="s">
        <v>38</v>
      </c>
      <c r="F956" s="7">
        <v>3939</v>
      </c>
      <c r="G956" s="7">
        <v>26259</v>
      </c>
      <c r="H956" s="6">
        <f t="shared" si="28"/>
        <v>6.666412795125666</v>
      </c>
      <c r="I956" s="3" t="s">
        <v>582</v>
      </c>
      <c r="J956" s="6" t="str">
        <f t="shared" si="29"/>
        <v>http://konect.cc/files/download.tsv.edit-gotwiki.tar.bz2</v>
      </c>
      <c r="L956" s="5"/>
    </row>
    <row r="957" spans="3:12" x14ac:dyDescent="0.3">
      <c r="C957" s="6" t="s">
        <v>2286</v>
      </c>
      <c r="D957" s="3" t="s">
        <v>2287</v>
      </c>
      <c r="E957" s="6" t="s">
        <v>38</v>
      </c>
      <c r="F957" s="7">
        <v>3929</v>
      </c>
      <c r="G957" s="7">
        <v>20595</v>
      </c>
      <c r="H957" s="6">
        <f t="shared" si="28"/>
        <v>5.2417918045304148</v>
      </c>
      <c r="I957" s="3" t="s">
        <v>555</v>
      </c>
      <c r="J957" s="6" t="str">
        <f t="shared" si="29"/>
        <v>http://konect.cc/files/download.tsv.edit-viwikiquote.tar.bz2</v>
      </c>
      <c r="L957" s="5"/>
    </row>
    <row r="958" spans="3:12" x14ac:dyDescent="0.3">
      <c r="C958" s="6" t="s">
        <v>2092</v>
      </c>
      <c r="D958" s="3" t="s">
        <v>2093</v>
      </c>
      <c r="E958" s="6" t="s">
        <v>38</v>
      </c>
      <c r="F958" s="7">
        <v>3912</v>
      </c>
      <c r="G958" s="7">
        <v>10320</v>
      </c>
      <c r="H958" s="6">
        <f t="shared" si="28"/>
        <v>2.6380368098159508</v>
      </c>
      <c r="I958" s="3" t="s">
        <v>454</v>
      </c>
      <c r="J958" s="6" t="str">
        <f t="shared" si="29"/>
        <v>http://konect.cc/files/download.tsv.edit-aswikisource.tar.bz2</v>
      </c>
      <c r="L958" s="5"/>
    </row>
    <row r="959" spans="3:12" x14ac:dyDescent="0.3">
      <c r="C959" s="6" t="s">
        <v>2374</v>
      </c>
      <c r="D959" s="3" t="s">
        <v>2375</v>
      </c>
      <c r="E959" s="6" t="s">
        <v>38</v>
      </c>
      <c r="F959" s="7">
        <v>3884</v>
      </c>
      <c r="G959" s="7">
        <v>30401</v>
      </c>
      <c r="H959" s="6">
        <f t="shared" si="28"/>
        <v>7.8272399588053556</v>
      </c>
      <c r="I959" s="3" t="s">
        <v>603</v>
      </c>
      <c r="J959" s="6" t="str">
        <f t="shared" si="29"/>
        <v>http://konect.cc/files/download.tsv.edit-tcywiki.tar.bz2</v>
      </c>
      <c r="L959" s="5"/>
    </row>
    <row r="960" spans="3:12" x14ac:dyDescent="0.3">
      <c r="C960" s="6" t="s">
        <v>2098</v>
      </c>
      <c r="D960" s="3" t="s">
        <v>2099</v>
      </c>
      <c r="E960" s="6" t="s">
        <v>38</v>
      </c>
      <c r="F960" s="7">
        <v>3873</v>
      </c>
      <c r="G960" s="7">
        <v>10561</v>
      </c>
      <c r="H960" s="6">
        <f t="shared" si="28"/>
        <v>2.7268267492899563</v>
      </c>
      <c r="I960" s="3" t="s">
        <v>457</v>
      </c>
      <c r="J960" s="6" t="str">
        <f t="shared" si="29"/>
        <v>http://konect.cc/files/download.tsv.edit-tawikibooks.tar.bz2</v>
      </c>
      <c r="L960" s="5"/>
    </row>
    <row r="961" spans="3:12" x14ac:dyDescent="0.3">
      <c r="C961" s="6" t="s">
        <v>2086</v>
      </c>
      <c r="D961" s="3" t="s">
        <v>2087</v>
      </c>
      <c r="E961" s="6" t="s">
        <v>38</v>
      </c>
      <c r="F961" s="7">
        <v>3862</v>
      </c>
      <c r="G961" s="7">
        <v>9712</v>
      </c>
      <c r="H961" s="6">
        <f t="shared" si="28"/>
        <v>2.5147591921284307</v>
      </c>
      <c r="I961" s="3" t="s">
        <v>451</v>
      </c>
      <c r="J961" s="6" t="str">
        <f t="shared" si="29"/>
        <v>http://konect.cc/files/download.tsv.edit-bgwikisource.tar.bz2</v>
      </c>
      <c r="L961" s="5"/>
    </row>
    <row r="962" spans="3:12" x14ac:dyDescent="0.3">
      <c r="C962" s="6" t="s">
        <v>2154</v>
      </c>
      <c r="D962" s="3" t="s">
        <v>2155</v>
      </c>
      <c r="E962" s="6" t="s">
        <v>38</v>
      </c>
      <c r="F962" s="7">
        <v>3834</v>
      </c>
      <c r="G962" s="7">
        <v>12574</v>
      </c>
      <c r="H962" s="6">
        <f t="shared" ref="H962:H1025" si="30">G962/F962</f>
        <v>3.2796035472091809</v>
      </c>
      <c r="I962" s="3" t="s">
        <v>487</v>
      </c>
      <c r="J962" s="6" t="str">
        <f t="shared" ref="J962:J1025" si="31">"http://konect.cc/files/download.tsv."&amp;I962&amp;".tar.bz2"</f>
        <v>http://konect.cc/files/download.tsv.edit-mlwikiquote.tar.bz2</v>
      </c>
      <c r="L962" s="5"/>
    </row>
    <row r="963" spans="3:12" x14ac:dyDescent="0.3">
      <c r="C963" s="6" t="s">
        <v>2320</v>
      </c>
      <c r="D963" s="3" t="s">
        <v>2321</v>
      </c>
      <c r="E963" s="6" t="s">
        <v>38</v>
      </c>
      <c r="F963" s="7">
        <v>3826</v>
      </c>
      <c r="G963" s="7">
        <v>25269</v>
      </c>
      <c r="H963" s="6">
        <f t="shared" si="30"/>
        <v>6.604547830632514</v>
      </c>
      <c r="I963" s="3" t="s">
        <v>572</v>
      </c>
      <c r="J963" s="6" t="str">
        <f t="shared" si="31"/>
        <v>http://konect.cc/files/download.tsv.edit-ugwiktionary.tar.bz2</v>
      </c>
      <c r="L963" s="5"/>
    </row>
    <row r="964" spans="3:12" x14ac:dyDescent="0.3">
      <c r="C964" s="6" t="s">
        <v>2494</v>
      </c>
      <c r="D964" s="3" t="s">
        <v>2495</v>
      </c>
      <c r="E964" s="6" t="s">
        <v>98</v>
      </c>
      <c r="F964" s="7">
        <v>3811</v>
      </c>
      <c r="G964" s="7">
        <v>132837</v>
      </c>
      <c r="H964" s="6">
        <f t="shared" si="30"/>
        <v>34.856205720283391</v>
      </c>
      <c r="I964" s="3" t="s">
        <v>671</v>
      </c>
      <c r="J964" s="6" t="str">
        <f t="shared" si="31"/>
        <v>http://konect.cc/files/download.tsv.wikipedia_link_lo.tar.bz2</v>
      </c>
      <c r="L964" s="5"/>
    </row>
    <row r="965" spans="3:12" x14ac:dyDescent="0.3">
      <c r="C965" s="6" t="s">
        <v>2108</v>
      </c>
      <c r="D965" s="3" t="s">
        <v>2109</v>
      </c>
      <c r="E965" s="6" t="s">
        <v>38</v>
      </c>
      <c r="F965" s="7">
        <v>3795</v>
      </c>
      <c r="G965" s="7">
        <v>11174</v>
      </c>
      <c r="H965" s="6">
        <f t="shared" si="30"/>
        <v>2.9444005270092228</v>
      </c>
      <c r="I965" s="3" t="s">
        <v>462</v>
      </c>
      <c r="J965" s="6" t="str">
        <f t="shared" si="31"/>
        <v>http://konect.cc/files/download.tsv.edit-tewikiquote.tar.bz2</v>
      </c>
      <c r="L965" s="5"/>
    </row>
    <row r="966" spans="3:12" x14ac:dyDescent="0.3">
      <c r="C966" s="6" t="s">
        <v>2325</v>
      </c>
      <c r="D966" s="3" t="s">
        <v>2326</v>
      </c>
      <c r="E966" s="6" t="s">
        <v>2327</v>
      </c>
      <c r="F966" s="7">
        <v>3783</v>
      </c>
      <c r="G966" s="7">
        <v>24186</v>
      </c>
      <c r="H966" s="6">
        <f t="shared" si="30"/>
        <v>6.3933386201427442</v>
      </c>
      <c r="I966" s="3" t="s">
        <v>577</v>
      </c>
      <c r="J966" s="6" t="str">
        <f t="shared" si="31"/>
        <v>http://konect.cc/files/download.tsv.soc-sign-bitcoinalpha.tar.bz2</v>
      </c>
      <c r="L966" s="5"/>
    </row>
    <row r="967" spans="3:12" x14ac:dyDescent="0.3">
      <c r="C967" s="6" t="s">
        <v>2148</v>
      </c>
      <c r="D967" s="3" t="s">
        <v>2149</v>
      </c>
      <c r="E967" s="6" t="s">
        <v>38</v>
      </c>
      <c r="F967" s="7">
        <v>3771</v>
      </c>
      <c r="G967" s="7">
        <v>12757</v>
      </c>
      <c r="H967" s="6">
        <f t="shared" si="30"/>
        <v>3.3829223017767172</v>
      </c>
      <c r="I967" s="3" t="s">
        <v>484</v>
      </c>
      <c r="J967" s="6" t="str">
        <f t="shared" si="31"/>
        <v>http://konect.cc/files/download.tsv.edit-hrwikibooks.tar.bz2</v>
      </c>
      <c r="L967" s="5"/>
    </row>
    <row r="968" spans="3:12" x14ac:dyDescent="0.3">
      <c r="C968" s="6" t="s">
        <v>2235</v>
      </c>
      <c r="D968" s="3" t="s">
        <v>2236</v>
      </c>
      <c r="E968" s="6" t="s">
        <v>38</v>
      </c>
      <c r="F968" s="7">
        <v>3762</v>
      </c>
      <c r="G968" s="7">
        <v>17950</v>
      </c>
      <c r="H968" s="6">
        <f t="shared" si="30"/>
        <v>4.7713981924508237</v>
      </c>
      <c r="I968" s="3" t="s">
        <v>531</v>
      </c>
      <c r="J968" s="6" t="str">
        <f t="shared" si="31"/>
        <v>http://konect.cc/files/download.tsv.edit-hrwikiquote.tar.bz2</v>
      </c>
      <c r="L968" s="5"/>
    </row>
    <row r="969" spans="3:12" x14ac:dyDescent="0.3">
      <c r="C969" s="6" t="s">
        <v>2180</v>
      </c>
      <c r="D969" s="3" t="s">
        <v>2181</v>
      </c>
      <c r="E969" s="6" t="s">
        <v>38</v>
      </c>
      <c r="F969" s="7">
        <v>3672</v>
      </c>
      <c r="G969" s="7">
        <v>13811</v>
      </c>
      <c r="H969" s="6">
        <f t="shared" si="30"/>
        <v>3.761165577342048</v>
      </c>
      <c r="I969" s="3" t="s">
        <v>500</v>
      </c>
      <c r="J969" s="6" t="str">
        <f t="shared" si="31"/>
        <v>http://konect.cc/files/download.tsv.edit-eowikibooks.tar.bz2</v>
      </c>
      <c r="L969" s="5"/>
    </row>
    <row r="970" spans="3:12" x14ac:dyDescent="0.3">
      <c r="C970" s="6" t="s">
        <v>2334</v>
      </c>
      <c r="D970" s="3" t="s">
        <v>2335</v>
      </c>
      <c r="E970" s="6" t="s">
        <v>38</v>
      </c>
      <c r="F970" s="7">
        <v>3646</v>
      </c>
      <c r="G970" s="7">
        <v>26344</v>
      </c>
      <c r="H970" s="6">
        <f t="shared" si="30"/>
        <v>7.2254525507405374</v>
      </c>
      <c r="I970" s="3" t="s">
        <v>581</v>
      </c>
      <c r="J970" s="6" t="str">
        <f t="shared" si="31"/>
        <v>http://konect.cc/files/download.tsv.edit-biwiki.tar.bz2</v>
      </c>
      <c r="L970" s="5"/>
    </row>
    <row r="971" spans="3:12" x14ac:dyDescent="0.3">
      <c r="C971" s="6" t="s">
        <v>2270</v>
      </c>
      <c r="D971" s="3" t="s">
        <v>2271</v>
      </c>
      <c r="E971" s="6" t="s">
        <v>38</v>
      </c>
      <c r="F971" s="7">
        <v>3606</v>
      </c>
      <c r="G971" s="7">
        <v>20309</v>
      </c>
      <c r="H971" s="6">
        <f t="shared" si="30"/>
        <v>5.632002218524681</v>
      </c>
      <c r="I971" s="3" t="s">
        <v>548</v>
      </c>
      <c r="J971" s="6" t="str">
        <f t="shared" si="31"/>
        <v>http://konect.cc/files/download.tsv.edit-xhwiki.tar.bz2</v>
      </c>
      <c r="L971" s="5"/>
    </row>
    <row r="972" spans="3:12" x14ac:dyDescent="0.3">
      <c r="C972" s="6" t="s">
        <v>2385</v>
      </c>
      <c r="D972" s="3" t="s">
        <v>2386</v>
      </c>
      <c r="E972" s="6" t="s">
        <v>38</v>
      </c>
      <c r="F972" s="7">
        <v>3586</v>
      </c>
      <c r="G972" s="7">
        <v>32761</v>
      </c>
      <c r="H972" s="6">
        <f t="shared" si="30"/>
        <v>9.1358059118795314</v>
      </c>
      <c r="I972" s="3" t="s">
        <v>609</v>
      </c>
      <c r="J972" s="6" t="str">
        <f t="shared" si="31"/>
        <v>http://konect.cc/files/download.tsv.edit-iuwiki.tar.bz2</v>
      </c>
      <c r="L972" s="5"/>
    </row>
    <row r="973" spans="3:12" x14ac:dyDescent="0.3">
      <c r="C973" s="6" t="s">
        <v>2263</v>
      </c>
      <c r="D973" s="3" t="s">
        <v>2264</v>
      </c>
      <c r="E973" s="6" t="s">
        <v>38</v>
      </c>
      <c r="F973" s="7">
        <v>3582</v>
      </c>
      <c r="G973" s="7">
        <v>19420</v>
      </c>
      <c r="H973" s="6">
        <f t="shared" si="30"/>
        <v>5.4215522054718033</v>
      </c>
      <c r="I973" s="3" t="s">
        <v>544</v>
      </c>
      <c r="J973" s="6" t="str">
        <f t="shared" si="31"/>
        <v>http://konect.cc/files/download.tsv.edit-omwiki.tar.bz2</v>
      </c>
      <c r="L973" s="5"/>
    </row>
    <row r="974" spans="3:12" x14ac:dyDescent="0.3">
      <c r="C974" s="6" t="s">
        <v>2243</v>
      </c>
      <c r="D974" s="3" t="s">
        <v>2244</v>
      </c>
      <c r="E974" s="6" t="s">
        <v>2245</v>
      </c>
      <c r="F974" s="7">
        <v>3579</v>
      </c>
      <c r="G974" s="7">
        <v>35494</v>
      </c>
      <c r="H974" s="6">
        <f t="shared" si="30"/>
        <v>9.9172953338921488</v>
      </c>
      <c r="I974" s="3" t="s">
        <v>535</v>
      </c>
      <c r="J974" s="6" t="str">
        <f t="shared" si="31"/>
        <v>http://konect.cc/files/download.tsv.librec-filmtrust-ratings.tar.bz2</v>
      </c>
      <c r="L974" s="5"/>
    </row>
    <row r="975" spans="3:12" x14ac:dyDescent="0.3">
      <c r="C975" s="6" t="s">
        <v>2217</v>
      </c>
      <c r="D975" s="3" t="s">
        <v>2218</v>
      </c>
      <c r="E975" s="6" t="s">
        <v>38</v>
      </c>
      <c r="F975" s="7">
        <v>3571</v>
      </c>
      <c r="G975" s="7">
        <v>17046</v>
      </c>
      <c r="H975" s="6">
        <f t="shared" si="30"/>
        <v>4.7734528143377206</v>
      </c>
      <c r="I975" s="3" t="s">
        <v>522</v>
      </c>
      <c r="J975" s="6" t="str">
        <f t="shared" si="31"/>
        <v>http://konect.cc/files/download.tsv.edit-iswikibooks.tar.bz2</v>
      </c>
      <c r="L975" s="5"/>
    </row>
    <row r="976" spans="3:12" x14ac:dyDescent="0.3">
      <c r="C976" s="6" t="s">
        <v>2150</v>
      </c>
      <c r="D976" s="3" t="s">
        <v>2151</v>
      </c>
      <c r="E976" s="6" t="s">
        <v>38</v>
      </c>
      <c r="F976" s="7">
        <v>3557</v>
      </c>
      <c r="G976" s="7">
        <v>12781</v>
      </c>
      <c r="H976" s="6">
        <f t="shared" si="30"/>
        <v>3.5931965139162214</v>
      </c>
      <c r="I976" s="3" t="s">
        <v>485</v>
      </c>
      <c r="J976" s="6" t="str">
        <f t="shared" si="31"/>
        <v>http://konect.cc/files/download.tsv.edit-rowikiquote.tar.bz2</v>
      </c>
      <c r="L976" s="5"/>
    </row>
    <row r="977" spans="3:12" x14ac:dyDescent="0.3">
      <c r="C977" s="6" t="s">
        <v>2256</v>
      </c>
      <c r="D977" s="3" t="s">
        <v>2257</v>
      </c>
      <c r="E977" s="6" t="s">
        <v>38</v>
      </c>
      <c r="F977" s="7">
        <v>3508</v>
      </c>
      <c r="G977" s="7">
        <v>19011</v>
      </c>
      <c r="H977" s="6">
        <f t="shared" si="30"/>
        <v>5.4193272519954387</v>
      </c>
      <c r="I977" s="3" t="s">
        <v>540</v>
      </c>
      <c r="J977" s="6" t="str">
        <f t="shared" si="31"/>
        <v>http://konect.cc/files/download.tsv.edit-kowikinews.tar.bz2</v>
      </c>
      <c r="L977" s="5"/>
    </row>
    <row r="978" spans="3:12" x14ac:dyDescent="0.3">
      <c r="C978" s="6" t="s">
        <v>2292</v>
      </c>
      <c r="D978" s="3" t="s">
        <v>2293</v>
      </c>
      <c r="E978" s="6" t="s">
        <v>38</v>
      </c>
      <c r="F978" s="7">
        <v>3503</v>
      </c>
      <c r="G978" s="7">
        <v>21987</v>
      </c>
      <c r="H978" s="6">
        <f t="shared" si="30"/>
        <v>6.2766200399657439</v>
      </c>
      <c r="I978" s="3" t="s">
        <v>558</v>
      </c>
      <c r="J978" s="6" t="str">
        <f t="shared" si="31"/>
        <v>http://konect.cc/files/download.tsv.edit-zawiki.tar.bz2</v>
      </c>
      <c r="L978" s="5"/>
    </row>
    <row r="979" spans="3:12" x14ac:dyDescent="0.3">
      <c r="C979" s="6" t="s">
        <v>2162</v>
      </c>
      <c r="D979" s="3" t="s">
        <v>2163</v>
      </c>
      <c r="E979" s="6" t="s">
        <v>38</v>
      </c>
      <c r="F979" s="7">
        <v>3466</v>
      </c>
      <c r="G979" s="7">
        <v>13382</v>
      </c>
      <c r="H979" s="6">
        <f t="shared" si="30"/>
        <v>3.860934795152914</v>
      </c>
      <c r="I979" s="3" t="s">
        <v>491</v>
      </c>
      <c r="J979" s="6" t="str">
        <f t="shared" si="31"/>
        <v>http://konect.cc/files/download.tsv.edit-glwikibooks.tar.bz2</v>
      </c>
      <c r="L979" s="5"/>
    </row>
    <row r="980" spans="3:12" x14ac:dyDescent="0.3">
      <c r="C980" s="6" t="s">
        <v>2348</v>
      </c>
      <c r="D980" s="3" t="s">
        <v>2349</v>
      </c>
      <c r="E980" s="6" t="s">
        <v>38</v>
      </c>
      <c r="F980" s="7">
        <v>3447</v>
      </c>
      <c r="G980" s="7">
        <v>27076</v>
      </c>
      <c r="H980" s="6">
        <f t="shared" si="30"/>
        <v>7.8549463301421527</v>
      </c>
      <c r="I980" s="3" t="s">
        <v>589</v>
      </c>
      <c r="J980" s="6" t="str">
        <f t="shared" si="31"/>
        <v>http://konect.cc/files/download.tsv.edit-slwikiversity.tar.bz2</v>
      </c>
      <c r="L980" s="5"/>
    </row>
    <row r="981" spans="3:12" x14ac:dyDescent="0.3">
      <c r="C981" s="6" t="s">
        <v>1975</v>
      </c>
      <c r="D981" s="3" t="s">
        <v>1976</v>
      </c>
      <c r="E981" s="6" t="s">
        <v>38</v>
      </c>
      <c r="F981" s="7">
        <v>3437</v>
      </c>
      <c r="G981" s="7">
        <v>6143</v>
      </c>
      <c r="H981" s="6">
        <f t="shared" si="30"/>
        <v>1.7873145184754147</v>
      </c>
      <c r="I981" s="3" t="s">
        <v>415</v>
      </c>
      <c r="J981" s="6" t="str">
        <f t="shared" si="31"/>
        <v>http://konect.cc/files/download.tsv.edit-liwikisource.tar.bz2</v>
      </c>
      <c r="L981" s="5"/>
    </row>
    <row r="982" spans="3:12" x14ac:dyDescent="0.3">
      <c r="C982" s="6" t="s">
        <v>2006</v>
      </c>
      <c r="D982" s="3" t="s">
        <v>2007</v>
      </c>
      <c r="E982" s="6" t="s">
        <v>38</v>
      </c>
      <c r="F982" s="7">
        <v>3427</v>
      </c>
      <c r="G982" s="7">
        <v>5850</v>
      </c>
      <c r="H982" s="6">
        <f t="shared" si="30"/>
        <v>1.7070323898453459</v>
      </c>
      <c r="I982" s="3" t="s">
        <v>414</v>
      </c>
      <c r="J982" s="6" t="str">
        <f t="shared" si="31"/>
        <v>http://konect.cc/files/download.tsv.edit-siwikibooks.tar.bz2</v>
      </c>
      <c r="L982" s="5"/>
    </row>
    <row r="983" spans="3:12" x14ac:dyDescent="0.3">
      <c r="C983" s="6" t="s">
        <v>2178</v>
      </c>
      <c r="D983" s="3" t="s">
        <v>2378</v>
      </c>
      <c r="E983" s="6" t="s">
        <v>96</v>
      </c>
      <c r="F983" s="7">
        <v>3425</v>
      </c>
      <c r="G983" s="7">
        <v>67663</v>
      </c>
      <c r="H983" s="6">
        <f t="shared" si="30"/>
        <v>19.755620437956203</v>
      </c>
      <c r="I983" s="3" t="s">
        <v>605</v>
      </c>
      <c r="J983" s="6" t="str">
        <f t="shared" si="31"/>
        <v>http://konect.cc/files/download.tsv.openflights.tar.bz2</v>
      </c>
      <c r="L983" s="5"/>
    </row>
    <row r="984" spans="3:12" x14ac:dyDescent="0.3">
      <c r="C984" s="6" t="s">
        <v>2246</v>
      </c>
      <c r="D984" s="3" t="s">
        <v>2247</v>
      </c>
      <c r="E984" s="6" t="s">
        <v>38</v>
      </c>
      <c r="F984" s="7">
        <v>3417</v>
      </c>
      <c r="G984" s="7">
        <v>18300</v>
      </c>
      <c r="H984" s="6">
        <f t="shared" si="30"/>
        <v>5.3555750658472343</v>
      </c>
      <c r="I984" s="3" t="s">
        <v>536</v>
      </c>
      <c r="J984" s="6" t="str">
        <f t="shared" si="31"/>
        <v>http://konect.cc/files/download.tsv.edit-svwikiversity.tar.bz2</v>
      </c>
      <c r="L984" s="5"/>
    </row>
    <row r="985" spans="3:12" x14ac:dyDescent="0.3">
      <c r="C985" s="6" t="s">
        <v>2439</v>
      </c>
      <c r="D985" s="3" t="s">
        <v>2440</v>
      </c>
      <c r="E985" s="6" t="s">
        <v>38</v>
      </c>
      <c r="F985" s="7">
        <v>3404</v>
      </c>
      <c r="G985" s="7">
        <v>42098</v>
      </c>
      <c r="H985" s="6">
        <f t="shared" si="30"/>
        <v>12.367215041128084</v>
      </c>
      <c r="I985" s="3" t="s">
        <v>638</v>
      </c>
      <c r="J985" s="6" t="str">
        <f t="shared" si="31"/>
        <v>http://konect.cc/files/download.tsv.edit-tywiki.tar.bz2</v>
      </c>
      <c r="L985" s="5"/>
    </row>
    <row r="986" spans="3:12" x14ac:dyDescent="0.3">
      <c r="C986" s="6" t="s">
        <v>2409</v>
      </c>
      <c r="D986" s="3" t="s">
        <v>2410</v>
      </c>
      <c r="E986" s="6" t="s">
        <v>38</v>
      </c>
      <c r="F986" s="7">
        <v>3384</v>
      </c>
      <c r="G986" s="7">
        <v>35497</v>
      </c>
      <c r="H986" s="6">
        <f t="shared" si="30"/>
        <v>10.489657210401891</v>
      </c>
      <c r="I986" s="3" t="s">
        <v>621</v>
      </c>
      <c r="J986" s="6" t="str">
        <f t="shared" si="31"/>
        <v>http://konect.cc/files/download.tsv.edit-kgwiki.tar.bz2</v>
      </c>
      <c r="L986" s="5"/>
    </row>
    <row r="987" spans="3:12" x14ac:dyDescent="0.3">
      <c r="C987" s="6" t="s">
        <v>2104</v>
      </c>
      <c r="D987" s="3" t="s">
        <v>2105</v>
      </c>
      <c r="E987" s="6" t="s">
        <v>38</v>
      </c>
      <c r="F987" s="7">
        <v>3382</v>
      </c>
      <c r="G987" s="7">
        <v>11092</v>
      </c>
      <c r="H987" s="6">
        <f t="shared" si="30"/>
        <v>3.2797161442933174</v>
      </c>
      <c r="I987" s="3" t="s">
        <v>460</v>
      </c>
      <c r="J987" s="6" t="str">
        <f t="shared" si="31"/>
        <v>http://konect.cc/files/download.tsv.edit-kiwiki.tar.bz2</v>
      </c>
      <c r="L987" s="5"/>
    </row>
    <row r="988" spans="3:12" x14ac:dyDescent="0.3">
      <c r="C988" s="6" t="s">
        <v>2140</v>
      </c>
      <c r="D988" s="3" t="s">
        <v>2141</v>
      </c>
      <c r="E988" s="6" t="s">
        <v>38</v>
      </c>
      <c r="F988" s="7">
        <v>3378</v>
      </c>
      <c r="G988" s="7">
        <v>12339</v>
      </c>
      <c r="H988" s="6">
        <f t="shared" si="30"/>
        <v>3.652753108348135</v>
      </c>
      <c r="I988" s="3" t="s">
        <v>480</v>
      </c>
      <c r="J988" s="6" t="str">
        <f t="shared" si="31"/>
        <v>http://konect.cc/files/download.tsv.edit-sowiktionary.tar.bz2</v>
      </c>
      <c r="L988" s="5"/>
    </row>
    <row r="989" spans="3:12" x14ac:dyDescent="0.3">
      <c r="C989" s="6" t="s">
        <v>2174</v>
      </c>
      <c r="D989" s="3" t="s">
        <v>2175</v>
      </c>
      <c r="E989" s="6" t="s">
        <v>38</v>
      </c>
      <c r="F989" s="7">
        <v>3369</v>
      </c>
      <c r="G989" s="7">
        <v>13926</v>
      </c>
      <c r="H989" s="6">
        <f t="shared" si="30"/>
        <v>4.133570792520036</v>
      </c>
      <c r="I989" s="3" t="s">
        <v>497</v>
      </c>
      <c r="J989" s="6" t="str">
        <f t="shared" si="31"/>
        <v>http://konect.cc/files/download.tsv.edit-nowikiquote.tar.bz2</v>
      </c>
      <c r="L989" s="5"/>
    </row>
    <row r="990" spans="3:12" x14ac:dyDescent="0.3">
      <c r="C990" s="6" t="s">
        <v>2278</v>
      </c>
      <c r="D990" s="3" t="s">
        <v>2279</v>
      </c>
      <c r="E990" s="6" t="s">
        <v>38</v>
      </c>
      <c r="F990" s="7">
        <v>3366</v>
      </c>
      <c r="G990" s="7">
        <v>20858</v>
      </c>
      <c r="H990" s="6">
        <f t="shared" si="30"/>
        <v>6.1966726084373143</v>
      </c>
      <c r="I990" s="3" t="s">
        <v>551</v>
      </c>
      <c r="J990" s="6" t="str">
        <f t="shared" si="31"/>
        <v>http://konect.cc/files/download.tsv.edit-vecwiktionary.tar.bz2</v>
      </c>
      <c r="L990" s="5"/>
    </row>
    <row r="991" spans="3:12" x14ac:dyDescent="0.3">
      <c r="C991" s="6" t="s">
        <v>2350</v>
      </c>
      <c r="D991" s="3" t="s">
        <v>2351</v>
      </c>
      <c r="E991" s="6" t="s">
        <v>38</v>
      </c>
      <c r="F991" s="7">
        <v>3364</v>
      </c>
      <c r="G991" s="7">
        <v>28469</v>
      </c>
      <c r="H991" s="6">
        <f t="shared" si="30"/>
        <v>8.4628418549346023</v>
      </c>
      <c r="I991" s="3" t="s">
        <v>590</v>
      </c>
      <c r="J991" s="6" t="str">
        <f t="shared" si="31"/>
        <v>http://konect.cc/files/download.tsv.edit-smwiki.tar.bz2</v>
      </c>
      <c r="L991" s="5"/>
    </row>
    <row r="992" spans="3:12" x14ac:dyDescent="0.3">
      <c r="C992" s="6" t="s">
        <v>2043</v>
      </c>
      <c r="D992" s="3" t="s">
        <v>2044</v>
      </c>
      <c r="E992" s="6" t="s">
        <v>38</v>
      </c>
      <c r="F992" s="7">
        <v>3347</v>
      </c>
      <c r="G992" s="7">
        <v>7625</v>
      </c>
      <c r="H992" s="6">
        <f t="shared" si="30"/>
        <v>2.2781595458619659</v>
      </c>
      <c r="I992" s="3" t="s">
        <v>433</v>
      </c>
      <c r="J992" s="6" t="str">
        <f t="shared" si="31"/>
        <v>http://konect.cc/files/download.tsv.edit-bswikisource.tar.bz2</v>
      </c>
      <c r="L992" s="5"/>
    </row>
    <row r="993" spans="3:12" x14ac:dyDescent="0.3">
      <c r="C993" s="6" t="s">
        <v>2194</v>
      </c>
      <c r="D993" s="3" t="s">
        <v>2195</v>
      </c>
      <c r="E993" s="6" t="s">
        <v>38</v>
      </c>
      <c r="F993" s="7">
        <v>3345</v>
      </c>
      <c r="G993" s="7">
        <v>15071</v>
      </c>
      <c r="H993" s="6">
        <f t="shared" si="30"/>
        <v>4.5055306427503741</v>
      </c>
      <c r="I993" s="3" t="s">
        <v>509</v>
      </c>
      <c r="J993" s="6" t="str">
        <f t="shared" si="31"/>
        <v>http://konect.cc/files/download.tsv.edit-tnwiki.tar.bz2</v>
      </c>
      <c r="L993" s="5"/>
    </row>
    <row r="994" spans="3:12" x14ac:dyDescent="0.3">
      <c r="C994" s="6" t="s">
        <v>2391</v>
      </c>
      <c r="D994" s="3" t="s">
        <v>2392</v>
      </c>
      <c r="E994" s="6" t="s">
        <v>38</v>
      </c>
      <c r="F994" s="7">
        <v>3343</v>
      </c>
      <c r="G994" s="7">
        <v>33264</v>
      </c>
      <c r="H994" s="6">
        <f t="shared" si="30"/>
        <v>9.9503440023930594</v>
      </c>
      <c r="I994" s="3" t="s">
        <v>612</v>
      </c>
      <c r="J994" s="6" t="str">
        <f t="shared" si="31"/>
        <v>http://konect.cc/files/download.tsv.edit-eewiki.tar.bz2</v>
      </c>
      <c r="L994" s="5"/>
    </row>
    <row r="995" spans="3:12" x14ac:dyDescent="0.3">
      <c r="C995" s="6" t="s">
        <v>2300</v>
      </c>
      <c r="D995" s="3" t="s">
        <v>2301</v>
      </c>
      <c r="E995" s="6" t="s">
        <v>38</v>
      </c>
      <c r="F995" s="7">
        <v>3322</v>
      </c>
      <c r="G995" s="7">
        <v>22700</v>
      </c>
      <c r="H995" s="6">
        <f t="shared" si="30"/>
        <v>6.8332329921733894</v>
      </c>
      <c r="I995" s="3" t="s">
        <v>562</v>
      </c>
      <c r="J995" s="6" t="str">
        <f t="shared" si="31"/>
        <v>http://konect.cc/files/download.tsv.edit-crwiki.tar.bz2</v>
      </c>
      <c r="L995" s="5"/>
    </row>
    <row r="996" spans="3:12" x14ac:dyDescent="0.3">
      <c r="C996" s="6" t="s">
        <v>2047</v>
      </c>
      <c r="D996" s="3" t="s">
        <v>2048</v>
      </c>
      <c r="E996" s="6" t="s">
        <v>38</v>
      </c>
      <c r="F996" s="7">
        <v>3308</v>
      </c>
      <c r="G996" s="7">
        <v>7700</v>
      </c>
      <c r="H996" s="6">
        <f t="shared" si="30"/>
        <v>2.3276904474002418</v>
      </c>
      <c r="I996" s="3" t="s">
        <v>435</v>
      </c>
      <c r="J996" s="6" t="str">
        <f t="shared" si="31"/>
        <v>http://konect.cc/files/download.tsv.edit-srwikibooks.tar.bz2</v>
      </c>
      <c r="L996" s="5"/>
    </row>
    <row r="997" spans="3:12" x14ac:dyDescent="0.3">
      <c r="C997" s="6" t="s">
        <v>2211</v>
      </c>
      <c r="D997" s="3" t="s">
        <v>2212</v>
      </c>
      <c r="E997" s="6" t="s">
        <v>38</v>
      </c>
      <c r="F997" s="7">
        <v>3281</v>
      </c>
      <c r="G997" s="7">
        <v>16801</v>
      </c>
      <c r="H997" s="6">
        <f t="shared" si="30"/>
        <v>5.1206949100883881</v>
      </c>
      <c r="I997" s="3" t="s">
        <v>519</v>
      </c>
      <c r="J997" s="6" t="str">
        <f t="shared" si="31"/>
        <v>http://konect.cc/files/download.tsv.edit-olowiki.tar.bz2</v>
      </c>
      <c r="L997" s="5"/>
    </row>
    <row r="998" spans="3:12" x14ac:dyDescent="0.3">
      <c r="C998" s="6" t="s">
        <v>2135</v>
      </c>
      <c r="D998" s="3" t="s">
        <v>2136</v>
      </c>
      <c r="E998" s="6" t="s">
        <v>38</v>
      </c>
      <c r="F998" s="7">
        <v>3254</v>
      </c>
      <c r="G998" s="7">
        <v>12453</v>
      </c>
      <c r="H998" s="6">
        <f t="shared" si="30"/>
        <v>3.8269821757836509</v>
      </c>
      <c r="I998" s="3" t="s">
        <v>477</v>
      </c>
      <c r="J998" s="6" t="str">
        <f t="shared" si="31"/>
        <v>http://konect.cc/files/download.tsv.edit-glwikisource.tar.bz2</v>
      </c>
      <c r="L998" s="5"/>
    </row>
    <row r="999" spans="3:12" x14ac:dyDescent="0.3">
      <c r="C999" s="6" t="s">
        <v>2116</v>
      </c>
      <c r="D999" s="3" t="s">
        <v>2117</v>
      </c>
      <c r="E999" s="6" t="s">
        <v>38</v>
      </c>
      <c r="F999" s="7">
        <v>3253</v>
      </c>
      <c r="G999" s="7">
        <v>11524</v>
      </c>
      <c r="H999" s="6">
        <f t="shared" si="30"/>
        <v>3.5425760836151245</v>
      </c>
      <c r="I999" s="3" t="s">
        <v>466</v>
      </c>
      <c r="J999" s="6" t="str">
        <f t="shared" si="31"/>
        <v>http://konect.cc/files/download.tsv.edit-simplewikibooks.tar.bz2</v>
      </c>
      <c r="L999" s="5"/>
    </row>
    <row r="1000" spans="3:12" x14ac:dyDescent="0.3">
      <c r="C1000" s="6" t="s">
        <v>2213</v>
      </c>
      <c r="D1000" s="3" t="s">
        <v>2214</v>
      </c>
      <c r="E1000" s="6" t="s">
        <v>38</v>
      </c>
      <c r="F1000" s="7">
        <v>3229</v>
      </c>
      <c r="G1000" s="7">
        <v>16528</v>
      </c>
      <c r="H1000" s="6">
        <f t="shared" si="30"/>
        <v>5.1186125735521832</v>
      </c>
      <c r="I1000" s="3" t="s">
        <v>520</v>
      </c>
      <c r="J1000" s="6" t="str">
        <f t="shared" si="31"/>
        <v>http://konect.cc/files/download.tsv.edit-chywiki.tar.bz2</v>
      </c>
      <c r="L1000" s="5"/>
    </row>
    <row r="1001" spans="3:12" x14ac:dyDescent="0.3">
      <c r="C1001" s="6" t="s">
        <v>2186</v>
      </c>
      <c r="D1001" s="3" t="s">
        <v>2187</v>
      </c>
      <c r="E1001" s="6" t="s">
        <v>38</v>
      </c>
      <c r="F1001" s="7">
        <v>3229</v>
      </c>
      <c r="G1001" s="7">
        <v>14277</v>
      </c>
      <c r="H1001" s="6">
        <f t="shared" si="30"/>
        <v>4.4214927222050173</v>
      </c>
      <c r="I1001" s="3" t="s">
        <v>503</v>
      </c>
      <c r="J1001" s="6" t="str">
        <f t="shared" si="31"/>
        <v>http://konect.cc/files/download.tsv.edit-ukwikibooks.tar.bz2</v>
      </c>
      <c r="L1001" s="5"/>
    </row>
    <row r="1002" spans="3:12" x14ac:dyDescent="0.3">
      <c r="C1002" s="6" t="s">
        <v>2135</v>
      </c>
      <c r="D1002" s="3" t="s">
        <v>2136</v>
      </c>
      <c r="E1002" s="6" t="s">
        <v>38</v>
      </c>
      <c r="F1002" s="7">
        <v>3200</v>
      </c>
      <c r="G1002" s="7">
        <v>14807</v>
      </c>
      <c r="H1002" s="6">
        <f t="shared" si="30"/>
        <v>4.6271874999999998</v>
      </c>
      <c r="I1002" s="3" t="s">
        <v>504</v>
      </c>
      <c r="J1002" s="6" t="str">
        <f t="shared" si="31"/>
        <v>http://konect.cc/files/download.tsv.edit-glwikiquote.tar.bz2</v>
      </c>
      <c r="L1002" s="5"/>
    </row>
    <row r="1003" spans="3:12" x14ac:dyDescent="0.3">
      <c r="C1003" s="6" t="s">
        <v>2423</v>
      </c>
      <c r="D1003" s="3" t="s">
        <v>2424</v>
      </c>
      <c r="E1003" s="6" t="s">
        <v>38</v>
      </c>
      <c r="F1003" s="7">
        <v>3197</v>
      </c>
      <c r="G1003" s="7">
        <v>38114</v>
      </c>
      <c r="H1003" s="6">
        <f t="shared" si="30"/>
        <v>11.921801689083516</v>
      </c>
      <c r="I1003" s="3" t="s">
        <v>629</v>
      </c>
      <c r="J1003" s="6" t="str">
        <f t="shared" si="31"/>
        <v>http://konect.cc/files/download.tsv.edit-rmywiki.tar.bz2</v>
      </c>
      <c r="L1003" s="5"/>
    </row>
    <row r="1004" spans="3:12" x14ac:dyDescent="0.3">
      <c r="C1004" s="6" t="s">
        <v>2004</v>
      </c>
      <c r="D1004" s="3" t="s">
        <v>2005</v>
      </c>
      <c r="E1004" s="6" t="s">
        <v>38</v>
      </c>
      <c r="F1004" s="7">
        <v>3189</v>
      </c>
      <c r="G1004" s="7">
        <v>5850</v>
      </c>
      <c r="H1004" s="6">
        <f t="shared" si="30"/>
        <v>1.8344308560677329</v>
      </c>
      <c r="I1004" s="3" t="s">
        <v>413</v>
      </c>
      <c r="J1004" s="6" t="str">
        <f t="shared" si="31"/>
        <v>http://konect.cc/files/download.tsv.edit-hiwikibooks.tar.bz2</v>
      </c>
      <c r="L1004" s="5"/>
    </row>
    <row r="1005" spans="3:12" x14ac:dyDescent="0.3">
      <c r="C1005" s="6" t="s">
        <v>1806</v>
      </c>
      <c r="D1005" s="3" t="s">
        <v>1807</v>
      </c>
      <c r="E1005" s="6" t="s">
        <v>38</v>
      </c>
      <c r="F1005" s="7">
        <v>3172</v>
      </c>
      <c r="G1005" s="7">
        <v>5221</v>
      </c>
      <c r="H1005" s="6">
        <f t="shared" si="30"/>
        <v>1.6459646910466583</v>
      </c>
      <c r="I1005" s="3" t="s">
        <v>400</v>
      </c>
      <c r="J1005" s="6" t="str">
        <f t="shared" si="31"/>
        <v>http://konect.cc/files/download.tsv.edit-zh_min_nanwikisource.tar.bz2</v>
      </c>
      <c r="L1005" s="5"/>
    </row>
    <row r="1006" spans="3:12" x14ac:dyDescent="0.3">
      <c r="C1006" s="6" t="s">
        <v>2352</v>
      </c>
      <c r="D1006" s="3" t="s">
        <v>2353</v>
      </c>
      <c r="E1006" s="6" t="s">
        <v>38</v>
      </c>
      <c r="F1006" s="7">
        <v>3158</v>
      </c>
      <c r="G1006" s="7">
        <v>28951</v>
      </c>
      <c r="H1006" s="6">
        <f t="shared" si="30"/>
        <v>9.1675110829639017</v>
      </c>
      <c r="I1006" s="3" t="s">
        <v>591</v>
      </c>
      <c r="J1006" s="6" t="str">
        <f t="shared" si="31"/>
        <v>http://konect.cc/files/download.tsv.edit-ltgwiki.tar.bz2</v>
      </c>
      <c r="L1006" s="5"/>
    </row>
    <row r="1007" spans="3:12" x14ac:dyDescent="0.3">
      <c r="C1007" s="6" t="s">
        <v>2379</v>
      </c>
      <c r="D1007" s="3" t="s">
        <v>2380</v>
      </c>
      <c r="E1007" s="6" t="s">
        <v>38</v>
      </c>
      <c r="F1007" s="7">
        <v>3152</v>
      </c>
      <c r="G1007" s="7">
        <v>32283</v>
      </c>
      <c r="H1007" s="6">
        <f t="shared" si="30"/>
        <v>10.242068527918782</v>
      </c>
      <c r="I1007" s="3" t="s">
        <v>606</v>
      </c>
      <c r="J1007" s="6" t="str">
        <f t="shared" si="31"/>
        <v>http://konect.cc/files/download.tsv.edit-pihwiki.tar.bz2</v>
      </c>
      <c r="L1007" s="5"/>
    </row>
    <row r="1008" spans="3:12" x14ac:dyDescent="0.3">
      <c r="C1008" s="6" t="s">
        <v>2407</v>
      </c>
      <c r="D1008" s="3" t="s">
        <v>2408</v>
      </c>
      <c r="E1008" s="6" t="s">
        <v>38</v>
      </c>
      <c r="F1008" s="7">
        <v>3150</v>
      </c>
      <c r="G1008" s="7">
        <v>35199</v>
      </c>
      <c r="H1008" s="6">
        <f t="shared" si="30"/>
        <v>11.174285714285714</v>
      </c>
      <c r="I1008" s="3" t="s">
        <v>620</v>
      </c>
      <c r="J1008" s="6" t="str">
        <f t="shared" si="31"/>
        <v>http://konect.cc/files/download.tsv.edit-srnwiki.tar.bz2</v>
      </c>
      <c r="L1008" s="5"/>
    </row>
    <row r="1009" spans="3:12" x14ac:dyDescent="0.3">
      <c r="C1009" s="6" t="s">
        <v>2096</v>
      </c>
      <c r="D1009" s="3" t="s">
        <v>2097</v>
      </c>
      <c r="E1009" s="6" t="s">
        <v>145</v>
      </c>
      <c r="F1009" s="7">
        <v>3144</v>
      </c>
      <c r="G1009" s="7">
        <v>11059</v>
      </c>
      <c r="H1009" s="6">
        <f t="shared" si="30"/>
        <v>3.5174936386768447</v>
      </c>
      <c r="I1009" s="3" t="s">
        <v>456</v>
      </c>
      <c r="J1009" s="6" t="str">
        <f t="shared" si="31"/>
        <v>http://konect.cc/files/download.tsv.wiki_talk_oc.tar.bz2</v>
      </c>
      <c r="L1009" s="5"/>
    </row>
    <row r="1010" spans="3:12" x14ac:dyDescent="0.3">
      <c r="C1010" s="6" t="s">
        <v>1914</v>
      </c>
      <c r="D1010" s="3" t="s">
        <v>1915</v>
      </c>
      <c r="E1010" s="6" t="s">
        <v>91</v>
      </c>
      <c r="F1010" s="7">
        <v>3133</v>
      </c>
      <c r="G1010" s="7">
        <v>6726</v>
      </c>
      <c r="H1010" s="6">
        <f t="shared" si="30"/>
        <v>2.1468241302266198</v>
      </c>
      <c r="I1010" s="3" t="s">
        <v>366</v>
      </c>
      <c r="J1010" s="6" t="str">
        <f t="shared" si="31"/>
        <v>http://konect.cc/files/download.tsv.maayan-vidal.tar.bz2</v>
      </c>
      <c r="L1010" s="5"/>
    </row>
    <row r="1011" spans="3:12" x14ac:dyDescent="0.3">
      <c r="C1011" s="6" t="s">
        <v>2090</v>
      </c>
      <c r="D1011" s="3" t="s">
        <v>2091</v>
      </c>
      <c r="E1011" s="6" t="s">
        <v>38</v>
      </c>
      <c r="F1011" s="7">
        <v>3097</v>
      </c>
      <c r="G1011" s="7">
        <v>9857</v>
      </c>
      <c r="H1011" s="6">
        <f t="shared" si="30"/>
        <v>3.1827575072650953</v>
      </c>
      <c r="I1011" s="3" t="s">
        <v>453</v>
      </c>
      <c r="J1011" s="6" t="str">
        <f t="shared" si="31"/>
        <v>http://konect.cc/files/download.tsv.edit-tawikiquote.tar.bz2</v>
      </c>
      <c r="L1011" s="5"/>
    </row>
    <row r="1012" spans="3:12" x14ac:dyDescent="0.3">
      <c r="C1012" s="6" t="s">
        <v>2366</v>
      </c>
      <c r="D1012" s="3" t="s">
        <v>2367</v>
      </c>
      <c r="E1012" s="6" t="s">
        <v>38</v>
      </c>
      <c r="F1012" s="7">
        <v>3040</v>
      </c>
      <c r="G1012" s="7">
        <v>29856</v>
      </c>
      <c r="H1012" s="6">
        <f t="shared" si="30"/>
        <v>9.8210526315789473</v>
      </c>
      <c r="I1012" s="3" t="s">
        <v>599</v>
      </c>
      <c r="J1012" s="6" t="str">
        <f t="shared" si="31"/>
        <v>http://konect.cc/files/download.tsv.edit-bmwiki.tar.bz2</v>
      </c>
      <c r="L1012" s="5"/>
    </row>
    <row r="1013" spans="3:12" x14ac:dyDescent="0.3">
      <c r="C1013" s="6" t="s">
        <v>2114</v>
      </c>
      <c r="D1013" s="3" t="s">
        <v>2115</v>
      </c>
      <c r="E1013" s="6" t="s">
        <v>38</v>
      </c>
      <c r="F1013" s="7">
        <v>3016</v>
      </c>
      <c r="G1013" s="7">
        <v>11439</v>
      </c>
      <c r="H1013" s="6">
        <f t="shared" si="30"/>
        <v>3.7927718832891246</v>
      </c>
      <c r="I1013" s="3" t="s">
        <v>465</v>
      </c>
      <c r="J1013" s="6" t="str">
        <f t="shared" si="31"/>
        <v>http://konect.cc/files/download.tsv.edit-siwiktionary.tar.bz2</v>
      </c>
      <c r="L1013" s="5"/>
    </row>
    <row r="1014" spans="3:12" x14ac:dyDescent="0.3">
      <c r="C1014" s="6" t="s">
        <v>2192</v>
      </c>
      <c r="D1014" s="3" t="s">
        <v>2193</v>
      </c>
      <c r="E1014" s="6" t="s">
        <v>38</v>
      </c>
      <c r="F1014" s="7">
        <v>3014</v>
      </c>
      <c r="G1014" s="7">
        <v>14799</v>
      </c>
      <c r="H1014" s="6">
        <f t="shared" si="30"/>
        <v>4.9100862641008627</v>
      </c>
      <c r="I1014" s="3" t="s">
        <v>508</v>
      </c>
      <c r="J1014" s="6" t="str">
        <f t="shared" si="31"/>
        <v>http://konect.cc/files/download.tsv.edit-ltwikibooks.tar.bz2</v>
      </c>
      <c r="L1014" s="5"/>
    </row>
    <row r="1015" spans="3:12" x14ac:dyDescent="0.3">
      <c r="C1015" s="6" t="s">
        <v>1991</v>
      </c>
      <c r="D1015" s="3" t="s">
        <v>1992</v>
      </c>
      <c r="E1015" s="6" t="s">
        <v>83</v>
      </c>
      <c r="F1015" s="7">
        <v>2952</v>
      </c>
      <c r="G1015" s="7">
        <v>12534</v>
      </c>
      <c r="H1015" s="6">
        <f t="shared" si="30"/>
        <v>4.2459349593495936</v>
      </c>
      <c r="I1015" s="3" t="s">
        <v>407</v>
      </c>
      <c r="J1015" s="6" t="str">
        <f t="shared" si="31"/>
        <v>http://konect.cc/files/download.tsv.petster-hamster-friend.tar.bz2</v>
      </c>
      <c r="L1015" s="5"/>
    </row>
    <row r="1016" spans="3:12" x14ac:dyDescent="0.3">
      <c r="C1016" s="6" t="s">
        <v>2144</v>
      </c>
      <c r="D1016" s="3" t="s">
        <v>2145</v>
      </c>
      <c r="E1016" s="6" t="s">
        <v>38</v>
      </c>
      <c r="F1016" s="7">
        <v>2943</v>
      </c>
      <c r="G1016" s="7">
        <v>12452</v>
      </c>
      <c r="H1016" s="6">
        <f t="shared" si="30"/>
        <v>4.231056744818213</v>
      </c>
      <c r="I1016" s="3" t="s">
        <v>482</v>
      </c>
      <c r="J1016" s="6" t="str">
        <f t="shared" si="31"/>
        <v>http://konect.cc/files/download.tsv.edit-chwiki.tar.bz2</v>
      </c>
      <c r="L1016" s="5"/>
    </row>
    <row r="1017" spans="3:12" x14ac:dyDescent="0.3">
      <c r="C1017" s="6" t="s">
        <v>2178</v>
      </c>
      <c r="D1017" s="3" t="s">
        <v>2179</v>
      </c>
      <c r="E1017" s="6" t="s">
        <v>98</v>
      </c>
      <c r="F1017" s="7">
        <v>2939</v>
      </c>
      <c r="G1017" s="7">
        <v>30501</v>
      </c>
      <c r="H1017" s="6">
        <f t="shared" si="30"/>
        <v>10.378019734603606</v>
      </c>
      <c r="I1017" s="3" t="s">
        <v>499</v>
      </c>
      <c r="J1017" s="6" t="str">
        <f t="shared" si="31"/>
        <v>http://konect.cc/files/download.tsv.opsahl-openflights.tar.bz2</v>
      </c>
      <c r="L1017" s="5"/>
    </row>
    <row r="1018" spans="3:12" x14ac:dyDescent="0.3">
      <c r="C1018" s="6" t="s">
        <v>2492</v>
      </c>
      <c r="D1018" s="3" t="s">
        <v>2493</v>
      </c>
      <c r="E1018" s="6" t="s">
        <v>98</v>
      </c>
      <c r="F1018" s="7">
        <v>2929</v>
      </c>
      <c r="G1018" s="7">
        <v>118603</v>
      </c>
      <c r="H1018" s="6">
        <f t="shared" si="30"/>
        <v>40.492659610788664</v>
      </c>
      <c r="I1018" s="3" t="s">
        <v>670</v>
      </c>
      <c r="J1018" s="6" t="str">
        <f t="shared" si="31"/>
        <v>http://konect.cc/files/download.tsv.wikipedia_link_gag.tar.bz2</v>
      </c>
      <c r="L1018" s="5"/>
    </row>
    <row r="1019" spans="3:12" x14ac:dyDescent="0.3">
      <c r="C1019" s="6" t="s">
        <v>2229</v>
      </c>
      <c r="D1019" s="3" t="s">
        <v>2230</v>
      </c>
      <c r="E1019" s="6" t="s">
        <v>38</v>
      </c>
      <c r="F1019" s="7">
        <v>2922</v>
      </c>
      <c r="G1019" s="7">
        <v>17647</v>
      </c>
      <c r="H1019" s="6">
        <f t="shared" si="30"/>
        <v>6.0393566050650236</v>
      </c>
      <c r="I1019" s="3" t="s">
        <v>528</v>
      </c>
      <c r="J1019" s="6" t="str">
        <f t="shared" si="31"/>
        <v>http://konect.cc/files/download.tsv.edit-jamwiki.tar.bz2</v>
      </c>
      <c r="L1019" s="5"/>
    </row>
    <row r="1020" spans="3:12" x14ac:dyDescent="0.3">
      <c r="C1020" s="6" t="s">
        <v>2298</v>
      </c>
      <c r="D1020" s="3" t="s">
        <v>2299</v>
      </c>
      <c r="E1020" s="6" t="s">
        <v>38</v>
      </c>
      <c r="F1020" s="7">
        <v>2915</v>
      </c>
      <c r="G1020" s="7">
        <v>22812</v>
      </c>
      <c r="H1020" s="6">
        <f t="shared" si="30"/>
        <v>7.8257289879931387</v>
      </c>
      <c r="I1020" s="3" t="s">
        <v>561</v>
      </c>
      <c r="J1020" s="6" t="str">
        <f t="shared" si="31"/>
        <v>http://konect.cc/files/download.tsv.edit-tswiki.tar.bz2</v>
      </c>
      <c r="L1020" s="5"/>
    </row>
    <row r="1021" spans="3:12" x14ac:dyDescent="0.3">
      <c r="C1021" s="6" t="s">
        <v>2058</v>
      </c>
      <c r="D1021" s="3" t="s">
        <v>2059</v>
      </c>
      <c r="E1021" s="6" t="s">
        <v>38</v>
      </c>
      <c r="F1021" s="7">
        <v>2888</v>
      </c>
      <c r="G1021" s="7">
        <v>8599</v>
      </c>
      <c r="H1021" s="6">
        <f t="shared" si="30"/>
        <v>2.9774930747922439</v>
      </c>
      <c r="I1021" s="3" t="s">
        <v>440</v>
      </c>
      <c r="J1021" s="6" t="str">
        <f t="shared" si="31"/>
        <v>http://konect.cc/files/download.tsv.edit-jawikiversity.tar.bz2</v>
      </c>
      <c r="L1021" s="5"/>
    </row>
    <row r="1022" spans="3:12" x14ac:dyDescent="0.3">
      <c r="C1022" s="6" t="s">
        <v>1840</v>
      </c>
      <c r="D1022" s="3" t="s">
        <v>1841</v>
      </c>
      <c r="E1022" s="6" t="s">
        <v>1610</v>
      </c>
      <c r="F1022" s="7">
        <v>2888</v>
      </c>
      <c r="G1022" s="7">
        <v>2981</v>
      </c>
      <c r="H1022" s="6">
        <f t="shared" si="30"/>
        <v>1.0322022160664821</v>
      </c>
      <c r="I1022" s="3" t="s">
        <v>331</v>
      </c>
      <c r="J1022" s="6" t="str">
        <f t="shared" si="31"/>
        <v>http://konect.cc/files/download.tsv.ego-facebook.tar.bz2</v>
      </c>
      <c r="L1022" s="5"/>
    </row>
    <row r="1023" spans="3:12" x14ac:dyDescent="0.3">
      <c r="C1023" s="6" t="s">
        <v>2120</v>
      </c>
      <c r="D1023" s="3" t="s">
        <v>2121</v>
      </c>
      <c r="E1023" s="6" t="s">
        <v>38</v>
      </c>
      <c r="F1023" s="7">
        <v>2872</v>
      </c>
      <c r="G1023" s="7">
        <v>11356</v>
      </c>
      <c r="H1023" s="6">
        <f t="shared" si="30"/>
        <v>3.9540389972144845</v>
      </c>
      <c r="I1023" s="3" t="s">
        <v>468</v>
      </c>
      <c r="J1023" s="6" t="str">
        <f t="shared" si="31"/>
        <v>http://konect.cc/files/download.tsv.edit-akwiki.tar.bz2</v>
      </c>
      <c r="L1023" s="5"/>
    </row>
    <row r="1024" spans="3:12" x14ac:dyDescent="0.3">
      <c r="C1024" s="6" t="s">
        <v>1975</v>
      </c>
      <c r="D1024" s="3" t="s">
        <v>1976</v>
      </c>
      <c r="E1024" s="6" t="s">
        <v>38</v>
      </c>
      <c r="F1024" s="7">
        <v>2869</v>
      </c>
      <c r="G1024" s="7">
        <v>5040</v>
      </c>
      <c r="H1024" s="6">
        <f t="shared" si="30"/>
        <v>1.756709654932032</v>
      </c>
      <c r="I1024" s="3" t="s">
        <v>398</v>
      </c>
      <c r="J1024" s="6" t="str">
        <f t="shared" si="31"/>
        <v>http://konect.cc/files/download.tsv.edit-liwikiquote.tar.bz2</v>
      </c>
      <c r="L1024" s="5"/>
    </row>
    <row r="1025" spans="3:12" x14ac:dyDescent="0.3">
      <c r="C1025" s="6" t="s">
        <v>2202</v>
      </c>
      <c r="D1025" s="3" t="s">
        <v>2203</v>
      </c>
      <c r="E1025" s="6" t="s">
        <v>38</v>
      </c>
      <c r="F1025" s="7">
        <v>2868</v>
      </c>
      <c r="G1025" s="7">
        <v>15603</v>
      </c>
      <c r="H1025" s="6">
        <f t="shared" si="30"/>
        <v>5.4403765690376567</v>
      </c>
      <c r="I1025" s="3" t="s">
        <v>513</v>
      </c>
      <c r="J1025" s="6" t="str">
        <f t="shared" si="31"/>
        <v>http://konect.cc/files/download.tsv.edit-rowikivoyage.tar.bz2</v>
      </c>
      <c r="L1025" s="5"/>
    </row>
    <row r="1026" spans="3:12" x14ac:dyDescent="0.3">
      <c r="C1026" s="6" t="s">
        <v>2176</v>
      </c>
      <c r="D1026" s="3" t="s">
        <v>2177</v>
      </c>
      <c r="E1026" s="6" t="s">
        <v>38</v>
      </c>
      <c r="F1026" s="7">
        <v>2853</v>
      </c>
      <c r="G1026" s="7">
        <v>13844</v>
      </c>
      <c r="H1026" s="6">
        <f t="shared" ref="H1026:H1089" si="32">G1026/F1026</f>
        <v>4.8524360322467581</v>
      </c>
      <c r="I1026" s="3" t="s">
        <v>498</v>
      </c>
      <c r="J1026" s="6" t="str">
        <f t="shared" ref="J1026:J1089" si="33">"http://konect.cc/files/download.tsv."&amp;I1026&amp;".tar.bz2"</f>
        <v>http://konect.cc/files/download.tsv.edit-mtwiktionary.tar.bz2</v>
      </c>
      <c r="L1026" s="5"/>
    </row>
    <row r="1027" spans="3:12" x14ac:dyDescent="0.3">
      <c r="C1027" s="6" t="s">
        <v>2079</v>
      </c>
      <c r="D1027" s="3" t="s">
        <v>2080</v>
      </c>
      <c r="E1027" s="6" t="s">
        <v>38</v>
      </c>
      <c r="F1027" s="7">
        <v>2848</v>
      </c>
      <c r="G1027" s="7">
        <v>9841</v>
      </c>
      <c r="H1027" s="6">
        <f t="shared" si="32"/>
        <v>3.4554073033707864</v>
      </c>
      <c r="I1027" s="3" t="s">
        <v>449</v>
      </c>
      <c r="J1027" s="6" t="str">
        <f t="shared" si="33"/>
        <v>http://konect.cc/files/download.tsv.edit-yiwiktionary.tar.bz2</v>
      </c>
      <c r="L1027" s="5"/>
    </row>
    <row r="1028" spans="3:12" x14ac:dyDescent="0.3">
      <c r="C1028" s="6" t="s">
        <v>2152</v>
      </c>
      <c r="D1028" s="3" t="s">
        <v>2153</v>
      </c>
      <c r="E1028" s="6" t="s">
        <v>38</v>
      </c>
      <c r="F1028" s="7">
        <v>2838</v>
      </c>
      <c r="G1028" s="7">
        <v>12426</v>
      </c>
      <c r="H1028" s="6">
        <f t="shared" si="32"/>
        <v>4.3784355179704013</v>
      </c>
      <c r="I1028" s="3" t="s">
        <v>486</v>
      </c>
      <c r="J1028" s="6" t="str">
        <f t="shared" si="33"/>
        <v>http://konect.cc/files/download.tsv.edit-hiwikiquote.tar.bz2</v>
      </c>
      <c r="L1028" s="5"/>
    </row>
    <row r="1029" spans="3:12" x14ac:dyDescent="0.3">
      <c r="C1029" s="6" t="s">
        <v>2338</v>
      </c>
      <c r="D1029" s="3" t="s">
        <v>2339</v>
      </c>
      <c r="E1029" s="6" t="s">
        <v>38</v>
      </c>
      <c r="F1029" s="7">
        <v>2836</v>
      </c>
      <c r="G1029" s="7">
        <v>26843</v>
      </c>
      <c r="H1029" s="6">
        <f t="shared" si="32"/>
        <v>9.4650916784203112</v>
      </c>
      <c r="I1029" s="3" t="s">
        <v>583</v>
      </c>
      <c r="J1029" s="6" t="str">
        <f t="shared" si="33"/>
        <v>http://konect.cc/files/download.tsv.edit-ikwiki.tar.bz2</v>
      </c>
      <c r="L1029" s="5"/>
    </row>
    <row r="1030" spans="3:12" x14ac:dyDescent="0.3">
      <c r="C1030" s="6" t="s">
        <v>2368</v>
      </c>
      <c r="D1030" s="3" t="s">
        <v>2369</v>
      </c>
      <c r="E1030" s="6" t="s">
        <v>38</v>
      </c>
      <c r="F1030" s="7">
        <v>2763</v>
      </c>
      <c r="G1030" s="7">
        <v>29959</v>
      </c>
      <c r="H1030" s="6">
        <f t="shared" si="32"/>
        <v>10.842924357582339</v>
      </c>
      <c r="I1030" s="3" t="s">
        <v>600</v>
      </c>
      <c r="J1030" s="6" t="str">
        <f t="shared" si="33"/>
        <v>http://konect.cc/files/download.tsv.edit-csbwiktionary.tar.bz2</v>
      </c>
      <c r="L1030" s="5"/>
    </row>
    <row r="1031" spans="3:12" x14ac:dyDescent="0.3">
      <c r="C1031" s="6" t="s">
        <v>2248</v>
      </c>
      <c r="D1031" s="3" t="s">
        <v>2249</v>
      </c>
      <c r="E1031" s="6" t="s">
        <v>38</v>
      </c>
      <c r="F1031" s="7">
        <v>2759</v>
      </c>
      <c r="G1031" s="7">
        <v>19378</v>
      </c>
      <c r="H1031" s="6">
        <f t="shared" si="32"/>
        <v>7.023559260601667</v>
      </c>
      <c r="I1031" s="3" t="s">
        <v>537</v>
      </c>
      <c r="J1031" s="6" t="str">
        <f t="shared" si="33"/>
        <v>http://konect.cc/files/download.tsv.edit-elwikivoyage.tar.bz2</v>
      </c>
      <c r="L1031" s="5"/>
    </row>
    <row r="1032" spans="3:12" x14ac:dyDescent="0.3">
      <c r="C1032" s="6" t="s">
        <v>2358</v>
      </c>
      <c r="D1032" s="3" t="s">
        <v>2359</v>
      </c>
      <c r="E1032" s="6" t="s">
        <v>38</v>
      </c>
      <c r="F1032" s="7">
        <v>2752</v>
      </c>
      <c r="G1032" s="7">
        <v>29222</v>
      </c>
      <c r="H1032" s="6">
        <f t="shared" si="32"/>
        <v>10.618459302325581</v>
      </c>
      <c r="I1032" s="3" t="s">
        <v>595</v>
      </c>
      <c r="J1032" s="6" t="str">
        <f t="shared" si="33"/>
        <v>http://konect.cc/files/download.tsv.edit-sswiki.tar.bz2</v>
      </c>
      <c r="L1032" s="5"/>
    </row>
    <row r="1033" spans="3:12" x14ac:dyDescent="0.3">
      <c r="C1033" s="6" t="s">
        <v>2734</v>
      </c>
      <c r="D1033" s="3" t="s">
        <v>2735</v>
      </c>
      <c r="E1033" s="6" t="s">
        <v>98</v>
      </c>
      <c r="F1033" s="7">
        <v>2697</v>
      </c>
      <c r="G1033" s="7">
        <v>232680</v>
      </c>
      <c r="H1033" s="6">
        <f t="shared" si="32"/>
        <v>86.273637374860954</v>
      </c>
      <c r="I1033" s="3" t="s">
        <v>809</v>
      </c>
      <c r="J1033" s="6" t="str">
        <f t="shared" si="33"/>
        <v>http://konect.cc/files/download.tsv.wikipedia_link_xal.tar.bz2</v>
      </c>
      <c r="L1033" s="5"/>
    </row>
    <row r="1034" spans="3:12" x14ac:dyDescent="0.3">
      <c r="C1034" s="6" t="s">
        <v>2189</v>
      </c>
      <c r="D1034" s="3" t="s">
        <v>2190</v>
      </c>
      <c r="E1034" s="6" t="s">
        <v>38</v>
      </c>
      <c r="F1034" s="7">
        <v>2689</v>
      </c>
      <c r="G1034" s="7">
        <v>14965</v>
      </c>
      <c r="H1034" s="6">
        <f t="shared" si="32"/>
        <v>5.5652658981033838</v>
      </c>
      <c r="I1034" s="3" t="s">
        <v>506</v>
      </c>
      <c r="J1034" s="6" t="str">
        <f t="shared" si="33"/>
        <v>http://konect.cc/files/download.tsv.edit-stwiki.tar.bz2</v>
      </c>
      <c r="L1034" s="5"/>
    </row>
    <row r="1035" spans="3:12" x14ac:dyDescent="0.3">
      <c r="C1035" s="6" t="s">
        <v>2019</v>
      </c>
      <c r="D1035" s="3" t="s">
        <v>2020</v>
      </c>
      <c r="E1035" s="6" t="s">
        <v>38</v>
      </c>
      <c r="F1035" s="7">
        <v>2678</v>
      </c>
      <c r="G1035" s="7">
        <v>6691</v>
      </c>
      <c r="H1035" s="6">
        <f t="shared" si="32"/>
        <v>2.4985063480209111</v>
      </c>
      <c r="I1035" s="3" t="s">
        <v>421</v>
      </c>
      <c r="J1035" s="6" t="str">
        <f t="shared" si="33"/>
        <v>http://konect.cc/files/download.tsv.edit-gnwiktionary.tar.bz2</v>
      </c>
      <c r="L1035" s="5"/>
    </row>
    <row r="1036" spans="3:12" x14ac:dyDescent="0.3">
      <c r="C1036" s="6" t="s">
        <v>2122</v>
      </c>
      <c r="D1036" s="3" t="s">
        <v>2123</v>
      </c>
      <c r="E1036" s="6" t="s">
        <v>38</v>
      </c>
      <c r="F1036" s="7">
        <v>2649</v>
      </c>
      <c r="G1036" s="7">
        <v>11364</v>
      </c>
      <c r="H1036" s="6">
        <f t="shared" si="32"/>
        <v>4.2899207248018119</v>
      </c>
      <c r="I1036" s="3" t="s">
        <v>469</v>
      </c>
      <c r="J1036" s="6" t="str">
        <f t="shared" si="33"/>
        <v>http://konect.cc/files/download.tsv.edit-guwikiquote.tar.bz2</v>
      </c>
      <c r="L1036" s="5"/>
    </row>
    <row r="1037" spans="3:12" x14ac:dyDescent="0.3">
      <c r="C1037" s="6" t="s">
        <v>2709</v>
      </c>
      <c r="D1037" s="3" t="s">
        <v>2710</v>
      </c>
      <c r="E1037" s="6" t="s">
        <v>56</v>
      </c>
      <c r="F1037" s="7">
        <v>2625</v>
      </c>
      <c r="G1037" s="7">
        <v>100000</v>
      </c>
      <c r="H1037" s="6">
        <f t="shared" si="32"/>
        <v>38.095238095238095</v>
      </c>
      <c r="I1037" s="3" t="s">
        <v>796</v>
      </c>
      <c r="J1037" s="6" t="str">
        <f t="shared" si="33"/>
        <v>http://konect.cc/files/download.tsv.movielens-100k_rating.tar.bz2</v>
      </c>
      <c r="L1037" s="5"/>
    </row>
    <row r="1038" spans="3:12" x14ac:dyDescent="0.3">
      <c r="C1038" s="6" t="s">
        <v>2219</v>
      </c>
      <c r="D1038" s="3" t="s">
        <v>2220</v>
      </c>
      <c r="E1038" s="6" t="s">
        <v>38</v>
      </c>
      <c r="F1038" s="7">
        <v>2597</v>
      </c>
      <c r="G1038" s="7">
        <v>17251</v>
      </c>
      <c r="H1038" s="6">
        <f t="shared" si="32"/>
        <v>6.6426646130150173</v>
      </c>
      <c r="I1038" s="3" t="s">
        <v>523</v>
      </c>
      <c r="J1038" s="6" t="str">
        <f t="shared" si="33"/>
        <v>http://konect.cc/files/download.tsv.edit-klwiktionary.tar.bz2</v>
      </c>
      <c r="L1038" s="5"/>
    </row>
    <row r="1039" spans="3:12" x14ac:dyDescent="0.3">
      <c r="C1039" s="6" t="s">
        <v>2072</v>
      </c>
      <c r="D1039" s="3" t="s">
        <v>2073</v>
      </c>
      <c r="E1039" s="6" t="s">
        <v>38</v>
      </c>
      <c r="F1039" s="7">
        <v>2586</v>
      </c>
      <c r="G1039" s="7">
        <v>9256</v>
      </c>
      <c r="H1039" s="6">
        <f t="shared" si="32"/>
        <v>3.5792730085073474</v>
      </c>
      <c r="I1039" s="3" t="s">
        <v>446</v>
      </c>
      <c r="J1039" s="6" t="str">
        <f t="shared" si="33"/>
        <v>http://konect.cc/files/download.tsv.edit-skwikibooks.tar.bz2</v>
      </c>
      <c r="L1039" s="5"/>
    </row>
    <row r="1040" spans="3:12" x14ac:dyDescent="0.3">
      <c r="C1040" s="6" t="s">
        <v>2027</v>
      </c>
      <c r="D1040" s="3" t="s">
        <v>2028</v>
      </c>
      <c r="E1040" s="6" t="s">
        <v>1562</v>
      </c>
      <c r="F1040" s="7">
        <v>2539</v>
      </c>
      <c r="G1040" s="7">
        <v>12969</v>
      </c>
      <c r="H1040" s="6">
        <f t="shared" si="32"/>
        <v>5.1079165025600632</v>
      </c>
      <c r="I1040" s="3" t="s">
        <v>425</v>
      </c>
      <c r="J1040" s="6" t="str">
        <f t="shared" si="33"/>
        <v>http://konect.cc/files/download.tsv.moreno_health.tar.bz2</v>
      </c>
      <c r="L1040" s="5"/>
    </row>
    <row r="1041" spans="3:12" x14ac:dyDescent="0.3">
      <c r="C1041" s="6" t="s">
        <v>2133</v>
      </c>
      <c r="D1041" s="3" t="s">
        <v>2134</v>
      </c>
      <c r="E1041" s="6" t="s">
        <v>38</v>
      </c>
      <c r="F1041" s="7">
        <v>2534</v>
      </c>
      <c r="G1041" s="7">
        <v>12382</v>
      </c>
      <c r="H1041" s="6">
        <f t="shared" si="32"/>
        <v>4.8863456985003948</v>
      </c>
      <c r="I1041" s="3" t="s">
        <v>476</v>
      </c>
      <c r="J1041" s="6" t="str">
        <f t="shared" si="33"/>
        <v>http://konect.cc/files/download.tsv.edit-fjwiki.tar.bz2</v>
      </c>
      <c r="L1041" s="5"/>
    </row>
    <row r="1042" spans="3:12" x14ac:dyDescent="0.3">
      <c r="C1042" s="6" t="s">
        <v>2045</v>
      </c>
      <c r="D1042" s="3" t="s">
        <v>2046</v>
      </c>
      <c r="E1042" s="6" t="s">
        <v>38</v>
      </c>
      <c r="F1042" s="7">
        <v>2511</v>
      </c>
      <c r="G1042" s="7">
        <v>7745</v>
      </c>
      <c r="H1042" s="6">
        <f t="shared" si="32"/>
        <v>3.0844285145360413</v>
      </c>
      <c r="I1042" s="3" t="s">
        <v>434</v>
      </c>
      <c r="J1042" s="6" t="str">
        <f t="shared" si="33"/>
        <v>http://konect.cc/files/download.tsv.edit-sqwikinews.tar.bz2</v>
      </c>
      <c r="L1042" s="5"/>
    </row>
    <row r="1043" spans="3:12" x14ac:dyDescent="0.3">
      <c r="C1043" s="6" t="s">
        <v>2035</v>
      </c>
      <c r="D1043" s="3" t="s">
        <v>2036</v>
      </c>
      <c r="E1043" s="6" t="s">
        <v>38</v>
      </c>
      <c r="F1043" s="7">
        <v>2504</v>
      </c>
      <c r="G1043" s="7">
        <v>7105</v>
      </c>
      <c r="H1043" s="6">
        <f t="shared" si="32"/>
        <v>2.8374600638977636</v>
      </c>
      <c r="I1043" s="3" t="s">
        <v>429</v>
      </c>
      <c r="J1043" s="6" t="str">
        <f t="shared" si="33"/>
        <v>http://konect.cc/files/download.tsv.edit-newikibooks.tar.bz2</v>
      </c>
      <c r="L1043" s="5"/>
    </row>
    <row r="1044" spans="3:12" x14ac:dyDescent="0.3">
      <c r="C1044" s="6" t="s">
        <v>2074</v>
      </c>
      <c r="D1044" s="3" t="s">
        <v>2075</v>
      </c>
      <c r="E1044" s="6" t="s">
        <v>38</v>
      </c>
      <c r="F1044" s="7">
        <v>2493</v>
      </c>
      <c r="G1044" s="7">
        <v>9208</v>
      </c>
      <c r="H1044" s="6">
        <f t="shared" si="32"/>
        <v>3.6935419173686324</v>
      </c>
      <c r="I1044" s="3" t="s">
        <v>447</v>
      </c>
      <c r="J1044" s="6" t="str">
        <f t="shared" si="33"/>
        <v>http://konect.cc/files/download.tsv.edit-twwiki.tar.bz2</v>
      </c>
      <c r="L1044" s="5"/>
    </row>
    <row r="1045" spans="3:12" x14ac:dyDescent="0.3">
      <c r="C1045" s="6" t="s">
        <v>2126</v>
      </c>
      <c r="D1045" s="3" t="s">
        <v>2127</v>
      </c>
      <c r="E1045" s="6" t="s">
        <v>38</v>
      </c>
      <c r="F1045" s="7">
        <v>2481</v>
      </c>
      <c r="G1045" s="7">
        <v>11953</v>
      </c>
      <c r="H1045" s="6">
        <f t="shared" si="32"/>
        <v>4.8178153970173314</v>
      </c>
      <c r="I1045" s="3" t="s">
        <v>471</v>
      </c>
      <c r="J1045" s="6" t="str">
        <f t="shared" si="33"/>
        <v>http://konect.cc/files/download.tsv.edit-kowikiversity.tar.bz2</v>
      </c>
      <c r="L1045" s="5"/>
    </row>
    <row r="1046" spans="3:12" x14ac:dyDescent="0.3">
      <c r="C1046" s="6" t="s">
        <v>2370</v>
      </c>
      <c r="D1046" s="3" t="s">
        <v>2371</v>
      </c>
      <c r="E1046" s="6" t="s">
        <v>38</v>
      </c>
      <c r="F1046" s="7">
        <v>2478</v>
      </c>
      <c r="G1046" s="7">
        <v>30942</v>
      </c>
      <c r="H1046" s="6">
        <f t="shared" si="32"/>
        <v>12.486682808716708</v>
      </c>
      <c r="I1046" s="3" t="s">
        <v>601</v>
      </c>
      <c r="J1046" s="6" t="str">
        <f t="shared" si="33"/>
        <v>http://konect.cc/files/download.tsv.edit-pntwiki.tar.bz2</v>
      </c>
      <c r="L1046" s="5"/>
    </row>
    <row r="1047" spans="3:12" x14ac:dyDescent="0.3">
      <c r="C1047" s="6" t="s">
        <v>2023</v>
      </c>
      <c r="D1047" s="3" t="s">
        <v>2024</v>
      </c>
      <c r="E1047" s="6" t="s">
        <v>83</v>
      </c>
      <c r="F1047" s="7">
        <v>2426</v>
      </c>
      <c r="G1047" s="7">
        <v>16631</v>
      </c>
      <c r="H1047" s="6">
        <f t="shared" si="32"/>
        <v>6.8553173948887061</v>
      </c>
      <c r="I1047" s="3" t="s">
        <v>423</v>
      </c>
      <c r="J1047" s="6" t="str">
        <f t="shared" si="33"/>
        <v>http://konect.cc/files/download.tsv.petster-hamster.tar.bz2</v>
      </c>
      <c r="L1047" s="5"/>
    </row>
    <row r="1048" spans="3:12" x14ac:dyDescent="0.3">
      <c r="C1048" s="6" t="s">
        <v>2060</v>
      </c>
      <c r="D1048" s="3" t="s">
        <v>2061</v>
      </c>
      <c r="E1048" s="6" t="s">
        <v>38</v>
      </c>
      <c r="F1048" s="7">
        <v>2379</v>
      </c>
      <c r="G1048" s="7">
        <v>8719</v>
      </c>
      <c r="H1048" s="6">
        <f t="shared" si="32"/>
        <v>3.6649852879361076</v>
      </c>
      <c r="I1048" s="3" t="s">
        <v>441</v>
      </c>
      <c r="J1048" s="6" t="str">
        <f t="shared" si="33"/>
        <v>http://konect.cc/files/download.tsv.edit-iewiktionary.tar.bz2</v>
      </c>
      <c r="L1048" s="5"/>
    </row>
    <row r="1049" spans="3:12" x14ac:dyDescent="0.3">
      <c r="C1049" s="6" t="s">
        <v>2156</v>
      </c>
      <c r="D1049" s="3" t="s">
        <v>2157</v>
      </c>
      <c r="E1049" s="6" t="s">
        <v>38</v>
      </c>
      <c r="F1049" s="7">
        <v>2373</v>
      </c>
      <c r="G1049" s="7">
        <v>13205</v>
      </c>
      <c r="H1049" s="6">
        <f t="shared" si="32"/>
        <v>5.5646860514117149</v>
      </c>
      <c r="I1049" s="3" t="s">
        <v>488</v>
      </c>
      <c r="J1049" s="6" t="str">
        <f t="shared" si="33"/>
        <v>http://konect.cc/files/download.tsv.edit-tumwiki.tar.bz2</v>
      </c>
      <c r="L1049" s="5"/>
    </row>
    <row r="1050" spans="3:12" x14ac:dyDescent="0.3">
      <c r="C1050" s="6" t="s">
        <v>2233</v>
      </c>
      <c r="D1050" s="3" t="s">
        <v>2234</v>
      </c>
      <c r="E1050" s="6" t="s">
        <v>38</v>
      </c>
      <c r="F1050" s="7">
        <v>2362</v>
      </c>
      <c r="G1050" s="7">
        <v>17931</v>
      </c>
      <c r="H1050" s="6">
        <f t="shared" si="32"/>
        <v>7.5914479254868752</v>
      </c>
      <c r="I1050" s="3" t="s">
        <v>530</v>
      </c>
      <c r="J1050" s="6" t="str">
        <f t="shared" si="33"/>
        <v>http://konect.cc/files/download.tsv.edit-dzwiki.tar.bz2</v>
      </c>
      <c r="L1050" s="5"/>
    </row>
    <row r="1051" spans="3:12" x14ac:dyDescent="0.3">
      <c r="C1051" s="6" t="s">
        <v>2070</v>
      </c>
      <c r="D1051" s="3" t="s">
        <v>2071</v>
      </c>
      <c r="E1051" s="6" t="s">
        <v>38</v>
      </c>
      <c r="F1051" s="7">
        <v>2355</v>
      </c>
      <c r="G1051" s="7">
        <v>9143</v>
      </c>
      <c r="H1051" s="6">
        <f t="shared" si="32"/>
        <v>3.8823779193205943</v>
      </c>
      <c r="I1051" s="3" t="s">
        <v>445</v>
      </c>
      <c r="J1051" s="6" t="str">
        <f t="shared" si="33"/>
        <v>http://konect.cc/files/download.tsv.edit-dawikiquote.tar.bz2</v>
      </c>
      <c r="L1051" s="5"/>
    </row>
    <row r="1052" spans="3:12" x14ac:dyDescent="0.3">
      <c r="C1052" s="6" t="s">
        <v>1993</v>
      </c>
      <c r="D1052" s="3" t="s">
        <v>1994</v>
      </c>
      <c r="E1052" s="6" t="s">
        <v>38</v>
      </c>
      <c r="F1052" s="7">
        <v>2341</v>
      </c>
      <c r="G1052" s="7">
        <v>5767</v>
      </c>
      <c r="H1052" s="6">
        <f t="shared" si="32"/>
        <v>2.4634771465185819</v>
      </c>
      <c r="I1052" s="3" t="s">
        <v>408</v>
      </c>
      <c r="J1052" s="6" t="str">
        <f t="shared" si="33"/>
        <v>http://konect.cc/files/download.tsv.edit-tlwikibooks.tar.bz2</v>
      </c>
      <c r="L1052" s="5"/>
    </row>
    <row r="1053" spans="3:12" x14ac:dyDescent="0.3">
      <c r="C1053" s="6" t="s">
        <v>2124</v>
      </c>
      <c r="D1053" s="3" t="s">
        <v>2125</v>
      </c>
      <c r="E1053" s="6" t="s">
        <v>38</v>
      </c>
      <c r="F1053" s="7">
        <v>2338</v>
      </c>
      <c r="G1053" s="7">
        <v>11930</v>
      </c>
      <c r="H1053" s="6">
        <f t="shared" si="32"/>
        <v>5.102651839178785</v>
      </c>
      <c r="I1053" s="3" t="s">
        <v>470</v>
      </c>
      <c r="J1053" s="6" t="str">
        <f t="shared" si="33"/>
        <v>http://konect.cc/files/download.tsv.edit-nywiki.tar.bz2</v>
      </c>
      <c r="L1053" s="5"/>
    </row>
    <row r="1054" spans="3:12" x14ac:dyDescent="0.3">
      <c r="C1054" s="6" t="s">
        <v>2206</v>
      </c>
      <c r="D1054" s="3" t="s">
        <v>2207</v>
      </c>
      <c r="E1054" s="6" t="s">
        <v>38</v>
      </c>
      <c r="F1054" s="7">
        <v>2330</v>
      </c>
      <c r="G1054" s="7">
        <v>15753</v>
      </c>
      <c r="H1054" s="6">
        <f t="shared" si="32"/>
        <v>6.7609442060085838</v>
      </c>
      <c r="I1054" s="3" t="s">
        <v>516</v>
      </c>
      <c r="J1054" s="6" t="str">
        <f t="shared" si="33"/>
        <v>http://konect.cc/files/download.tsv.edit-ffwiki.tar.bz2</v>
      </c>
      <c r="L1054" s="5"/>
    </row>
    <row r="1055" spans="3:12" x14ac:dyDescent="0.3">
      <c r="C1055" s="6" t="s">
        <v>2142</v>
      </c>
      <c r="D1055" s="3" t="s">
        <v>2143</v>
      </c>
      <c r="E1055" s="6" t="s">
        <v>38</v>
      </c>
      <c r="F1055" s="7">
        <v>2313</v>
      </c>
      <c r="G1055" s="7">
        <v>12547</v>
      </c>
      <c r="H1055" s="6">
        <f t="shared" si="32"/>
        <v>5.424556852572417</v>
      </c>
      <c r="I1055" s="3" t="s">
        <v>481</v>
      </c>
      <c r="J1055" s="6" t="str">
        <f t="shared" si="33"/>
        <v>http://konect.cc/files/download.tsv.edit-rnwiki.tar.bz2</v>
      </c>
      <c r="L1055" s="5"/>
    </row>
    <row r="1056" spans="3:12" x14ac:dyDescent="0.3">
      <c r="C1056" s="6" t="s">
        <v>2088</v>
      </c>
      <c r="D1056" s="3" t="s">
        <v>2089</v>
      </c>
      <c r="E1056" s="6" t="s">
        <v>38</v>
      </c>
      <c r="F1056" s="7">
        <v>2312</v>
      </c>
      <c r="G1056" s="7">
        <v>10000</v>
      </c>
      <c r="H1056" s="6">
        <f t="shared" si="32"/>
        <v>4.3252595155709344</v>
      </c>
      <c r="I1056" s="3" t="s">
        <v>452</v>
      </c>
      <c r="J1056" s="6" t="str">
        <f t="shared" si="33"/>
        <v>http://konect.cc/files/download.tsv.edit-stwiktionary.tar.bz2</v>
      </c>
      <c r="L1056" s="5"/>
    </row>
    <row r="1057" spans="3:12" x14ac:dyDescent="0.3">
      <c r="C1057" s="6" t="s">
        <v>2056</v>
      </c>
      <c r="D1057" s="3" t="s">
        <v>2057</v>
      </c>
      <c r="E1057" s="6" t="s">
        <v>38</v>
      </c>
      <c r="F1057" s="7">
        <v>2277</v>
      </c>
      <c r="G1057" s="7">
        <v>8672</v>
      </c>
      <c r="H1057" s="6">
        <f t="shared" si="32"/>
        <v>3.808519982433026</v>
      </c>
      <c r="I1057" s="3" t="s">
        <v>439</v>
      </c>
      <c r="J1057" s="6" t="str">
        <f t="shared" si="33"/>
        <v>http://konect.cc/files/download.tsv.edit-srwikiquote.tar.bz2</v>
      </c>
      <c r="L1057" s="5"/>
    </row>
    <row r="1058" spans="3:12" x14ac:dyDescent="0.3">
      <c r="C1058" s="6" t="s">
        <v>2025</v>
      </c>
      <c r="D1058" s="3" t="s">
        <v>2026</v>
      </c>
      <c r="E1058" s="6" t="s">
        <v>38</v>
      </c>
      <c r="F1058" s="7">
        <v>2271</v>
      </c>
      <c r="G1058" s="7">
        <v>6788</v>
      </c>
      <c r="H1058" s="6">
        <f t="shared" si="32"/>
        <v>2.9889916336415676</v>
      </c>
      <c r="I1058" s="3" t="s">
        <v>424</v>
      </c>
      <c r="J1058" s="6" t="str">
        <f t="shared" si="33"/>
        <v>http://konect.cc/files/download.tsv.edit-bgwikibooks.tar.bz2</v>
      </c>
      <c r="L1058" s="5"/>
    </row>
    <row r="1059" spans="3:12" x14ac:dyDescent="0.3">
      <c r="C1059" s="6" t="s">
        <v>2064</v>
      </c>
      <c r="D1059" s="3" t="s">
        <v>2065</v>
      </c>
      <c r="E1059" s="6" t="s">
        <v>38</v>
      </c>
      <c r="F1059" s="7">
        <v>2262</v>
      </c>
      <c r="G1059" s="7">
        <v>8909</v>
      </c>
      <c r="H1059" s="6">
        <f t="shared" si="32"/>
        <v>3.938549955791335</v>
      </c>
      <c r="I1059" s="3" t="s">
        <v>443</v>
      </c>
      <c r="J1059" s="6" t="str">
        <f t="shared" si="33"/>
        <v>http://konect.cc/files/download.tsv.edit-miwiktionary.tar.bz2</v>
      </c>
      <c r="L1059" s="5"/>
    </row>
    <row r="1060" spans="3:12" x14ac:dyDescent="0.3">
      <c r="C1060" s="6" t="s">
        <v>2066</v>
      </c>
      <c r="D1060" s="3" t="s">
        <v>2067</v>
      </c>
      <c r="E1060" s="6" t="s">
        <v>38</v>
      </c>
      <c r="F1060" s="7">
        <v>2250</v>
      </c>
      <c r="G1060" s="7">
        <v>8809</v>
      </c>
      <c r="H1060" s="6">
        <f t="shared" si="32"/>
        <v>3.915111111111111</v>
      </c>
      <c r="I1060" s="3" t="s">
        <v>444</v>
      </c>
      <c r="J1060" s="6" t="str">
        <f t="shared" si="33"/>
        <v>http://konect.cc/files/download.tsv.edit-slwikibooks.tar.bz2</v>
      </c>
      <c r="L1060" s="5"/>
    </row>
    <row r="1061" spans="3:12" x14ac:dyDescent="0.3">
      <c r="C1061" s="6" t="s">
        <v>1918</v>
      </c>
      <c r="D1061" s="3" t="s">
        <v>1919</v>
      </c>
      <c r="E1061" s="6" t="s">
        <v>98</v>
      </c>
      <c r="F1061" s="7">
        <v>2239</v>
      </c>
      <c r="G1061" s="7">
        <v>6452</v>
      </c>
      <c r="H1061" s="6">
        <f t="shared" si="32"/>
        <v>2.8816435908887899</v>
      </c>
      <c r="I1061" s="3" t="s">
        <v>368</v>
      </c>
      <c r="J1061" s="6" t="str">
        <f t="shared" si="33"/>
        <v>http://konect.cc/files/download.tsv.maayan-figeys.tar.bz2</v>
      </c>
      <c r="L1061" s="5"/>
    </row>
    <row r="1062" spans="3:12" x14ac:dyDescent="0.3">
      <c r="C1062" s="6" t="s">
        <v>2094</v>
      </c>
      <c r="D1062" s="3" t="s">
        <v>2095</v>
      </c>
      <c r="E1062" s="6" t="s">
        <v>145</v>
      </c>
      <c r="F1062" s="7">
        <v>2233</v>
      </c>
      <c r="G1062" s="7">
        <v>10740</v>
      </c>
      <c r="H1062" s="6">
        <f t="shared" si="32"/>
        <v>4.8096730855351542</v>
      </c>
      <c r="I1062" s="3" t="s">
        <v>455</v>
      </c>
      <c r="J1062" s="6" t="str">
        <f t="shared" si="33"/>
        <v>http://konect.cc/files/download.tsv.wiki_talk_cy.tar.bz2</v>
      </c>
      <c r="L1062" s="5"/>
    </row>
    <row r="1063" spans="3:12" x14ac:dyDescent="0.3">
      <c r="C1063" s="6" t="s">
        <v>1948</v>
      </c>
      <c r="D1063" s="3" t="s">
        <v>1949</v>
      </c>
      <c r="E1063" s="6" t="s">
        <v>38</v>
      </c>
      <c r="F1063" s="7">
        <v>2208</v>
      </c>
      <c r="G1063" s="7">
        <v>4069</v>
      </c>
      <c r="H1063" s="6">
        <f t="shared" si="32"/>
        <v>1.8428442028985508</v>
      </c>
      <c r="I1063" s="3" t="s">
        <v>384</v>
      </c>
      <c r="J1063" s="6" t="str">
        <f t="shared" si="33"/>
        <v>http://konect.cc/files/download.tsv.edit-sdwikinews.tar.bz2</v>
      </c>
      <c r="L1063" s="5"/>
    </row>
    <row r="1064" spans="3:12" x14ac:dyDescent="0.3">
      <c r="C1064" s="6" t="s">
        <v>1920</v>
      </c>
      <c r="D1064" s="3" t="s">
        <v>1921</v>
      </c>
      <c r="E1064" s="6" t="s">
        <v>38</v>
      </c>
      <c r="F1064" s="7">
        <v>2184</v>
      </c>
      <c r="G1064" s="7">
        <v>3029</v>
      </c>
      <c r="H1064" s="6">
        <f t="shared" si="32"/>
        <v>1.3869047619047619</v>
      </c>
      <c r="I1064" s="3" t="s">
        <v>369</v>
      </c>
      <c r="J1064" s="6" t="str">
        <f t="shared" si="33"/>
        <v>http://konect.cc/files/download.tsv.edit-suwikiquote.tar.bz2</v>
      </c>
      <c r="L1064" s="5"/>
    </row>
    <row r="1065" spans="3:12" x14ac:dyDescent="0.3">
      <c r="C1065" s="6" t="s">
        <v>2110</v>
      </c>
      <c r="D1065" s="3" t="s">
        <v>2111</v>
      </c>
      <c r="E1065" s="6" t="s">
        <v>38</v>
      </c>
      <c r="F1065" s="7">
        <v>2174</v>
      </c>
      <c r="G1065" s="7">
        <v>11472</v>
      </c>
      <c r="H1065" s="6">
        <f t="shared" si="32"/>
        <v>5.2769089236430542</v>
      </c>
      <c r="I1065" s="3" t="s">
        <v>463</v>
      </c>
      <c r="J1065" s="6" t="str">
        <f t="shared" si="33"/>
        <v>http://konect.cc/files/download.tsv.edit-tiwiki.tar.bz2</v>
      </c>
      <c r="L1065" s="5"/>
    </row>
    <row r="1066" spans="3:12" x14ac:dyDescent="0.3">
      <c r="C1066" s="6" t="s">
        <v>1946</v>
      </c>
      <c r="D1066" s="3" t="s">
        <v>1947</v>
      </c>
      <c r="E1066" s="6" t="s">
        <v>38</v>
      </c>
      <c r="F1066" s="7">
        <v>2169</v>
      </c>
      <c r="G1066" s="7">
        <v>3995</v>
      </c>
      <c r="H1066" s="6">
        <f t="shared" si="32"/>
        <v>1.8418626094974642</v>
      </c>
      <c r="I1066" s="3" t="s">
        <v>383</v>
      </c>
      <c r="J1066" s="6" t="str">
        <f t="shared" si="33"/>
        <v>http://konect.cc/files/download.tsv.edit-urwikiquote.tar.bz2</v>
      </c>
      <c r="L1066" s="5"/>
    </row>
    <row r="1067" spans="3:12" x14ac:dyDescent="0.3">
      <c r="C1067" s="6" t="s">
        <v>1944</v>
      </c>
      <c r="D1067" s="3" t="s">
        <v>1945</v>
      </c>
      <c r="E1067" s="6" t="s">
        <v>38</v>
      </c>
      <c r="F1067" s="7">
        <v>2155</v>
      </c>
      <c r="G1067" s="7">
        <v>3748</v>
      </c>
      <c r="H1067" s="6">
        <f t="shared" si="32"/>
        <v>1.7392111368909513</v>
      </c>
      <c r="I1067" s="3" t="s">
        <v>382</v>
      </c>
      <c r="J1067" s="6" t="str">
        <f t="shared" si="33"/>
        <v>http://konect.cc/files/download.tsv.edit-mkwikibooks.tar.bz2</v>
      </c>
      <c r="L1067" s="5"/>
    </row>
    <row r="1068" spans="3:12" x14ac:dyDescent="0.3">
      <c r="C1068" s="6" t="s">
        <v>2068</v>
      </c>
      <c r="D1068" s="3" t="s">
        <v>2269</v>
      </c>
      <c r="E1068" s="6" t="s">
        <v>1818</v>
      </c>
      <c r="F1068" s="7">
        <v>2154</v>
      </c>
      <c r="G1068" s="7">
        <v>18060</v>
      </c>
      <c r="H1068" s="6">
        <f t="shared" si="32"/>
        <v>8.3844011142061277</v>
      </c>
      <c r="I1068" s="3" t="s">
        <v>3883</v>
      </c>
      <c r="J1068" s="6" t="str">
        <f t="shared" si="33"/>
        <v>http://konect.cc/files/download.tsv.lqfb-All.tar.bz2</v>
      </c>
      <c r="L1068" s="5"/>
    </row>
    <row r="1069" spans="3:12" x14ac:dyDescent="0.3">
      <c r="C1069" s="6" t="s">
        <v>2062</v>
      </c>
      <c r="D1069" s="3" t="s">
        <v>2063</v>
      </c>
      <c r="E1069" s="6" t="s">
        <v>38</v>
      </c>
      <c r="F1069" s="7">
        <v>2137</v>
      </c>
      <c r="G1069" s="7">
        <v>8738</v>
      </c>
      <c r="H1069" s="6">
        <f t="shared" si="32"/>
        <v>4.0889096864763683</v>
      </c>
      <c r="I1069" s="3" t="s">
        <v>442</v>
      </c>
      <c r="J1069" s="6" t="str">
        <f t="shared" si="33"/>
        <v>http://konect.cc/files/download.tsv.edit-roa_rupwiktionary.tar.bz2</v>
      </c>
      <c r="L1069" s="5"/>
    </row>
    <row r="1070" spans="3:12" x14ac:dyDescent="0.3">
      <c r="C1070" s="6" t="s">
        <v>2102</v>
      </c>
      <c r="D1070" s="3" t="s">
        <v>2103</v>
      </c>
      <c r="E1070" s="6" t="s">
        <v>38</v>
      </c>
      <c r="F1070" s="7">
        <v>2134</v>
      </c>
      <c r="G1070" s="7">
        <v>11047</v>
      </c>
      <c r="H1070" s="6">
        <f t="shared" si="32"/>
        <v>5.1766635426429239</v>
      </c>
      <c r="I1070" s="3" t="s">
        <v>459</v>
      </c>
      <c r="J1070" s="6" t="str">
        <f t="shared" si="33"/>
        <v>http://konect.cc/files/download.tsv.edit-vewiki.tar.bz2</v>
      </c>
      <c r="L1070" s="5"/>
    </row>
    <row r="1071" spans="3:12" x14ac:dyDescent="0.3">
      <c r="C1071" s="6" t="s">
        <v>2012</v>
      </c>
      <c r="D1071" s="3" t="s">
        <v>2013</v>
      </c>
      <c r="E1071" s="6" t="s">
        <v>38</v>
      </c>
      <c r="F1071" s="7">
        <v>2134</v>
      </c>
      <c r="G1071" s="7">
        <v>6470</v>
      </c>
      <c r="H1071" s="6">
        <f t="shared" si="32"/>
        <v>3.0318650421743207</v>
      </c>
      <c r="I1071" s="3" t="s">
        <v>418</v>
      </c>
      <c r="J1071" s="6" t="str">
        <f t="shared" si="33"/>
        <v>http://konect.cc/files/download.tsv.edit-kswiki.tar.bz2</v>
      </c>
      <c r="L1071" s="5"/>
    </row>
    <row r="1072" spans="3:12" x14ac:dyDescent="0.3">
      <c r="C1072" s="6" t="s">
        <v>2137</v>
      </c>
      <c r="D1072" s="3" t="s">
        <v>2138</v>
      </c>
      <c r="E1072" s="6" t="s">
        <v>38</v>
      </c>
      <c r="F1072" s="7">
        <v>2105</v>
      </c>
      <c r="G1072" s="7">
        <v>12456</v>
      </c>
      <c r="H1072" s="6">
        <f t="shared" si="32"/>
        <v>5.9173396674584327</v>
      </c>
      <c r="I1072" s="3" t="s">
        <v>478</v>
      </c>
      <c r="J1072" s="6" t="str">
        <f t="shared" si="33"/>
        <v>http://konect.cc/files/download.tsv.edit-sgwiki.tar.bz2</v>
      </c>
      <c r="L1072" s="5"/>
    </row>
    <row r="1073" spans="3:12" x14ac:dyDescent="0.3">
      <c r="C1073" s="6" t="s">
        <v>1989</v>
      </c>
      <c r="D1073" s="3" t="s">
        <v>1990</v>
      </c>
      <c r="E1073" s="6" t="s">
        <v>38</v>
      </c>
      <c r="F1073" s="7">
        <v>2102</v>
      </c>
      <c r="G1073" s="7">
        <v>5593</v>
      </c>
      <c r="H1073" s="6">
        <f t="shared" si="32"/>
        <v>2.6607992388201711</v>
      </c>
      <c r="I1073" s="3" t="s">
        <v>406</v>
      </c>
      <c r="J1073" s="6" t="str">
        <f t="shared" si="33"/>
        <v>http://konect.cc/files/download.tsv.edit-mswikibooks.tar.bz2</v>
      </c>
      <c r="L1073" s="5"/>
    </row>
    <row r="1074" spans="3:12" x14ac:dyDescent="0.3">
      <c r="C1074" s="6" t="s">
        <v>2164</v>
      </c>
      <c r="D1074" s="3" t="s">
        <v>2165</v>
      </c>
      <c r="E1074" s="6" t="s">
        <v>38</v>
      </c>
      <c r="F1074" s="7">
        <v>2064</v>
      </c>
      <c r="G1074" s="7">
        <v>13575</v>
      </c>
      <c r="H1074" s="6">
        <f t="shared" si="32"/>
        <v>6.5770348837209305</v>
      </c>
      <c r="I1074" s="3" t="s">
        <v>492</v>
      </c>
      <c r="J1074" s="6" t="str">
        <f t="shared" si="33"/>
        <v>http://konect.cc/files/download.tsv.edit-fowiktionary.tar.bz2</v>
      </c>
      <c r="L1074" s="5"/>
    </row>
    <row r="1075" spans="3:12" x14ac:dyDescent="0.3">
      <c r="C1075" s="6" t="s">
        <v>2016</v>
      </c>
      <c r="D1075" s="3" t="s">
        <v>2017</v>
      </c>
      <c r="E1075" s="6" t="s">
        <v>2018</v>
      </c>
      <c r="F1075" s="7">
        <v>2029</v>
      </c>
      <c r="G1075" s="7">
        <v>136602</v>
      </c>
      <c r="H1075" s="6">
        <f t="shared" si="32"/>
        <v>67.324790537210447</v>
      </c>
      <c r="I1075" s="3" t="s">
        <v>420</v>
      </c>
      <c r="J1075" s="6" t="str">
        <f t="shared" si="33"/>
        <v>http://konect.cc/files/download.tsv.dnc-corecipient.tar.bz2</v>
      </c>
      <c r="L1075" s="5"/>
    </row>
    <row r="1076" spans="3:12" x14ac:dyDescent="0.3">
      <c r="C1076" s="6" t="s">
        <v>2443</v>
      </c>
      <c r="D1076" s="3" t="s">
        <v>2444</v>
      </c>
      <c r="E1076" s="6" t="s">
        <v>42</v>
      </c>
      <c r="F1076" s="7">
        <v>2029</v>
      </c>
      <c r="G1076" s="7">
        <v>39264</v>
      </c>
      <c r="H1076" s="6">
        <f t="shared" si="32"/>
        <v>19.35140463282405</v>
      </c>
      <c r="I1076" s="3" t="s">
        <v>640</v>
      </c>
      <c r="J1076" s="6" t="str">
        <f t="shared" si="33"/>
        <v>http://konect.cc/files/download.tsv.dnc-temporalGraph.tar.bz2</v>
      </c>
      <c r="L1076" s="5"/>
    </row>
    <row r="1077" spans="3:12" x14ac:dyDescent="0.3">
      <c r="C1077" s="6" t="s">
        <v>2200</v>
      </c>
      <c r="D1077" s="3" t="s">
        <v>2201</v>
      </c>
      <c r="E1077" s="6" t="s">
        <v>38</v>
      </c>
      <c r="F1077" s="7">
        <v>2003</v>
      </c>
      <c r="G1077" s="7">
        <v>15715</v>
      </c>
      <c r="H1077" s="6">
        <f t="shared" si="32"/>
        <v>7.8457314028956562</v>
      </c>
      <c r="I1077" s="3" t="s">
        <v>512</v>
      </c>
      <c r="J1077" s="6" t="str">
        <f t="shared" si="33"/>
        <v>http://konect.cc/files/download.tsv.edit-ukwikivoyage.tar.bz2</v>
      </c>
      <c r="L1077" s="5"/>
    </row>
    <row r="1078" spans="3:12" x14ac:dyDescent="0.3">
      <c r="C1078" s="6" t="s">
        <v>1971</v>
      </c>
      <c r="D1078" s="3" t="s">
        <v>1972</v>
      </c>
      <c r="E1078" s="6" t="s">
        <v>38</v>
      </c>
      <c r="F1078" s="7">
        <v>1983</v>
      </c>
      <c r="G1078" s="7">
        <v>4944</v>
      </c>
      <c r="H1078" s="6">
        <f t="shared" si="32"/>
        <v>2.4931921331316187</v>
      </c>
      <c r="I1078" s="3" t="s">
        <v>396</v>
      </c>
      <c r="J1078" s="6" t="str">
        <f t="shared" si="33"/>
        <v>http://konect.cc/files/download.tsv.edit-ltwikisource.tar.bz2</v>
      </c>
      <c r="L1078" s="5"/>
    </row>
    <row r="1079" spans="3:12" x14ac:dyDescent="0.3">
      <c r="C1079" s="6" t="s">
        <v>2041</v>
      </c>
      <c r="D1079" s="3" t="s">
        <v>2042</v>
      </c>
      <c r="E1079" s="6" t="s">
        <v>38</v>
      </c>
      <c r="F1079" s="7">
        <v>1958</v>
      </c>
      <c r="G1079" s="7">
        <v>7456</v>
      </c>
      <c r="H1079" s="6">
        <f t="shared" si="32"/>
        <v>3.8079673135852912</v>
      </c>
      <c r="I1079" s="3" t="s">
        <v>432</v>
      </c>
      <c r="J1079" s="6" t="str">
        <f t="shared" si="33"/>
        <v>http://konect.cc/files/download.tsv.edit-aywiktionary.tar.bz2</v>
      </c>
      <c r="L1079" s="5"/>
    </row>
    <row r="1080" spans="3:12" x14ac:dyDescent="0.3">
      <c r="C1080" s="6" t="s">
        <v>1965</v>
      </c>
      <c r="D1080" s="3" t="s">
        <v>1966</v>
      </c>
      <c r="E1080" s="6" t="s">
        <v>38</v>
      </c>
      <c r="F1080" s="7">
        <v>1956</v>
      </c>
      <c r="G1080" s="7">
        <v>4927</v>
      </c>
      <c r="H1080" s="6">
        <f t="shared" si="32"/>
        <v>2.5189161554192228</v>
      </c>
      <c r="I1080" s="3" t="s">
        <v>393</v>
      </c>
      <c r="J1080" s="6" t="str">
        <f t="shared" si="33"/>
        <v>http://konect.cc/files/download.tsv.edit-hywikibooks.tar.bz2</v>
      </c>
      <c r="L1080" s="5"/>
    </row>
    <row r="1081" spans="3:12" x14ac:dyDescent="0.3">
      <c r="C1081" s="6" t="s">
        <v>2553</v>
      </c>
      <c r="D1081" s="3" t="s">
        <v>2554</v>
      </c>
      <c r="E1081" s="6" t="s">
        <v>2555</v>
      </c>
      <c r="F1081" s="7">
        <v>1899</v>
      </c>
      <c r="G1081" s="7">
        <v>59835</v>
      </c>
      <c r="H1081" s="6">
        <f t="shared" si="32"/>
        <v>31.5086887835703</v>
      </c>
      <c r="I1081" s="3" t="s">
        <v>703</v>
      </c>
      <c r="J1081" s="6" t="str">
        <f t="shared" si="33"/>
        <v>http://konect.cc/files/download.tsv.opsahl-ucsocial.tar.bz2</v>
      </c>
      <c r="L1081" s="5"/>
    </row>
    <row r="1082" spans="3:12" x14ac:dyDescent="0.3">
      <c r="C1082" s="6" t="s">
        <v>2100</v>
      </c>
      <c r="D1082" s="3" t="s">
        <v>2101</v>
      </c>
      <c r="E1082" s="6" t="s">
        <v>38</v>
      </c>
      <c r="F1082" s="7">
        <v>1878</v>
      </c>
      <c r="G1082" s="7">
        <v>10969</v>
      </c>
      <c r="H1082" s="6">
        <f t="shared" si="32"/>
        <v>5.8407880724174657</v>
      </c>
      <c r="I1082" s="3" t="s">
        <v>458</v>
      </c>
      <c r="J1082" s="6" t="str">
        <f t="shared" si="33"/>
        <v>http://konect.cc/files/download.tsv.edit-amwiktionary.tar.bz2</v>
      </c>
      <c r="L1082" s="5"/>
    </row>
    <row r="1083" spans="3:12" x14ac:dyDescent="0.3">
      <c r="C1083" s="6" t="s">
        <v>1811</v>
      </c>
      <c r="D1083" s="3" t="s">
        <v>1483</v>
      </c>
      <c r="E1083" s="6" t="s">
        <v>91</v>
      </c>
      <c r="F1083" s="7">
        <v>1870</v>
      </c>
      <c r="G1083" s="7">
        <v>2277</v>
      </c>
      <c r="H1083" s="6">
        <f t="shared" si="32"/>
        <v>1.2176470588235293</v>
      </c>
      <c r="I1083" s="3" t="s">
        <v>317</v>
      </c>
      <c r="J1083" s="6" t="str">
        <f t="shared" si="33"/>
        <v>http://konect.cc/files/download.tsv.moreno_propro.tar.bz2</v>
      </c>
      <c r="L1083" s="5"/>
    </row>
    <row r="1084" spans="3:12" x14ac:dyDescent="0.3">
      <c r="C1084" s="6" t="s">
        <v>1973</v>
      </c>
      <c r="D1084" s="3" t="s">
        <v>1974</v>
      </c>
      <c r="E1084" s="6" t="s">
        <v>83</v>
      </c>
      <c r="F1084" s="7">
        <v>1858</v>
      </c>
      <c r="G1084" s="7">
        <v>12534</v>
      </c>
      <c r="H1084" s="6">
        <f t="shared" si="32"/>
        <v>6.7459634015069971</v>
      </c>
      <c r="I1084" s="3" t="s">
        <v>397</v>
      </c>
      <c r="J1084" s="6" t="str">
        <f t="shared" si="33"/>
        <v>http://konect.cc/files/download.tsv.petster-friendships-hamster.tar.bz2</v>
      </c>
      <c r="L1084" s="5"/>
    </row>
    <row r="1085" spans="3:12" x14ac:dyDescent="0.3">
      <c r="C1085" s="6" t="s">
        <v>1998</v>
      </c>
      <c r="D1085" s="3" t="s">
        <v>1999</v>
      </c>
      <c r="E1085" s="6" t="s">
        <v>38</v>
      </c>
      <c r="F1085" s="7">
        <v>1832</v>
      </c>
      <c r="G1085" s="7">
        <v>5882</v>
      </c>
      <c r="H1085" s="6">
        <f t="shared" si="32"/>
        <v>3.2106986899563319</v>
      </c>
      <c r="I1085" s="3" t="s">
        <v>410</v>
      </c>
      <c r="J1085" s="6" t="str">
        <f t="shared" si="33"/>
        <v>http://konect.cc/files/download.tsv.edit-sahwikisource.tar.bz2</v>
      </c>
      <c r="L1085" s="5"/>
    </row>
    <row r="1086" spans="3:12" x14ac:dyDescent="0.3">
      <c r="C1086" s="6" t="s">
        <v>2037</v>
      </c>
      <c r="D1086" s="3" t="s">
        <v>2038</v>
      </c>
      <c r="E1086" s="6" t="s">
        <v>38</v>
      </c>
      <c r="F1086" s="7">
        <v>1822</v>
      </c>
      <c r="G1086" s="7">
        <v>7681</v>
      </c>
      <c r="H1086" s="6">
        <f t="shared" si="32"/>
        <v>4.2156970362239301</v>
      </c>
      <c r="I1086" s="3" t="s">
        <v>430</v>
      </c>
      <c r="J1086" s="6" t="str">
        <f t="shared" si="33"/>
        <v>http://konect.cc/files/download.tsv.edit-etwikiquote.tar.bz2</v>
      </c>
      <c r="L1086" s="5"/>
    </row>
    <row r="1087" spans="3:12" x14ac:dyDescent="0.3">
      <c r="C1087" s="6" t="s">
        <v>2052</v>
      </c>
      <c r="D1087" s="3" t="s">
        <v>2053</v>
      </c>
      <c r="E1087" s="6" t="s">
        <v>38</v>
      </c>
      <c r="F1087" s="7">
        <v>1774</v>
      </c>
      <c r="G1087" s="7">
        <v>8417</v>
      </c>
      <c r="H1087" s="6">
        <f t="shared" si="32"/>
        <v>4.744644870349493</v>
      </c>
      <c r="I1087" s="3" t="s">
        <v>438</v>
      </c>
      <c r="J1087" s="6" t="str">
        <f t="shared" si="33"/>
        <v>http://konect.cc/files/download.tsv.edit-jbowiktionary.tar.bz2</v>
      </c>
      <c r="L1087" s="5"/>
    </row>
    <row r="1088" spans="3:12" x14ac:dyDescent="0.3">
      <c r="C1088" s="6" t="s">
        <v>1952</v>
      </c>
      <c r="D1088" s="3" t="s">
        <v>1486</v>
      </c>
      <c r="E1088" s="6" t="s">
        <v>133</v>
      </c>
      <c r="F1088" s="7">
        <v>1773</v>
      </c>
      <c r="G1088" s="7">
        <v>16401</v>
      </c>
      <c r="H1088" s="6">
        <f t="shared" si="32"/>
        <v>9.2504230118443314</v>
      </c>
      <c r="I1088" s="3" t="s">
        <v>386</v>
      </c>
      <c r="J1088" s="6" t="str">
        <f t="shared" si="33"/>
        <v>http://konect.cc/files/download.tsv.moreno_names.tar.bz2</v>
      </c>
      <c r="L1088" s="5"/>
    </row>
    <row r="1089" spans="3:12" x14ac:dyDescent="0.3">
      <c r="C1089" s="6" t="s">
        <v>1922</v>
      </c>
      <c r="D1089" s="3" t="s">
        <v>1923</v>
      </c>
      <c r="E1089" s="6" t="s">
        <v>38</v>
      </c>
      <c r="F1089" s="7">
        <v>1737</v>
      </c>
      <c r="G1089" s="7">
        <v>2960</v>
      </c>
      <c r="H1089" s="6">
        <f t="shared" si="32"/>
        <v>1.7040875071963155</v>
      </c>
      <c r="I1089" s="3" t="s">
        <v>370</v>
      </c>
      <c r="J1089" s="6" t="str">
        <f t="shared" si="33"/>
        <v>http://konect.cc/files/download.tsv.edit-thwikinews.tar.bz2</v>
      </c>
      <c r="L1089" s="5"/>
    </row>
    <row r="1090" spans="3:12" x14ac:dyDescent="0.3">
      <c r="C1090" s="6" t="s">
        <v>2031</v>
      </c>
      <c r="D1090" s="3" t="s">
        <v>2032</v>
      </c>
      <c r="E1090" s="6" t="s">
        <v>38</v>
      </c>
      <c r="F1090" s="7">
        <v>1717</v>
      </c>
      <c r="G1090" s="7">
        <v>7094</v>
      </c>
      <c r="H1090" s="6">
        <f t="shared" ref="H1090:H1153" si="34">G1090/F1090</f>
        <v>4.1316249271986019</v>
      </c>
      <c r="I1090" s="3" t="s">
        <v>427</v>
      </c>
      <c r="J1090" s="6" t="str">
        <f t="shared" ref="J1090:J1153" si="35">"http://konect.cc/files/download.tsv."&amp;I1090&amp;".tar.bz2"</f>
        <v>http://konect.cc/files/download.tsv.edit-nawiktionary.tar.bz2</v>
      </c>
      <c r="L1090" s="5"/>
    </row>
    <row r="1091" spans="3:12" x14ac:dyDescent="0.3">
      <c r="C1091" s="6" t="s">
        <v>1910</v>
      </c>
      <c r="D1091" s="3" t="s">
        <v>1911</v>
      </c>
      <c r="E1091" s="6" t="s">
        <v>33</v>
      </c>
      <c r="F1091" s="7">
        <v>1706</v>
      </c>
      <c r="G1091" s="7">
        <v>6207</v>
      </c>
      <c r="H1091" s="6">
        <f t="shared" si="34"/>
        <v>3.6383352872215711</v>
      </c>
      <c r="I1091" s="3" t="s">
        <v>364</v>
      </c>
      <c r="J1091" s="6" t="str">
        <f t="shared" si="35"/>
        <v>http://konect.cc/files/download.tsv.maayan-Stelzl.tar.bz2</v>
      </c>
      <c r="L1091" s="5"/>
    </row>
    <row r="1092" spans="3:12" x14ac:dyDescent="0.3">
      <c r="C1092" s="6" t="s">
        <v>2010</v>
      </c>
      <c r="D1092" s="3" t="s">
        <v>2011</v>
      </c>
      <c r="E1092" s="6" t="s">
        <v>38</v>
      </c>
      <c r="F1092" s="7">
        <v>1689</v>
      </c>
      <c r="G1092" s="7">
        <v>6491</v>
      </c>
      <c r="H1092" s="6">
        <f t="shared" si="34"/>
        <v>3.843102427471877</v>
      </c>
      <c r="I1092" s="3" t="s">
        <v>417</v>
      </c>
      <c r="J1092" s="6" t="str">
        <f t="shared" si="35"/>
        <v>http://konect.cc/files/download.tsv.edit-quwiktionary.tar.bz2</v>
      </c>
      <c r="L1092" s="5"/>
    </row>
    <row r="1093" spans="3:12" x14ac:dyDescent="0.3">
      <c r="C1093" s="6" t="s">
        <v>1987</v>
      </c>
      <c r="D1093" s="3" t="s">
        <v>1988</v>
      </c>
      <c r="E1093" s="6" t="s">
        <v>38</v>
      </c>
      <c r="F1093" s="7">
        <v>1681</v>
      </c>
      <c r="G1093" s="7">
        <v>5685</v>
      </c>
      <c r="H1093" s="6">
        <f t="shared" si="34"/>
        <v>3.381915526472338</v>
      </c>
      <c r="I1093" s="3" t="s">
        <v>405</v>
      </c>
      <c r="J1093" s="6" t="str">
        <f t="shared" si="35"/>
        <v>http://konect.cc/files/download.tsv.edit-lawikiquote.tar.bz2</v>
      </c>
      <c r="L1093" s="5"/>
    </row>
    <row r="1094" spans="3:12" x14ac:dyDescent="0.3">
      <c r="C1094" s="6" t="s">
        <v>1912</v>
      </c>
      <c r="D1094" s="3" t="s">
        <v>1913</v>
      </c>
      <c r="E1094" s="6" t="s">
        <v>38</v>
      </c>
      <c r="F1094" s="7">
        <v>1671</v>
      </c>
      <c r="G1094" s="7">
        <v>2861</v>
      </c>
      <c r="H1094" s="6">
        <f t="shared" si="34"/>
        <v>1.7121484141232794</v>
      </c>
      <c r="I1094" s="3" t="s">
        <v>365</v>
      </c>
      <c r="J1094" s="6" t="str">
        <f t="shared" si="35"/>
        <v>http://konect.cc/files/download.tsv.edit-ttwikibooks.tar.bz2</v>
      </c>
      <c r="L1094" s="5"/>
    </row>
    <row r="1095" spans="3:12" x14ac:dyDescent="0.3">
      <c r="C1095" s="6" t="s">
        <v>1950</v>
      </c>
      <c r="D1095" s="3" t="s">
        <v>1951</v>
      </c>
      <c r="E1095" s="6" t="s">
        <v>38</v>
      </c>
      <c r="F1095" s="7">
        <v>1658</v>
      </c>
      <c r="G1095" s="7">
        <v>4036</v>
      </c>
      <c r="H1095" s="6">
        <f t="shared" si="34"/>
        <v>2.4342581423401688</v>
      </c>
      <c r="I1095" s="3" t="s">
        <v>385</v>
      </c>
      <c r="J1095" s="6" t="str">
        <f t="shared" si="35"/>
        <v>http://konect.cc/files/download.tsv.edit-bewikiquote.tar.bz2</v>
      </c>
      <c r="L1095" s="5"/>
    </row>
    <row r="1096" spans="3:12" x14ac:dyDescent="0.3">
      <c r="C1096" s="6" t="s">
        <v>2029</v>
      </c>
      <c r="D1096" s="3" t="s">
        <v>2030</v>
      </c>
      <c r="E1096" s="6" t="s">
        <v>38</v>
      </c>
      <c r="F1096" s="7">
        <v>1643</v>
      </c>
      <c r="G1096" s="7">
        <v>7181</v>
      </c>
      <c r="H1096" s="6">
        <f t="shared" si="34"/>
        <v>4.3706634205721242</v>
      </c>
      <c r="I1096" s="3" t="s">
        <v>426</v>
      </c>
      <c r="J1096" s="6" t="str">
        <f t="shared" si="35"/>
        <v>http://konect.cc/files/download.tsv.edit-mowiki.tar.bz2</v>
      </c>
      <c r="L1096" s="5"/>
    </row>
    <row r="1097" spans="3:12" x14ac:dyDescent="0.3">
      <c r="C1097" s="6" t="s">
        <v>2039</v>
      </c>
      <c r="D1097" s="3" t="s">
        <v>2040</v>
      </c>
      <c r="E1097" s="6" t="s">
        <v>38</v>
      </c>
      <c r="F1097" s="7">
        <v>1624</v>
      </c>
      <c r="G1097" s="7">
        <v>7532</v>
      </c>
      <c r="H1097" s="6">
        <f t="shared" si="34"/>
        <v>4.6379310344827589</v>
      </c>
      <c r="I1097" s="3" t="s">
        <v>431</v>
      </c>
      <c r="J1097" s="6" t="str">
        <f t="shared" si="35"/>
        <v>http://konect.cc/files/download.tsv.edit-zuwiktionary.tar.bz2</v>
      </c>
      <c r="L1097" s="5"/>
    </row>
    <row r="1098" spans="3:12" x14ac:dyDescent="0.3">
      <c r="C1098" s="6" t="s">
        <v>2033</v>
      </c>
      <c r="D1098" s="3" t="s">
        <v>2034</v>
      </c>
      <c r="E1098" s="6" t="s">
        <v>38</v>
      </c>
      <c r="F1098" s="7">
        <v>1587</v>
      </c>
      <c r="G1098" s="7">
        <v>7350</v>
      </c>
      <c r="H1098" s="6">
        <f t="shared" si="34"/>
        <v>4.6313799621928169</v>
      </c>
      <c r="I1098" s="3" t="s">
        <v>428</v>
      </c>
      <c r="J1098" s="6" t="str">
        <f t="shared" si="35"/>
        <v>http://konect.cc/files/download.tsv.edit-kbpwiki.tar.bz2</v>
      </c>
      <c r="L1098" s="5"/>
    </row>
    <row r="1099" spans="3:12" x14ac:dyDescent="0.3">
      <c r="C1099" s="6" t="s">
        <v>1936</v>
      </c>
      <c r="D1099" s="3" t="s">
        <v>1937</v>
      </c>
      <c r="E1099" s="6" t="s">
        <v>38</v>
      </c>
      <c r="F1099" s="7">
        <v>1584</v>
      </c>
      <c r="G1099" s="7">
        <v>3164</v>
      </c>
      <c r="H1099" s="6">
        <f t="shared" si="34"/>
        <v>1.9974747474747474</v>
      </c>
      <c r="I1099" s="3" t="s">
        <v>377</v>
      </c>
      <c r="J1099" s="6" t="str">
        <f t="shared" si="35"/>
        <v>http://konect.cc/files/download.tsv.edit-urwikibooks.tar.bz2</v>
      </c>
      <c r="L1099" s="5"/>
    </row>
    <row r="1100" spans="3:12" x14ac:dyDescent="0.3">
      <c r="C1100" s="6" t="s">
        <v>1867</v>
      </c>
      <c r="D1100" s="3" t="s">
        <v>1868</v>
      </c>
      <c r="E1100" s="6" t="s">
        <v>83</v>
      </c>
      <c r="F1100" s="7">
        <v>1576</v>
      </c>
      <c r="G1100" s="7">
        <v>4032</v>
      </c>
      <c r="H1100" s="6">
        <f t="shared" si="34"/>
        <v>2.5583756345177666</v>
      </c>
      <c r="I1100" s="3" t="s">
        <v>343</v>
      </c>
      <c r="J1100" s="6" t="str">
        <f t="shared" si="35"/>
        <v>http://konect.cc/files/download.tsv.petster-hamster-household.tar.bz2</v>
      </c>
      <c r="L1100" s="5"/>
    </row>
    <row r="1101" spans="3:12" x14ac:dyDescent="0.3">
      <c r="C1101" s="6" t="s">
        <v>1685</v>
      </c>
      <c r="D1101" s="3" t="s">
        <v>2208</v>
      </c>
      <c r="E1101" s="6" t="s">
        <v>1562</v>
      </c>
      <c r="F1101" s="7">
        <v>1574</v>
      </c>
      <c r="G1101" s="7">
        <v>28236</v>
      </c>
      <c r="H1101" s="6">
        <f t="shared" si="34"/>
        <v>17.939008894536215</v>
      </c>
      <c r="I1101" s="3" t="s">
        <v>517</v>
      </c>
      <c r="J1101" s="6" t="str">
        <f t="shared" si="35"/>
        <v>http://konect.cc/files/download.tsv.opsahl-usairport.tar.bz2</v>
      </c>
      <c r="L1101" s="5"/>
    </row>
    <row r="1102" spans="3:12" x14ac:dyDescent="0.3">
      <c r="C1102" s="6" t="s">
        <v>1938</v>
      </c>
      <c r="D1102" s="3" t="s">
        <v>1939</v>
      </c>
      <c r="E1102" s="6" t="s">
        <v>38</v>
      </c>
      <c r="F1102" s="7">
        <v>1557</v>
      </c>
      <c r="G1102" s="7">
        <v>3591</v>
      </c>
      <c r="H1102" s="6">
        <f t="shared" si="34"/>
        <v>2.3063583815028901</v>
      </c>
      <c r="I1102" s="3" t="s">
        <v>380</v>
      </c>
      <c r="J1102" s="6" t="str">
        <f t="shared" si="35"/>
        <v>http://konect.cc/files/download.tsv.edit-cywikiquote.tar.bz2</v>
      </c>
      <c r="L1102" s="5"/>
    </row>
    <row r="1103" spans="3:12" x14ac:dyDescent="0.3">
      <c r="C1103" s="6" t="s">
        <v>1957</v>
      </c>
      <c r="D1103" s="3" t="s">
        <v>1958</v>
      </c>
      <c r="E1103" s="6" t="s">
        <v>38</v>
      </c>
      <c r="F1103" s="7">
        <v>1540</v>
      </c>
      <c r="G1103" s="7">
        <v>4703</v>
      </c>
      <c r="H1103" s="6">
        <f t="shared" si="34"/>
        <v>3.0538961038961041</v>
      </c>
      <c r="I1103" s="3" t="s">
        <v>389</v>
      </c>
      <c r="J1103" s="6" t="str">
        <f t="shared" si="35"/>
        <v>http://konect.cc/files/download.tsv.edit-sswiktionary.tar.bz2</v>
      </c>
      <c r="L1103" s="5"/>
    </row>
    <row r="1104" spans="3:12" x14ac:dyDescent="0.3">
      <c r="C1104" s="6" t="s">
        <v>2050</v>
      </c>
      <c r="D1104" s="3" t="s">
        <v>2051</v>
      </c>
      <c r="E1104" s="6" t="s">
        <v>38</v>
      </c>
      <c r="F1104" s="7">
        <v>1530</v>
      </c>
      <c r="G1104" s="7">
        <v>8287</v>
      </c>
      <c r="H1104" s="6">
        <f t="shared" si="34"/>
        <v>5.416339869281046</v>
      </c>
      <c r="I1104" s="3" t="s">
        <v>437</v>
      </c>
      <c r="J1104" s="6" t="str">
        <f t="shared" si="35"/>
        <v>http://konect.cc/files/download.tsv.edit-gvwiktionary.tar.bz2</v>
      </c>
      <c r="L1104" s="5"/>
    </row>
    <row r="1105" spans="3:12" x14ac:dyDescent="0.3">
      <c r="C1105" s="6" t="s">
        <v>1938</v>
      </c>
      <c r="D1105" s="3" t="s">
        <v>1939</v>
      </c>
      <c r="E1105" s="6" t="s">
        <v>38</v>
      </c>
      <c r="F1105" s="7">
        <v>1511</v>
      </c>
      <c r="G1105" s="7">
        <v>3417</v>
      </c>
      <c r="H1105" s="6">
        <f t="shared" si="34"/>
        <v>2.2614162806088682</v>
      </c>
      <c r="I1105" s="3" t="s">
        <v>378</v>
      </c>
      <c r="J1105" s="6" t="str">
        <f t="shared" si="35"/>
        <v>http://konect.cc/files/download.tsv.edit-cywikisource.tar.bz2</v>
      </c>
      <c r="L1105" s="5"/>
    </row>
    <row r="1106" spans="3:12" x14ac:dyDescent="0.3">
      <c r="C1106" s="6" t="s">
        <v>1981</v>
      </c>
      <c r="D1106" s="3" t="s">
        <v>1982</v>
      </c>
      <c r="E1106" s="6" t="s">
        <v>38</v>
      </c>
      <c r="F1106" s="7">
        <v>1499</v>
      </c>
      <c r="G1106" s="7">
        <v>5461</v>
      </c>
      <c r="H1106" s="6">
        <f t="shared" si="34"/>
        <v>3.6430953969312876</v>
      </c>
      <c r="I1106" s="3" t="s">
        <v>402</v>
      </c>
      <c r="J1106" s="6" t="str">
        <f t="shared" si="35"/>
        <v>http://konect.cc/files/download.tsv.edit-suwiktionary.tar.bz2</v>
      </c>
      <c r="L1106" s="5"/>
    </row>
    <row r="1107" spans="3:12" x14ac:dyDescent="0.3">
      <c r="C1107" s="6" t="s">
        <v>1877</v>
      </c>
      <c r="D1107" s="3" t="s">
        <v>1878</v>
      </c>
      <c r="E1107" s="6" t="s">
        <v>38</v>
      </c>
      <c r="F1107" s="7">
        <v>1493</v>
      </c>
      <c r="G1107" s="7">
        <v>1956</v>
      </c>
      <c r="H1107" s="6">
        <f t="shared" si="34"/>
        <v>1.3101138647019424</v>
      </c>
      <c r="I1107" s="3" t="s">
        <v>348</v>
      </c>
      <c r="J1107" s="6" t="str">
        <f t="shared" si="35"/>
        <v>http://konect.cc/files/download.tsv.edit-sawikibooks.tar.bz2</v>
      </c>
      <c r="L1107" s="5"/>
    </row>
    <row r="1108" spans="3:12" x14ac:dyDescent="0.3">
      <c r="C1108" s="6" t="s">
        <v>1985</v>
      </c>
      <c r="D1108" s="3" t="s">
        <v>1986</v>
      </c>
      <c r="E1108" s="6" t="s">
        <v>38</v>
      </c>
      <c r="F1108" s="7">
        <v>1490</v>
      </c>
      <c r="G1108" s="7">
        <v>5743</v>
      </c>
      <c r="H1108" s="6">
        <f t="shared" si="34"/>
        <v>3.8543624161073824</v>
      </c>
      <c r="I1108" s="3" t="s">
        <v>404</v>
      </c>
      <c r="J1108" s="6" t="str">
        <f t="shared" si="35"/>
        <v>http://konect.cc/files/download.tsv.edit-iswikiquote.tar.bz2</v>
      </c>
      <c r="L1108" s="5"/>
    </row>
    <row r="1109" spans="3:12" x14ac:dyDescent="0.3">
      <c r="C1109" s="6" t="s">
        <v>1825</v>
      </c>
      <c r="D1109" s="3" t="s">
        <v>1826</v>
      </c>
      <c r="E1109" s="6" t="s">
        <v>1827</v>
      </c>
      <c r="F1109" s="7">
        <v>1461</v>
      </c>
      <c r="G1109" s="7">
        <v>2742</v>
      </c>
      <c r="H1109" s="6">
        <f t="shared" si="34"/>
        <v>1.8767967145790554</v>
      </c>
      <c r="I1109" s="3" t="s">
        <v>323</v>
      </c>
      <c r="J1109" s="6" t="str">
        <f t="shared" si="35"/>
        <v>http://konect.cc/files/download.tsv.dimacs10-netscience.tar.bz2</v>
      </c>
      <c r="L1109" s="5"/>
    </row>
    <row r="1110" spans="3:12" x14ac:dyDescent="0.3">
      <c r="C1110" s="6" t="s">
        <v>1969</v>
      </c>
      <c r="D1110" s="3" t="s">
        <v>1970</v>
      </c>
      <c r="E1110" s="6" t="s">
        <v>38</v>
      </c>
      <c r="F1110" s="7">
        <v>1449</v>
      </c>
      <c r="G1110" s="7">
        <v>4895</v>
      </c>
      <c r="H1110" s="6">
        <f t="shared" si="34"/>
        <v>3.3781918564527262</v>
      </c>
      <c r="I1110" s="3" t="s">
        <v>395</v>
      </c>
      <c r="J1110" s="6" t="str">
        <f t="shared" si="35"/>
        <v>http://konect.cc/files/download.tsv.edit-lnwiktionary.tar.bz2</v>
      </c>
      <c r="L1110" s="5"/>
    </row>
    <row r="1111" spans="3:12" x14ac:dyDescent="0.3">
      <c r="C1111" s="6" t="s">
        <v>1959</v>
      </c>
      <c r="D1111" s="3" t="s">
        <v>1960</v>
      </c>
      <c r="E1111" s="6" t="s">
        <v>38</v>
      </c>
      <c r="F1111" s="7">
        <v>1447</v>
      </c>
      <c r="G1111" s="7">
        <v>4863</v>
      </c>
      <c r="H1111" s="6">
        <f t="shared" si="34"/>
        <v>3.360746371803732</v>
      </c>
      <c r="I1111" s="3" t="s">
        <v>390</v>
      </c>
      <c r="J1111" s="6" t="str">
        <f t="shared" si="35"/>
        <v>http://konect.cc/files/download.tsv.edit-etwikibooks.tar.bz2</v>
      </c>
      <c r="L1111" s="5"/>
    </row>
    <row r="1112" spans="3:12" x14ac:dyDescent="0.3">
      <c r="C1112" s="6" t="s">
        <v>1940</v>
      </c>
      <c r="D1112" s="3" t="s">
        <v>1941</v>
      </c>
      <c r="E1112" s="6" t="s">
        <v>38</v>
      </c>
      <c r="F1112" s="7">
        <v>1438</v>
      </c>
      <c r="G1112" s="7">
        <v>3450</v>
      </c>
      <c r="H1112" s="6">
        <f t="shared" si="34"/>
        <v>2.3991655076495131</v>
      </c>
      <c r="I1112" s="3" t="s">
        <v>379</v>
      </c>
      <c r="J1112" s="6" t="str">
        <f t="shared" si="35"/>
        <v>http://konect.cc/files/download.tsv.edit-afwikiquote.tar.bz2</v>
      </c>
      <c r="L1112" s="5"/>
    </row>
    <row r="1113" spans="3:12" x14ac:dyDescent="0.3">
      <c r="C1113" s="6" t="s">
        <v>1893</v>
      </c>
      <c r="D1113" s="3" t="s">
        <v>1894</v>
      </c>
      <c r="E1113" s="6" t="s">
        <v>38</v>
      </c>
      <c r="F1113" s="7">
        <v>1436</v>
      </c>
      <c r="G1113" s="7">
        <v>2480</v>
      </c>
      <c r="H1113" s="6">
        <f t="shared" si="34"/>
        <v>1.7270194986072422</v>
      </c>
      <c r="I1113" s="3" t="s">
        <v>356</v>
      </c>
      <c r="J1113" s="6" t="str">
        <f t="shared" si="35"/>
        <v>http://konect.cc/files/download.tsv.edit-angwikibooks.tar.bz2</v>
      </c>
      <c r="L1113" s="5"/>
    </row>
    <row r="1114" spans="3:12" x14ac:dyDescent="0.3">
      <c r="C1114" s="6" t="s">
        <v>2395</v>
      </c>
      <c r="D1114" s="3" t="s">
        <v>2396</v>
      </c>
      <c r="E1114" s="6" t="s">
        <v>38</v>
      </c>
      <c r="F1114" s="7">
        <v>1421</v>
      </c>
      <c r="G1114" s="7">
        <v>33720</v>
      </c>
      <c r="H1114" s="6">
        <f t="shared" si="34"/>
        <v>23.729767769176636</v>
      </c>
      <c r="I1114" s="3" t="s">
        <v>614</v>
      </c>
      <c r="J1114" s="6" t="str">
        <f t="shared" si="35"/>
        <v>http://konect.cc/files/download.tsv.opsahl-ucforum.tar.bz2</v>
      </c>
      <c r="L1114" s="5"/>
    </row>
    <row r="1115" spans="3:12" x14ac:dyDescent="0.3">
      <c r="C1115" s="6" t="s">
        <v>2068</v>
      </c>
      <c r="D1115" s="3" t="s">
        <v>2069</v>
      </c>
      <c r="E1115" s="6" t="s">
        <v>1818</v>
      </c>
      <c r="F1115" s="7">
        <v>1414</v>
      </c>
      <c r="G1115" s="7">
        <v>8154</v>
      </c>
      <c r="H1115" s="6">
        <f t="shared" si="34"/>
        <v>5.7666195190947667</v>
      </c>
      <c r="I1115" s="3" t="s">
        <v>3880</v>
      </c>
      <c r="J1115" s="6" t="str">
        <f t="shared" si="35"/>
        <v>http://konect.cc/files/download.tsv.lqfb-Area.tar.bz2</v>
      </c>
      <c r="L1115" s="5"/>
    </row>
    <row r="1116" spans="3:12" x14ac:dyDescent="0.3">
      <c r="C1116" s="6" t="s">
        <v>1930</v>
      </c>
      <c r="D1116" s="3" t="s">
        <v>1931</v>
      </c>
      <c r="E1116" s="6" t="s">
        <v>38</v>
      </c>
      <c r="F1116" s="7">
        <v>1403</v>
      </c>
      <c r="G1116" s="7">
        <v>3143</v>
      </c>
      <c r="H1116" s="6">
        <f t="shared" si="34"/>
        <v>2.240199572344975</v>
      </c>
      <c r="I1116" s="3" t="s">
        <v>374</v>
      </c>
      <c r="J1116" s="6" t="str">
        <f t="shared" si="35"/>
        <v>http://konect.cc/files/download.tsv.edit-skwikisource.tar.bz2</v>
      </c>
      <c r="L1116" s="5"/>
    </row>
    <row r="1117" spans="3:12" x14ac:dyDescent="0.3">
      <c r="C1117" s="6" t="s">
        <v>1979</v>
      </c>
      <c r="D1117" s="3" t="s">
        <v>1980</v>
      </c>
      <c r="E1117" s="6" t="s">
        <v>38</v>
      </c>
      <c r="F1117" s="7">
        <v>1380</v>
      </c>
      <c r="G1117" s="7">
        <v>5591</v>
      </c>
      <c r="H1117" s="6">
        <f t="shared" si="34"/>
        <v>4.0514492753623186</v>
      </c>
      <c r="I1117" s="3" t="s">
        <v>401</v>
      </c>
      <c r="J1117" s="6" t="str">
        <f t="shared" si="35"/>
        <v>http://konect.cc/files/download.tsv.edit-euwikiquote.tar.bz2</v>
      </c>
      <c r="L1117" s="5"/>
    </row>
    <row r="1118" spans="3:12" x14ac:dyDescent="0.3">
      <c r="C1118" s="6" t="s">
        <v>1779</v>
      </c>
      <c r="D1118" s="3" t="s">
        <v>1482</v>
      </c>
      <c r="E1118" s="6" t="s">
        <v>36</v>
      </c>
      <c r="F1118" s="7">
        <v>1380</v>
      </c>
      <c r="G1118" s="7">
        <v>1476</v>
      </c>
      <c r="H1118" s="6">
        <f t="shared" si="34"/>
        <v>1.0695652173913044</v>
      </c>
      <c r="I1118" s="3" t="s">
        <v>302</v>
      </c>
      <c r="J1118" s="6" t="str">
        <f t="shared" si="35"/>
        <v>http://konect.cc/files/download.tsv.moreno_crime.tar.bz2</v>
      </c>
      <c r="L1118" s="5"/>
    </row>
    <row r="1119" spans="3:12" x14ac:dyDescent="0.3">
      <c r="C1119" s="6" t="s">
        <v>1953</v>
      </c>
      <c r="D1119" s="3" t="s">
        <v>1954</v>
      </c>
      <c r="E1119" s="6" t="s">
        <v>38</v>
      </c>
      <c r="F1119" s="7">
        <v>1361</v>
      </c>
      <c r="G1119" s="7">
        <v>4497</v>
      </c>
      <c r="H1119" s="6">
        <f t="shared" si="34"/>
        <v>3.304188096987509</v>
      </c>
      <c r="I1119" s="3" t="s">
        <v>387</v>
      </c>
      <c r="J1119" s="6" t="str">
        <f t="shared" si="35"/>
        <v>http://konect.cc/files/download.tsv.edit-dvwiktionary.tar.bz2</v>
      </c>
      <c r="L1119" s="5"/>
    </row>
    <row r="1120" spans="3:12" x14ac:dyDescent="0.3">
      <c r="C1120" s="6" t="s">
        <v>1963</v>
      </c>
      <c r="D1120" s="3" t="s">
        <v>1964</v>
      </c>
      <c r="E1120" s="6" t="s">
        <v>38</v>
      </c>
      <c r="F1120" s="7">
        <v>1333</v>
      </c>
      <c r="G1120" s="7">
        <v>4929</v>
      </c>
      <c r="H1120" s="6">
        <f t="shared" si="34"/>
        <v>3.6976744186046511</v>
      </c>
      <c r="I1120" s="3" t="s">
        <v>392</v>
      </c>
      <c r="J1120" s="6" t="str">
        <f t="shared" si="35"/>
        <v>http://konect.cc/files/download.tsv.edit-kuwikiquote.tar.bz2</v>
      </c>
      <c r="L1120" s="5"/>
    </row>
    <row r="1121" spans="3:12" x14ac:dyDescent="0.3">
      <c r="C1121" s="6" t="s">
        <v>2014</v>
      </c>
      <c r="D1121" s="3" t="s">
        <v>2015</v>
      </c>
      <c r="E1121" s="6" t="s">
        <v>38</v>
      </c>
      <c r="F1121" s="7">
        <v>1321</v>
      </c>
      <c r="G1121" s="7">
        <v>6776</v>
      </c>
      <c r="H1121" s="6">
        <f t="shared" si="34"/>
        <v>5.1294473883421654</v>
      </c>
      <c r="I1121" s="3" t="s">
        <v>419</v>
      </c>
      <c r="J1121" s="6" t="str">
        <f t="shared" si="35"/>
        <v>http://konect.cc/files/download.tsv.edit-rwwiktionary.tar.bz2</v>
      </c>
      <c r="L1121" s="5"/>
    </row>
    <row r="1122" spans="3:12" x14ac:dyDescent="0.3">
      <c r="C1122" s="6" t="s">
        <v>1934</v>
      </c>
      <c r="D1122" s="3" t="s">
        <v>1935</v>
      </c>
      <c r="E1122" s="6" t="s">
        <v>38</v>
      </c>
      <c r="F1122" s="7">
        <v>1282</v>
      </c>
      <c r="G1122" s="7">
        <v>3148</v>
      </c>
      <c r="H1122" s="6">
        <f t="shared" si="34"/>
        <v>2.4555382215288613</v>
      </c>
      <c r="I1122" s="3" t="s">
        <v>376</v>
      </c>
      <c r="J1122" s="6" t="str">
        <f t="shared" si="35"/>
        <v>http://konect.cc/files/download.tsv.edit-tiwiktionary.tar.bz2</v>
      </c>
      <c r="L1122" s="5"/>
    </row>
    <row r="1123" spans="3:12" x14ac:dyDescent="0.3">
      <c r="C1123" s="6" t="s">
        <v>2054</v>
      </c>
      <c r="D1123" s="3" t="s">
        <v>2055</v>
      </c>
      <c r="E1123" s="6" t="s">
        <v>1818</v>
      </c>
      <c r="F1123" s="7">
        <v>1271</v>
      </c>
      <c r="G1123" s="7">
        <v>7721</v>
      </c>
      <c r="H1123" s="6">
        <f t="shared" si="34"/>
        <v>6.0747442958300555</v>
      </c>
      <c r="I1123" s="3" t="s">
        <v>3879</v>
      </c>
      <c r="J1123" s="6" t="str">
        <f t="shared" si="35"/>
        <v>http://konect.cc/files/download.tsv.lqfb-Issue.tar.bz2</v>
      </c>
      <c r="L1123" s="5"/>
    </row>
    <row r="1124" spans="3:12" x14ac:dyDescent="0.3">
      <c r="C1124" s="6" t="s">
        <v>1842</v>
      </c>
      <c r="D1124" s="3" t="s">
        <v>1843</v>
      </c>
      <c r="E1124" s="6" t="s">
        <v>38</v>
      </c>
      <c r="F1124" s="7">
        <v>1271</v>
      </c>
      <c r="G1124" s="7">
        <v>1385</v>
      </c>
      <c r="H1124" s="6">
        <f t="shared" si="34"/>
        <v>1.089693154996066</v>
      </c>
      <c r="I1124" s="3" t="s">
        <v>332</v>
      </c>
      <c r="J1124" s="6" t="str">
        <f t="shared" si="35"/>
        <v>http://konect.cc/files/download.tsv.edit-alswiktionary.tar.bz2</v>
      </c>
      <c r="L1124" s="5"/>
    </row>
    <row r="1125" spans="3:12" x14ac:dyDescent="0.3">
      <c r="C1125" s="6" t="s">
        <v>2000</v>
      </c>
      <c r="D1125" s="3" t="s">
        <v>2001</v>
      </c>
      <c r="E1125" s="6" t="s">
        <v>38</v>
      </c>
      <c r="F1125" s="7">
        <v>1254</v>
      </c>
      <c r="G1125" s="7">
        <v>6003</v>
      </c>
      <c r="H1125" s="6">
        <f t="shared" si="34"/>
        <v>4.7870813397129188</v>
      </c>
      <c r="I1125" s="3" t="s">
        <v>411</v>
      </c>
      <c r="J1125" s="6" t="str">
        <f t="shared" si="35"/>
        <v>http://konect.cc/files/download.tsv.edit-adywiki.tar.bz2</v>
      </c>
      <c r="L1125" s="5"/>
    </row>
    <row r="1126" spans="3:12" x14ac:dyDescent="0.3">
      <c r="C1126" s="6" t="s">
        <v>2021</v>
      </c>
      <c r="D1126" s="3" t="s">
        <v>2022</v>
      </c>
      <c r="E1126" s="6" t="s">
        <v>38</v>
      </c>
      <c r="F1126" s="7">
        <v>1245</v>
      </c>
      <c r="G1126" s="7">
        <v>6895</v>
      </c>
      <c r="H1126" s="6">
        <f t="shared" si="34"/>
        <v>5.5381526104417667</v>
      </c>
      <c r="I1126" s="3" t="s">
        <v>422</v>
      </c>
      <c r="J1126" s="6" t="str">
        <f t="shared" si="35"/>
        <v>http://konect.cc/files/download.tsv.edit-kwwiktionary.tar.bz2</v>
      </c>
      <c r="L1126" s="5"/>
    </row>
    <row r="1127" spans="3:12" x14ac:dyDescent="0.3">
      <c r="C1127" s="6" t="s">
        <v>1889</v>
      </c>
      <c r="D1127" s="3" t="s">
        <v>1890</v>
      </c>
      <c r="E1127" s="6" t="s">
        <v>38</v>
      </c>
      <c r="F1127" s="7">
        <v>1229</v>
      </c>
      <c r="G1127" s="7">
        <v>2321</v>
      </c>
      <c r="H1127" s="6">
        <f t="shared" si="34"/>
        <v>1.888527257933279</v>
      </c>
      <c r="I1127" s="3" t="s">
        <v>354</v>
      </c>
      <c r="J1127" s="6" t="str">
        <f t="shared" si="35"/>
        <v>http://konect.cc/files/download.tsv.edit-liwikibooks.tar.bz2</v>
      </c>
      <c r="L1127" s="5"/>
    </row>
    <row r="1128" spans="3:12" x14ac:dyDescent="0.3">
      <c r="C1128" s="6" t="s">
        <v>1828</v>
      </c>
      <c r="D1128" s="3" t="s">
        <v>1829</v>
      </c>
      <c r="E1128" s="6" t="s">
        <v>33</v>
      </c>
      <c r="F1128" s="7">
        <v>1226</v>
      </c>
      <c r="G1128" s="7">
        <v>2615</v>
      </c>
      <c r="H1128" s="6">
        <f t="shared" si="34"/>
        <v>2.132952691680261</v>
      </c>
      <c r="I1128" s="3" t="s">
        <v>324</v>
      </c>
      <c r="J1128" s="6" t="str">
        <f t="shared" si="35"/>
        <v>http://konect.cc/files/download.tsv.maayan-faa.tar.bz2</v>
      </c>
      <c r="L1128" s="5"/>
    </row>
    <row r="1129" spans="3:12" x14ac:dyDescent="0.3">
      <c r="C1129" s="6" t="s">
        <v>1645</v>
      </c>
      <c r="D1129" s="3" t="s">
        <v>2139</v>
      </c>
      <c r="E1129" s="6" t="s">
        <v>1788</v>
      </c>
      <c r="F1129" s="7">
        <v>1224</v>
      </c>
      <c r="G1129" s="7">
        <v>33430</v>
      </c>
      <c r="H1129" s="6">
        <f t="shared" si="34"/>
        <v>27.312091503267975</v>
      </c>
      <c r="I1129" s="3" t="s">
        <v>479</v>
      </c>
      <c r="J1129" s="6" t="str">
        <f t="shared" si="35"/>
        <v>http://konect.cc/files/download.tsv.dimacs10-polblogs.tar.bz2</v>
      </c>
      <c r="L1129" s="5"/>
    </row>
    <row r="1130" spans="3:12" x14ac:dyDescent="0.3">
      <c r="C1130" s="6" t="s">
        <v>2049</v>
      </c>
      <c r="D1130" s="3" t="s">
        <v>1488</v>
      </c>
      <c r="E1130" s="6" t="s">
        <v>33</v>
      </c>
      <c r="F1130" s="7">
        <v>1224</v>
      </c>
      <c r="G1130" s="7">
        <v>19025</v>
      </c>
      <c r="H1130" s="6">
        <f t="shared" si="34"/>
        <v>15.543300653594772</v>
      </c>
      <c r="I1130" s="3" t="s">
        <v>436</v>
      </c>
      <c r="J1130" s="6" t="str">
        <f t="shared" si="35"/>
        <v>http://konect.cc/files/download.tsv.moreno_blogs.tar.bz2</v>
      </c>
      <c r="L1130" s="5"/>
    </row>
    <row r="1131" spans="3:12" x14ac:dyDescent="0.3">
      <c r="C1131" s="6" t="s">
        <v>1926</v>
      </c>
      <c r="D1131" s="3" t="s">
        <v>1927</v>
      </c>
      <c r="E1131" s="6" t="s">
        <v>38</v>
      </c>
      <c r="F1131" s="7">
        <v>1200</v>
      </c>
      <c r="G1131" s="7">
        <v>3128</v>
      </c>
      <c r="H1131" s="6">
        <f t="shared" si="34"/>
        <v>2.6066666666666665</v>
      </c>
      <c r="I1131" s="3" t="s">
        <v>372</v>
      </c>
      <c r="J1131" s="6" t="str">
        <f t="shared" si="35"/>
        <v>http://konect.cc/files/download.tsv.edit-sqwikiquote.tar.bz2</v>
      </c>
      <c r="L1131" s="5"/>
    </row>
    <row r="1132" spans="3:12" x14ac:dyDescent="0.3">
      <c r="C1132" s="6" t="s">
        <v>1895</v>
      </c>
      <c r="D1132" s="3" t="s">
        <v>1896</v>
      </c>
      <c r="E1132" s="6" t="s">
        <v>38</v>
      </c>
      <c r="F1132" s="7">
        <v>1199</v>
      </c>
      <c r="G1132" s="7">
        <v>2457</v>
      </c>
      <c r="H1132" s="6">
        <f t="shared" si="34"/>
        <v>2.0492076730608839</v>
      </c>
      <c r="I1132" s="3" t="s">
        <v>357</v>
      </c>
      <c r="J1132" s="6" t="str">
        <f t="shared" si="35"/>
        <v>http://konect.cc/files/download.tsv.edit-mrwikibooks.tar.bz2</v>
      </c>
      <c r="L1132" s="5"/>
    </row>
    <row r="1133" spans="3:12" x14ac:dyDescent="0.3">
      <c r="C1133" s="6" t="s">
        <v>1961</v>
      </c>
      <c r="D1133" s="3" t="s">
        <v>1962</v>
      </c>
      <c r="E1133" s="6" t="s">
        <v>38</v>
      </c>
      <c r="F1133" s="7">
        <v>1197</v>
      </c>
      <c r="G1133" s="7">
        <v>4898</v>
      </c>
      <c r="H1133" s="6">
        <f t="shared" si="34"/>
        <v>4.0918964076858817</v>
      </c>
      <c r="I1133" s="3" t="s">
        <v>391</v>
      </c>
      <c r="J1133" s="6" t="str">
        <f t="shared" si="35"/>
        <v>http://konect.cc/files/download.tsv.edit-euwikibooks.tar.bz2</v>
      </c>
      <c r="L1133" s="5"/>
    </row>
    <row r="1134" spans="3:12" x14ac:dyDescent="0.3">
      <c r="C1134" s="6" t="s">
        <v>1942</v>
      </c>
      <c r="D1134" s="3" t="s">
        <v>1943</v>
      </c>
      <c r="E1134" s="6" t="s">
        <v>38</v>
      </c>
      <c r="F1134" s="7">
        <v>1189</v>
      </c>
      <c r="G1134" s="7">
        <v>3661</v>
      </c>
      <c r="H1134" s="6">
        <f t="shared" si="34"/>
        <v>3.0790580319596299</v>
      </c>
      <c r="I1134" s="3" t="s">
        <v>381</v>
      </c>
      <c r="J1134" s="6" t="str">
        <f t="shared" si="35"/>
        <v>http://konect.cc/files/download.tsv.edit-kmwikibooks.tar.bz2</v>
      </c>
      <c r="L1134" s="5"/>
    </row>
    <row r="1135" spans="3:12" x14ac:dyDescent="0.3">
      <c r="C1135" s="6" t="s">
        <v>2160</v>
      </c>
      <c r="D1135" s="3" t="s">
        <v>2161</v>
      </c>
      <c r="E1135" s="6" t="s">
        <v>145</v>
      </c>
      <c r="F1135" s="7">
        <v>1181</v>
      </c>
      <c r="G1135" s="7">
        <v>13754</v>
      </c>
      <c r="H1135" s="6">
        <f t="shared" si="34"/>
        <v>11.646062658763759</v>
      </c>
      <c r="I1135" s="3" t="s">
        <v>490</v>
      </c>
      <c r="J1135" s="6" t="str">
        <f t="shared" si="35"/>
        <v>http://konect.cc/files/download.tsv.wiki_talk_br.tar.bz2</v>
      </c>
      <c r="L1135" s="5"/>
    </row>
    <row r="1136" spans="3:12" x14ac:dyDescent="0.3">
      <c r="C1136" s="6" t="s">
        <v>1772</v>
      </c>
      <c r="D1136" s="3" t="s">
        <v>1481</v>
      </c>
      <c r="E1136" s="6" t="s">
        <v>83</v>
      </c>
      <c r="F1136" s="7">
        <v>1174</v>
      </c>
      <c r="G1136" s="7">
        <v>1417</v>
      </c>
      <c r="H1136" s="6">
        <f t="shared" si="34"/>
        <v>1.206984667802385</v>
      </c>
      <c r="I1136" s="3" t="s">
        <v>298</v>
      </c>
      <c r="J1136" s="6" t="str">
        <f t="shared" si="35"/>
        <v>http://konect.cc/files/download.tsv.subelj_euroroad.tar.bz2</v>
      </c>
      <c r="L1136" s="5"/>
    </row>
    <row r="1137" spans="3:12" x14ac:dyDescent="0.3">
      <c r="C1137" s="6" t="s">
        <v>1879</v>
      </c>
      <c r="D1137" s="3" t="s">
        <v>1880</v>
      </c>
      <c r="E1137" s="6" t="s">
        <v>38</v>
      </c>
      <c r="F1137" s="7">
        <v>1162</v>
      </c>
      <c r="G1137" s="7">
        <v>2101</v>
      </c>
      <c r="H1137" s="6">
        <f t="shared" si="34"/>
        <v>1.8080895008605853</v>
      </c>
      <c r="I1137" s="3" t="s">
        <v>349</v>
      </c>
      <c r="J1137" s="6" t="str">
        <f t="shared" si="35"/>
        <v>http://konect.cc/files/download.tsv.edit-kkwikibooks.tar.bz2</v>
      </c>
      <c r="L1137" s="5"/>
    </row>
    <row r="1138" spans="3:12" x14ac:dyDescent="0.3">
      <c r="C1138" s="6" t="s">
        <v>1891</v>
      </c>
      <c r="D1138" s="3" t="s">
        <v>1892</v>
      </c>
      <c r="E1138" s="6" t="s">
        <v>38</v>
      </c>
      <c r="F1138" s="7">
        <v>1160</v>
      </c>
      <c r="G1138" s="7">
        <v>2411</v>
      </c>
      <c r="H1138" s="6">
        <f t="shared" si="34"/>
        <v>2.078448275862069</v>
      </c>
      <c r="I1138" s="3" t="s">
        <v>355</v>
      </c>
      <c r="J1138" s="6" t="str">
        <f t="shared" si="35"/>
        <v>http://konect.cc/files/download.tsv.edit-bewikibooks.tar.bz2</v>
      </c>
      <c r="L1138" s="5"/>
    </row>
    <row r="1139" spans="3:12" x14ac:dyDescent="0.3">
      <c r="C1139" s="6" t="s">
        <v>1967</v>
      </c>
      <c r="D1139" s="3" t="s">
        <v>1968</v>
      </c>
      <c r="E1139" s="6" t="s">
        <v>38</v>
      </c>
      <c r="F1139" s="7">
        <v>1152</v>
      </c>
      <c r="G1139" s="7">
        <v>4910</v>
      </c>
      <c r="H1139" s="6">
        <f t="shared" si="34"/>
        <v>4.2621527777777777</v>
      </c>
      <c r="I1139" s="3" t="s">
        <v>394</v>
      </c>
      <c r="J1139" s="6" t="str">
        <f t="shared" si="35"/>
        <v>http://konect.cc/files/download.tsv.edit-iuwiktionary.tar.bz2</v>
      </c>
      <c r="L1139" s="5"/>
    </row>
    <row r="1140" spans="3:12" x14ac:dyDescent="0.3">
      <c r="C1140" s="6" t="s">
        <v>1899</v>
      </c>
      <c r="D1140" s="3" t="s">
        <v>1900</v>
      </c>
      <c r="E1140" s="6" t="s">
        <v>38</v>
      </c>
      <c r="F1140" s="7">
        <v>1135</v>
      </c>
      <c r="G1140" s="7">
        <v>2572</v>
      </c>
      <c r="H1140" s="6">
        <f t="shared" si="34"/>
        <v>2.266079295154185</v>
      </c>
      <c r="I1140" s="3" t="s">
        <v>359</v>
      </c>
      <c r="J1140" s="6" t="str">
        <f t="shared" si="35"/>
        <v>http://konect.cc/files/download.tsv.edit-bswikibooks.tar.bz2</v>
      </c>
      <c r="L1140" s="5"/>
    </row>
    <row r="1141" spans="3:12" x14ac:dyDescent="0.3">
      <c r="C1141" s="6" t="s">
        <v>1881</v>
      </c>
      <c r="D1141" s="3" t="s">
        <v>1882</v>
      </c>
      <c r="E1141" s="6" t="s">
        <v>1687</v>
      </c>
      <c r="F1141" s="7">
        <v>1133</v>
      </c>
      <c r="G1141" s="7">
        <v>5451</v>
      </c>
      <c r="H1141" s="6">
        <f t="shared" si="34"/>
        <v>4.8111209179170347</v>
      </c>
      <c r="I1141" s="3" t="s">
        <v>350</v>
      </c>
      <c r="J1141" s="6" t="str">
        <f t="shared" si="35"/>
        <v>http://konect.cc/files/download.tsv.arenas-email.tar.bz2</v>
      </c>
      <c r="L1141" s="5"/>
    </row>
    <row r="1142" spans="3:12" x14ac:dyDescent="0.3">
      <c r="C1142" s="6" t="s">
        <v>1924</v>
      </c>
      <c r="D1142" s="3" t="s">
        <v>1925</v>
      </c>
      <c r="E1142" s="6" t="s">
        <v>38</v>
      </c>
      <c r="F1142" s="7">
        <v>1126</v>
      </c>
      <c r="G1142" s="7">
        <v>3075</v>
      </c>
      <c r="H1142" s="6">
        <f t="shared" si="34"/>
        <v>2.730905861456483</v>
      </c>
      <c r="I1142" s="3" t="s">
        <v>371</v>
      </c>
      <c r="J1142" s="6" t="str">
        <f t="shared" si="35"/>
        <v>http://konect.cc/files/download.tsv.edit-knwikiquote.tar.bz2</v>
      </c>
      <c r="L1142" s="5"/>
    </row>
    <row r="1143" spans="3:12" x14ac:dyDescent="0.3">
      <c r="C1143" s="6" t="s">
        <v>2008</v>
      </c>
      <c r="D1143" s="3" t="s">
        <v>2009</v>
      </c>
      <c r="E1143" s="6" t="s">
        <v>38</v>
      </c>
      <c r="F1143" s="7">
        <v>1124</v>
      </c>
      <c r="G1143" s="7">
        <v>6205</v>
      </c>
      <c r="H1143" s="6">
        <f t="shared" si="34"/>
        <v>5.5204626334519569</v>
      </c>
      <c r="I1143" s="3" t="s">
        <v>416</v>
      </c>
      <c r="J1143" s="6" t="str">
        <f t="shared" si="35"/>
        <v>http://konect.cc/files/download.tsv.edit-omwiktionary.tar.bz2</v>
      </c>
      <c r="L1143" s="5"/>
    </row>
    <row r="1144" spans="3:12" x14ac:dyDescent="0.3">
      <c r="C1144" s="6" t="s">
        <v>1983</v>
      </c>
      <c r="D1144" s="3" t="s">
        <v>1984</v>
      </c>
      <c r="E1144" s="6" t="s">
        <v>38</v>
      </c>
      <c r="F1144" s="7">
        <v>1113</v>
      </c>
      <c r="G1144" s="7">
        <v>5660</v>
      </c>
      <c r="H1144" s="6">
        <f t="shared" si="34"/>
        <v>5.0853548966756517</v>
      </c>
      <c r="I1144" s="3" t="s">
        <v>403</v>
      </c>
      <c r="J1144" s="6" t="str">
        <f t="shared" si="35"/>
        <v>http://konect.cc/files/download.tsv.edit-pawikisource.tar.bz2</v>
      </c>
      <c r="L1144" s="5"/>
    </row>
    <row r="1145" spans="3:12" x14ac:dyDescent="0.3">
      <c r="C1145" s="6" t="s">
        <v>1908</v>
      </c>
      <c r="D1145" s="3" t="s">
        <v>1909</v>
      </c>
      <c r="E1145" s="6" t="s">
        <v>38</v>
      </c>
      <c r="F1145" s="7">
        <v>1079</v>
      </c>
      <c r="G1145" s="7">
        <v>2756</v>
      </c>
      <c r="H1145" s="6">
        <f t="shared" si="34"/>
        <v>2.5542168674698793</v>
      </c>
      <c r="I1145" s="3" t="s">
        <v>363</v>
      </c>
      <c r="J1145" s="6" t="str">
        <f t="shared" si="35"/>
        <v>http://konect.cc/files/download.tsv.edit-tswiktionary.tar.bz2</v>
      </c>
      <c r="L1145" s="5"/>
    </row>
    <row r="1146" spans="3:12" x14ac:dyDescent="0.3">
      <c r="C1146" s="6" t="s">
        <v>1955</v>
      </c>
      <c r="D1146" s="3" t="s">
        <v>1956</v>
      </c>
      <c r="E1146" s="6" t="s">
        <v>38</v>
      </c>
      <c r="F1146" s="7">
        <v>1057</v>
      </c>
      <c r="G1146" s="7">
        <v>4552</v>
      </c>
      <c r="H1146" s="6">
        <f t="shared" si="34"/>
        <v>4.306527909176916</v>
      </c>
      <c r="I1146" s="3" t="s">
        <v>388</v>
      </c>
      <c r="J1146" s="6" t="str">
        <f t="shared" si="35"/>
        <v>http://konect.cc/files/download.tsv.edit-tpiwiktionary.tar.bz2</v>
      </c>
      <c r="L1146" s="5"/>
    </row>
    <row r="1147" spans="3:12" x14ac:dyDescent="0.3">
      <c r="C1147" s="6" t="s">
        <v>1887</v>
      </c>
      <c r="D1147" s="3" t="s">
        <v>1888</v>
      </c>
      <c r="E1147" s="6" t="s">
        <v>38</v>
      </c>
      <c r="F1147" s="7">
        <v>1041</v>
      </c>
      <c r="G1147" s="7">
        <v>2250</v>
      </c>
      <c r="H1147" s="6">
        <f t="shared" si="34"/>
        <v>2.1613832853025938</v>
      </c>
      <c r="I1147" s="3" t="s">
        <v>353</v>
      </c>
      <c r="J1147" s="6" t="str">
        <f t="shared" si="35"/>
        <v>http://konect.cc/files/download.tsv.edit-mrwikiquote.tar.bz2</v>
      </c>
      <c r="L1147" s="5"/>
    </row>
    <row r="1148" spans="3:12" x14ac:dyDescent="0.3">
      <c r="C1148" s="6" t="s">
        <v>1901</v>
      </c>
      <c r="D1148" s="3" t="s">
        <v>1902</v>
      </c>
      <c r="E1148" s="6" t="s">
        <v>38</v>
      </c>
      <c r="F1148" s="7">
        <v>1017</v>
      </c>
      <c r="G1148" s="7">
        <v>2563</v>
      </c>
      <c r="H1148" s="6">
        <f t="shared" si="34"/>
        <v>2.5201573254670602</v>
      </c>
      <c r="I1148" s="3" t="s">
        <v>360</v>
      </c>
      <c r="J1148" s="6" t="str">
        <f t="shared" si="35"/>
        <v>http://konect.cc/files/download.tsv.edit-hawiktionary.tar.bz2</v>
      </c>
      <c r="L1148" s="5"/>
    </row>
    <row r="1149" spans="3:12" x14ac:dyDescent="0.3">
      <c r="C1149" s="6" t="s">
        <v>1916</v>
      </c>
      <c r="D1149" s="3" t="s">
        <v>1917</v>
      </c>
      <c r="E1149" s="6" t="s">
        <v>38</v>
      </c>
      <c r="F1149" s="7">
        <v>1014</v>
      </c>
      <c r="G1149" s="7">
        <v>2950</v>
      </c>
      <c r="H1149" s="6">
        <f t="shared" si="34"/>
        <v>2.9092702169625246</v>
      </c>
      <c r="I1149" s="3" t="s">
        <v>367</v>
      </c>
      <c r="J1149" s="6" t="str">
        <f t="shared" si="35"/>
        <v>http://konect.cc/files/download.tsv.edit-lawikibooks.tar.bz2</v>
      </c>
      <c r="L1149" s="5"/>
    </row>
    <row r="1150" spans="3:12" x14ac:dyDescent="0.3">
      <c r="C1150" s="6" t="s">
        <v>1856</v>
      </c>
      <c r="D1150" s="3" t="s">
        <v>1857</v>
      </c>
      <c r="E1150" s="6" t="s">
        <v>38</v>
      </c>
      <c r="F1150" s="7">
        <v>971</v>
      </c>
      <c r="G1150" s="7">
        <v>1487</v>
      </c>
      <c r="H1150" s="6">
        <f t="shared" si="34"/>
        <v>1.5314109165808445</v>
      </c>
      <c r="I1150" s="3" t="s">
        <v>338</v>
      </c>
      <c r="J1150" s="6" t="str">
        <f t="shared" si="35"/>
        <v>http://konect.cc/files/download.tsv.edit-afwikibooks.tar.bz2</v>
      </c>
      <c r="L1150" s="5"/>
    </row>
    <row r="1151" spans="3:12" x14ac:dyDescent="0.3">
      <c r="C1151" s="6" t="s">
        <v>1836</v>
      </c>
      <c r="D1151" s="3" t="s">
        <v>1837</v>
      </c>
      <c r="E1151" s="6" t="s">
        <v>38</v>
      </c>
      <c r="F1151" s="7">
        <v>960</v>
      </c>
      <c r="G1151" s="7">
        <v>1308</v>
      </c>
      <c r="H1151" s="6">
        <f t="shared" si="34"/>
        <v>1.3625</v>
      </c>
      <c r="I1151" s="3" t="s">
        <v>329</v>
      </c>
      <c r="J1151" s="6" t="str">
        <f t="shared" si="35"/>
        <v>http://konect.cc/files/download.tsv.edit-tgwikibooks.tar.bz2</v>
      </c>
      <c r="L1151" s="5"/>
    </row>
    <row r="1152" spans="3:12" x14ac:dyDescent="0.3">
      <c r="C1152" s="6" t="s">
        <v>1865</v>
      </c>
      <c r="D1152" s="3" t="s">
        <v>1866</v>
      </c>
      <c r="E1152" s="6" t="s">
        <v>38</v>
      </c>
      <c r="F1152" s="7">
        <v>944</v>
      </c>
      <c r="G1152" s="7">
        <v>1646</v>
      </c>
      <c r="H1152" s="6">
        <f t="shared" si="34"/>
        <v>1.7436440677966101</v>
      </c>
      <c r="I1152" s="3" t="s">
        <v>342</v>
      </c>
      <c r="J1152" s="6" t="str">
        <f t="shared" si="35"/>
        <v>http://konect.cc/files/download.tsv.edit-tewikibooks.tar.bz2</v>
      </c>
      <c r="L1152" s="5"/>
    </row>
    <row r="1153" spans="3:12" x14ac:dyDescent="0.3">
      <c r="C1153" s="6" t="s">
        <v>1854</v>
      </c>
      <c r="D1153" s="3" t="s">
        <v>1855</v>
      </c>
      <c r="E1153" s="6" t="s">
        <v>38</v>
      </c>
      <c r="F1153" s="7">
        <v>914</v>
      </c>
      <c r="G1153" s="7">
        <v>1498</v>
      </c>
      <c r="H1153" s="6">
        <f t="shared" si="34"/>
        <v>1.6389496717724288</v>
      </c>
      <c r="I1153" s="3" t="s">
        <v>337</v>
      </c>
      <c r="J1153" s="6" t="str">
        <f t="shared" si="35"/>
        <v>http://konect.cc/files/download.tsv.edit-cvwikibooks.tar.bz2</v>
      </c>
      <c r="L1153" s="5"/>
    </row>
    <row r="1154" spans="3:12" x14ac:dyDescent="0.3">
      <c r="C1154" s="6" t="s">
        <v>1928</v>
      </c>
      <c r="D1154" s="3" t="s">
        <v>1929</v>
      </c>
      <c r="E1154" s="6" t="s">
        <v>38</v>
      </c>
      <c r="F1154" s="7">
        <v>909</v>
      </c>
      <c r="G1154" s="7">
        <v>3094</v>
      </c>
      <c r="H1154" s="6">
        <f t="shared" ref="H1154:H1217" si="36">G1154/F1154</f>
        <v>3.4037403740374037</v>
      </c>
      <c r="I1154" s="3" t="s">
        <v>373</v>
      </c>
      <c r="J1154" s="6" t="str">
        <f t="shared" ref="J1154:J1217" si="37">"http://konect.cc/files/download.tsv."&amp;I1154&amp;".tar.bz2"</f>
        <v>http://konect.cc/files/download.tsv.edit-sgwiktionary.tar.bz2</v>
      </c>
      <c r="L1154" s="5"/>
    </row>
    <row r="1155" spans="3:12" x14ac:dyDescent="0.3">
      <c r="C1155" s="6" t="s">
        <v>1897</v>
      </c>
      <c r="D1155" s="3" t="s">
        <v>1898</v>
      </c>
      <c r="E1155" s="6" t="s">
        <v>38</v>
      </c>
      <c r="F1155" s="7">
        <v>906</v>
      </c>
      <c r="G1155" s="7">
        <v>2625</v>
      </c>
      <c r="H1155" s="6">
        <f t="shared" si="36"/>
        <v>2.8973509933774833</v>
      </c>
      <c r="I1155" s="3" t="s">
        <v>358</v>
      </c>
      <c r="J1155" s="6" t="str">
        <f t="shared" si="37"/>
        <v>http://konect.cc/files/download.tsv.edit-brwikiquote.tar.bz2</v>
      </c>
      <c r="L1155" s="5"/>
    </row>
    <row r="1156" spans="3:12" x14ac:dyDescent="0.3">
      <c r="C1156" s="6" t="s">
        <v>1871</v>
      </c>
      <c r="D1156" s="3" t="s">
        <v>1872</v>
      </c>
      <c r="E1156" s="6" t="s">
        <v>38</v>
      </c>
      <c r="F1156" s="7">
        <v>888</v>
      </c>
      <c r="G1156" s="7">
        <v>1884</v>
      </c>
      <c r="H1156" s="6">
        <f t="shared" si="36"/>
        <v>2.1216216216216215</v>
      </c>
      <c r="I1156" s="3" t="s">
        <v>345</v>
      </c>
      <c r="J1156" s="6" t="str">
        <f t="shared" si="37"/>
        <v>http://konect.cc/files/download.tsv.edit-kswiktionary.tar.bz2</v>
      </c>
      <c r="L1156" s="5"/>
    </row>
    <row r="1157" spans="3:12" x14ac:dyDescent="0.3">
      <c r="C1157" s="6" t="s">
        <v>1850</v>
      </c>
      <c r="D1157" s="3" t="s">
        <v>1851</v>
      </c>
      <c r="E1157" s="6" t="s">
        <v>38</v>
      </c>
      <c r="F1157" s="7">
        <v>885</v>
      </c>
      <c r="G1157" s="7">
        <v>1494</v>
      </c>
      <c r="H1157" s="6">
        <f t="shared" si="36"/>
        <v>1.688135593220339</v>
      </c>
      <c r="I1157" s="3" t="s">
        <v>335</v>
      </c>
      <c r="J1157" s="6" t="str">
        <f t="shared" si="37"/>
        <v>http://konect.cc/files/download.tsv.edit-iawikibooks.tar.bz2</v>
      </c>
      <c r="L1157" s="5"/>
    </row>
    <row r="1158" spans="3:12" x14ac:dyDescent="0.3">
      <c r="C1158" s="6" t="s">
        <v>1903</v>
      </c>
      <c r="D1158" s="3" t="s">
        <v>1904</v>
      </c>
      <c r="E1158" s="6" t="s">
        <v>38</v>
      </c>
      <c r="F1158" s="7">
        <v>882</v>
      </c>
      <c r="G1158" s="7">
        <v>2716</v>
      </c>
      <c r="H1158" s="6">
        <f t="shared" si="36"/>
        <v>3.0793650793650795</v>
      </c>
      <c r="I1158" s="3" t="s">
        <v>361</v>
      </c>
      <c r="J1158" s="6" t="str">
        <f t="shared" si="37"/>
        <v>http://konect.cc/files/download.tsv.edit-tnwiktionary.tar.bz2</v>
      </c>
      <c r="L1158" s="5"/>
    </row>
    <row r="1159" spans="3:12" x14ac:dyDescent="0.3">
      <c r="C1159" s="6" t="s">
        <v>1863</v>
      </c>
      <c r="D1159" s="3" t="s">
        <v>1864</v>
      </c>
      <c r="E1159" s="6" t="s">
        <v>38</v>
      </c>
      <c r="F1159" s="7">
        <v>875</v>
      </c>
      <c r="G1159" s="7">
        <v>1684</v>
      </c>
      <c r="H1159" s="6">
        <f t="shared" si="36"/>
        <v>1.9245714285714286</v>
      </c>
      <c r="I1159" s="3" t="s">
        <v>341</v>
      </c>
      <c r="J1159" s="6" t="str">
        <f t="shared" si="37"/>
        <v>http://konect.cc/files/download.tsv.edit-ocwikibooks.tar.bz2</v>
      </c>
      <c r="L1159" s="5"/>
    </row>
    <row r="1160" spans="3:12" x14ac:dyDescent="0.3">
      <c r="C1160" s="6" t="s">
        <v>1786</v>
      </c>
      <c r="D1160" s="3" t="s">
        <v>1787</v>
      </c>
      <c r="E1160" s="6" t="s">
        <v>1788</v>
      </c>
      <c r="F1160" s="7">
        <v>874</v>
      </c>
      <c r="G1160" s="7">
        <v>1853</v>
      </c>
      <c r="H1160" s="6">
        <f t="shared" si="36"/>
        <v>2.1201372997711672</v>
      </c>
      <c r="I1160" s="3" t="s">
        <v>306</v>
      </c>
      <c r="J1160" s="6" t="str">
        <f t="shared" si="37"/>
        <v>http://konect.cc/files/download.tsv.librec-filmtrust-trust.tar.bz2</v>
      </c>
      <c r="L1160" s="5"/>
    </row>
    <row r="1161" spans="3:12" x14ac:dyDescent="0.3">
      <c r="C1161" s="6" t="s">
        <v>1795</v>
      </c>
      <c r="D1161" s="3" t="s">
        <v>1796</v>
      </c>
      <c r="E1161" s="6" t="s">
        <v>1797</v>
      </c>
      <c r="F1161" s="7">
        <v>868</v>
      </c>
      <c r="G1161" s="7">
        <v>1255</v>
      </c>
      <c r="H1161" s="6">
        <f t="shared" si="36"/>
        <v>1.445852534562212</v>
      </c>
      <c r="I1161" s="3" t="s">
        <v>310</v>
      </c>
      <c r="J1161" s="6" t="str">
        <f t="shared" si="37"/>
        <v>http://konect.cc/files/download.tsv.unicodelang.tar.bz2</v>
      </c>
      <c r="L1161" s="5"/>
    </row>
    <row r="1162" spans="3:12" x14ac:dyDescent="0.3">
      <c r="C1162" s="6" t="s">
        <v>1838</v>
      </c>
      <c r="D1162" s="3" t="s">
        <v>1839</v>
      </c>
      <c r="E1162" s="6" t="s">
        <v>38</v>
      </c>
      <c r="F1162" s="7">
        <v>824</v>
      </c>
      <c r="G1162" s="7">
        <v>1278</v>
      </c>
      <c r="H1162" s="6">
        <f t="shared" si="36"/>
        <v>1.5509708737864079</v>
      </c>
      <c r="I1162" s="3" t="s">
        <v>330</v>
      </c>
      <c r="J1162" s="6" t="str">
        <f t="shared" si="37"/>
        <v>http://konect.cc/files/download.tsv.edit-pawikibooks.tar.bz2</v>
      </c>
      <c r="L1162" s="5"/>
    </row>
    <row r="1163" spans="3:12" x14ac:dyDescent="0.3">
      <c r="C1163" s="6" t="s">
        <v>1844</v>
      </c>
      <c r="D1163" s="3" t="s">
        <v>1845</v>
      </c>
      <c r="E1163" s="6" t="s">
        <v>133</v>
      </c>
      <c r="F1163" s="7">
        <v>796</v>
      </c>
      <c r="G1163" s="7">
        <v>32629</v>
      </c>
      <c r="H1163" s="6">
        <f t="shared" si="36"/>
        <v>40.991206030150757</v>
      </c>
      <c r="I1163" s="3" t="s">
        <v>333</v>
      </c>
      <c r="J1163" s="6" t="str">
        <f t="shared" si="37"/>
        <v>http://konect.cc/files/download.tsv.asoiaf.tar.bz2</v>
      </c>
      <c r="L1163" s="5"/>
    </row>
    <row r="1164" spans="3:12" x14ac:dyDescent="0.3">
      <c r="C1164" s="6" t="s">
        <v>1823</v>
      </c>
      <c r="D1164" s="3" t="s">
        <v>1824</v>
      </c>
      <c r="E1164" s="6" t="s">
        <v>38</v>
      </c>
      <c r="F1164" s="7">
        <v>781</v>
      </c>
      <c r="G1164" s="7">
        <v>1170</v>
      </c>
      <c r="H1164" s="6">
        <f t="shared" si="36"/>
        <v>1.498079385403329</v>
      </c>
      <c r="I1164" s="3" t="s">
        <v>322</v>
      </c>
      <c r="J1164" s="6" t="str">
        <f t="shared" si="37"/>
        <v>http://konect.cc/files/download.tsv.edit-cywikibooks.tar.bz2</v>
      </c>
      <c r="L1164" s="5"/>
    </row>
    <row r="1165" spans="3:12" x14ac:dyDescent="0.3">
      <c r="C1165" s="6" t="s">
        <v>1848</v>
      </c>
      <c r="D1165" s="3" t="s">
        <v>1849</v>
      </c>
      <c r="E1165" s="6" t="s">
        <v>1818</v>
      </c>
      <c r="F1165" s="7">
        <v>775</v>
      </c>
      <c r="G1165" s="7">
        <v>1254</v>
      </c>
      <c r="H1165" s="6">
        <f t="shared" si="36"/>
        <v>1.6180645161290323</v>
      </c>
      <c r="I1165" s="3" t="s">
        <v>3878</v>
      </c>
      <c r="J1165" s="6" t="str">
        <f t="shared" si="37"/>
        <v>http://konect.cc/files/download.tsv.lqfb-Global.tar.bz2</v>
      </c>
      <c r="L1165" s="5"/>
    </row>
    <row r="1166" spans="3:12" x14ac:dyDescent="0.3">
      <c r="C1166" s="6" t="s">
        <v>1816</v>
      </c>
      <c r="D1166" s="3" t="s">
        <v>1817</v>
      </c>
      <c r="E1166" s="6" t="s">
        <v>1818</v>
      </c>
      <c r="F1166" s="7">
        <v>770</v>
      </c>
      <c r="G1166" s="7">
        <v>931</v>
      </c>
      <c r="H1166" s="6">
        <f t="shared" si="36"/>
        <v>1.209090909090909</v>
      </c>
      <c r="I1166" s="3" t="s">
        <v>3877</v>
      </c>
      <c r="J1166" s="6" t="str">
        <f t="shared" si="37"/>
        <v>http://konect.cc/files/download.tsv.lqfb-Unit.tar.bz2</v>
      </c>
      <c r="L1166" s="5"/>
    </row>
    <row r="1167" spans="3:12" x14ac:dyDescent="0.3">
      <c r="C1167" s="6" t="s">
        <v>1869</v>
      </c>
      <c r="D1167" s="3" t="s">
        <v>1870</v>
      </c>
      <c r="E1167" s="6" t="s">
        <v>38</v>
      </c>
      <c r="F1167" s="7">
        <v>741</v>
      </c>
      <c r="G1167" s="7">
        <v>1873</v>
      </c>
      <c r="H1167" s="6">
        <f t="shared" si="36"/>
        <v>2.5276653171390016</v>
      </c>
      <c r="I1167" s="3" t="s">
        <v>344</v>
      </c>
      <c r="J1167" s="6" t="str">
        <f t="shared" si="37"/>
        <v>http://konect.cc/files/download.tsv.edit-ikwiktionary.tar.bz2</v>
      </c>
      <c r="L1167" s="5"/>
    </row>
    <row r="1168" spans="3:12" x14ac:dyDescent="0.3">
      <c r="C1168" s="6" t="s">
        <v>1821</v>
      </c>
      <c r="D1168" s="3" t="s">
        <v>1822</v>
      </c>
      <c r="E1168" s="6" t="s">
        <v>38</v>
      </c>
      <c r="F1168" s="7">
        <v>739</v>
      </c>
      <c r="G1168" s="7">
        <v>1173</v>
      </c>
      <c r="H1168" s="6">
        <f t="shared" si="36"/>
        <v>1.5872801082543979</v>
      </c>
      <c r="I1168" s="3" t="s">
        <v>321</v>
      </c>
      <c r="J1168" s="6" t="str">
        <f t="shared" si="37"/>
        <v>http://konect.cc/files/download.tsv.edit-fywikibooks.tar.bz2</v>
      </c>
      <c r="L1168" s="5"/>
    </row>
    <row r="1169" spans="3:12" x14ac:dyDescent="0.3">
      <c r="C1169" s="6" t="s">
        <v>1846</v>
      </c>
      <c r="D1169" s="3" t="s">
        <v>1847</v>
      </c>
      <c r="E1169" s="6" t="s">
        <v>38</v>
      </c>
      <c r="F1169" s="7">
        <v>707</v>
      </c>
      <c r="G1169" s="7">
        <v>1350</v>
      </c>
      <c r="H1169" s="6">
        <f t="shared" si="36"/>
        <v>1.9094766619519095</v>
      </c>
      <c r="I1169" s="3" t="s">
        <v>334</v>
      </c>
      <c r="J1169" s="6" t="str">
        <f t="shared" si="37"/>
        <v>http://konect.cc/files/download.tsv.edit-kuwikibooks.tar.bz2</v>
      </c>
      <c r="L1169" s="5"/>
    </row>
    <row r="1170" spans="3:12" x14ac:dyDescent="0.3">
      <c r="C1170" s="6" t="s">
        <v>1819</v>
      </c>
      <c r="D1170" s="3" t="s">
        <v>1820</v>
      </c>
      <c r="E1170" s="6" t="s">
        <v>38</v>
      </c>
      <c r="F1170" s="7">
        <v>705</v>
      </c>
      <c r="G1170" s="7">
        <v>1117</v>
      </c>
      <c r="H1170" s="6">
        <f t="shared" si="36"/>
        <v>1.5843971631205673</v>
      </c>
      <c r="I1170" s="3" t="s">
        <v>320</v>
      </c>
      <c r="J1170" s="6" t="str">
        <f t="shared" si="37"/>
        <v>http://konect.cc/files/download.tsv.edit-iewikibooks.tar.bz2</v>
      </c>
      <c r="L1170" s="5"/>
    </row>
    <row r="1171" spans="3:12" x14ac:dyDescent="0.3">
      <c r="C1171" s="6" t="s">
        <v>1832</v>
      </c>
      <c r="D1171" s="3" t="s">
        <v>1833</v>
      </c>
      <c r="E1171" s="6" t="s">
        <v>38</v>
      </c>
      <c r="F1171" s="7">
        <v>704</v>
      </c>
      <c r="G1171" s="7">
        <v>1221</v>
      </c>
      <c r="H1171" s="6">
        <f t="shared" si="36"/>
        <v>1.734375</v>
      </c>
      <c r="I1171" s="3" t="s">
        <v>326</v>
      </c>
      <c r="J1171" s="6" t="str">
        <f t="shared" si="37"/>
        <v>http://konect.cc/files/download.tsv.edit-uzwikiquote.tar.bz2</v>
      </c>
      <c r="L1171" s="5"/>
    </row>
    <row r="1172" spans="3:12" x14ac:dyDescent="0.3">
      <c r="C1172" s="6" t="s">
        <v>1812</v>
      </c>
      <c r="D1172" s="3" t="s">
        <v>1813</v>
      </c>
      <c r="E1172" s="6" t="s">
        <v>38</v>
      </c>
      <c r="F1172" s="7">
        <v>691</v>
      </c>
      <c r="G1172" s="7">
        <v>991</v>
      </c>
      <c r="H1172" s="6">
        <f t="shared" si="36"/>
        <v>1.4341534008683068</v>
      </c>
      <c r="I1172" s="3" t="s">
        <v>318</v>
      </c>
      <c r="J1172" s="6" t="str">
        <f t="shared" si="37"/>
        <v>http://konect.cc/files/download.tsv.edit-fowikisource.tar.bz2</v>
      </c>
      <c r="L1172" s="5"/>
    </row>
    <row r="1173" spans="3:12" x14ac:dyDescent="0.3">
      <c r="C1173" s="6" t="s">
        <v>1830</v>
      </c>
      <c r="D1173" s="3" t="s">
        <v>1831</v>
      </c>
      <c r="E1173" s="6" t="s">
        <v>38</v>
      </c>
      <c r="F1173" s="7">
        <v>689</v>
      </c>
      <c r="G1173" s="7">
        <v>1189</v>
      </c>
      <c r="H1173" s="6">
        <f t="shared" si="36"/>
        <v>1.725689404934688</v>
      </c>
      <c r="I1173" s="3" t="s">
        <v>325</v>
      </c>
      <c r="J1173" s="6" t="str">
        <f t="shared" si="37"/>
        <v>http://konect.cc/files/download.tsv.edit-aawiki.tar.bz2</v>
      </c>
      <c r="L1173" s="5"/>
    </row>
    <row r="1174" spans="3:12" x14ac:dyDescent="0.3">
      <c r="C1174" s="6" t="s">
        <v>1861</v>
      </c>
      <c r="D1174" s="3" t="s">
        <v>1862</v>
      </c>
      <c r="E1174" s="6" t="s">
        <v>38</v>
      </c>
      <c r="F1174" s="7">
        <v>682</v>
      </c>
      <c r="G1174" s="7">
        <v>1607</v>
      </c>
      <c r="H1174" s="6">
        <f t="shared" si="36"/>
        <v>2.3563049853372435</v>
      </c>
      <c r="I1174" s="3" t="s">
        <v>340</v>
      </c>
      <c r="J1174" s="6" t="str">
        <f t="shared" si="37"/>
        <v>http://konect.cc/files/download.tsv.edit-zawiktionary.tar.bz2</v>
      </c>
      <c r="L1174" s="5"/>
    </row>
    <row r="1175" spans="3:12" x14ac:dyDescent="0.3">
      <c r="C1175" s="6" t="s">
        <v>1873</v>
      </c>
      <c r="D1175" s="3" t="s">
        <v>1874</v>
      </c>
      <c r="E1175" s="6" t="s">
        <v>38</v>
      </c>
      <c r="F1175" s="7">
        <v>663</v>
      </c>
      <c r="G1175" s="7">
        <v>1897</v>
      </c>
      <c r="H1175" s="6">
        <f t="shared" si="36"/>
        <v>2.8612368024132731</v>
      </c>
      <c r="I1175" s="3" t="s">
        <v>346</v>
      </c>
      <c r="J1175" s="6" t="str">
        <f t="shared" si="37"/>
        <v>http://konect.cc/files/download.tsv.edit-ngwiki.tar.bz2</v>
      </c>
      <c r="L1175" s="5"/>
    </row>
    <row r="1176" spans="3:12" x14ac:dyDescent="0.3">
      <c r="C1176" s="6" t="s">
        <v>2002</v>
      </c>
      <c r="D1176" s="3" t="s">
        <v>2003</v>
      </c>
      <c r="E1176" s="6" t="s">
        <v>38</v>
      </c>
      <c r="F1176" s="7">
        <v>655</v>
      </c>
      <c r="G1176" s="7">
        <v>6306</v>
      </c>
      <c r="H1176" s="6">
        <f t="shared" si="36"/>
        <v>9.6274809160305335</v>
      </c>
      <c r="I1176" s="3" t="s">
        <v>412</v>
      </c>
      <c r="J1176" s="6" t="str">
        <f t="shared" si="37"/>
        <v>http://konect.cc/files/download.tsv.edit-atjwiki.tar.bz2</v>
      </c>
      <c r="L1176" s="5"/>
    </row>
    <row r="1177" spans="3:12" x14ac:dyDescent="0.3">
      <c r="C1177" s="6" t="s">
        <v>1800</v>
      </c>
      <c r="D1177" s="3" t="s">
        <v>1801</v>
      </c>
      <c r="E1177" s="6" t="s">
        <v>38</v>
      </c>
      <c r="F1177" s="7">
        <v>654</v>
      </c>
      <c r="G1177" s="7">
        <v>841</v>
      </c>
      <c r="H1177" s="6">
        <f t="shared" si="36"/>
        <v>1.2859327217125383</v>
      </c>
      <c r="I1177" s="3" t="s">
        <v>312</v>
      </c>
      <c r="J1177" s="6" t="str">
        <f t="shared" si="37"/>
        <v>http://konect.cc/files/download.tsv.edit-wowikiquote.tar.bz2</v>
      </c>
      <c r="L1177" s="5"/>
    </row>
    <row r="1178" spans="3:12" x14ac:dyDescent="0.3">
      <c r="C1178" s="6" t="s">
        <v>1804</v>
      </c>
      <c r="D1178" s="3" t="s">
        <v>1805</v>
      </c>
      <c r="E1178" s="6" t="s">
        <v>38</v>
      </c>
      <c r="F1178" s="7">
        <v>647</v>
      </c>
      <c r="G1178" s="7">
        <v>905</v>
      </c>
      <c r="H1178" s="6">
        <f t="shared" si="36"/>
        <v>1.3987635239567233</v>
      </c>
      <c r="I1178" s="3" t="s">
        <v>314</v>
      </c>
      <c r="J1178" s="6" t="str">
        <f t="shared" si="37"/>
        <v>http://konect.cc/files/download.tsv.edit-kywikibooks.tar.bz2</v>
      </c>
      <c r="L1178" s="5"/>
    </row>
    <row r="1179" spans="3:12" x14ac:dyDescent="0.3">
      <c r="C1179" s="6" t="s">
        <v>1572</v>
      </c>
      <c r="D1179" s="3" t="s">
        <v>1573</v>
      </c>
      <c r="E1179" s="6" t="s">
        <v>38</v>
      </c>
      <c r="F1179" s="7">
        <v>625</v>
      </c>
      <c r="G1179" s="7">
        <v>1303</v>
      </c>
      <c r="H1179" s="6">
        <f t="shared" si="36"/>
        <v>2.0848</v>
      </c>
      <c r="I1179" s="3" t="s">
        <v>328</v>
      </c>
      <c r="J1179" s="6" t="str">
        <f t="shared" si="37"/>
        <v>http://konect.cc/files/download.tsv.edit-angwikiquote.tar.bz2</v>
      </c>
      <c r="L1179" s="5"/>
    </row>
    <row r="1180" spans="3:12" x14ac:dyDescent="0.3">
      <c r="C1180" s="6" t="s">
        <v>1802</v>
      </c>
      <c r="D1180" s="3" t="s">
        <v>1803</v>
      </c>
      <c r="E1180" s="6" t="s">
        <v>38</v>
      </c>
      <c r="F1180" s="7">
        <v>611</v>
      </c>
      <c r="G1180" s="7">
        <v>864</v>
      </c>
      <c r="H1180" s="6">
        <f t="shared" si="36"/>
        <v>1.414075286415712</v>
      </c>
      <c r="I1180" s="3" t="s">
        <v>313</v>
      </c>
      <c r="J1180" s="6" t="str">
        <f t="shared" si="37"/>
        <v>http://konect.cc/files/download.tsv.edit-kywikiquote.tar.bz2</v>
      </c>
      <c r="L1180" s="5"/>
    </row>
    <row r="1181" spans="3:12" x14ac:dyDescent="0.3">
      <c r="C1181" s="6" t="s">
        <v>1798</v>
      </c>
      <c r="D1181" s="3" t="s">
        <v>1799</v>
      </c>
      <c r="E1181" s="6" t="s">
        <v>38</v>
      </c>
      <c r="F1181" s="7">
        <v>609</v>
      </c>
      <c r="G1181" s="7">
        <v>788</v>
      </c>
      <c r="H1181" s="6">
        <f t="shared" si="36"/>
        <v>1.2939244663382594</v>
      </c>
      <c r="I1181" s="3" t="s">
        <v>311</v>
      </c>
      <c r="J1181" s="6" t="str">
        <f t="shared" si="37"/>
        <v>http://konect.cc/files/download.tsv.edit-mgwikibooks.tar.bz2</v>
      </c>
      <c r="L1181" s="5"/>
    </row>
    <row r="1182" spans="3:12" x14ac:dyDescent="0.3">
      <c r="C1182" s="6" t="s">
        <v>1777</v>
      </c>
      <c r="D1182" s="3" t="s">
        <v>1778</v>
      </c>
      <c r="E1182" s="6" t="s">
        <v>38</v>
      </c>
      <c r="F1182" s="7">
        <v>555</v>
      </c>
      <c r="G1182" s="7">
        <v>630</v>
      </c>
      <c r="H1182" s="6">
        <f t="shared" si="36"/>
        <v>1.1351351351351351</v>
      </c>
      <c r="I1182" s="3" t="s">
        <v>301</v>
      </c>
      <c r="J1182" s="6" t="str">
        <f t="shared" si="37"/>
        <v>http://konect.cc/files/download.tsv.edit-amwikiquote.tar.bz2</v>
      </c>
      <c r="L1182" s="5"/>
    </row>
    <row r="1183" spans="3:12" x14ac:dyDescent="0.3">
      <c r="C1183" s="6" t="s">
        <v>1806</v>
      </c>
      <c r="D1183" s="3" t="s">
        <v>1807</v>
      </c>
      <c r="E1183" s="6" t="s">
        <v>38</v>
      </c>
      <c r="F1183" s="7">
        <v>550</v>
      </c>
      <c r="G1183" s="7">
        <v>938</v>
      </c>
      <c r="H1183" s="6">
        <f t="shared" si="36"/>
        <v>1.7054545454545456</v>
      </c>
      <c r="I1183" s="3" t="s">
        <v>315</v>
      </c>
      <c r="J1183" s="6" t="str">
        <f t="shared" si="37"/>
        <v>http://konect.cc/files/download.tsv.edit-zh_min_nanwikiquote.tar.bz2</v>
      </c>
      <c r="L1183" s="5"/>
    </row>
    <row r="1184" spans="3:12" x14ac:dyDescent="0.3">
      <c r="C1184" s="6" t="s">
        <v>1852</v>
      </c>
      <c r="D1184" s="3" t="s">
        <v>1853</v>
      </c>
      <c r="E1184" s="6" t="s">
        <v>145</v>
      </c>
      <c r="F1184" s="7">
        <v>536</v>
      </c>
      <c r="G1184" s="7">
        <v>1530</v>
      </c>
      <c r="H1184" s="6">
        <f t="shared" si="36"/>
        <v>2.8544776119402986</v>
      </c>
      <c r="I1184" s="3" t="s">
        <v>336</v>
      </c>
      <c r="J1184" s="6" t="str">
        <f t="shared" si="37"/>
        <v>http://konect.cc/files/download.tsv.wiki_talk_ht.tar.bz2</v>
      </c>
      <c r="L1184" s="5"/>
    </row>
    <row r="1185" spans="3:12" x14ac:dyDescent="0.3">
      <c r="C1185" s="6" t="s">
        <v>1791</v>
      </c>
      <c r="D1185" s="3" t="s">
        <v>1792</v>
      </c>
      <c r="E1185" s="6" t="s">
        <v>38</v>
      </c>
      <c r="F1185" s="7">
        <v>520</v>
      </c>
      <c r="G1185" s="7">
        <v>750</v>
      </c>
      <c r="H1185" s="6">
        <f t="shared" si="36"/>
        <v>1.4423076923076923</v>
      </c>
      <c r="I1185" s="3" t="s">
        <v>308</v>
      </c>
      <c r="J1185" s="6" t="str">
        <f t="shared" si="37"/>
        <v>http://konect.cc/files/download.tsv.edit-zh_min_nanwikibooks.tar.bz2</v>
      </c>
      <c r="L1185" s="5"/>
    </row>
    <row r="1186" spans="3:12" x14ac:dyDescent="0.3">
      <c r="C1186" s="6" t="s">
        <v>1770</v>
      </c>
      <c r="D1186" s="3" t="s">
        <v>1771</v>
      </c>
      <c r="E1186" s="6" t="s">
        <v>38</v>
      </c>
      <c r="F1186" s="7">
        <v>500</v>
      </c>
      <c r="G1186" s="7">
        <v>565</v>
      </c>
      <c r="H1186" s="6">
        <f t="shared" si="36"/>
        <v>1.1299999999999999</v>
      </c>
      <c r="I1186" s="3" t="s">
        <v>297</v>
      </c>
      <c r="J1186" s="6" t="str">
        <f t="shared" si="37"/>
        <v>http://konect.cc/files/download.tsv.edit-uzwikibooks.tar.bz2</v>
      </c>
      <c r="L1186" s="5"/>
    </row>
    <row r="1187" spans="3:12" x14ac:dyDescent="0.3">
      <c r="C1187" s="6" t="s">
        <v>1858</v>
      </c>
      <c r="D1187" s="3" t="s">
        <v>1859</v>
      </c>
      <c r="E1187" s="6" t="s">
        <v>1860</v>
      </c>
      <c r="F1187" s="7">
        <v>453</v>
      </c>
      <c r="G1187" s="7">
        <v>4596</v>
      </c>
      <c r="H1187" s="6">
        <f t="shared" si="36"/>
        <v>10.14569536423841</v>
      </c>
      <c r="I1187" s="3" t="s">
        <v>339</v>
      </c>
      <c r="J1187" s="6" t="str">
        <f t="shared" si="37"/>
        <v>http://konect.cc/files/download.tsv.arenas-meta.tar.bz2</v>
      </c>
      <c r="L1187" s="5"/>
    </row>
    <row r="1188" spans="3:12" x14ac:dyDescent="0.3">
      <c r="C1188" s="6" t="s">
        <v>1789</v>
      </c>
      <c r="D1188" s="3" t="s">
        <v>1790</v>
      </c>
      <c r="E1188" s="6" t="s">
        <v>1610</v>
      </c>
      <c r="F1188" s="7">
        <v>453</v>
      </c>
      <c r="G1188" s="7">
        <v>2025</v>
      </c>
      <c r="H1188" s="6">
        <f t="shared" si="36"/>
        <v>4.4701986754966887</v>
      </c>
      <c r="I1188" s="3" t="s">
        <v>307</v>
      </c>
      <c r="J1188" s="6" t="str">
        <f t="shared" si="37"/>
        <v>http://konect.cc/files/download.tsv.dimacs10-celegans_metabolic.tar.bz2</v>
      </c>
      <c r="L1188" s="5"/>
    </row>
    <row r="1189" spans="3:12" x14ac:dyDescent="0.3">
      <c r="C1189" s="6" t="s">
        <v>1766</v>
      </c>
      <c r="D1189" s="3" t="s">
        <v>1767</v>
      </c>
      <c r="E1189" s="6" t="s">
        <v>38</v>
      </c>
      <c r="F1189" s="7">
        <v>433</v>
      </c>
      <c r="G1189" s="7">
        <v>525</v>
      </c>
      <c r="H1189" s="6">
        <f t="shared" si="36"/>
        <v>1.2124711316397228</v>
      </c>
      <c r="I1189" s="3" t="s">
        <v>295</v>
      </c>
      <c r="J1189" s="6" t="str">
        <f t="shared" si="37"/>
        <v>http://konect.cc/files/download.tsv.edit-suwikibooks.tar.bz2</v>
      </c>
      <c r="L1189" s="5"/>
    </row>
    <row r="1190" spans="3:12" x14ac:dyDescent="0.3">
      <c r="C1190" s="6" t="s">
        <v>1698</v>
      </c>
      <c r="D1190" s="3" t="s">
        <v>1699</v>
      </c>
      <c r="E1190" s="6" t="s">
        <v>91</v>
      </c>
      <c r="F1190" s="7">
        <v>430</v>
      </c>
      <c r="G1190" s="7">
        <v>565</v>
      </c>
      <c r="H1190" s="6">
        <f t="shared" si="36"/>
        <v>1.3139534883720929</v>
      </c>
      <c r="I1190" s="3" t="s">
        <v>261</v>
      </c>
      <c r="J1190" s="6" t="str">
        <f t="shared" si="37"/>
        <v>http://konect.cc/files/download.tsv.dbpedia-similar.tar.bz2</v>
      </c>
      <c r="L1190" s="5"/>
    </row>
    <row r="1191" spans="3:12" x14ac:dyDescent="0.3">
      <c r="C1191" s="6" t="s">
        <v>1784</v>
      </c>
      <c r="D1191" s="3" t="s">
        <v>1785</v>
      </c>
      <c r="E1191" s="6" t="s">
        <v>38</v>
      </c>
      <c r="F1191" s="7">
        <v>423</v>
      </c>
      <c r="G1191" s="7">
        <v>667</v>
      </c>
      <c r="H1191" s="6">
        <f t="shared" si="36"/>
        <v>1.5768321513002364</v>
      </c>
      <c r="I1191" s="3" t="s">
        <v>305</v>
      </c>
      <c r="J1191" s="6" t="str">
        <f t="shared" si="37"/>
        <v>http://konect.cc/files/download.tsv.edit-lbwikiquote.tar.bz2</v>
      </c>
      <c r="L1191" s="5"/>
    </row>
    <row r="1192" spans="3:12" x14ac:dyDescent="0.3">
      <c r="C1192" s="6" t="s">
        <v>1793</v>
      </c>
      <c r="D1192" s="3" t="s">
        <v>1794</v>
      </c>
      <c r="E1192" s="6" t="s">
        <v>38</v>
      </c>
      <c r="F1192" s="7">
        <v>420</v>
      </c>
      <c r="G1192" s="7">
        <v>774</v>
      </c>
      <c r="H1192" s="6">
        <f t="shared" si="36"/>
        <v>1.8428571428571427</v>
      </c>
      <c r="I1192" s="3" t="s">
        <v>309</v>
      </c>
      <c r="J1192" s="6" t="str">
        <f t="shared" si="37"/>
        <v>http://konect.cc/files/download.tsv.edit-lvwikibooks.tar.bz2</v>
      </c>
      <c r="L1192" s="5"/>
    </row>
    <row r="1193" spans="3:12" x14ac:dyDescent="0.3">
      <c r="C1193" s="6" t="s">
        <v>2227</v>
      </c>
      <c r="D1193" s="3" t="s">
        <v>1489</v>
      </c>
      <c r="E1193" s="6" t="s">
        <v>2228</v>
      </c>
      <c r="F1193" s="7">
        <v>410</v>
      </c>
      <c r="G1193" s="7">
        <v>17298</v>
      </c>
      <c r="H1193" s="6">
        <f t="shared" si="36"/>
        <v>42.190243902439022</v>
      </c>
      <c r="I1193" s="3" t="s">
        <v>527</v>
      </c>
      <c r="J1193" s="6" t="str">
        <f t="shared" si="37"/>
        <v>http://konect.cc/files/download.tsv.sociopatterns-infectious.tar.bz2</v>
      </c>
      <c r="L1193" s="5"/>
    </row>
    <row r="1194" spans="3:12" x14ac:dyDescent="0.3">
      <c r="C1194" s="6" t="s">
        <v>1775</v>
      </c>
      <c r="D1194" s="3" t="s">
        <v>1776</v>
      </c>
      <c r="E1194" s="6" t="s">
        <v>38</v>
      </c>
      <c r="F1194" s="7">
        <v>394</v>
      </c>
      <c r="G1194" s="7">
        <v>637</v>
      </c>
      <c r="H1194" s="6">
        <f t="shared" si="36"/>
        <v>1.616751269035533</v>
      </c>
      <c r="I1194" s="3" t="s">
        <v>300</v>
      </c>
      <c r="J1194" s="6" t="str">
        <f t="shared" si="37"/>
        <v>http://konect.cc/files/download.tsv.edit-astwikiquote.tar.bz2</v>
      </c>
      <c r="L1194" s="5"/>
    </row>
    <row r="1195" spans="3:12" x14ac:dyDescent="0.3">
      <c r="C1195" s="6" t="s">
        <v>1762</v>
      </c>
      <c r="D1195" s="3" t="s">
        <v>1763</v>
      </c>
      <c r="E1195" s="6" t="s">
        <v>38</v>
      </c>
      <c r="F1195" s="7">
        <v>394</v>
      </c>
      <c r="G1195" s="7">
        <v>499</v>
      </c>
      <c r="H1195" s="6">
        <f t="shared" si="36"/>
        <v>1.266497461928934</v>
      </c>
      <c r="I1195" s="3" t="s">
        <v>293</v>
      </c>
      <c r="J1195" s="6" t="str">
        <f t="shared" si="37"/>
        <v>http://konect.cc/files/download.tsv.edit-vowikibooks.tar.bz2</v>
      </c>
      <c r="L1195" s="5"/>
    </row>
    <row r="1196" spans="3:12" x14ac:dyDescent="0.3">
      <c r="C1196" s="6" t="s">
        <v>1756</v>
      </c>
      <c r="D1196" s="3" t="s">
        <v>1757</v>
      </c>
      <c r="E1196" s="6" t="s">
        <v>38</v>
      </c>
      <c r="F1196" s="7">
        <v>362</v>
      </c>
      <c r="G1196" s="7">
        <v>447</v>
      </c>
      <c r="H1196" s="6">
        <f t="shared" si="36"/>
        <v>1.2348066298342542</v>
      </c>
      <c r="I1196" s="3" t="s">
        <v>290</v>
      </c>
      <c r="J1196" s="6" t="str">
        <f t="shared" si="37"/>
        <v>http://konect.cc/files/download.tsv.edit-astwikibooks.tar.bz2</v>
      </c>
      <c r="L1196" s="5"/>
    </row>
    <row r="1197" spans="3:12" x14ac:dyDescent="0.3">
      <c r="C1197" s="6" t="s">
        <v>1764</v>
      </c>
      <c r="D1197" s="3" t="s">
        <v>1765</v>
      </c>
      <c r="E1197" s="6" t="s">
        <v>38</v>
      </c>
      <c r="F1197" s="7">
        <v>329</v>
      </c>
      <c r="G1197" s="7">
        <v>500</v>
      </c>
      <c r="H1197" s="6">
        <f t="shared" si="36"/>
        <v>1.5197568389057752</v>
      </c>
      <c r="I1197" s="3" t="s">
        <v>294</v>
      </c>
      <c r="J1197" s="6" t="str">
        <f t="shared" si="37"/>
        <v>http://konect.cc/files/download.tsv.edit-cowikibooks.tar.bz2</v>
      </c>
      <c r="L1197" s="5"/>
    </row>
    <row r="1198" spans="3:12" x14ac:dyDescent="0.3">
      <c r="C1198" s="6" t="s">
        <v>1782</v>
      </c>
      <c r="D1198" s="3" t="s">
        <v>1783</v>
      </c>
      <c r="E1198" s="6" t="s">
        <v>38</v>
      </c>
      <c r="F1198" s="7">
        <v>307</v>
      </c>
      <c r="G1198" s="7">
        <v>662</v>
      </c>
      <c r="H1198" s="6">
        <f t="shared" si="36"/>
        <v>2.1563517915309447</v>
      </c>
      <c r="I1198" s="3" t="s">
        <v>304</v>
      </c>
      <c r="J1198" s="6" t="str">
        <f t="shared" si="37"/>
        <v>http://konect.cc/files/download.tsv.edit-mhwiki.tar.bz2</v>
      </c>
      <c r="L1198" s="5"/>
    </row>
    <row r="1199" spans="3:12" x14ac:dyDescent="0.3">
      <c r="C1199" s="6" t="s">
        <v>1747</v>
      </c>
      <c r="D1199" s="3" t="s">
        <v>1748</v>
      </c>
      <c r="E1199" s="6" t="s">
        <v>38</v>
      </c>
      <c r="F1199" s="7">
        <v>307</v>
      </c>
      <c r="G1199" s="7">
        <v>373</v>
      </c>
      <c r="H1199" s="6">
        <f t="shared" si="36"/>
        <v>1.214983713355049</v>
      </c>
      <c r="I1199" s="3" t="s">
        <v>285</v>
      </c>
      <c r="J1199" s="6" t="str">
        <f t="shared" si="37"/>
        <v>http://konect.cc/files/download.tsv.edit-tkwikibooks.tar.bz2</v>
      </c>
      <c r="L1199" s="5"/>
    </row>
    <row r="1200" spans="3:12" x14ac:dyDescent="0.3">
      <c r="C1200" s="6" t="s">
        <v>1752</v>
      </c>
      <c r="D1200" s="3" t="s">
        <v>1753</v>
      </c>
      <c r="E1200" s="6" t="s">
        <v>38</v>
      </c>
      <c r="F1200" s="7">
        <v>300</v>
      </c>
      <c r="G1200" s="7">
        <v>414</v>
      </c>
      <c r="H1200" s="6">
        <f t="shared" si="36"/>
        <v>1.38</v>
      </c>
      <c r="I1200" s="3" t="s">
        <v>288</v>
      </c>
      <c r="J1200" s="6" t="str">
        <f t="shared" si="37"/>
        <v>http://konect.cc/files/download.tsv.edit-nawikibooks.tar.bz2</v>
      </c>
      <c r="L1200" s="5"/>
    </row>
    <row r="1201" spans="3:12" x14ac:dyDescent="0.3">
      <c r="C1201" s="6" t="s">
        <v>1730</v>
      </c>
      <c r="D1201" s="3" t="s">
        <v>1731</v>
      </c>
      <c r="E1201" s="6" t="s">
        <v>38</v>
      </c>
      <c r="F1201" s="7">
        <v>300</v>
      </c>
      <c r="G1201" s="7">
        <v>310</v>
      </c>
      <c r="H1201" s="6">
        <f t="shared" si="36"/>
        <v>1.0333333333333334</v>
      </c>
      <c r="I1201" s="3" t="s">
        <v>277</v>
      </c>
      <c r="J1201" s="6" t="str">
        <f t="shared" si="37"/>
        <v>http://konect.cc/files/download.tsv.edit-aswiktionary.tar.bz2</v>
      </c>
      <c r="L1201" s="5"/>
    </row>
    <row r="1202" spans="3:12" x14ac:dyDescent="0.3">
      <c r="C1202" s="6" t="s">
        <v>1789</v>
      </c>
      <c r="D1202" s="3" t="s">
        <v>1875</v>
      </c>
      <c r="E1202" s="6" t="s">
        <v>1876</v>
      </c>
      <c r="F1202" s="7">
        <v>297</v>
      </c>
      <c r="G1202" s="7">
        <v>4296</v>
      </c>
      <c r="H1202" s="6">
        <f t="shared" si="36"/>
        <v>14.464646464646465</v>
      </c>
      <c r="I1202" s="3" t="s">
        <v>347</v>
      </c>
      <c r="J1202" s="6" t="str">
        <f t="shared" si="37"/>
        <v>http://konect.cc/files/download.tsv.dimacs10-celegansneural.tar.bz2</v>
      </c>
      <c r="L1202" s="5"/>
    </row>
    <row r="1203" spans="3:12" x14ac:dyDescent="0.3">
      <c r="C1203" s="6" t="s">
        <v>1608</v>
      </c>
      <c r="D1203" s="3" t="s">
        <v>1609</v>
      </c>
      <c r="E1203" s="6" t="s">
        <v>1610</v>
      </c>
      <c r="F1203" s="7">
        <v>291</v>
      </c>
      <c r="G1203" s="7">
        <v>279</v>
      </c>
      <c r="H1203" s="6">
        <f t="shared" si="36"/>
        <v>0.95876288659793818</v>
      </c>
      <c r="I1203" s="3" t="s">
        <v>217</v>
      </c>
      <c r="J1203" s="6" t="str">
        <f t="shared" si="37"/>
        <v>http://konect.cc/files/download.tsv.gene_fusion.tar.bz2</v>
      </c>
      <c r="L1203" s="5"/>
    </row>
    <row r="1204" spans="3:12" x14ac:dyDescent="0.3">
      <c r="C1204" s="6" t="s">
        <v>1745</v>
      </c>
      <c r="D1204" s="3" t="s">
        <v>1746</v>
      </c>
      <c r="E1204" s="6" t="s">
        <v>38</v>
      </c>
      <c r="F1204" s="7">
        <v>289</v>
      </c>
      <c r="G1204" s="7">
        <v>383</v>
      </c>
      <c r="H1204" s="6">
        <f t="shared" si="36"/>
        <v>1.3252595155709344</v>
      </c>
      <c r="I1204" s="3" t="s">
        <v>284</v>
      </c>
      <c r="J1204" s="6" t="str">
        <f t="shared" si="37"/>
        <v>http://konect.cc/files/download.tsv.edit-abwiktionary.tar.bz2</v>
      </c>
      <c r="L1204" s="5"/>
    </row>
    <row r="1205" spans="3:12" x14ac:dyDescent="0.3">
      <c r="C1205" s="6" t="s">
        <v>1768</v>
      </c>
      <c r="D1205" s="3" t="s">
        <v>1769</v>
      </c>
      <c r="E1205" s="6" t="s">
        <v>38</v>
      </c>
      <c r="F1205" s="7">
        <v>278</v>
      </c>
      <c r="G1205" s="7">
        <v>540</v>
      </c>
      <c r="H1205" s="6">
        <f t="shared" si="36"/>
        <v>1.9424460431654675</v>
      </c>
      <c r="I1205" s="3" t="s">
        <v>296</v>
      </c>
      <c r="J1205" s="6" t="str">
        <f t="shared" si="37"/>
        <v>http://konect.cc/files/download.tsv.edit-chowiki.tar.bz2</v>
      </c>
      <c r="L1205" s="5"/>
    </row>
    <row r="1206" spans="3:12" x14ac:dyDescent="0.3">
      <c r="C1206" s="6" t="s">
        <v>2265</v>
      </c>
      <c r="D1206" s="3" t="s">
        <v>1490</v>
      </c>
      <c r="E1206" s="6" t="s">
        <v>2228</v>
      </c>
      <c r="F1206" s="7">
        <v>274</v>
      </c>
      <c r="G1206" s="7">
        <v>28244</v>
      </c>
      <c r="H1206" s="6">
        <f t="shared" si="36"/>
        <v>103.08029197080292</v>
      </c>
      <c r="I1206" s="3" t="s">
        <v>545</v>
      </c>
      <c r="J1206" s="6" t="str">
        <f t="shared" si="37"/>
        <v>http://konect.cc/files/download.tsv.contact.tar.bz2</v>
      </c>
      <c r="L1206" s="5"/>
    </row>
    <row r="1207" spans="3:12" x14ac:dyDescent="0.3">
      <c r="C1207" s="6" t="s">
        <v>1741</v>
      </c>
      <c r="D1207" s="3" t="s">
        <v>1742</v>
      </c>
      <c r="E1207" s="6" t="s">
        <v>38</v>
      </c>
      <c r="F1207" s="7">
        <v>271</v>
      </c>
      <c r="G1207" s="7">
        <v>359</v>
      </c>
      <c r="H1207" s="6">
        <f t="shared" si="36"/>
        <v>1.3247232472324724</v>
      </c>
      <c r="I1207" s="3" t="s">
        <v>282</v>
      </c>
      <c r="J1207" s="6" t="str">
        <f t="shared" si="37"/>
        <v>http://konect.cc/files/download.tsv.edit-mowiktionary.tar.bz2</v>
      </c>
      <c r="L1207" s="5"/>
    </row>
    <row r="1208" spans="3:12" x14ac:dyDescent="0.3">
      <c r="C1208" s="6" t="s">
        <v>1743</v>
      </c>
      <c r="D1208" s="3" t="s">
        <v>1744</v>
      </c>
      <c r="E1208" s="6" t="s">
        <v>38</v>
      </c>
      <c r="F1208" s="7">
        <v>271</v>
      </c>
      <c r="G1208" s="7">
        <v>356</v>
      </c>
      <c r="H1208" s="6">
        <f t="shared" si="36"/>
        <v>1.3136531365313653</v>
      </c>
      <c r="I1208" s="3" t="s">
        <v>283</v>
      </c>
      <c r="J1208" s="6" t="str">
        <f t="shared" si="37"/>
        <v>http://konect.cc/files/download.tsv.edit-zuwikibooks.tar.bz2</v>
      </c>
      <c r="L1208" s="5"/>
    </row>
    <row r="1209" spans="3:12" x14ac:dyDescent="0.3">
      <c r="C1209" s="6" t="s">
        <v>1734</v>
      </c>
      <c r="D1209" s="3" t="s">
        <v>1735</v>
      </c>
      <c r="E1209" s="6" t="s">
        <v>38</v>
      </c>
      <c r="F1209" s="7">
        <v>270</v>
      </c>
      <c r="G1209" s="7">
        <v>323</v>
      </c>
      <c r="H1209" s="6">
        <f t="shared" si="36"/>
        <v>1.1962962962962962</v>
      </c>
      <c r="I1209" s="3" t="s">
        <v>279</v>
      </c>
      <c r="J1209" s="6" t="str">
        <f t="shared" si="37"/>
        <v>http://konect.cc/files/download.tsv.edit-alswikibooks.tar.bz2</v>
      </c>
      <c r="L1209" s="5"/>
    </row>
    <row r="1210" spans="3:12" x14ac:dyDescent="0.3">
      <c r="C1210" s="6" t="s">
        <v>1732</v>
      </c>
      <c r="D1210" s="3" t="s">
        <v>1733</v>
      </c>
      <c r="E1210" s="6" t="s">
        <v>38</v>
      </c>
      <c r="F1210" s="7">
        <v>270</v>
      </c>
      <c r="G1210" s="7">
        <v>315</v>
      </c>
      <c r="H1210" s="6">
        <f t="shared" si="36"/>
        <v>1.1666666666666667</v>
      </c>
      <c r="I1210" s="3" t="s">
        <v>278</v>
      </c>
      <c r="J1210" s="6" t="str">
        <f t="shared" si="37"/>
        <v>http://konect.cc/files/download.tsv.edit-cowikiquote.tar.bz2</v>
      </c>
      <c r="L1210" s="5"/>
    </row>
    <row r="1211" spans="3:12" x14ac:dyDescent="0.3">
      <c r="C1211" s="6" t="s">
        <v>1724</v>
      </c>
      <c r="D1211" s="3" t="s">
        <v>1725</v>
      </c>
      <c r="E1211" s="6" t="s">
        <v>38</v>
      </c>
      <c r="F1211" s="7">
        <v>270</v>
      </c>
      <c r="G1211" s="7">
        <v>295</v>
      </c>
      <c r="H1211" s="6">
        <f t="shared" si="36"/>
        <v>1.0925925925925926</v>
      </c>
      <c r="I1211" s="3" t="s">
        <v>274</v>
      </c>
      <c r="J1211" s="6" t="str">
        <f t="shared" si="37"/>
        <v>http://konect.cc/files/download.tsv.edit-snwiktionary.tar.bz2</v>
      </c>
      <c r="L1211" s="5"/>
    </row>
    <row r="1212" spans="3:12" x14ac:dyDescent="0.3">
      <c r="C1212" s="6" t="s">
        <v>1720</v>
      </c>
      <c r="D1212" s="3" t="s">
        <v>1721</v>
      </c>
      <c r="E1212" s="6" t="s">
        <v>38</v>
      </c>
      <c r="F1212" s="7">
        <v>268</v>
      </c>
      <c r="G1212" s="7">
        <v>289</v>
      </c>
      <c r="H1212" s="6">
        <f t="shared" si="36"/>
        <v>1.0783582089552239</v>
      </c>
      <c r="I1212" s="3" t="s">
        <v>272</v>
      </c>
      <c r="J1212" s="6" t="str">
        <f t="shared" si="37"/>
        <v>http://konect.cc/files/download.tsv.edit-bhwiktionary.tar.bz2</v>
      </c>
      <c r="L1212" s="5"/>
    </row>
    <row r="1213" spans="3:12" x14ac:dyDescent="0.3">
      <c r="C1213" s="6" t="s">
        <v>1726</v>
      </c>
      <c r="D1213" s="3" t="s">
        <v>1727</v>
      </c>
      <c r="E1213" s="6" t="s">
        <v>38</v>
      </c>
      <c r="F1213" s="7">
        <v>264</v>
      </c>
      <c r="G1213" s="7">
        <v>297</v>
      </c>
      <c r="H1213" s="6">
        <f t="shared" si="36"/>
        <v>1.125</v>
      </c>
      <c r="I1213" s="3" t="s">
        <v>275</v>
      </c>
      <c r="J1213" s="6" t="str">
        <f t="shared" si="37"/>
        <v>http://konect.cc/files/download.tsv.edit-swwikibooks.tar.bz2</v>
      </c>
      <c r="L1213" s="5"/>
    </row>
    <row r="1214" spans="3:12" x14ac:dyDescent="0.3">
      <c r="C1214" s="6" t="s">
        <v>1714</v>
      </c>
      <c r="D1214" s="3" t="s">
        <v>1715</v>
      </c>
      <c r="E1214" s="6" t="s">
        <v>38</v>
      </c>
      <c r="F1214" s="7">
        <v>260</v>
      </c>
      <c r="G1214" s="7">
        <v>274</v>
      </c>
      <c r="H1214" s="6">
        <f t="shared" si="36"/>
        <v>1.0538461538461539</v>
      </c>
      <c r="I1214" s="3" t="s">
        <v>269</v>
      </c>
      <c r="J1214" s="6" t="str">
        <f t="shared" si="37"/>
        <v>http://konect.cc/files/download.tsv.edit-dzwiktionary.tar.bz2</v>
      </c>
      <c r="L1214" s="5"/>
    </row>
    <row r="1215" spans="3:12" x14ac:dyDescent="0.3">
      <c r="C1215" s="6" t="s">
        <v>1712</v>
      </c>
      <c r="D1215" s="3" t="s">
        <v>1713</v>
      </c>
      <c r="E1215" s="6" t="s">
        <v>38</v>
      </c>
      <c r="F1215" s="7">
        <v>260</v>
      </c>
      <c r="G1215" s="7">
        <v>273</v>
      </c>
      <c r="H1215" s="6">
        <f t="shared" si="36"/>
        <v>1.05</v>
      </c>
      <c r="I1215" s="3" t="s">
        <v>268</v>
      </c>
      <c r="J1215" s="6" t="str">
        <f t="shared" si="37"/>
        <v>http://konect.cc/files/download.tsv.edit-twwiktionary.tar.bz2</v>
      </c>
      <c r="L1215" s="5"/>
    </row>
    <row r="1216" spans="3:12" x14ac:dyDescent="0.3">
      <c r="C1216" s="6" t="s">
        <v>1749</v>
      </c>
      <c r="D1216" s="3" t="s">
        <v>1750</v>
      </c>
      <c r="E1216" s="6" t="s">
        <v>38</v>
      </c>
      <c r="F1216" s="7">
        <v>253</v>
      </c>
      <c r="G1216" s="7">
        <v>388</v>
      </c>
      <c r="H1216" s="6">
        <f t="shared" si="36"/>
        <v>1.5335968379446641</v>
      </c>
      <c r="I1216" s="3" t="s">
        <v>286</v>
      </c>
      <c r="J1216" s="6" t="str">
        <f t="shared" si="37"/>
        <v>http://konect.cc/files/download.tsv.edit-mnwikibooks.tar.bz2</v>
      </c>
      <c r="L1216" s="5"/>
    </row>
    <row r="1217" spans="3:12" x14ac:dyDescent="0.3">
      <c r="C1217" s="6" t="s">
        <v>1773</v>
      </c>
      <c r="D1217" s="3" t="s">
        <v>1774</v>
      </c>
      <c r="E1217" s="6" t="s">
        <v>38</v>
      </c>
      <c r="F1217" s="7">
        <v>251</v>
      </c>
      <c r="G1217" s="7">
        <v>616</v>
      </c>
      <c r="H1217" s="6">
        <f t="shared" si="36"/>
        <v>2.454183266932271</v>
      </c>
      <c r="I1217" s="3" t="s">
        <v>299</v>
      </c>
      <c r="J1217" s="6" t="str">
        <f t="shared" si="37"/>
        <v>http://konect.cc/files/download.tsv.edit-iiwiki.tar.bz2</v>
      </c>
      <c r="L1217" s="5"/>
    </row>
    <row r="1218" spans="3:12" x14ac:dyDescent="0.3">
      <c r="C1218" s="6" t="s">
        <v>1706</v>
      </c>
      <c r="D1218" s="3" t="s">
        <v>1707</v>
      </c>
      <c r="E1218" s="6" t="s">
        <v>38</v>
      </c>
      <c r="F1218" s="7">
        <v>248</v>
      </c>
      <c r="G1218" s="7">
        <v>248</v>
      </c>
      <c r="H1218" s="6">
        <f t="shared" ref="H1218:H1281" si="38">G1218/F1218</f>
        <v>1</v>
      </c>
      <c r="I1218" s="3" t="s">
        <v>265</v>
      </c>
      <c r="J1218" s="6" t="str">
        <f t="shared" ref="J1218:J1281" si="39">"http://konect.cc/files/download.tsv."&amp;I1218&amp;".tar.bz2"</f>
        <v>http://konect.cc/files/download.tsv.edit-towiktionary.tar.bz2</v>
      </c>
      <c r="L1218" s="5"/>
    </row>
    <row r="1219" spans="3:12" x14ac:dyDescent="0.3">
      <c r="C1219" s="6" t="s">
        <v>1758</v>
      </c>
      <c r="D1219" s="3" t="s">
        <v>1759</v>
      </c>
      <c r="E1219" s="6" t="s">
        <v>38</v>
      </c>
      <c r="F1219" s="7">
        <v>245</v>
      </c>
      <c r="G1219" s="7">
        <v>457</v>
      </c>
      <c r="H1219" s="6">
        <f t="shared" si="38"/>
        <v>1.8653061224489795</v>
      </c>
      <c r="I1219" s="3" t="s">
        <v>291</v>
      </c>
      <c r="J1219" s="6" t="str">
        <f t="shared" si="39"/>
        <v>http://konect.cc/files/download.tsv.edit-hzwiki.tar.bz2</v>
      </c>
      <c r="L1219" s="5"/>
    </row>
    <row r="1220" spans="3:12" x14ac:dyDescent="0.3">
      <c r="C1220" s="6" t="s">
        <v>1718</v>
      </c>
      <c r="D1220" s="3" t="s">
        <v>1719</v>
      </c>
      <c r="E1220" s="6" t="s">
        <v>38</v>
      </c>
      <c r="F1220" s="7">
        <v>244</v>
      </c>
      <c r="G1220" s="7">
        <v>286</v>
      </c>
      <c r="H1220" s="6">
        <f t="shared" si="38"/>
        <v>1.1721311475409837</v>
      </c>
      <c r="I1220" s="3" t="s">
        <v>271</v>
      </c>
      <c r="J1220" s="6" t="str">
        <f t="shared" si="39"/>
        <v>http://konect.cc/files/download.tsv.edit-ndswikibooks.tar.bz2</v>
      </c>
      <c r="L1220" s="5"/>
    </row>
    <row r="1221" spans="3:12" x14ac:dyDescent="0.3">
      <c r="C1221" s="6" t="s">
        <v>1704</v>
      </c>
      <c r="D1221" s="3" t="s">
        <v>1705</v>
      </c>
      <c r="E1221" s="6" t="s">
        <v>38</v>
      </c>
      <c r="F1221" s="7">
        <v>244</v>
      </c>
      <c r="G1221" s="7">
        <v>245</v>
      </c>
      <c r="H1221" s="6">
        <f t="shared" si="38"/>
        <v>1.0040983606557377</v>
      </c>
      <c r="I1221" s="3" t="s">
        <v>264</v>
      </c>
      <c r="J1221" s="6" t="str">
        <f t="shared" si="39"/>
        <v>http://konect.cc/files/download.tsv.edit-biwiktionary.tar.bz2</v>
      </c>
      <c r="L1221" s="5"/>
    </row>
    <row r="1222" spans="3:12" x14ac:dyDescent="0.3">
      <c r="C1222" s="6" t="s">
        <v>1751</v>
      </c>
      <c r="D1222" s="3" t="s">
        <v>1480</v>
      </c>
      <c r="E1222" s="6" t="s">
        <v>98</v>
      </c>
      <c r="F1222" s="7">
        <v>241</v>
      </c>
      <c r="G1222" s="7">
        <v>1098</v>
      </c>
      <c r="H1222" s="6">
        <f t="shared" si="38"/>
        <v>4.5560165975103732</v>
      </c>
      <c r="I1222" s="3" t="s">
        <v>287</v>
      </c>
      <c r="J1222" s="6" t="str">
        <f t="shared" si="39"/>
        <v>http://konect.cc/files/download.tsv.moreno_innovation.tar.bz2</v>
      </c>
      <c r="L1222" s="5"/>
    </row>
    <row r="1223" spans="3:12" x14ac:dyDescent="0.3">
      <c r="C1223" s="6" t="s">
        <v>1708</v>
      </c>
      <c r="D1223" s="3" t="s">
        <v>1709</v>
      </c>
      <c r="E1223" s="6" t="s">
        <v>38</v>
      </c>
      <c r="F1223" s="7">
        <v>237</v>
      </c>
      <c r="G1223" s="7">
        <v>254</v>
      </c>
      <c r="H1223" s="6">
        <f t="shared" si="38"/>
        <v>1.0717299578059072</v>
      </c>
      <c r="I1223" s="3" t="s">
        <v>266</v>
      </c>
      <c r="J1223" s="6" t="str">
        <f t="shared" si="39"/>
        <v>http://konect.cc/files/download.tsv.edit-yowiktionary.tar.bz2</v>
      </c>
      <c r="L1223" s="5"/>
    </row>
    <row r="1224" spans="3:12" x14ac:dyDescent="0.3">
      <c r="C1224" s="6" t="s">
        <v>1754</v>
      </c>
      <c r="D1224" s="3" t="s">
        <v>1755</v>
      </c>
      <c r="E1224" s="6" t="s">
        <v>38</v>
      </c>
      <c r="F1224" s="7">
        <v>221</v>
      </c>
      <c r="G1224" s="7">
        <v>456</v>
      </c>
      <c r="H1224" s="6">
        <f t="shared" si="38"/>
        <v>2.063348416289593</v>
      </c>
      <c r="I1224" s="3" t="s">
        <v>289</v>
      </c>
      <c r="J1224" s="6" t="str">
        <f t="shared" si="39"/>
        <v>http://konect.cc/files/download.tsv.edit-krwiki.tar.bz2</v>
      </c>
      <c r="L1224" s="5"/>
    </row>
    <row r="1225" spans="3:12" x14ac:dyDescent="0.3">
      <c r="C1225" s="6" t="s">
        <v>1738</v>
      </c>
      <c r="D1225" s="3" t="s">
        <v>1739</v>
      </c>
      <c r="E1225" s="6" t="s">
        <v>1740</v>
      </c>
      <c r="F1225" s="7">
        <v>219</v>
      </c>
      <c r="G1225" s="7">
        <v>764</v>
      </c>
      <c r="H1225" s="6">
        <f t="shared" si="38"/>
        <v>3.4885844748858448</v>
      </c>
      <c r="I1225" s="3" t="s">
        <v>281</v>
      </c>
      <c r="J1225" s="6" t="str">
        <f t="shared" si="39"/>
        <v>http://konect.cc/files/download.tsv.convote.tar.bz2</v>
      </c>
      <c r="L1225" s="5"/>
    </row>
    <row r="1226" spans="3:12" x14ac:dyDescent="0.3">
      <c r="C1226" s="6" t="s">
        <v>1834</v>
      </c>
      <c r="D1226" s="3" t="s">
        <v>1835</v>
      </c>
      <c r="E1226" s="6" t="s">
        <v>1562</v>
      </c>
      <c r="F1226" s="7">
        <v>217</v>
      </c>
      <c r="G1226" s="7">
        <v>2672</v>
      </c>
      <c r="H1226" s="6">
        <f t="shared" si="38"/>
        <v>12.313364055299539</v>
      </c>
      <c r="I1226" s="3" t="s">
        <v>327</v>
      </c>
      <c r="J1226" s="6" t="str">
        <f t="shared" si="39"/>
        <v>http://konect.cc/files/download.tsv.moreno_oz.tar.bz2</v>
      </c>
      <c r="L1226" s="5"/>
    </row>
    <row r="1227" spans="3:12" x14ac:dyDescent="0.3">
      <c r="C1227" s="6" t="s">
        <v>1587</v>
      </c>
      <c r="D1227" s="3" t="s">
        <v>1474</v>
      </c>
      <c r="E1227" s="6" t="s">
        <v>91</v>
      </c>
      <c r="F1227" s="7">
        <v>212</v>
      </c>
      <c r="G1227" s="7">
        <v>244</v>
      </c>
      <c r="H1227" s="6">
        <f t="shared" si="38"/>
        <v>1.1509433962264151</v>
      </c>
      <c r="I1227" s="3" t="s">
        <v>206</v>
      </c>
      <c r="J1227" s="6" t="str">
        <f t="shared" si="39"/>
        <v>http://konect.cc/files/download.tsv.maayan-pdzbase.tar.bz2</v>
      </c>
      <c r="L1227" s="5"/>
    </row>
    <row r="1228" spans="3:12" x14ac:dyDescent="0.3">
      <c r="C1228" s="6" t="s">
        <v>1716</v>
      </c>
      <c r="D1228" s="3" t="s">
        <v>1717</v>
      </c>
      <c r="E1228" s="6" t="s">
        <v>38</v>
      </c>
      <c r="F1228" s="7">
        <v>204</v>
      </c>
      <c r="G1228" s="7">
        <v>278</v>
      </c>
      <c r="H1228" s="6">
        <f t="shared" si="38"/>
        <v>1.3627450980392157</v>
      </c>
      <c r="I1228" s="3" t="s">
        <v>270</v>
      </c>
      <c r="J1228" s="6" t="str">
        <f t="shared" si="39"/>
        <v>http://konect.cc/files/download.tsv.edit-knwikibooks.tar.bz2</v>
      </c>
      <c r="L1228" s="5"/>
    </row>
    <row r="1229" spans="3:12" x14ac:dyDescent="0.3">
      <c r="C1229" s="6" t="s">
        <v>1808</v>
      </c>
      <c r="D1229" s="3" t="s">
        <v>1809</v>
      </c>
      <c r="E1229" s="6" t="s">
        <v>1810</v>
      </c>
      <c r="F1229" s="7">
        <v>198</v>
      </c>
      <c r="G1229" s="7">
        <v>2742</v>
      </c>
      <c r="H1229" s="6">
        <f t="shared" si="38"/>
        <v>13.848484848484848</v>
      </c>
      <c r="I1229" s="3" t="s">
        <v>316</v>
      </c>
      <c r="J1229" s="6" t="str">
        <f t="shared" si="39"/>
        <v>http://konect.cc/files/download.tsv.arenas-jazz.tar.bz2</v>
      </c>
      <c r="L1229" s="5"/>
    </row>
    <row r="1230" spans="3:12" x14ac:dyDescent="0.3">
      <c r="C1230" s="6" t="s">
        <v>1780</v>
      </c>
      <c r="D1230" s="3" t="s">
        <v>1781</v>
      </c>
      <c r="E1230" s="6" t="s">
        <v>38</v>
      </c>
      <c r="F1230" s="7">
        <v>197</v>
      </c>
      <c r="G1230" s="7">
        <v>690</v>
      </c>
      <c r="H1230" s="6">
        <f t="shared" si="38"/>
        <v>3.5025380710659899</v>
      </c>
      <c r="I1230" s="3" t="s">
        <v>303</v>
      </c>
      <c r="J1230" s="6" t="str">
        <f t="shared" si="39"/>
        <v>http://konect.cc/files/download.tsv.edit-dinwiki.tar.bz2</v>
      </c>
      <c r="L1230" s="5"/>
    </row>
    <row r="1231" spans="3:12" x14ac:dyDescent="0.3">
      <c r="C1231" s="6" t="s">
        <v>1690</v>
      </c>
      <c r="D1231" s="3" t="s">
        <v>1691</v>
      </c>
      <c r="E1231" s="6" t="s">
        <v>38</v>
      </c>
      <c r="F1231" s="7">
        <v>195</v>
      </c>
      <c r="G1231" s="7">
        <v>204</v>
      </c>
      <c r="H1231" s="6">
        <f t="shared" si="38"/>
        <v>1.0461538461538462</v>
      </c>
      <c r="I1231" s="3" t="s">
        <v>257</v>
      </c>
      <c r="J1231" s="6" t="str">
        <f t="shared" si="39"/>
        <v>http://konect.cc/files/download.tsv.edit-bowiktionary.tar.bz2</v>
      </c>
      <c r="L1231" s="5"/>
    </row>
    <row r="1232" spans="3:12" x14ac:dyDescent="0.3">
      <c r="C1232" s="6" t="s">
        <v>1700</v>
      </c>
      <c r="D1232" s="3" t="s">
        <v>1701</v>
      </c>
      <c r="E1232" s="6" t="s">
        <v>38</v>
      </c>
      <c r="F1232" s="7">
        <v>190</v>
      </c>
      <c r="G1232" s="7">
        <v>233</v>
      </c>
      <c r="H1232" s="6">
        <f t="shared" si="38"/>
        <v>1.2263157894736842</v>
      </c>
      <c r="I1232" s="3" t="s">
        <v>262</v>
      </c>
      <c r="J1232" s="6" t="str">
        <f t="shared" si="39"/>
        <v>http://konect.cc/files/download.tsv.edit-zawikibooks.tar.bz2</v>
      </c>
      <c r="L1232" s="5"/>
    </row>
    <row r="1233" spans="3:12" x14ac:dyDescent="0.3">
      <c r="C1233" s="6" t="s">
        <v>1814</v>
      </c>
      <c r="D1233" s="3" t="s">
        <v>1815</v>
      </c>
      <c r="E1233" s="6" t="s">
        <v>33</v>
      </c>
      <c r="F1233" s="7">
        <v>183</v>
      </c>
      <c r="G1233" s="7">
        <v>2494</v>
      </c>
      <c r="H1233" s="6">
        <f t="shared" si="38"/>
        <v>13.628415300546449</v>
      </c>
      <c r="I1233" s="3" t="s">
        <v>319</v>
      </c>
      <c r="J1233" s="6" t="str">
        <f t="shared" si="39"/>
        <v>http://konect.cc/files/download.tsv.maayan-foodweb.tar.bz2</v>
      </c>
      <c r="L1233" s="5"/>
    </row>
    <row r="1234" spans="3:12" x14ac:dyDescent="0.3">
      <c r="C1234" s="6" t="s">
        <v>1736</v>
      </c>
      <c r="D1234" s="3" t="s">
        <v>1737</v>
      </c>
      <c r="E1234" s="6" t="s">
        <v>38</v>
      </c>
      <c r="F1234" s="7">
        <v>181</v>
      </c>
      <c r="G1234" s="7">
        <v>345</v>
      </c>
      <c r="H1234" s="6">
        <f t="shared" si="38"/>
        <v>1.9060773480662982</v>
      </c>
      <c r="I1234" s="3" t="s">
        <v>280</v>
      </c>
      <c r="J1234" s="6" t="str">
        <f t="shared" si="39"/>
        <v>http://konect.cc/files/download.tsv.edit-howiki.tar.bz2</v>
      </c>
      <c r="L1234" s="5"/>
    </row>
    <row r="1235" spans="3:12" x14ac:dyDescent="0.3">
      <c r="C1235" s="6" t="s">
        <v>1688</v>
      </c>
      <c r="D1235" s="3" t="s">
        <v>1689</v>
      </c>
      <c r="E1235" s="6" t="s">
        <v>38</v>
      </c>
      <c r="F1235" s="7">
        <v>176</v>
      </c>
      <c r="G1235" s="7">
        <v>200</v>
      </c>
      <c r="H1235" s="6">
        <f t="shared" si="38"/>
        <v>1.1363636363636365</v>
      </c>
      <c r="I1235" s="3" t="s">
        <v>256</v>
      </c>
      <c r="J1235" s="6" t="str">
        <f t="shared" si="39"/>
        <v>http://konect.cc/files/download.tsv.edit-kkwikiquote.tar.bz2</v>
      </c>
      <c r="L1235" s="5"/>
    </row>
    <row r="1236" spans="3:12" x14ac:dyDescent="0.3">
      <c r="C1236" s="6" t="s">
        <v>1694</v>
      </c>
      <c r="D1236" s="3" t="s">
        <v>1695</v>
      </c>
      <c r="E1236" s="6" t="s">
        <v>38</v>
      </c>
      <c r="F1236" s="7">
        <v>175</v>
      </c>
      <c r="G1236" s="7">
        <v>208</v>
      </c>
      <c r="H1236" s="6">
        <f t="shared" si="38"/>
        <v>1.1885714285714286</v>
      </c>
      <c r="I1236" s="3" t="s">
        <v>259</v>
      </c>
      <c r="J1236" s="6" t="str">
        <f t="shared" si="39"/>
        <v>http://konect.cc/files/download.tsv.edit-lbwikibooks.tar.bz2</v>
      </c>
      <c r="L1236" s="5"/>
    </row>
    <row r="1237" spans="3:12" x14ac:dyDescent="0.3">
      <c r="C1237" s="6" t="s">
        <v>1710</v>
      </c>
      <c r="D1237" s="3" t="s">
        <v>1711</v>
      </c>
      <c r="E1237" s="6" t="s">
        <v>38</v>
      </c>
      <c r="F1237" s="7">
        <v>174</v>
      </c>
      <c r="G1237" s="7">
        <v>257</v>
      </c>
      <c r="H1237" s="6">
        <f t="shared" si="38"/>
        <v>1.4770114942528736</v>
      </c>
      <c r="I1237" s="3" t="s">
        <v>267</v>
      </c>
      <c r="J1237" s="6" t="str">
        <f t="shared" si="39"/>
        <v>http://konect.cc/files/download.tsv.edit-pswikibooks.tar.bz2</v>
      </c>
      <c r="L1237" s="5"/>
    </row>
    <row r="1238" spans="3:12" x14ac:dyDescent="0.3">
      <c r="C1238" s="6" t="s">
        <v>1679</v>
      </c>
      <c r="D1238" s="3" t="s">
        <v>1680</v>
      </c>
      <c r="E1238" s="6" t="s">
        <v>38</v>
      </c>
      <c r="F1238" s="7">
        <v>171</v>
      </c>
      <c r="G1238" s="7">
        <v>187</v>
      </c>
      <c r="H1238" s="6">
        <f t="shared" si="38"/>
        <v>1.0935672514619883</v>
      </c>
      <c r="I1238" s="3" t="s">
        <v>252</v>
      </c>
      <c r="J1238" s="6" t="str">
        <f t="shared" si="39"/>
        <v>http://konect.cc/files/download.tsv.edit-wawikibooks.tar.bz2</v>
      </c>
      <c r="L1238" s="5"/>
    </row>
    <row r="1239" spans="3:12" x14ac:dyDescent="0.3">
      <c r="C1239" s="6" t="s">
        <v>2648</v>
      </c>
      <c r="D1239" s="3" t="s">
        <v>2649</v>
      </c>
      <c r="E1239" s="6" t="s">
        <v>145</v>
      </c>
      <c r="F1239" s="7">
        <v>167</v>
      </c>
      <c r="G1239" s="7">
        <v>82927</v>
      </c>
      <c r="H1239" s="6">
        <f t="shared" si="38"/>
        <v>496.56886227544908</v>
      </c>
      <c r="I1239" s="3" t="s">
        <v>759</v>
      </c>
      <c r="J1239" s="6" t="str">
        <f t="shared" si="39"/>
        <v>http://konect.cc/files/download.tsv.radoslaw_email.tar.bz2</v>
      </c>
      <c r="L1239" s="5"/>
    </row>
    <row r="1240" spans="3:12" x14ac:dyDescent="0.3">
      <c r="C1240" s="6" t="s">
        <v>1692</v>
      </c>
      <c r="D1240" s="3" t="s">
        <v>1693</v>
      </c>
      <c r="E1240" s="6" t="s">
        <v>38</v>
      </c>
      <c r="F1240" s="7">
        <v>167</v>
      </c>
      <c r="G1240" s="7">
        <v>202</v>
      </c>
      <c r="H1240" s="6">
        <f t="shared" si="38"/>
        <v>1.2095808383233533</v>
      </c>
      <c r="I1240" s="3" t="s">
        <v>258</v>
      </c>
      <c r="J1240" s="6" t="str">
        <f t="shared" si="39"/>
        <v>http://konect.cc/files/download.tsv.edit-xhwikibooks.tar.bz2</v>
      </c>
      <c r="L1240" s="5"/>
    </row>
    <row r="1241" spans="3:12" x14ac:dyDescent="0.3">
      <c r="C1241" s="6" t="s">
        <v>1696</v>
      </c>
      <c r="D1241" s="3" t="s">
        <v>1697</v>
      </c>
      <c r="E1241" s="6" t="s">
        <v>38</v>
      </c>
      <c r="F1241" s="7">
        <v>163</v>
      </c>
      <c r="G1241" s="7">
        <v>221</v>
      </c>
      <c r="H1241" s="6">
        <f t="shared" si="38"/>
        <v>1.3558282208588956</v>
      </c>
      <c r="I1241" s="3" t="s">
        <v>260</v>
      </c>
      <c r="J1241" s="6" t="str">
        <f t="shared" si="39"/>
        <v>http://konect.cc/files/download.tsv.edit-muswiki.tar.bz2</v>
      </c>
      <c r="L1241" s="5"/>
    </row>
    <row r="1242" spans="3:12" x14ac:dyDescent="0.3">
      <c r="C1242" s="6" t="s">
        <v>1722</v>
      </c>
      <c r="D1242" s="3" t="s">
        <v>1723</v>
      </c>
      <c r="E1242" s="6" t="s">
        <v>38</v>
      </c>
      <c r="F1242" s="7">
        <v>160</v>
      </c>
      <c r="G1242" s="7">
        <v>296</v>
      </c>
      <c r="H1242" s="6">
        <f t="shared" si="38"/>
        <v>1.85</v>
      </c>
      <c r="I1242" s="3" t="s">
        <v>273</v>
      </c>
      <c r="J1242" s="6" t="str">
        <f t="shared" si="39"/>
        <v>http://konect.cc/files/download.tsv.edit-kjwiki.tar.bz2</v>
      </c>
      <c r="L1242" s="5"/>
    </row>
    <row r="1243" spans="3:12" x14ac:dyDescent="0.3">
      <c r="C1243" s="6" t="s">
        <v>1728</v>
      </c>
      <c r="D1243" s="3" t="s">
        <v>1729</v>
      </c>
      <c r="E1243" s="6" t="s">
        <v>38</v>
      </c>
      <c r="F1243" s="7">
        <v>153</v>
      </c>
      <c r="G1243" s="7">
        <v>315</v>
      </c>
      <c r="H1243" s="6">
        <f t="shared" si="38"/>
        <v>2.0588235294117645</v>
      </c>
      <c r="I1243" s="3" t="s">
        <v>276</v>
      </c>
      <c r="J1243" s="6" t="str">
        <f t="shared" si="39"/>
        <v>http://konect.cc/files/download.tsv.edit-htwikisource.tar.bz2</v>
      </c>
      <c r="L1243" s="5"/>
    </row>
    <row r="1244" spans="3:12" x14ac:dyDescent="0.3">
      <c r="C1244" s="6" t="s">
        <v>1683</v>
      </c>
      <c r="D1244" s="3" t="s">
        <v>1684</v>
      </c>
      <c r="E1244" s="6" t="s">
        <v>38</v>
      </c>
      <c r="F1244" s="7">
        <v>147</v>
      </c>
      <c r="G1244" s="7">
        <v>193</v>
      </c>
      <c r="H1244" s="6">
        <f t="shared" si="38"/>
        <v>1.3129251700680271</v>
      </c>
      <c r="I1244" s="3" t="s">
        <v>254</v>
      </c>
      <c r="J1244" s="6" t="str">
        <f t="shared" si="39"/>
        <v>http://konect.cc/files/download.tsv.edit-yowikibooks.tar.bz2</v>
      </c>
      <c r="L1244" s="5"/>
    </row>
    <row r="1245" spans="3:12" x14ac:dyDescent="0.3">
      <c r="C1245" s="6" t="s">
        <v>1667</v>
      </c>
      <c r="D1245" s="3" t="s">
        <v>1668</v>
      </c>
      <c r="E1245" s="6" t="s">
        <v>38</v>
      </c>
      <c r="F1245" s="7">
        <v>142</v>
      </c>
      <c r="G1245" s="7">
        <v>156</v>
      </c>
      <c r="H1245" s="6">
        <f t="shared" si="38"/>
        <v>1.0985915492957747</v>
      </c>
      <c r="I1245" s="3" t="s">
        <v>246</v>
      </c>
      <c r="J1245" s="6" t="str">
        <f t="shared" si="39"/>
        <v>http://konect.cc/files/download.tsv.edit-rmwiktionary.tar.bz2</v>
      </c>
      <c r="L1245" s="5"/>
    </row>
    <row r="1246" spans="3:12" x14ac:dyDescent="0.3">
      <c r="C1246" s="6" t="s">
        <v>1566</v>
      </c>
      <c r="D1246" s="3" t="s">
        <v>1567</v>
      </c>
      <c r="E1246" s="6" t="s">
        <v>36</v>
      </c>
      <c r="F1246" s="7">
        <v>141</v>
      </c>
      <c r="G1246" s="7">
        <v>160</v>
      </c>
      <c r="H1246" s="6">
        <f t="shared" si="38"/>
        <v>1.1347517730496455</v>
      </c>
      <c r="I1246" s="3" t="s">
        <v>196</v>
      </c>
      <c r="J1246" s="6" t="str">
        <f t="shared" si="39"/>
        <v>http://konect.cc/files/download.tsv.brunson_revolution.tar.bz2</v>
      </c>
      <c r="L1246" s="5"/>
    </row>
    <row r="1247" spans="3:12" x14ac:dyDescent="0.3">
      <c r="C1247" s="6" t="s">
        <v>1654</v>
      </c>
      <c r="D1247" s="3" t="s">
        <v>1655</v>
      </c>
      <c r="E1247" s="6" t="s">
        <v>38</v>
      </c>
      <c r="F1247" s="7">
        <v>141</v>
      </c>
      <c r="G1247" s="7">
        <v>147</v>
      </c>
      <c r="H1247" s="6">
        <f t="shared" si="38"/>
        <v>1.0425531914893618</v>
      </c>
      <c r="I1247" s="3" t="s">
        <v>239</v>
      </c>
      <c r="J1247" s="6" t="str">
        <f t="shared" si="39"/>
        <v>http://konect.cc/files/download.tsv.edit-xhwiktionary.tar.bz2</v>
      </c>
      <c r="L1247" s="5"/>
    </row>
    <row r="1248" spans="3:12" x14ac:dyDescent="0.3">
      <c r="C1248" s="6" t="s">
        <v>1671</v>
      </c>
      <c r="D1248" s="3" t="s">
        <v>1672</v>
      </c>
      <c r="E1248" s="6" t="s">
        <v>38</v>
      </c>
      <c r="F1248" s="7">
        <v>139</v>
      </c>
      <c r="G1248" s="7">
        <v>171</v>
      </c>
      <c r="H1248" s="6">
        <f t="shared" si="38"/>
        <v>1.2302158273381294</v>
      </c>
      <c r="I1248" s="3" t="s">
        <v>248</v>
      </c>
      <c r="J1248" s="6" t="str">
        <f t="shared" si="39"/>
        <v>http://konect.cc/files/download.tsv.edit-aawiktionary.tar.bz2</v>
      </c>
      <c r="L1248" s="5"/>
    </row>
    <row r="1249" spans="3:12" x14ac:dyDescent="0.3">
      <c r="C1249" s="6" t="s">
        <v>1885</v>
      </c>
      <c r="D1249" s="3" t="s">
        <v>1886</v>
      </c>
      <c r="E1249" s="6" t="s">
        <v>1562</v>
      </c>
      <c r="F1249" s="7">
        <v>128</v>
      </c>
      <c r="G1249" s="7">
        <v>2137</v>
      </c>
      <c r="H1249" s="6">
        <f t="shared" si="38"/>
        <v>16.6953125</v>
      </c>
      <c r="I1249" s="3" t="s">
        <v>352</v>
      </c>
      <c r="J1249" s="6" t="str">
        <f t="shared" si="39"/>
        <v>http://konect.cc/files/download.tsv.foodweb-baydry.tar.bz2</v>
      </c>
      <c r="L1249" s="5"/>
    </row>
    <row r="1250" spans="3:12" x14ac:dyDescent="0.3">
      <c r="C1250" s="6" t="s">
        <v>1883</v>
      </c>
      <c r="D1250" s="3" t="s">
        <v>1884</v>
      </c>
      <c r="E1250" s="6" t="s">
        <v>1562</v>
      </c>
      <c r="F1250" s="7">
        <v>128</v>
      </c>
      <c r="G1250" s="7">
        <v>2106</v>
      </c>
      <c r="H1250" s="6">
        <f t="shared" si="38"/>
        <v>16.453125</v>
      </c>
      <c r="I1250" s="3" t="s">
        <v>351</v>
      </c>
      <c r="J1250" s="6" t="str">
        <f t="shared" si="39"/>
        <v>http://konect.cc/files/download.tsv.foodweb-baywet.tar.bz2</v>
      </c>
      <c r="L1250" s="5"/>
    </row>
    <row r="1251" spans="3:12" x14ac:dyDescent="0.3">
      <c r="C1251" s="6" t="s">
        <v>1702</v>
      </c>
      <c r="D1251" s="3" t="s">
        <v>1703</v>
      </c>
      <c r="E1251" s="6" t="s">
        <v>38</v>
      </c>
      <c r="F1251" s="7">
        <v>123</v>
      </c>
      <c r="G1251" s="7">
        <v>240</v>
      </c>
      <c r="H1251" s="6">
        <f t="shared" si="38"/>
        <v>1.9512195121951219</v>
      </c>
      <c r="I1251" s="3" t="s">
        <v>263</v>
      </c>
      <c r="J1251" s="6" t="str">
        <f t="shared" si="39"/>
        <v>http://konect.cc/files/download.tsv.edit-scwiktionary.tar.bz2</v>
      </c>
      <c r="L1251" s="5"/>
    </row>
    <row r="1252" spans="3:12" x14ac:dyDescent="0.3">
      <c r="C1252" s="6" t="s">
        <v>1669</v>
      </c>
      <c r="D1252" s="3" t="s">
        <v>1670</v>
      </c>
      <c r="E1252" s="6" t="s">
        <v>38</v>
      </c>
      <c r="F1252" s="7">
        <v>121</v>
      </c>
      <c r="G1252" s="7">
        <v>164</v>
      </c>
      <c r="H1252" s="6">
        <f t="shared" si="38"/>
        <v>1.3553719008264462</v>
      </c>
      <c r="I1252" s="3" t="s">
        <v>247</v>
      </c>
      <c r="J1252" s="6" t="str">
        <f t="shared" si="39"/>
        <v>http://konect.cc/files/download.tsv.edit-akwikibooks.tar.bz2</v>
      </c>
      <c r="L1252" s="5"/>
    </row>
    <row r="1253" spans="3:12" x14ac:dyDescent="0.3">
      <c r="C1253" s="6" t="s">
        <v>1677</v>
      </c>
      <c r="D1253" s="3" t="s">
        <v>1678</v>
      </c>
      <c r="E1253" s="6" t="s">
        <v>38</v>
      </c>
      <c r="F1253" s="7">
        <v>119</v>
      </c>
      <c r="G1253" s="7">
        <v>179</v>
      </c>
      <c r="H1253" s="6">
        <f t="shared" si="38"/>
        <v>1.5042016806722689</v>
      </c>
      <c r="I1253" s="3" t="s">
        <v>251</v>
      </c>
      <c r="J1253" s="6" t="str">
        <f t="shared" si="39"/>
        <v>http://konect.cc/files/download.tsv.edit-bmwiktionary.tar.bz2</v>
      </c>
      <c r="L1253" s="5"/>
    </row>
    <row r="1254" spans="3:12" x14ac:dyDescent="0.3">
      <c r="C1254" s="6" t="s">
        <v>1606</v>
      </c>
      <c r="D1254" s="3" t="s">
        <v>1607</v>
      </c>
      <c r="E1254" s="6" t="s">
        <v>38</v>
      </c>
      <c r="F1254" s="7">
        <v>119</v>
      </c>
      <c r="G1254" s="7">
        <v>100</v>
      </c>
      <c r="H1254" s="6">
        <f t="shared" si="38"/>
        <v>0.84033613445378152</v>
      </c>
      <c r="I1254" s="3" t="s">
        <v>216</v>
      </c>
      <c r="J1254" s="6" t="str">
        <f t="shared" si="39"/>
        <v>http://konect.cc/files/download.tsv.edit-akwiktionary.tar.bz2</v>
      </c>
      <c r="L1254" s="5"/>
    </row>
    <row r="1255" spans="3:12" x14ac:dyDescent="0.3">
      <c r="C1255" s="6" t="s">
        <v>1685</v>
      </c>
      <c r="D1255" s="3" t="s">
        <v>1686</v>
      </c>
      <c r="E1255" s="6" t="s">
        <v>1687</v>
      </c>
      <c r="F1255" s="7">
        <v>115</v>
      </c>
      <c r="G1255" s="7">
        <v>613</v>
      </c>
      <c r="H1255" s="6">
        <f t="shared" si="38"/>
        <v>5.3304347826086955</v>
      </c>
      <c r="I1255" s="3" t="s">
        <v>255</v>
      </c>
      <c r="J1255" s="6" t="str">
        <f t="shared" si="39"/>
        <v>http://konect.cc/files/download.tsv.dimacs10-football.tar.bz2</v>
      </c>
      <c r="L1255" s="5"/>
    </row>
    <row r="1256" spans="3:12" x14ac:dyDescent="0.3">
      <c r="C1256" s="6" t="s">
        <v>1675</v>
      </c>
      <c r="D1256" s="3" t="s">
        <v>1676</v>
      </c>
      <c r="E1256" s="6" t="s">
        <v>38</v>
      </c>
      <c r="F1256" s="7">
        <v>115</v>
      </c>
      <c r="G1256" s="7">
        <v>182</v>
      </c>
      <c r="H1256" s="6">
        <f t="shared" si="38"/>
        <v>1.5826086956521739</v>
      </c>
      <c r="I1256" s="3" t="s">
        <v>250</v>
      </c>
      <c r="J1256" s="6" t="str">
        <f t="shared" si="39"/>
        <v>http://konect.cc/files/download.tsv.edit-guwikibooks.tar.bz2</v>
      </c>
      <c r="L1256" s="5"/>
    </row>
    <row r="1257" spans="3:12" x14ac:dyDescent="0.3">
      <c r="C1257" s="6" t="s">
        <v>1621</v>
      </c>
      <c r="D1257" s="3" t="s">
        <v>1622</v>
      </c>
      <c r="E1257" s="6" t="s">
        <v>38</v>
      </c>
      <c r="F1257" s="7">
        <v>115</v>
      </c>
      <c r="G1257" s="7">
        <v>119</v>
      </c>
      <c r="H1257" s="6">
        <f t="shared" si="38"/>
        <v>1.0347826086956522</v>
      </c>
      <c r="I1257" s="3" t="s">
        <v>223</v>
      </c>
      <c r="J1257" s="6" t="str">
        <f t="shared" si="39"/>
        <v>http://konect.cc/files/download.tsv.edit-aawikibooks.tar.bz2</v>
      </c>
      <c r="L1257" s="5"/>
    </row>
    <row r="1258" spans="3:12" x14ac:dyDescent="0.3">
      <c r="C1258" s="6" t="s">
        <v>1681</v>
      </c>
      <c r="D1258" s="3" t="s">
        <v>1682</v>
      </c>
      <c r="E1258" s="6" t="s">
        <v>38</v>
      </c>
      <c r="F1258" s="7">
        <v>114</v>
      </c>
      <c r="G1258" s="7">
        <v>195</v>
      </c>
      <c r="H1258" s="6">
        <f t="shared" si="38"/>
        <v>1.7105263157894737</v>
      </c>
      <c r="I1258" s="3" t="s">
        <v>253</v>
      </c>
      <c r="J1258" s="6" t="str">
        <f t="shared" si="39"/>
        <v>http://konect.cc/files/download.tsv.edit-lnwikibooks.tar.bz2</v>
      </c>
      <c r="L1258" s="5"/>
    </row>
    <row r="1259" spans="3:12" x14ac:dyDescent="0.3">
      <c r="C1259" s="6" t="s">
        <v>2261</v>
      </c>
      <c r="D1259" s="3" t="s">
        <v>2262</v>
      </c>
      <c r="E1259" s="6" t="s">
        <v>2228</v>
      </c>
      <c r="F1259" s="7">
        <v>113</v>
      </c>
      <c r="G1259" s="7">
        <v>20818</v>
      </c>
      <c r="H1259" s="6">
        <f t="shared" si="38"/>
        <v>184.23008849557522</v>
      </c>
      <c r="I1259" s="3" t="s">
        <v>543</v>
      </c>
      <c r="J1259" s="6" t="str">
        <f t="shared" si="39"/>
        <v>http://konect.cc/files/download.tsv.sociopatterns-hypertext.tar.bz2</v>
      </c>
      <c r="L1259" s="5"/>
    </row>
    <row r="1260" spans="3:12" x14ac:dyDescent="0.3">
      <c r="C1260" s="6" t="s">
        <v>1639</v>
      </c>
      <c r="D1260" s="3" t="s">
        <v>1640</v>
      </c>
      <c r="E1260" s="6" t="s">
        <v>1641</v>
      </c>
      <c r="F1260" s="7">
        <v>112</v>
      </c>
      <c r="G1260" s="7">
        <v>425</v>
      </c>
      <c r="H1260" s="6">
        <f t="shared" si="38"/>
        <v>3.7946428571428572</v>
      </c>
      <c r="I1260" s="3" t="s">
        <v>232</v>
      </c>
      <c r="J1260" s="6" t="str">
        <f t="shared" si="39"/>
        <v>http://konect.cc/files/download.tsv.adjnoun_adjacency.tar.bz2</v>
      </c>
      <c r="L1260" s="5"/>
    </row>
    <row r="1261" spans="3:12" x14ac:dyDescent="0.3">
      <c r="C1261" s="6" t="s">
        <v>1665</v>
      </c>
      <c r="D1261" s="3" t="s">
        <v>1666</v>
      </c>
      <c r="E1261" s="6" t="s">
        <v>38</v>
      </c>
      <c r="F1261" s="7">
        <v>112</v>
      </c>
      <c r="G1261" s="7">
        <v>157</v>
      </c>
      <c r="H1261" s="6">
        <f t="shared" si="38"/>
        <v>1.4017857142857142</v>
      </c>
      <c r="I1261" s="3" t="s">
        <v>245</v>
      </c>
      <c r="J1261" s="6" t="str">
        <f t="shared" si="39"/>
        <v>http://konect.cc/files/download.tsv.edit-gawikiquote.tar.bz2</v>
      </c>
      <c r="L1261" s="5"/>
    </row>
    <row r="1262" spans="3:12" x14ac:dyDescent="0.3">
      <c r="C1262" s="6" t="s">
        <v>1633</v>
      </c>
      <c r="D1262" s="3" t="s">
        <v>1634</v>
      </c>
      <c r="E1262" s="6" t="s">
        <v>38</v>
      </c>
      <c r="F1262" s="7">
        <v>111</v>
      </c>
      <c r="G1262" s="7">
        <v>124</v>
      </c>
      <c r="H1262" s="6">
        <f t="shared" si="38"/>
        <v>1.117117117117117</v>
      </c>
      <c r="I1262" s="3" t="s">
        <v>229</v>
      </c>
      <c r="J1262" s="6" t="str">
        <f t="shared" si="39"/>
        <v>http://konect.cc/files/download.tsv.edit-alswikiquote.tar.bz2</v>
      </c>
      <c r="L1262" s="5"/>
    </row>
    <row r="1263" spans="3:12" x14ac:dyDescent="0.3">
      <c r="C1263" s="6" t="s">
        <v>1648</v>
      </c>
      <c r="D1263" s="3" t="s">
        <v>1649</v>
      </c>
      <c r="E1263" s="6" t="s">
        <v>38</v>
      </c>
      <c r="F1263" s="7">
        <v>110</v>
      </c>
      <c r="G1263" s="7">
        <v>141</v>
      </c>
      <c r="H1263" s="6">
        <f t="shared" si="38"/>
        <v>1.2818181818181817</v>
      </c>
      <c r="I1263" s="3" t="s">
        <v>236</v>
      </c>
      <c r="J1263" s="6" t="str">
        <f t="shared" si="39"/>
        <v>http://konect.cc/files/download.tsv.edit-sewikibooks.tar.bz2</v>
      </c>
      <c r="L1263" s="5"/>
    </row>
    <row r="1264" spans="3:12" x14ac:dyDescent="0.3">
      <c r="C1264" s="6" t="s">
        <v>1656</v>
      </c>
      <c r="D1264" s="3" t="s">
        <v>1657</v>
      </c>
      <c r="E1264" s="6" t="s">
        <v>38</v>
      </c>
      <c r="F1264" s="7">
        <v>107</v>
      </c>
      <c r="G1264" s="7">
        <v>150</v>
      </c>
      <c r="H1264" s="6">
        <f t="shared" si="38"/>
        <v>1.4018691588785046</v>
      </c>
      <c r="I1264" s="3" t="s">
        <v>240</v>
      </c>
      <c r="J1264" s="6" t="str">
        <f t="shared" si="39"/>
        <v>http://konect.cc/files/download.tsv.edit-ugwikibooks.tar.bz2</v>
      </c>
      <c r="L1264" s="5"/>
    </row>
    <row r="1265" spans="3:12" x14ac:dyDescent="0.3">
      <c r="C1265" s="6" t="s">
        <v>1603</v>
      </c>
      <c r="D1265" s="3" t="s">
        <v>1604</v>
      </c>
      <c r="E1265" s="6" t="s">
        <v>38</v>
      </c>
      <c r="F1265" s="7">
        <v>107</v>
      </c>
      <c r="G1265" s="7">
        <v>100</v>
      </c>
      <c r="H1265" s="6">
        <f t="shared" si="38"/>
        <v>0.93457943925233644</v>
      </c>
      <c r="I1265" s="3" t="s">
        <v>214</v>
      </c>
      <c r="J1265" s="6" t="str">
        <f t="shared" si="39"/>
        <v>http://konect.cc/files/download.tsv.edit-avwiktionary.tar.bz2</v>
      </c>
      <c r="L1265" s="5"/>
    </row>
    <row r="1266" spans="3:12" x14ac:dyDescent="0.3">
      <c r="C1266" s="6" t="s">
        <v>1631</v>
      </c>
      <c r="D1266" s="3" t="s">
        <v>1632</v>
      </c>
      <c r="E1266" s="6" t="s">
        <v>38</v>
      </c>
      <c r="F1266" s="7">
        <v>106</v>
      </c>
      <c r="G1266" s="7">
        <v>124</v>
      </c>
      <c r="H1266" s="6">
        <f t="shared" si="38"/>
        <v>1.1698113207547169</v>
      </c>
      <c r="I1266" s="3" t="s">
        <v>228</v>
      </c>
      <c r="J1266" s="6" t="str">
        <f t="shared" si="39"/>
        <v>http://konect.cc/files/download.tsv.edit-crwiktionary.tar.bz2</v>
      </c>
      <c r="L1266" s="5"/>
    </row>
    <row r="1267" spans="3:12" x14ac:dyDescent="0.3">
      <c r="C1267" s="6" t="s">
        <v>1645</v>
      </c>
      <c r="D1267" s="3" t="s">
        <v>1646</v>
      </c>
      <c r="E1267" s="6" t="s">
        <v>1647</v>
      </c>
      <c r="F1267" s="7">
        <v>105</v>
      </c>
      <c r="G1267" s="7">
        <v>441</v>
      </c>
      <c r="H1267" s="6">
        <f t="shared" si="38"/>
        <v>4.2</v>
      </c>
      <c r="I1267" s="3" t="s">
        <v>235</v>
      </c>
      <c r="J1267" s="6" t="str">
        <f t="shared" si="39"/>
        <v>http://konect.cc/files/download.tsv.dimacs10-polbooks.tar.bz2</v>
      </c>
      <c r="L1267" s="5"/>
    </row>
    <row r="1268" spans="3:12" x14ac:dyDescent="0.3">
      <c r="C1268" s="6" t="s">
        <v>1650</v>
      </c>
      <c r="D1268" s="3" t="s">
        <v>1651</v>
      </c>
      <c r="E1268" s="6" t="s">
        <v>38</v>
      </c>
      <c r="F1268" s="7">
        <v>105</v>
      </c>
      <c r="G1268" s="7">
        <v>142</v>
      </c>
      <c r="H1268" s="6">
        <f t="shared" si="38"/>
        <v>1.3523809523809525</v>
      </c>
      <c r="I1268" s="3" t="s">
        <v>237</v>
      </c>
      <c r="J1268" s="6" t="str">
        <f t="shared" si="39"/>
        <v>http://konect.cc/files/download.tsv.edit-bowikibooks.tar.bz2</v>
      </c>
      <c r="L1268" s="5"/>
    </row>
    <row r="1269" spans="3:12" x14ac:dyDescent="0.3">
      <c r="C1269" s="6" t="s">
        <v>1597</v>
      </c>
      <c r="D1269" s="3" t="s">
        <v>1598</v>
      </c>
      <c r="E1269" s="6" t="s">
        <v>38</v>
      </c>
      <c r="F1269" s="7">
        <v>103</v>
      </c>
      <c r="G1269" s="7">
        <v>98</v>
      </c>
      <c r="H1269" s="6">
        <f t="shared" si="38"/>
        <v>0.95145631067961167</v>
      </c>
      <c r="I1269" s="3" t="s">
        <v>211</v>
      </c>
      <c r="J1269" s="6" t="str">
        <f t="shared" si="39"/>
        <v>http://konect.cc/files/download.tsv.edit-chwiktionary.tar.bz2</v>
      </c>
      <c r="L1269" s="5"/>
    </row>
    <row r="1270" spans="3:12" x14ac:dyDescent="0.3">
      <c r="C1270" s="6" t="s">
        <v>1617</v>
      </c>
      <c r="D1270" s="3" t="s">
        <v>1618</v>
      </c>
      <c r="E1270" s="6" t="s">
        <v>38</v>
      </c>
      <c r="F1270" s="7">
        <v>102</v>
      </c>
      <c r="G1270" s="7">
        <v>116</v>
      </c>
      <c r="H1270" s="6">
        <f t="shared" si="38"/>
        <v>1.1372549019607843</v>
      </c>
      <c r="I1270" s="3" t="s">
        <v>221</v>
      </c>
      <c r="J1270" s="6" t="str">
        <f t="shared" si="39"/>
        <v>http://konect.cc/files/download.tsv.edit-aswikibooks.tar.bz2</v>
      </c>
      <c r="L1270" s="5"/>
    </row>
    <row r="1271" spans="3:12" x14ac:dyDescent="0.3">
      <c r="C1271" s="6" t="s">
        <v>1643</v>
      </c>
      <c r="D1271" s="3" t="s">
        <v>1644</v>
      </c>
      <c r="E1271" s="6" t="s">
        <v>38</v>
      </c>
      <c r="F1271" s="7">
        <v>100</v>
      </c>
      <c r="G1271" s="7">
        <v>139</v>
      </c>
      <c r="H1271" s="6">
        <f t="shared" si="38"/>
        <v>1.39</v>
      </c>
      <c r="I1271" s="3" t="s">
        <v>234</v>
      </c>
      <c r="J1271" s="6" t="str">
        <f t="shared" si="39"/>
        <v>http://konect.cc/files/download.tsv.edit-vowikiquote.tar.bz2</v>
      </c>
      <c r="L1271" s="5"/>
    </row>
    <row r="1272" spans="3:12" x14ac:dyDescent="0.3">
      <c r="C1272" s="6" t="s">
        <v>1637</v>
      </c>
      <c r="D1272" s="3" t="s">
        <v>1638</v>
      </c>
      <c r="E1272" s="6" t="s">
        <v>38</v>
      </c>
      <c r="F1272" s="7">
        <v>100</v>
      </c>
      <c r="G1272" s="7">
        <v>134</v>
      </c>
      <c r="H1272" s="6">
        <f t="shared" si="38"/>
        <v>1.34</v>
      </c>
      <c r="I1272" s="3" t="s">
        <v>231</v>
      </c>
      <c r="J1272" s="6" t="str">
        <f t="shared" si="39"/>
        <v>http://konect.cc/files/download.tsv.edit-quwikibooks.tar.bz2</v>
      </c>
      <c r="L1272" s="5"/>
    </row>
    <row r="1273" spans="3:12" x14ac:dyDescent="0.3">
      <c r="C1273" s="6" t="s">
        <v>1619</v>
      </c>
      <c r="D1273" s="3" t="s">
        <v>1620</v>
      </c>
      <c r="E1273" s="6" t="s">
        <v>38</v>
      </c>
      <c r="F1273" s="7">
        <v>98</v>
      </c>
      <c r="G1273" s="7">
        <v>123</v>
      </c>
      <c r="H1273" s="6">
        <f t="shared" si="38"/>
        <v>1.2551020408163265</v>
      </c>
      <c r="I1273" s="3" t="s">
        <v>222</v>
      </c>
      <c r="J1273" s="6" t="str">
        <f t="shared" si="39"/>
        <v>http://konect.cc/files/download.tsv.edit-mywikibooks.tar.bz2</v>
      </c>
      <c r="L1273" s="5"/>
    </row>
    <row r="1274" spans="3:12" x14ac:dyDescent="0.3">
      <c r="C1274" s="6" t="s">
        <v>1626</v>
      </c>
      <c r="D1274" s="3" t="s">
        <v>1627</v>
      </c>
      <c r="E1274" s="6" t="s">
        <v>38</v>
      </c>
      <c r="F1274" s="7">
        <v>97</v>
      </c>
      <c r="G1274" s="7">
        <v>122</v>
      </c>
      <c r="H1274" s="6">
        <f t="shared" si="38"/>
        <v>1.2577319587628866</v>
      </c>
      <c r="I1274" s="3" t="s">
        <v>225</v>
      </c>
      <c r="J1274" s="6" t="str">
        <f t="shared" si="39"/>
        <v>http://konect.cc/files/download.tsv.edit-nahwikibooks.tar.bz2</v>
      </c>
      <c r="L1274" s="5"/>
    </row>
    <row r="1275" spans="3:12" x14ac:dyDescent="0.3">
      <c r="C1275" s="6" t="s">
        <v>3361</v>
      </c>
      <c r="D1275" s="3" t="s">
        <v>3362</v>
      </c>
      <c r="E1275" s="6" t="s">
        <v>2228</v>
      </c>
      <c r="F1275" s="7">
        <v>96</v>
      </c>
      <c r="G1275" s="7">
        <v>1086404</v>
      </c>
      <c r="H1275" s="6">
        <f t="shared" si="38"/>
        <v>11316.708333333334</v>
      </c>
      <c r="I1275" s="3" t="s">
        <v>1144</v>
      </c>
      <c r="J1275" s="6" t="str">
        <f t="shared" si="39"/>
        <v>http://konect.cc/files/download.tsv.mit.tar.bz2</v>
      </c>
      <c r="L1275" s="5"/>
    </row>
    <row r="1276" spans="3:12" x14ac:dyDescent="0.3">
      <c r="C1276" s="6" t="s">
        <v>1663</v>
      </c>
      <c r="D1276" s="3" t="s">
        <v>1664</v>
      </c>
      <c r="E1276" s="6" t="s">
        <v>38</v>
      </c>
      <c r="F1276" s="7">
        <v>94</v>
      </c>
      <c r="G1276" s="7">
        <v>155</v>
      </c>
      <c r="H1276" s="6">
        <f t="shared" si="38"/>
        <v>1.6489361702127661</v>
      </c>
      <c r="I1276" s="3" t="s">
        <v>244</v>
      </c>
      <c r="J1276" s="6" t="str">
        <f t="shared" si="39"/>
        <v>http://konect.cc/files/download.tsv.edit-miwikibooks.tar.bz2</v>
      </c>
      <c r="L1276" s="5"/>
    </row>
    <row r="1277" spans="3:12" x14ac:dyDescent="0.3">
      <c r="C1277" s="6" t="s">
        <v>1635</v>
      </c>
      <c r="D1277" s="3" t="s">
        <v>1636</v>
      </c>
      <c r="E1277" s="6" t="s">
        <v>38</v>
      </c>
      <c r="F1277" s="7">
        <v>93</v>
      </c>
      <c r="G1277" s="7">
        <v>130</v>
      </c>
      <c r="H1277" s="6">
        <f t="shared" si="38"/>
        <v>1.3978494623655915</v>
      </c>
      <c r="I1277" s="3" t="s">
        <v>230</v>
      </c>
      <c r="J1277" s="6" t="str">
        <f t="shared" si="39"/>
        <v>http://konect.cc/files/download.tsv.edit-ttwikiquote.tar.bz2</v>
      </c>
      <c r="L1277" s="5"/>
    </row>
    <row r="1278" spans="3:12" x14ac:dyDescent="0.3">
      <c r="C1278" s="6" t="s">
        <v>1601</v>
      </c>
      <c r="D1278" s="3" t="s">
        <v>1602</v>
      </c>
      <c r="E1278" s="6" t="s">
        <v>38</v>
      </c>
      <c r="F1278" s="7">
        <v>93</v>
      </c>
      <c r="G1278" s="7">
        <v>100</v>
      </c>
      <c r="H1278" s="6">
        <f t="shared" si="38"/>
        <v>1.075268817204301</v>
      </c>
      <c r="I1278" s="3" t="s">
        <v>213</v>
      </c>
      <c r="J1278" s="6" t="str">
        <f t="shared" si="39"/>
        <v>http://konect.cc/files/download.tsv.edit-ugwikiquote.tar.bz2</v>
      </c>
      <c r="L1278" s="5"/>
    </row>
    <row r="1279" spans="3:12" x14ac:dyDescent="0.3">
      <c r="C1279" s="6" t="s">
        <v>1595</v>
      </c>
      <c r="D1279" s="3" t="s">
        <v>1596</v>
      </c>
      <c r="E1279" s="6" t="s">
        <v>38</v>
      </c>
      <c r="F1279" s="7">
        <v>93</v>
      </c>
      <c r="G1279" s="7">
        <v>95</v>
      </c>
      <c r="H1279" s="6">
        <f t="shared" si="38"/>
        <v>1.021505376344086</v>
      </c>
      <c r="I1279" s="3" t="s">
        <v>210</v>
      </c>
      <c r="J1279" s="6" t="str">
        <f t="shared" si="39"/>
        <v>http://konect.cc/files/download.tsv.edit-tkwikiquote.tar.bz2</v>
      </c>
      <c r="L1279" s="5"/>
    </row>
    <row r="1280" spans="3:12" x14ac:dyDescent="0.3">
      <c r="C1280" s="6" t="s">
        <v>1629</v>
      </c>
      <c r="D1280" s="3" t="s">
        <v>1630</v>
      </c>
      <c r="E1280" s="6" t="s">
        <v>38</v>
      </c>
      <c r="F1280" s="7">
        <v>90</v>
      </c>
      <c r="G1280" s="7">
        <v>127</v>
      </c>
      <c r="H1280" s="6">
        <f t="shared" si="38"/>
        <v>1.4111111111111112</v>
      </c>
      <c r="I1280" s="3" t="s">
        <v>227</v>
      </c>
      <c r="J1280" s="6" t="str">
        <f t="shared" si="39"/>
        <v>http://konect.cc/files/download.tsv.edit-gotwikibooks.tar.bz2</v>
      </c>
      <c r="L1280" s="5"/>
    </row>
    <row r="1281" spans="3:12" x14ac:dyDescent="0.3">
      <c r="C1281" s="6" t="s">
        <v>1611</v>
      </c>
      <c r="D1281" s="3" t="s">
        <v>1612</v>
      </c>
      <c r="E1281" s="6" t="s">
        <v>38</v>
      </c>
      <c r="F1281" s="7">
        <v>89</v>
      </c>
      <c r="G1281" s="7">
        <v>110</v>
      </c>
      <c r="H1281" s="6">
        <f t="shared" si="38"/>
        <v>1.2359550561797752</v>
      </c>
      <c r="I1281" s="3" t="s">
        <v>218</v>
      </c>
      <c r="J1281" s="6" t="str">
        <f t="shared" si="39"/>
        <v>http://konect.cc/files/download.tsv.edit-kswikibooks.tar.bz2</v>
      </c>
      <c r="L1281" s="5"/>
    </row>
    <row r="1282" spans="3:12" x14ac:dyDescent="0.3">
      <c r="C1282" s="6" t="s">
        <v>1588</v>
      </c>
      <c r="D1282" s="3" t="s">
        <v>1589</v>
      </c>
      <c r="E1282" s="6" t="s">
        <v>38</v>
      </c>
      <c r="F1282" s="7">
        <v>89</v>
      </c>
      <c r="G1282" s="7">
        <v>88</v>
      </c>
      <c r="H1282" s="6">
        <f t="shared" ref="H1282:H1325" si="40">G1282/F1282</f>
        <v>0.9887640449438202</v>
      </c>
      <c r="I1282" s="3" t="s">
        <v>207</v>
      </c>
      <c r="J1282" s="6" t="str">
        <f t="shared" ref="J1282:J1325" si="41">"http://konect.cc/files/download.tsv."&amp;I1282&amp;".tar.bz2"</f>
        <v>http://konect.cc/files/download.tsv.edit-rnwiktionary.tar.bz2</v>
      </c>
      <c r="L1282" s="5"/>
    </row>
    <row r="1283" spans="3:12" x14ac:dyDescent="0.3">
      <c r="C1283" s="6" t="s">
        <v>1615</v>
      </c>
      <c r="D1283" s="3" t="s">
        <v>1616</v>
      </c>
      <c r="E1283" s="6" t="s">
        <v>38</v>
      </c>
      <c r="F1283" s="7">
        <v>84</v>
      </c>
      <c r="G1283" s="7">
        <v>112</v>
      </c>
      <c r="H1283" s="6">
        <f t="shared" si="40"/>
        <v>1.3333333333333333</v>
      </c>
      <c r="I1283" s="3" t="s">
        <v>220</v>
      </c>
      <c r="J1283" s="6" t="str">
        <f t="shared" si="41"/>
        <v>http://konect.cc/files/download.tsv.edit-chwikibooks.tar.bz2</v>
      </c>
      <c r="L1283" s="5"/>
    </row>
    <row r="1284" spans="3:12" x14ac:dyDescent="0.3">
      <c r="C1284" s="6" t="s">
        <v>1578</v>
      </c>
      <c r="D1284" s="3" t="s">
        <v>1579</v>
      </c>
      <c r="E1284" s="6" t="s">
        <v>38</v>
      </c>
      <c r="F1284" s="7">
        <v>84</v>
      </c>
      <c r="G1284" s="7">
        <v>77</v>
      </c>
      <c r="H1284" s="6">
        <f t="shared" si="40"/>
        <v>0.91666666666666663</v>
      </c>
      <c r="I1284" s="3" t="s">
        <v>202</v>
      </c>
      <c r="J1284" s="6" t="str">
        <f t="shared" si="41"/>
        <v>http://konect.cc/files/download.tsv.edit-bmwikiquote.tar.bz2</v>
      </c>
      <c r="L1284" s="5"/>
    </row>
    <row r="1285" spans="3:12" x14ac:dyDescent="0.3">
      <c r="C1285" s="6" t="s">
        <v>1590</v>
      </c>
      <c r="D1285" s="3" t="s">
        <v>1591</v>
      </c>
      <c r="E1285" s="6" t="s">
        <v>38</v>
      </c>
      <c r="F1285" s="7">
        <v>83</v>
      </c>
      <c r="G1285" s="7">
        <v>92</v>
      </c>
      <c r="H1285" s="6">
        <f t="shared" si="40"/>
        <v>1.1084337349397591</v>
      </c>
      <c r="I1285" s="3" t="s">
        <v>208</v>
      </c>
      <c r="J1285" s="6" t="str">
        <f t="shared" si="41"/>
        <v>http://konect.cc/files/download.tsv.edit-mhwiktionary.tar.bz2</v>
      </c>
      <c r="L1285" s="5"/>
    </row>
    <row r="1286" spans="3:12" x14ac:dyDescent="0.3">
      <c r="C1286" s="6" t="s">
        <v>1576</v>
      </c>
      <c r="D1286" s="3" t="s">
        <v>1577</v>
      </c>
      <c r="E1286" s="6" t="s">
        <v>38</v>
      </c>
      <c r="F1286" s="7">
        <v>79</v>
      </c>
      <c r="G1286" s="7">
        <v>75</v>
      </c>
      <c r="H1286" s="6">
        <f t="shared" si="40"/>
        <v>0.94936708860759489</v>
      </c>
      <c r="I1286" s="3" t="s">
        <v>201</v>
      </c>
      <c r="J1286" s="6" t="str">
        <f t="shared" si="41"/>
        <v>http://konect.cc/files/download.tsv.edit-bmwikibooks.tar.bz2</v>
      </c>
      <c r="L1286" s="5"/>
    </row>
    <row r="1287" spans="3:12" x14ac:dyDescent="0.3">
      <c r="C1287" s="6" t="s">
        <v>1583</v>
      </c>
      <c r="D1287" s="3" t="s">
        <v>1584</v>
      </c>
      <c r="E1287" s="6" t="s">
        <v>38</v>
      </c>
      <c r="F1287" s="7">
        <v>78</v>
      </c>
      <c r="G1287" s="7">
        <v>79</v>
      </c>
      <c r="H1287" s="6">
        <f t="shared" si="40"/>
        <v>1.0128205128205128</v>
      </c>
      <c r="I1287" s="3" t="s">
        <v>204</v>
      </c>
      <c r="J1287" s="6" t="str">
        <f t="shared" si="41"/>
        <v>http://konect.cc/files/download.tsv.edit-biwikibooks.tar.bz2</v>
      </c>
      <c r="L1287" s="5"/>
    </row>
    <row r="1288" spans="3:12" x14ac:dyDescent="0.3">
      <c r="C1288" s="6" t="s">
        <v>1613</v>
      </c>
      <c r="D1288" s="3" t="s">
        <v>1614</v>
      </c>
      <c r="E1288" s="6" t="s">
        <v>1554</v>
      </c>
      <c r="F1288" s="7">
        <v>77</v>
      </c>
      <c r="G1288" s="7">
        <v>254</v>
      </c>
      <c r="H1288" s="6">
        <f t="shared" si="40"/>
        <v>3.2987012987012987</v>
      </c>
      <c r="I1288" s="3" t="s">
        <v>219</v>
      </c>
      <c r="J1288" s="6" t="str">
        <f t="shared" si="41"/>
        <v>http://konect.cc/files/download.tsv.moreno_lesmis.tar.bz2</v>
      </c>
      <c r="L1288" s="5"/>
    </row>
    <row r="1289" spans="3:12" x14ac:dyDescent="0.3">
      <c r="C1289" s="6" t="s">
        <v>1574</v>
      </c>
      <c r="D1289" s="3" t="s">
        <v>1575</v>
      </c>
      <c r="E1289" s="6" t="s">
        <v>38</v>
      </c>
      <c r="F1289" s="7">
        <v>77</v>
      </c>
      <c r="G1289" s="7">
        <v>70</v>
      </c>
      <c r="H1289" s="6">
        <f t="shared" si="40"/>
        <v>0.90909090909090906</v>
      </c>
      <c r="I1289" s="3" t="s">
        <v>200</v>
      </c>
      <c r="J1289" s="6" t="str">
        <f t="shared" si="41"/>
        <v>http://konect.cc/files/download.tsv.edit-kswikiquote.tar.bz2</v>
      </c>
      <c r="L1289" s="5"/>
    </row>
    <row r="1290" spans="3:12" x14ac:dyDescent="0.3">
      <c r="C1290" s="6" t="s">
        <v>1555</v>
      </c>
      <c r="D1290" s="3" t="s">
        <v>1471</v>
      </c>
      <c r="E1290" s="6" t="s">
        <v>43</v>
      </c>
      <c r="F1290" s="7">
        <v>75</v>
      </c>
      <c r="G1290" s="7">
        <v>114</v>
      </c>
      <c r="H1290" s="6">
        <f t="shared" si="40"/>
        <v>1.52</v>
      </c>
      <c r="I1290" s="3" t="s">
        <v>190</v>
      </c>
      <c r="J1290" s="6" t="str">
        <f t="shared" si="41"/>
        <v>http://konect.cc/files/download.tsv.iceland.tar.bz2</v>
      </c>
      <c r="L1290" s="5"/>
    </row>
    <row r="1291" spans="3:12" x14ac:dyDescent="0.3">
      <c r="C1291" s="6" t="s">
        <v>1662</v>
      </c>
      <c r="D1291" s="3" t="s">
        <v>1478</v>
      </c>
      <c r="E1291" s="6" t="s">
        <v>1562</v>
      </c>
      <c r="F1291" s="7">
        <v>70</v>
      </c>
      <c r="G1291" s="7">
        <v>366</v>
      </c>
      <c r="H1291" s="6">
        <f t="shared" si="40"/>
        <v>5.2285714285714286</v>
      </c>
      <c r="I1291" s="3" t="s">
        <v>243</v>
      </c>
      <c r="J1291" s="6" t="str">
        <f t="shared" si="41"/>
        <v>http://konect.cc/files/download.tsv.moreno_highschool.tar.bz2</v>
      </c>
      <c r="L1291" s="5"/>
    </row>
    <row r="1292" spans="3:12" x14ac:dyDescent="0.3">
      <c r="C1292" s="6" t="s">
        <v>1570</v>
      </c>
      <c r="D1292" s="3" t="s">
        <v>1571</v>
      </c>
      <c r="E1292" s="6" t="s">
        <v>38</v>
      </c>
      <c r="F1292" s="7">
        <v>70</v>
      </c>
      <c r="G1292" s="7">
        <v>67</v>
      </c>
      <c r="H1292" s="6">
        <f t="shared" si="40"/>
        <v>0.95714285714285718</v>
      </c>
      <c r="I1292" s="3" t="s">
        <v>198</v>
      </c>
      <c r="J1292" s="6" t="str">
        <f t="shared" si="41"/>
        <v>http://konect.cc/files/download.tsv.edit-rmwikibooks.tar.bz2</v>
      </c>
      <c r="L1292" s="5"/>
    </row>
    <row r="1293" spans="3:12" x14ac:dyDescent="0.3">
      <c r="C1293" s="6" t="s">
        <v>1568</v>
      </c>
      <c r="D1293" s="3" t="s">
        <v>1569</v>
      </c>
      <c r="E1293" s="6" t="s">
        <v>38</v>
      </c>
      <c r="F1293" s="7">
        <v>68</v>
      </c>
      <c r="G1293" s="7">
        <v>62</v>
      </c>
      <c r="H1293" s="6">
        <f t="shared" si="40"/>
        <v>0.91176470588235292</v>
      </c>
      <c r="I1293" s="3" t="s">
        <v>197</v>
      </c>
      <c r="J1293" s="6" t="str">
        <f t="shared" si="41"/>
        <v>http://konect.cc/files/download.tsv.edit-gnwikibooks.tar.bz2</v>
      </c>
      <c r="L1293" s="5"/>
    </row>
    <row r="1294" spans="3:12" x14ac:dyDescent="0.3">
      <c r="C1294" s="6" t="s">
        <v>1599</v>
      </c>
      <c r="D1294" s="3" t="s">
        <v>1600</v>
      </c>
      <c r="E1294" s="6" t="s">
        <v>1554</v>
      </c>
      <c r="F1294" s="7">
        <v>64</v>
      </c>
      <c r="G1294" s="7">
        <v>243</v>
      </c>
      <c r="H1294" s="6">
        <f t="shared" si="40"/>
        <v>3.796875</v>
      </c>
      <c r="I1294" s="3" t="s">
        <v>212</v>
      </c>
      <c r="J1294" s="6" t="str">
        <f t="shared" si="41"/>
        <v>http://konect.cc/files/download.tsv.moreno_train.tar.bz2</v>
      </c>
      <c r="L1294" s="5"/>
    </row>
    <row r="1295" spans="3:12" x14ac:dyDescent="0.3">
      <c r="C1295" s="6" t="s">
        <v>1760</v>
      </c>
      <c r="D1295" s="3" t="s">
        <v>1761</v>
      </c>
      <c r="E1295" s="6" t="s">
        <v>1562</v>
      </c>
      <c r="F1295" s="7">
        <v>62</v>
      </c>
      <c r="G1295" s="7">
        <v>1187</v>
      </c>
      <c r="H1295" s="6">
        <f t="shared" si="40"/>
        <v>19.14516129032258</v>
      </c>
      <c r="I1295" s="3" t="s">
        <v>292</v>
      </c>
      <c r="J1295" s="6" t="str">
        <f t="shared" si="41"/>
        <v>http://konect.cc/files/download.tsv.moreno_mac.tar.bz2</v>
      </c>
      <c r="L1295" s="5"/>
    </row>
    <row r="1296" spans="3:12" x14ac:dyDescent="0.3">
      <c r="C1296" s="6" t="s">
        <v>1563</v>
      </c>
      <c r="D1296" s="3" t="s">
        <v>1472</v>
      </c>
      <c r="E1296" s="6" t="s">
        <v>83</v>
      </c>
      <c r="F1296" s="7">
        <v>62</v>
      </c>
      <c r="G1296" s="7">
        <v>159</v>
      </c>
      <c r="H1296" s="6">
        <f t="shared" si="40"/>
        <v>2.564516129032258</v>
      </c>
      <c r="I1296" s="3" t="s">
        <v>194</v>
      </c>
      <c r="J1296" s="6" t="str">
        <f t="shared" si="41"/>
        <v>http://konect.cc/files/download.tsv.dolphins.tar.bz2</v>
      </c>
      <c r="L1296" s="5"/>
    </row>
    <row r="1297" spans="3:12" x14ac:dyDescent="0.3">
      <c r="C1297" s="6" t="s">
        <v>1572</v>
      </c>
      <c r="D1297" s="3" t="s">
        <v>1573</v>
      </c>
      <c r="E1297" s="6" t="s">
        <v>38</v>
      </c>
      <c r="F1297" s="7">
        <v>59</v>
      </c>
      <c r="G1297" s="7">
        <v>68</v>
      </c>
      <c r="H1297" s="6">
        <f t="shared" si="40"/>
        <v>1.152542372881356</v>
      </c>
      <c r="I1297" s="3" t="s">
        <v>199</v>
      </c>
      <c r="J1297" s="6" t="str">
        <f t="shared" si="41"/>
        <v>http://konect.cc/files/download.tsv.edit-angwikisource.tar.bz2</v>
      </c>
      <c r="L1297" s="5"/>
    </row>
    <row r="1298" spans="3:12" x14ac:dyDescent="0.3">
      <c r="C1298" s="6" t="s">
        <v>1558</v>
      </c>
      <c r="D1298" s="3" t="s">
        <v>1559</v>
      </c>
      <c r="E1298" s="6" t="s">
        <v>83</v>
      </c>
      <c r="F1298" s="7">
        <v>49</v>
      </c>
      <c r="G1298" s="7">
        <v>107</v>
      </c>
      <c r="H1298" s="6">
        <f t="shared" si="40"/>
        <v>2.1836734693877551</v>
      </c>
      <c r="I1298" s="3" t="s">
        <v>192</v>
      </c>
      <c r="J1298" s="6" t="str">
        <f t="shared" si="41"/>
        <v>http://konect.cc/files/download.tsv.contiguous-usa.tar.bz2</v>
      </c>
      <c r="L1298" s="5"/>
    </row>
    <row r="1299" spans="3:12" x14ac:dyDescent="0.3">
      <c r="C1299" s="6" t="s">
        <v>1551</v>
      </c>
      <c r="D1299" s="3" t="s">
        <v>1552</v>
      </c>
      <c r="E1299" s="6" t="s">
        <v>36</v>
      </c>
      <c r="F1299" s="7">
        <v>44</v>
      </c>
      <c r="G1299" s="7">
        <v>99</v>
      </c>
      <c r="H1299" s="6">
        <f t="shared" si="40"/>
        <v>2.25</v>
      </c>
      <c r="I1299" s="3" t="s">
        <v>188</v>
      </c>
      <c r="J1299" s="6" t="str">
        <f t="shared" si="41"/>
        <v>http://konect.cc/files/download.tsv.brunson_corporate-leadership.tar.bz2</v>
      </c>
      <c r="L1299" s="5"/>
    </row>
    <row r="1300" spans="3:12" x14ac:dyDescent="0.3">
      <c r="C1300" s="6" t="s">
        <v>1642</v>
      </c>
      <c r="D1300" s="3" t="s">
        <v>1477</v>
      </c>
      <c r="E1300" s="6" t="s">
        <v>1554</v>
      </c>
      <c r="F1300" s="7">
        <v>43</v>
      </c>
      <c r="G1300" s="7">
        <v>336</v>
      </c>
      <c r="H1300" s="6">
        <f t="shared" si="40"/>
        <v>7.8139534883720927</v>
      </c>
      <c r="I1300" s="3" t="s">
        <v>233</v>
      </c>
      <c r="J1300" s="6" t="str">
        <f t="shared" si="41"/>
        <v>http://konect.cc/files/download.tsv.moreno_beach.tar.bz2</v>
      </c>
      <c r="L1300" s="5"/>
    </row>
    <row r="1301" spans="3:12" x14ac:dyDescent="0.3">
      <c r="C1301" s="6" t="s">
        <v>1549</v>
      </c>
      <c r="D1301" s="3" t="s">
        <v>1550</v>
      </c>
      <c r="E1301" s="6" t="s">
        <v>36</v>
      </c>
      <c r="F1301" s="7">
        <v>40</v>
      </c>
      <c r="G1301" s="7">
        <v>95</v>
      </c>
      <c r="H1301" s="6">
        <f t="shared" si="40"/>
        <v>2.375</v>
      </c>
      <c r="I1301" s="3" t="s">
        <v>187</v>
      </c>
      <c r="J1301" s="6" t="str">
        <f t="shared" si="41"/>
        <v>http://konect.cc/files/download.tsv.brunson_club-membership.tar.bz2</v>
      </c>
      <c r="L1301" s="5"/>
    </row>
    <row r="1302" spans="3:12" x14ac:dyDescent="0.3">
      <c r="C1302" s="6" t="s">
        <v>1537</v>
      </c>
      <c r="D1302" s="3" t="s">
        <v>1468</v>
      </c>
      <c r="E1302" s="6" t="s">
        <v>43</v>
      </c>
      <c r="F1302" s="7">
        <v>40</v>
      </c>
      <c r="G1302" s="7">
        <v>41</v>
      </c>
      <c r="H1302" s="6">
        <f t="shared" si="40"/>
        <v>1.0249999999999999</v>
      </c>
      <c r="I1302" s="3" t="s">
        <v>181</v>
      </c>
      <c r="J1302" s="6" t="str">
        <f t="shared" si="41"/>
        <v>http://konect.cc/files/download.tsv.hiv.tar.bz2</v>
      </c>
      <c r="L1302" s="5"/>
    </row>
    <row r="1303" spans="3:12" x14ac:dyDescent="0.3">
      <c r="C1303" s="6" t="s">
        <v>1564</v>
      </c>
      <c r="D1303" s="3" t="s">
        <v>1565</v>
      </c>
      <c r="E1303" s="6" t="s">
        <v>54</v>
      </c>
      <c r="F1303" s="7">
        <v>39</v>
      </c>
      <c r="G1303" s="7">
        <v>170</v>
      </c>
      <c r="H1303" s="6">
        <f t="shared" si="40"/>
        <v>4.3589743589743586</v>
      </c>
      <c r="I1303" s="3" t="s">
        <v>195</v>
      </c>
      <c r="J1303" s="6" t="str">
        <f t="shared" si="41"/>
        <v>http://konect.cc/files/download.tsv.dimacs10-chesapeake.tar.bz2</v>
      </c>
      <c r="L1303" s="5"/>
    </row>
    <row r="1304" spans="3:12" x14ac:dyDescent="0.3">
      <c r="C1304" s="6" t="s">
        <v>1556</v>
      </c>
      <c r="D1304" s="3" t="s">
        <v>1557</v>
      </c>
      <c r="E1304" s="6" t="s">
        <v>38</v>
      </c>
      <c r="F1304" s="7">
        <v>39</v>
      </c>
      <c r="G1304" s="7">
        <v>37</v>
      </c>
      <c r="H1304" s="6">
        <f t="shared" si="40"/>
        <v>0.94871794871794868</v>
      </c>
      <c r="I1304" s="3" t="s">
        <v>191</v>
      </c>
      <c r="J1304" s="6" t="str">
        <f t="shared" si="41"/>
        <v>http://konect.cc/files/download.tsv.edit-krwikiquote.tar.bz2</v>
      </c>
      <c r="L1304" s="5"/>
    </row>
    <row r="1305" spans="3:12" x14ac:dyDescent="0.3">
      <c r="C1305" s="6" t="s">
        <v>1538</v>
      </c>
      <c r="D1305" s="3" t="s">
        <v>1539</v>
      </c>
      <c r="E1305" s="6" t="s">
        <v>83</v>
      </c>
      <c r="F1305" s="7">
        <v>34</v>
      </c>
      <c r="G1305" s="7">
        <v>78</v>
      </c>
      <c r="H1305" s="6">
        <f t="shared" si="40"/>
        <v>2.2941176470588234</v>
      </c>
      <c r="I1305" s="3" t="s">
        <v>182</v>
      </c>
      <c r="J1305" s="6" t="str">
        <f t="shared" si="41"/>
        <v>http://konect.cc/files/download.tsv.ucidata-zachary.tar.bz2</v>
      </c>
      <c r="L1305" s="5"/>
    </row>
    <row r="1306" spans="3:12" x14ac:dyDescent="0.3">
      <c r="C1306" s="6" t="s">
        <v>1905</v>
      </c>
      <c r="D1306" s="3" t="s">
        <v>1906</v>
      </c>
      <c r="E1306" s="6" t="s">
        <v>1907</v>
      </c>
      <c r="F1306" s="7">
        <v>32</v>
      </c>
      <c r="G1306" s="7">
        <v>3062</v>
      </c>
      <c r="H1306" s="6">
        <f t="shared" si="40"/>
        <v>95.6875</v>
      </c>
      <c r="I1306" s="3" t="s">
        <v>362</v>
      </c>
      <c r="J1306" s="6" t="str">
        <f t="shared" si="41"/>
        <v>http://konect.cc/files/download.tsv.moreno_vdb.tar.bz2</v>
      </c>
      <c r="L1306" s="5"/>
    </row>
    <row r="1307" spans="3:12" x14ac:dyDescent="0.3">
      <c r="C1307" s="6" t="s">
        <v>1673</v>
      </c>
      <c r="D1307" s="3" t="s">
        <v>1479</v>
      </c>
      <c r="E1307" s="6" t="s">
        <v>1674</v>
      </c>
      <c r="F1307" s="7">
        <v>32</v>
      </c>
      <c r="G1307" s="7">
        <v>496</v>
      </c>
      <c r="H1307" s="6">
        <f t="shared" si="40"/>
        <v>15.5</v>
      </c>
      <c r="I1307" s="3" t="s">
        <v>249</v>
      </c>
      <c r="J1307" s="6" t="str">
        <f t="shared" si="41"/>
        <v>http://konect.cc/files/download.tsv.moreno_hens.tar.bz2</v>
      </c>
      <c r="L1307" s="5"/>
    </row>
    <row r="1308" spans="3:12" x14ac:dyDescent="0.3">
      <c r="C1308" s="6" t="s">
        <v>1545</v>
      </c>
      <c r="D1308" s="3" t="s">
        <v>1546</v>
      </c>
      <c r="E1308" s="6" t="s">
        <v>1547</v>
      </c>
      <c r="F1308" s="7">
        <v>32</v>
      </c>
      <c r="G1308" s="7">
        <v>89</v>
      </c>
      <c r="H1308" s="6">
        <f t="shared" si="40"/>
        <v>2.78125</v>
      </c>
      <c r="I1308" s="3" t="s">
        <v>185</v>
      </c>
      <c r="J1308" s="6" t="str">
        <f t="shared" si="41"/>
        <v>http://konect.cc/files/download.tsv.opsahl-southernwomen.tar.bz2</v>
      </c>
      <c r="L1308" s="5"/>
    </row>
    <row r="1309" spans="3:12" x14ac:dyDescent="0.3">
      <c r="C1309" s="6" t="s">
        <v>1652</v>
      </c>
      <c r="D1309" s="3" t="s">
        <v>1653</v>
      </c>
      <c r="E1309" s="6" t="s">
        <v>1562</v>
      </c>
      <c r="F1309" s="7">
        <v>29</v>
      </c>
      <c r="G1309" s="7">
        <v>376</v>
      </c>
      <c r="H1309" s="6">
        <f t="shared" si="40"/>
        <v>12.96551724137931</v>
      </c>
      <c r="I1309" s="3" t="s">
        <v>238</v>
      </c>
      <c r="J1309" s="6" t="str">
        <f t="shared" si="41"/>
        <v>http://konect.cc/files/download.tsv.moreno_seventh.tar.bz2</v>
      </c>
      <c r="L1309" s="5"/>
    </row>
    <row r="1310" spans="3:12" x14ac:dyDescent="0.3">
      <c r="C1310" s="6" t="s">
        <v>1605</v>
      </c>
      <c r="D1310" s="3" t="s">
        <v>1475</v>
      </c>
      <c r="E1310" s="6" t="s">
        <v>1586</v>
      </c>
      <c r="F1310" s="7">
        <v>28</v>
      </c>
      <c r="G1310" s="7">
        <v>250</v>
      </c>
      <c r="H1310" s="6">
        <f t="shared" si="40"/>
        <v>8.9285714285714288</v>
      </c>
      <c r="I1310" s="3" t="s">
        <v>215</v>
      </c>
      <c r="J1310" s="6" t="str">
        <f t="shared" si="41"/>
        <v>http://konect.cc/files/download.tsv.moreno_sheep.tar.bz2</v>
      </c>
      <c r="L1310" s="5"/>
    </row>
    <row r="1311" spans="3:12" x14ac:dyDescent="0.3">
      <c r="C1311" s="6" t="s">
        <v>1585</v>
      </c>
      <c r="D1311" s="3" t="s">
        <v>1473</v>
      </c>
      <c r="E1311" s="6" t="s">
        <v>1586</v>
      </c>
      <c r="F1311" s="7">
        <v>28</v>
      </c>
      <c r="G1311" s="7">
        <v>217</v>
      </c>
      <c r="H1311" s="6">
        <f t="shared" si="40"/>
        <v>7.75</v>
      </c>
      <c r="I1311" s="3" t="s">
        <v>205</v>
      </c>
      <c r="J1311" s="6" t="str">
        <f t="shared" si="41"/>
        <v>http://konect.cc/files/download.tsv.moreno_cattle.tar.bz2</v>
      </c>
      <c r="L1311" s="5"/>
    </row>
    <row r="1312" spans="3:12" x14ac:dyDescent="0.3">
      <c r="C1312" s="6" t="s">
        <v>1548</v>
      </c>
      <c r="D1312" s="3" t="s">
        <v>1469</v>
      </c>
      <c r="E1312" s="6" t="s">
        <v>83</v>
      </c>
      <c r="F1312" s="7">
        <v>27</v>
      </c>
      <c r="G1312" s="7">
        <v>111</v>
      </c>
      <c r="H1312" s="6">
        <f t="shared" si="40"/>
        <v>4.1111111111111107</v>
      </c>
      <c r="I1312" s="3" t="s">
        <v>186</v>
      </c>
      <c r="J1312" s="6" t="str">
        <f t="shared" si="41"/>
        <v>http://konect.cc/files/download.tsv.moreno_zebra.tar.bz2</v>
      </c>
      <c r="L1312" s="5"/>
    </row>
    <row r="1313" spans="3:12" x14ac:dyDescent="0.3">
      <c r="C1313" s="6" t="s">
        <v>1628</v>
      </c>
      <c r="D1313" s="3" t="s">
        <v>1476</v>
      </c>
      <c r="E1313" s="6" t="s">
        <v>1586</v>
      </c>
      <c r="F1313" s="7">
        <v>26</v>
      </c>
      <c r="G1313" s="7">
        <v>314</v>
      </c>
      <c r="H1313" s="6">
        <f t="shared" si="40"/>
        <v>12.076923076923077</v>
      </c>
      <c r="I1313" s="3" t="s">
        <v>226</v>
      </c>
      <c r="J1313" s="6" t="str">
        <f t="shared" si="41"/>
        <v>http://konect.cc/files/download.tsv.moreno_bison.tar.bz2</v>
      </c>
      <c r="L1313" s="5"/>
    </row>
    <row r="1314" spans="3:12" x14ac:dyDescent="0.3">
      <c r="C1314" s="6" t="s">
        <v>1543</v>
      </c>
      <c r="D1314" s="3" t="s">
        <v>1544</v>
      </c>
      <c r="E1314" s="6" t="s">
        <v>98</v>
      </c>
      <c r="F1314" s="7">
        <v>22</v>
      </c>
      <c r="G1314" s="7">
        <v>78</v>
      </c>
      <c r="H1314" s="6">
        <f t="shared" si="40"/>
        <v>3.5454545454545454</v>
      </c>
      <c r="I1314" s="3" t="s">
        <v>184</v>
      </c>
      <c r="J1314" s="6" t="str">
        <f t="shared" si="41"/>
        <v>http://konect.cc/files/download.tsv.moreno_taro.tar.bz2</v>
      </c>
      <c r="L1314" s="5"/>
    </row>
    <row r="1315" spans="3:12" x14ac:dyDescent="0.3">
      <c r="C1315" s="6" t="s">
        <v>1658</v>
      </c>
      <c r="D1315" s="3" t="s">
        <v>1659</v>
      </c>
      <c r="E1315" s="6" t="s">
        <v>1625</v>
      </c>
      <c r="F1315" s="7">
        <v>20</v>
      </c>
      <c r="G1315" s="7">
        <v>380</v>
      </c>
      <c r="H1315" s="6">
        <f t="shared" si="40"/>
        <v>19</v>
      </c>
      <c r="I1315" s="3" t="s">
        <v>241</v>
      </c>
      <c r="J1315" s="6" t="str">
        <f t="shared" si="41"/>
        <v>http://konect.cc/files/download.tsv.league-fr1-2016.tar.bz2</v>
      </c>
      <c r="L1315" s="5"/>
    </row>
    <row r="1316" spans="3:12" x14ac:dyDescent="0.3">
      <c r="C1316" s="6" t="s">
        <v>1660</v>
      </c>
      <c r="D1316" s="3" t="s">
        <v>1661</v>
      </c>
      <c r="E1316" s="6" t="s">
        <v>1625</v>
      </c>
      <c r="F1316" s="7">
        <v>20</v>
      </c>
      <c r="G1316" s="7">
        <v>380</v>
      </c>
      <c r="H1316" s="6">
        <f t="shared" si="40"/>
        <v>19</v>
      </c>
      <c r="I1316" s="3" t="s">
        <v>242</v>
      </c>
      <c r="J1316" s="6" t="str">
        <f t="shared" si="41"/>
        <v>http://konect.cc/files/download.tsv.league-uk1-2013.tar.bz2</v>
      </c>
      <c r="L1316" s="5"/>
    </row>
    <row r="1317" spans="3:12" x14ac:dyDescent="0.3">
      <c r="C1317" s="6" t="s">
        <v>1623</v>
      </c>
      <c r="D1317" s="3" t="s">
        <v>1624</v>
      </c>
      <c r="E1317" s="6" t="s">
        <v>1625</v>
      </c>
      <c r="F1317" s="7">
        <v>18</v>
      </c>
      <c r="G1317" s="7">
        <v>306</v>
      </c>
      <c r="H1317" s="6">
        <f t="shared" si="40"/>
        <v>17</v>
      </c>
      <c r="I1317" s="3" t="s">
        <v>224</v>
      </c>
      <c r="J1317" s="6" t="str">
        <f t="shared" si="41"/>
        <v>http://konect.cc/files/download.tsv.league-de1-2016.tar.bz2</v>
      </c>
      <c r="L1317" s="5"/>
    </row>
    <row r="1318" spans="3:12" x14ac:dyDescent="0.3">
      <c r="C1318" s="6" t="s">
        <v>1580</v>
      </c>
      <c r="D1318" s="3" t="s">
        <v>1581</v>
      </c>
      <c r="E1318" s="6" t="s">
        <v>1582</v>
      </c>
      <c r="F1318" s="7">
        <v>18</v>
      </c>
      <c r="G1318" s="7">
        <v>189</v>
      </c>
      <c r="H1318" s="6">
        <f t="shared" si="40"/>
        <v>10.5</v>
      </c>
      <c r="I1318" s="3" t="s">
        <v>203</v>
      </c>
      <c r="J1318" s="6" t="str">
        <f t="shared" si="41"/>
        <v>http://konect.cc/files/download.tsv.moreno_sampson.tar.bz2</v>
      </c>
      <c r="L1318" s="5"/>
    </row>
    <row r="1319" spans="3:12" x14ac:dyDescent="0.3">
      <c r="C1319" s="6" t="s">
        <v>1553</v>
      </c>
      <c r="D1319" s="3" t="s">
        <v>1470</v>
      </c>
      <c r="E1319" s="6" t="s">
        <v>1554</v>
      </c>
      <c r="F1319" s="7">
        <v>17</v>
      </c>
      <c r="G1319" s="7">
        <v>91</v>
      </c>
      <c r="H1319" s="6">
        <f t="shared" si="40"/>
        <v>5.3529411764705879</v>
      </c>
      <c r="I1319" s="3" t="s">
        <v>189</v>
      </c>
      <c r="J1319" s="6" t="str">
        <f t="shared" si="41"/>
        <v>http://konect.cc/files/download.tsv.moreno_kangaroo.tar.bz2</v>
      </c>
      <c r="L1319" s="5"/>
    </row>
    <row r="1320" spans="3:12" x14ac:dyDescent="0.3">
      <c r="C1320" s="6" t="s">
        <v>1592</v>
      </c>
      <c r="D1320" s="3" t="s">
        <v>1593</v>
      </c>
      <c r="E1320" s="6" t="s">
        <v>1594</v>
      </c>
      <c r="F1320" s="7">
        <v>16</v>
      </c>
      <c r="G1320" s="7">
        <v>239</v>
      </c>
      <c r="H1320" s="6">
        <f t="shared" si="40"/>
        <v>14.9375</v>
      </c>
      <c r="I1320" s="3" t="s">
        <v>209</v>
      </c>
      <c r="J1320" s="6" t="str">
        <f t="shared" si="41"/>
        <v>http://konect.cc/files/download.tsv.league-be1-2016.tar.bz2</v>
      </c>
      <c r="L1320" s="5"/>
    </row>
    <row r="1321" spans="3:12" x14ac:dyDescent="0.3">
      <c r="C1321" s="6" t="s">
        <v>1560</v>
      </c>
      <c r="D1321" s="3" t="s">
        <v>1561</v>
      </c>
      <c r="E1321" s="6" t="s">
        <v>1562</v>
      </c>
      <c r="F1321" s="7">
        <v>16</v>
      </c>
      <c r="G1321" s="7">
        <v>111</v>
      </c>
      <c r="H1321" s="6">
        <f t="shared" si="40"/>
        <v>6.9375</v>
      </c>
      <c r="I1321" s="3" t="s">
        <v>193</v>
      </c>
      <c r="J1321" s="6" t="str">
        <f t="shared" si="41"/>
        <v>http://konect.cc/files/download.tsv.moreno_rhesus.tar.bz2</v>
      </c>
      <c r="L1321" s="5"/>
    </row>
    <row r="1322" spans="3:12" x14ac:dyDescent="0.3">
      <c r="C1322" s="6" t="s">
        <v>1540</v>
      </c>
      <c r="D1322" s="3" t="s">
        <v>1541</v>
      </c>
      <c r="E1322" s="6" t="s">
        <v>1542</v>
      </c>
      <c r="F1322" s="7">
        <v>16</v>
      </c>
      <c r="G1322" s="7">
        <v>58</v>
      </c>
      <c r="H1322" s="6">
        <f t="shared" si="40"/>
        <v>3.625</v>
      </c>
      <c r="I1322" s="3" t="s">
        <v>183</v>
      </c>
      <c r="J1322" s="6" t="str">
        <f t="shared" si="41"/>
        <v>http://konect.cc/files/download.tsv.ucidata-gama.tar.bz2</v>
      </c>
      <c r="L1322" s="5"/>
    </row>
    <row r="1323" spans="3:12" x14ac:dyDescent="0.3">
      <c r="C1323" s="6" t="s">
        <v>1467</v>
      </c>
      <c r="D1323" s="3" t="s">
        <v>1534</v>
      </c>
      <c r="E1323" s="6" t="s">
        <v>36</v>
      </c>
      <c r="F1323" s="7">
        <v>11</v>
      </c>
      <c r="G1323" s="7">
        <v>13</v>
      </c>
      <c r="H1323" s="6">
        <f t="shared" si="40"/>
        <v>1.1818181818181819</v>
      </c>
      <c r="I1323" s="3" t="s">
        <v>179</v>
      </c>
      <c r="J1323" s="6" t="str">
        <f t="shared" si="41"/>
        <v>http://konect.cc/files/download.tsv.brunson_south-africa.tar.bz2</v>
      </c>
      <c r="L1323" s="5"/>
    </row>
    <row r="1324" spans="3:12" x14ac:dyDescent="0.3">
      <c r="C1324" s="6" t="s">
        <v>1535</v>
      </c>
      <c r="D1324" s="3" t="s">
        <v>1536</v>
      </c>
      <c r="E1324" s="6" t="s">
        <v>36</v>
      </c>
      <c r="F1324" s="7">
        <v>10</v>
      </c>
      <c r="G1324" s="7">
        <v>14</v>
      </c>
      <c r="H1324" s="6">
        <f t="shared" si="40"/>
        <v>1.4</v>
      </c>
      <c r="I1324" s="3" t="s">
        <v>180</v>
      </c>
      <c r="J1324" s="6" t="str">
        <f t="shared" si="41"/>
        <v>http://konect.cc/files/download.tsv.brunson_southern-women.tar.bz2</v>
      </c>
      <c r="L1324" s="5"/>
    </row>
    <row r="1325" spans="3:12" x14ac:dyDescent="0.3">
      <c r="C1325" s="6" t="s">
        <v>3876</v>
      </c>
      <c r="F1325" s="7"/>
      <c r="G1325" s="7"/>
      <c r="H1325" s="6" t="e">
        <f t="shared" si="40"/>
        <v>#DIV/0!</v>
      </c>
      <c r="I1325" s="3"/>
      <c r="J1325" s="6" t="str">
        <f t="shared" si="41"/>
        <v>http://konect.cc/files/download.tsv..tar.bz2</v>
      </c>
    </row>
    <row r="1326" spans="3:12" x14ac:dyDescent="0.3">
      <c r="C1326" s="6" t="s">
        <v>3876</v>
      </c>
      <c r="F1326" s="7"/>
      <c r="G1326" s="7"/>
    </row>
  </sheetData>
  <phoneticPr fontId="5" type="noConversion"/>
  <pageMargins left="0.7" right="0.7" top="0.75" bottom="0.75" header="0.3" footer="0.3"/>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criptIds xmlns="http://schemas.microsoft.com/office/extensibility/maker/v1.0" id="script-ids-node-id">
  <scriptId id="ms-officescript%3A%2F%2Fonedrive_business_itemlink%2F01VDONNEIJUZD2SLNLZRAJEZLNPT325EBJ:ms-officescript%3A%2F%2Fonedrive_business_sharinglink%2Fu!aHR0cHM6Ly9pbmRpYW5hLW15LnNoYXJlcG9pbnQuY29tLzp1Oi9nL3BlcnNvbmFsL2FrYWhtYWRfaXVfZWR1L0VRbW1SNmt0cTh4QWttVnRmUGV1a0NrQnJNZGVDVG9zSTlCN2lsRGlZYldBTWc"/>
</scriptIds>
</file>

<file path=customXml/itemProps1.xml><?xml version="1.0" encoding="utf-8"?>
<ds:datastoreItem xmlns:ds="http://schemas.openxmlformats.org/officeDocument/2006/customXml" ds:itemID="{2C835B41-C4B3-B949-A259-362B33BB55EA}">
  <ds:schemaRefs>
    <ds:schemaRef ds:uri="http://schemas.microsoft.com/office/extensibility/maker/v1.0"/>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SM2</vt:lpstr>
      <vt:lpstr>MC</vt:lpstr>
      <vt:lpstr>MQC</vt:lpstr>
      <vt:lpstr>SM-para</vt:lpstr>
      <vt:lpstr>MC - para</vt:lpstr>
      <vt:lpstr>AIMD-ampere</vt:lpstr>
      <vt:lpstr>mce-gpu</vt:lpstr>
      <vt:lpstr>QC</vt:lpstr>
      <vt:lpstr>SM-datasets</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Ahmad, Akhlaque</dc:creator>
  <cp:lastModifiedBy>Ahmad, Akhlaque</cp:lastModifiedBy>
  <dcterms:created xsi:type="dcterms:W3CDTF">2024-12-25T04:23:02Z</dcterms:created>
  <dcterms:modified xsi:type="dcterms:W3CDTF">2026-08-05T22:05:17Z</dcterms:modified>
</cp:coreProperties>
</file>